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AOEM-T2\common\excel\xls\Main\"/>
    </mc:Choice>
  </mc:AlternateContent>
  <xr:revisionPtr revIDLastSave="0" documentId="13_ncr:1_{A8B93983-713F-42C9-9A3A-E5EE2F2B8322}" xr6:coauthVersionLast="47" xr6:coauthVersionMax="47" xr10:uidLastSave="{00000000-0000-0000-0000-000000000000}"/>
  <bookViews>
    <workbookView xWindow="-120" yWindow="-120" windowWidth="29040" windowHeight="15720" tabRatio="695" activeTab="2" xr2:uid="{00000000-000D-0000-FFFF-FFFF00000000}"/>
  </bookViews>
  <sheets>
    <sheet name="英雄攻略配置表" sheetId="44" r:id="rId1"/>
    <sheet name="阵容详细配置表" sheetId="45" r:id="rId2"/>
    <sheet name="英雄详细配置" sheetId="46" r:id="rId3"/>
    <sheet name="#阵容详细配置表(留档)" sheetId="55" r:id="rId4"/>
    <sheet name="#英雄详细配置（留档）" sheetId="56" r:id="rId5"/>
    <sheet name="#技能参考" sheetId="48" r:id="rId6"/>
    <sheet name="#玺戒参考" sheetId="52" r:id="rId7"/>
  </sheets>
  <externalReferences>
    <externalReference r:id="rId8"/>
    <externalReference r:id="rId9"/>
  </externalReferences>
  <definedNames>
    <definedName name="_xlnm._FilterDatabase" localSheetId="5" hidden="1">'#技能参考'!$A$1:$J$172</definedName>
    <definedName name="_xlnm._FilterDatabase" localSheetId="4">'#英雄详细配置（留档）'!$A$3:$E$3</definedName>
    <definedName name="_xlnm._FilterDatabase" localSheetId="3" hidden="1">'#阵容详细配置表(留档)'!$A$3:$N$17</definedName>
    <definedName name="_xlnm._FilterDatabase" localSheetId="2">英雄详细配置!$A$3:$E$3</definedName>
    <definedName name="_xlnm._FilterDatabase" localSheetId="1" hidden="1">阵容详细配置表!$A$3:$N$17</definedName>
    <definedName name="horse2id">#REF!</definedName>
    <definedName name="id2Data">#REF!</definedName>
    <definedName name="id2des">#REF!</definedName>
    <definedName name="id2guidedata">#REF!</definedName>
    <definedName name="id2ma">#REF!</definedName>
    <definedName name="id2name">#REF!</definedName>
    <definedName name="name2guidedata">#REF!</definedName>
    <definedName name="name2id">#REF!</definedName>
    <definedName name="skilldatabase">#REF!</definedName>
    <definedName name="skillId">#REF!</definedName>
    <definedName name="t2k">#REF!</definedName>
    <definedName name="TalentId2Des">#REF!</definedName>
    <definedName name="英雄战力系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8" i="46" l="1"/>
  <c r="K238" i="46"/>
  <c r="F238" i="46" s="1"/>
  <c r="I238" i="46"/>
  <c r="H238" i="46"/>
  <c r="A238" i="46"/>
  <c r="L237" i="46"/>
  <c r="K237" i="46"/>
  <c r="F237" i="46" s="1"/>
  <c r="I237" i="46"/>
  <c r="H237" i="46"/>
  <c r="A237" i="46"/>
  <c r="I236" i="46"/>
  <c r="H236" i="46"/>
  <c r="F236" i="46"/>
  <c r="A236" i="46"/>
  <c r="L235" i="46"/>
  <c r="K235" i="46"/>
  <c r="F235" i="46" s="1"/>
  <c r="I235" i="46"/>
  <c r="H235" i="46"/>
  <c r="F234" i="46"/>
  <c r="A234" i="46"/>
  <c r="L233" i="46"/>
  <c r="K233" i="46"/>
  <c r="I233" i="46"/>
  <c r="H233" i="46"/>
  <c r="F233" i="46"/>
  <c r="A233" i="46"/>
  <c r="L232" i="46"/>
  <c r="F232" i="46" s="1"/>
  <c r="K232" i="46"/>
  <c r="I232" i="46"/>
  <c r="H232" i="46"/>
  <c r="A232" i="46"/>
  <c r="L231" i="46"/>
  <c r="K231" i="46"/>
  <c r="F231" i="46" s="1"/>
  <c r="I231" i="46"/>
  <c r="H231" i="46"/>
  <c r="A231" i="46"/>
  <c r="L230" i="46"/>
  <c r="K230" i="46"/>
  <c r="F230" i="46" s="1"/>
  <c r="I230" i="46"/>
  <c r="H230" i="46"/>
  <c r="A230" i="46"/>
  <c r="L229" i="46"/>
  <c r="K229" i="46"/>
  <c r="F229" i="46" s="1"/>
  <c r="I229" i="46"/>
  <c r="H229" i="46"/>
  <c r="A229" i="46"/>
  <c r="F228" i="46"/>
  <c r="L227" i="46"/>
  <c r="K227" i="46"/>
  <c r="F227" i="46" s="1"/>
  <c r="I227" i="46"/>
  <c r="H227" i="46"/>
  <c r="A227" i="46"/>
  <c r="L226" i="46"/>
  <c r="K226" i="46"/>
  <c r="F226" i="46" s="1"/>
  <c r="I226" i="46"/>
  <c r="H226" i="46"/>
  <c r="A226" i="46"/>
  <c r="L225" i="46"/>
  <c r="K225" i="46"/>
  <c r="F225" i="46" s="1"/>
  <c r="I225" i="46"/>
  <c r="H225" i="46"/>
  <c r="A225" i="46"/>
  <c r="F224" i="46"/>
  <c r="A224" i="46"/>
  <c r="L223" i="46"/>
  <c r="K223" i="46"/>
  <c r="F223" i="46" s="1"/>
  <c r="I223" i="46"/>
  <c r="H223" i="46"/>
  <c r="A223" i="46"/>
  <c r="L222" i="46"/>
  <c r="K222" i="46"/>
  <c r="F222" i="46" s="1"/>
  <c r="I222" i="46"/>
  <c r="H222" i="46"/>
  <c r="A222" i="46"/>
  <c r="L221" i="46"/>
  <c r="K221" i="46"/>
  <c r="F221" i="46" s="1"/>
  <c r="I221" i="46"/>
  <c r="H221" i="46"/>
  <c r="A221" i="46"/>
  <c r="L220" i="46"/>
  <c r="K220" i="46"/>
  <c r="F220" i="46" s="1"/>
  <c r="I220" i="46"/>
  <c r="H220" i="46"/>
  <c r="A220" i="46"/>
  <c r="I219" i="46"/>
  <c r="H219" i="46"/>
  <c r="F219" i="46"/>
  <c r="A219" i="46"/>
  <c r="L218" i="46"/>
  <c r="F218" i="46" s="1"/>
  <c r="K218" i="46"/>
  <c r="I218" i="46"/>
  <c r="H218" i="46"/>
  <c r="L217" i="46"/>
  <c r="K217" i="46"/>
  <c r="F217" i="46" s="1"/>
  <c r="I217" i="46"/>
  <c r="H217" i="46"/>
  <c r="A217" i="46"/>
  <c r="L216" i="46"/>
  <c r="K216" i="46"/>
  <c r="I216" i="46"/>
  <c r="H216" i="46"/>
  <c r="F216" i="46"/>
  <c r="A216" i="46"/>
  <c r="L215" i="46"/>
  <c r="K215" i="46"/>
  <c r="F215" i="46" s="1"/>
  <c r="I215" i="46"/>
  <c r="H215" i="46"/>
  <c r="A215" i="46"/>
  <c r="L214" i="46"/>
  <c r="K214" i="46"/>
  <c r="I214" i="46"/>
  <c r="H214" i="46"/>
  <c r="F214" i="46"/>
  <c r="A214" i="46"/>
  <c r="L213" i="46"/>
  <c r="K213" i="46"/>
  <c r="I213" i="46"/>
  <c r="H213" i="46"/>
  <c r="F213" i="46"/>
  <c r="A213" i="46"/>
  <c r="L212" i="46"/>
  <c r="F212" i="46" s="1"/>
  <c r="K212" i="46"/>
  <c r="I212" i="46"/>
  <c r="H212" i="46"/>
  <c r="A212" i="46"/>
  <c r="L211" i="46"/>
  <c r="K211" i="46"/>
  <c r="I211" i="46"/>
  <c r="H211" i="46"/>
  <c r="F211" i="46"/>
  <c r="A211" i="46"/>
  <c r="L210" i="46"/>
  <c r="F210" i="46" s="1"/>
  <c r="K210" i="46"/>
  <c r="I210" i="46"/>
  <c r="H210" i="46"/>
  <c r="A210" i="46"/>
  <c r="L209" i="46"/>
  <c r="K209" i="46"/>
  <c r="F209" i="46" s="1"/>
  <c r="I209" i="46"/>
  <c r="H209" i="46"/>
  <c r="A209" i="46"/>
  <c r="L208" i="46"/>
  <c r="K208" i="46"/>
  <c r="F208" i="46" s="1"/>
  <c r="I208" i="46"/>
  <c r="H208" i="46"/>
  <c r="A208" i="46"/>
  <c r="L207" i="46"/>
  <c r="K207" i="46"/>
  <c r="F207" i="46" s="1"/>
  <c r="I207" i="46"/>
  <c r="H207" i="46"/>
  <c r="L206" i="46"/>
  <c r="K206" i="46"/>
  <c r="F206" i="46" s="1"/>
  <c r="I206" i="46"/>
  <c r="H206" i="46"/>
  <c r="A206" i="46"/>
  <c r="L205" i="46"/>
  <c r="K205" i="46"/>
  <c r="I205" i="46"/>
  <c r="H205" i="46"/>
  <c r="F205" i="46"/>
  <c r="A205" i="46"/>
  <c r="L204" i="46"/>
  <c r="K204" i="46"/>
  <c r="I204" i="46"/>
  <c r="H204" i="46"/>
  <c r="F204" i="46"/>
  <c r="A204" i="46"/>
  <c r="L203" i="46"/>
  <c r="K203" i="46"/>
  <c r="I203" i="46"/>
  <c r="H203" i="46"/>
  <c r="F203" i="46"/>
  <c r="A203" i="46"/>
  <c r="F202" i="46"/>
  <c r="A202" i="46"/>
  <c r="L201" i="46"/>
  <c r="K201" i="46"/>
  <c r="I201" i="46"/>
  <c r="H201" i="46"/>
  <c r="F201" i="46"/>
  <c r="A201" i="46"/>
  <c r="I200" i="46"/>
  <c r="H200" i="46"/>
  <c r="F200" i="46"/>
  <c r="A200" i="46"/>
  <c r="L199" i="46"/>
  <c r="K199" i="46"/>
  <c r="F199" i="46" s="1"/>
  <c r="I199" i="46"/>
  <c r="H199" i="46"/>
  <c r="A199" i="46"/>
  <c r="L198" i="46"/>
  <c r="K198" i="46"/>
  <c r="F198" i="46" s="1"/>
  <c r="I198" i="46"/>
  <c r="H198" i="46"/>
  <c r="A198" i="46"/>
  <c r="L197" i="46"/>
  <c r="K197" i="46"/>
  <c r="F197" i="46" s="1"/>
  <c r="I197" i="46"/>
  <c r="H197" i="46"/>
  <c r="L196" i="46"/>
  <c r="K196" i="46"/>
  <c r="I196" i="46"/>
  <c r="H196" i="46"/>
  <c r="F196" i="46"/>
  <c r="A196" i="46"/>
  <c r="F195" i="46"/>
  <c r="A195" i="46"/>
  <c r="F194" i="46"/>
  <c r="A194" i="46"/>
  <c r="L193" i="46"/>
  <c r="K193" i="46"/>
  <c r="I193" i="46"/>
  <c r="H193" i="46"/>
  <c r="F193" i="46"/>
  <c r="A193" i="46"/>
  <c r="L192" i="46"/>
  <c r="K192" i="46"/>
  <c r="F192" i="46" s="1"/>
  <c r="I192" i="46"/>
  <c r="H192" i="46"/>
  <c r="A192" i="46"/>
  <c r="L191" i="46"/>
  <c r="K191" i="46"/>
  <c r="F191" i="46" s="1"/>
  <c r="I191" i="46"/>
  <c r="H191" i="46"/>
  <c r="A191" i="46"/>
  <c r="L190" i="46"/>
  <c r="K190" i="46"/>
  <c r="I190" i="46"/>
  <c r="H190" i="46"/>
  <c r="F190" i="46"/>
  <c r="L189" i="46"/>
  <c r="K189" i="46"/>
  <c r="F189" i="46" s="1"/>
  <c r="I189" i="46"/>
  <c r="H189" i="46"/>
  <c r="A189" i="46"/>
  <c r="L188" i="46"/>
  <c r="K188" i="46"/>
  <c r="I188" i="46"/>
  <c r="H188" i="46"/>
  <c r="F188" i="46"/>
  <c r="A188" i="46"/>
  <c r="L187" i="46"/>
  <c r="K187" i="46"/>
  <c r="F187" i="46" s="1"/>
  <c r="I187" i="46"/>
  <c r="H187" i="46"/>
  <c r="A187" i="46"/>
  <c r="L186" i="46"/>
  <c r="K186" i="46"/>
  <c r="F186" i="46" s="1"/>
  <c r="I186" i="46"/>
  <c r="H186" i="46"/>
  <c r="A186" i="46"/>
  <c r="F185" i="46"/>
  <c r="A185" i="46"/>
  <c r="L184" i="46"/>
  <c r="K184" i="46"/>
  <c r="I184" i="46"/>
  <c r="H184" i="46"/>
  <c r="F184" i="46"/>
  <c r="A184" i="46"/>
  <c r="F183" i="46"/>
  <c r="A183" i="46"/>
  <c r="F182" i="46"/>
  <c r="I181" i="46"/>
  <c r="H181" i="46"/>
  <c r="F181" i="46"/>
  <c r="A181" i="46"/>
  <c r="F180" i="46"/>
  <c r="A180" i="46"/>
  <c r="F179" i="46"/>
  <c r="A179" i="46"/>
  <c r="L178" i="46"/>
  <c r="K178" i="46"/>
  <c r="F178" i="46" s="1"/>
  <c r="I178" i="46"/>
  <c r="H178" i="46"/>
  <c r="A178" i="46"/>
  <c r="L177" i="46"/>
  <c r="K177" i="46"/>
  <c r="F177" i="46" s="1"/>
  <c r="I177" i="46"/>
  <c r="H177" i="46"/>
  <c r="L176" i="46"/>
  <c r="K176" i="46"/>
  <c r="F176" i="46" s="1"/>
  <c r="I176" i="46"/>
  <c r="H176" i="46"/>
  <c r="L175" i="46"/>
  <c r="F175" i="46" s="1"/>
  <c r="K175" i="46"/>
  <c r="I175" i="46"/>
  <c r="H175" i="46"/>
  <c r="L174" i="46"/>
  <c r="F174" i="46" s="1"/>
  <c r="K174" i="46"/>
  <c r="I174" i="46"/>
  <c r="H174" i="46"/>
  <c r="F173" i="46"/>
  <c r="A173" i="46"/>
  <c r="L172" i="46"/>
  <c r="F172" i="46" s="1"/>
  <c r="K172" i="46"/>
  <c r="I172" i="46"/>
  <c r="H172" i="46"/>
  <c r="L171" i="46"/>
  <c r="K171" i="46"/>
  <c r="F171" i="46" s="1"/>
  <c r="I171" i="46"/>
  <c r="H171" i="46"/>
  <c r="L170" i="46"/>
  <c r="K170" i="46"/>
  <c r="F170" i="46" s="1"/>
  <c r="I170" i="46"/>
  <c r="H170" i="46"/>
  <c r="L169" i="46"/>
  <c r="K169" i="46"/>
  <c r="I169" i="46"/>
  <c r="H169" i="46"/>
  <c r="F169" i="46"/>
  <c r="L168" i="46"/>
  <c r="F168" i="46" s="1"/>
  <c r="K168" i="46"/>
  <c r="I168" i="46"/>
  <c r="H168" i="46"/>
  <c r="L167" i="46"/>
  <c r="K167" i="46"/>
  <c r="F167" i="46" s="1"/>
  <c r="I167" i="46"/>
  <c r="H167" i="46"/>
  <c r="L166" i="46"/>
  <c r="K166" i="46"/>
  <c r="F166" i="46" s="1"/>
  <c r="I166" i="46"/>
  <c r="H166" i="46"/>
  <c r="L165" i="46"/>
  <c r="K165" i="46"/>
  <c r="I165" i="46"/>
  <c r="H165" i="46"/>
  <c r="F165" i="46"/>
  <c r="L164" i="46"/>
  <c r="F164" i="46" s="1"/>
  <c r="K164" i="46"/>
  <c r="I164" i="46"/>
  <c r="H164" i="46"/>
  <c r="L163" i="46"/>
  <c r="K163" i="46"/>
  <c r="F163" i="46" s="1"/>
  <c r="I163" i="46"/>
  <c r="H163" i="46"/>
  <c r="A163" i="46"/>
  <c r="I162" i="46"/>
  <c r="H162" i="46"/>
  <c r="F162" i="46"/>
  <c r="A162" i="46"/>
  <c r="I161" i="46"/>
  <c r="H161" i="46"/>
  <c r="F161" i="46"/>
  <c r="A161" i="46"/>
  <c r="I160" i="46"/>
  <c r="H160" i="46"/>
  <c r="F160" i="46"/>
  <c r="A160" i="46"/>
  <c r="F159" i="46"/>
  <c r="A159" i="46"/>
  <c r="F158" i="46"/>
  <c r="A158" i="46"/>
  <c r="F157" i="46"/>
  <c r="A157" i="46"/>
  <c r="F156" i="46"/>
  <c r="A156" i="46"/>
  <c r="F155" i="46"/>
  <c r="A155" i="46"/>
  <c r="L154" i="46"/>
  <c r="F154" i="46" s="1"/>
  <c r="K154" i="46"/>
  <c r="I154" i="46"/>
  <c r="H154" i="46"/>
  <c r="F153" i="46"/>
  <c r="A153" i="46"/>
  <c r="L152" i="46"/>
  <c r="F152" i="46" s="1"/>
  <c r="K152" i="46"/>
  <c r="I152" i="46"/>
  <c r="H152" i="46"/>
  <c r="A152" i="46"/>
  <c r="F151" i="46"/>
  <c r="F150" i="46"/>
  <c r="F149" i="46"/>
  <c r="A149" i="46"/>
  <c r="F148" i="46"/>
  <c r="A148" i="46"/>
  <c r="F147" i="46"/>
  <c r="A147" i="46"/>
  <c r="L146" i="46"/>
  <c r="K146" i="46"/>
  <c r="I146" i="46"/>
  <c r="H146" i="46"/>
  <c r="F146" i="46"/>
  <c r="A146" i="46"/>
  <c r="L145" i="46"/>
  <c r="F145" i="46" s="1"/>
  <c r="K145" i="46"/>
  <c r="I145" i="46"/>
  <c r="H145" i="46"/>
  <c r="A145" i="46"/>
  <c r="L144" i="46"/>
  <c r="F144" i="46" s="1"/>
  <c r="K144" i="46"/>
  <c r="I144" i="46"/>
  <c r="H144" i="46"/>
  <c r="A144" i="46"/>
  <c r="L143" i="46"/>
  <c r="K143" i="46"/>
  <c r="F143" i="46" s="1"/>
  <c r="I143" i="46"/>
  <c r="H143" i="46"/>
  <c r="A143" i="46"/>
  <c r="L142" i="46"/>
  <c r="K142" i="46"/>
  <c r="F142" i="46" s="1"/>
  <c r="I142" i="46"/>
  <c r="H142" i="46"/>
  <c r="A142" i="46"/>
  <c r="L141" i="46"/>
  <c r="K141" i="46"/>
  <c r="I141" i="46"/>
  <c r="H141" i="46"/>
  <c r="F141" i="46"/>
  <c r="A141" i="46"/>
  <c r="L140" i="46"/>
  <c r="K140" i="46"/>
  <c r="F140" i="46" s="1"/>
  <c r="I140" i="46"/>
  <c r="H140" i="46"/>
  <c r="A140" i="46"/>
  <c r="L139" i="46"/>
  <c r="K139" i="46"/>
  <c r="I139" i="46"/>
  <c r="H139" i="46"/>
  <c r="F139" i="46"/>
  <c r="L138" i="46"/>
  <c r="F138" i="46" s="1"/>
  <c r="K138" i="46"/>
  <c r="I138" i="46"/>
  <c r="H138" i="46"/>
  <c r="A138" i="46"/>
  <c r="L137" i="46"/>
  <c r="K137" i="46"/>
  <c r="F137" i="46" s="1"/>
  <c r="I137" i="46"/>
  <c r="H137" i="46"/>
  <c r="A137" i="46"/>
  <c r="L136" i="46"/>
  <c r="F136" i="46" s="1"/>
  <c r="K136" i="46"/>
  <c r="I136" i="46"/>
  <c r="H136" i="46"/>
  <c r="A136" i="46"/>
  <c r="L135" i="46"/>
  <c r="K135" i="46"/>
  <c r="F135" i="46" s="1"/>
  <c r="I135" i="46"/>
  <c r="H135" i="46"/>
  <c r="A135" i="46"/>
  <c r="F134" i="46"/>
  <c r="L133" i="46"/>
  <c r="F133" i="46" s="1"/>
  <c r="K133" i="46"/>
  <c r="I133" i="46"/>
  <c r="H133" i="46"/>
  <c r="A133" i="46"/>
  <c r="F132" i="46"/>
  <c r="A132" i="46"/>
  <c r="L131" i="46"/>
  <c r="K131" i="46"/>
  <c r="I131" i="46"/>
  <c r="H131" i="46"/>
  <c r="F131" i="46"/>
  <c r="A131" i="46"/>
  <c r="L130" i="46"/>
  <c r="F130" i="46" s="1"/>
  <c r="K130" i="46"/>
  <c r="I130" i="46"/>
  <c r="H130" i="46"/>
  <c r="A130" i="46"/>
  <c r="L129" i="46"/>
  <c r="F129" i="46" s="1"/>
  <c r="K129" i="46"/>
  <c r="I129" i="46"/>
  <c r="H129" i="46"/>
  <c r="A129" i="46"/>
  <c r="L128" i="46"/>
  <c r="K128" i="46"/>
  <c r="F128" i="46" s="1"/>
  <c r="I128" i="46"/>
  <c r="H128" i="46"/>
  <c r="A128" i="46"/>
  <c r="L127" i="46"/>
  <c r="K127" i="46"/>
  <c r="F127" i="46" s="1"/>
  <c r="I127" i="46"/>
  <c r="H127" i="46"/>
  <c r="A127" i="46"/>
  <c r="L126" i="46"/>
  <c r="K126" i="46"/>
  <c r="I126" i="46"/>
  <c r="H126" i="46"/>
  <c r="F126" i="46"/>
  <c r="A126" i="46"/>
  <c r="L125" i="46"/>
  <c r="K125" i="46"/>
  <c r="F125" i="46" s="1"/>
  <c r="I125" i="46"/>
  <c r="H125" i="46"/>
  <c r="A125" i="46"/>
  <c r="L124" i="46"/>
  <c r="K124" i="46"/>
  <c r="I124" i="46"/>
  <c r="H124" i="46"/>
  <c r="F124" i="46"/>
  <c r="A124" i="46"/>
  <c r="L123" i="46"/>
  <c r="K123" i="46"/>
  <c r="I123" i="46"/>
  <c r="H123" i="46"/>
  <c r="F123" i="46"/>
  <c r="A123" i="46"/>
  <c r="I122" i="46"/>
  <c r="H122" i="46"/>
  <c r="F122" i="46"/>
  <c r="I121" i="46"/>
  <c r="H121" i="46"/>
  <c r="F121" i="46"/>
  <c r="A121" i="46"/>
  <c r="L120" i="46"/>
  <c r="K120" i="46"/>
  <c r="I120" i="46"/>
  <c r="H120" i="46"/>
  <c r="F120" i="46"/>
  <c r="I119" i="46"/>
  <c r="H119" i="46"/>
  <c r="F119" i="46"/>
  <c r="A119" i="46"/>
  <c r="I118" i="46"/>
  <c r="H118" i="46"/>
  <c r="F118" i="46"/>
  <c r="A118" i="46"/>
  <c r="L117" i="46"/>
  <c r="F117" i="46" s="1"/>
  <c r="K117" i="46"/>
  <c r="I117" i="46"/>
  <c r="H117" i="46"/>
  <c r="A117" i="46"/>
  <c r="F116" i="46"/>
  <c r="F115" i="46"/>
  <c r="F114" i="46"/>
  <c r="F113" i="46"/>
  <c r="F112" i="46"/>
  <c r="F111" i="46"/>
  <c r="F110" i="46"/>
  <c r="I109" i="46"/>
  <c r="H109" i="46"/>
  <c r="F109" i="46"/>
  <c r="F108" i="46"/>
  <c r="F107" i="46"/>
  <c r="L106" i="46"/>
  <c r="F106" i="46" s="1"/>
  <c r="K106" i="46"/>
  <c r="L105" i="46"/>
  <c r="K105" i="46"/>
  <c r="I105" i="46"/>
  <c r="H105" i="46"/>
  <c r="F105" i="46"/>
  <c r="F104" i="46"/>
  <c r="F103" i="46"/>
  <c r="F102" i="46"/>
  <c r="F101" i="46"/>
  <c r="F100" i="46"/>
  <c r="F99" i="46"/>
  <c r="F98" i="46"/>
  <c r="F97" i="46"/>
  <c r="F96" i="46"/>
  <c r="F95" i="46"/>
  <c r="F94" i="46"/>
  <c r="F93" i="46"/>
  <c r="F92" i="46"/>
  <c r="F91" i="46"/>
  <c r="F90" i="46"/>
  <c r="F89" i="46"/>
  <c r="F88" i="46"/>
  <c r="F87" i="46"/>
  <c r="F86" i="46"/>
  <c r="F85" i="46"/>
  <c r="F84" i="46"/>
  <c r="F83" i="46"/>
  <c r="F82" i="46"/>
  <c r="F81" i="46"/>
  <c r="F80" i="46"/>
  <c r="F79" i="46"/>
  <c r="F78" i="46"/>
  <c r="F77" i="46"/>
  <c r="F76" i="46"/>
  <c r="L75" i="46"/>
  <c r="K75" i="46"/>
  <c r="F75" i="46" s="1"/>
  <c r="F74" i="46"/>
  <c r="F73" i="46"/>
  <c r="F72" i="46"/>
  <c r="F71" i="46"/>
  <c r="F70" i="46"/>
  <c r="F69" i="46"/>
  <c r="A69" i="46"/>
  <c r="L68" i="46"/>
  <c r="F68" i="46" s="1"/>
  <c r="K68" i="46"/>
  <c r="I68" i="46"/>
  <c r="H68" i="46"/>
  <c r="F67" i="46"/>
  <c r="A67" i="46"/>
  <c r="L66" i="46"/>
  <c r="F66" i="46" s="1"/>
  <c r="K66" i="46"/>
  <c r="I66" i="46"/>
  <c r="H66" i="46"/>
  <c r="F65" i="46"/>
  <c r="F64" i="46"/>
  <c r="I63" i="46"/>
  <c r="H63" i="46"/>
  <c r="F63" i="46"/>
  <c r="F62" i="46"/>
  <c r="A62" i="46"/>
  <c r="F61" i="46"/>
  <c r="A61" i="46"/>
  <c r="F60" i="46"/>
  <c r="A60" i="46"/>
  <c r="F59" i="46"/>
  <c r="F58" i="46"/>
  <c r="L57" i="46"/>
  <c r="K57" i="46"/>
  <c r="F57" i="46"/>
  <c r="A57" i="46"/>
  <c r="F56" i="46"/>
  <c r="L55" i="46"/>
  <c r="K55" i="46"/>
  <c r="F55" i="46" s="1"/>
  <c r="F54" i="46"/>
  <c r="F53" i="46"/>
  <c r="F52" i="46"/>
  <c r="F51" i="46"/>
  <c r="F50" i="46"/>
  <c r="F49" i="46"/>
  <c r="F48" i="46"/>
  <c r="F47" i="46"/>
  <c r="F46" i="46"/>
  <c r="F45" i="46"/>
  <c r="L44" i="46"/>
  <c r="F44" i="46" s="1"/>
  <c r="K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F9" i="46"/>
  <c r="F8" i="46"/>
  <c r="F7" i="46"/>
  <c r="F6" i="46"/>
  <c r="F5" i="46"/>
  <c r="F4" i="46"/>
  <c r="E8" i="44" a="1"/>
  <c r="E8" i="44" s="1"/>
  <c r="E7" i="44" a="1"/>
  <c r="E7" i="44" s="1"/>
  <c r="E6" i="44" a="1"/>
  <c r="E6" i="44" s="1"/>
  <c r="E5" i="44" a="1"/>
  <c r="E5" i="44" s="1"/>
  <c r="J44" i="45" a="1"/>
  <c r="J44" i="45" s="1"/>
  <c r="I44" i="45" a="1"/>
  <c r="I44" i="45" s="1"/>
  <c r="H44" i="45" a="1"/>
  <c r="H44" i="45" s="1"/>
  <c r="J43" i="45" a="1"/>
  <c r="J43" i="45" s="1"/>
  <c r="I43" i="45" a="1"/>
  <c r="I43" i="45" s="1"/>
  <c r="H43" i="45" a="1"/>
  <c r="H43" i="45" s="1"/>
  <c r="J42" i="45" a="1"/>
  <c r="J42" i="45" s="1"/>
  <c r="I42" i="45" a="1"/>
  <c r="I42" i="45" s="1"/>
  <c r="H42" i="45" a="1"/>
  <c r="H42" i="45" s="1"/>
  <c r="J41" i="45" a="1"/>
  <c r="J41" i="45" s="1"/>
  <c r="I41" i="45" a="1"/>
  <c r="I41" i="45" s="1"/>
  <c r="H41" i="45" a="1"/>
  <c r="H41" i="45" s="1"/>
  <c r="J40" i="45" a="1"/>
  <c r="J40" i="45" s="1"/>
  <c r="I40" i="45" a="1"/>
  <c r="I40" i="45" s="1"/>
  <c r="H40" i="45" a="1"/>
  <c r="H40" i="45" s="1"/>
  <c r="J39" i="45" a="1"/>
  <c r="J39" i="45" s="1"/>
  <c r="I39" i="45" a="1"/>
  <c r="I39" i="45" s="1"/>
  <c r="H39" i="45" a="1"/>
  <c r="H39" i="45" s="1"/>
  <c r="J38" i="45" a="1"/>
  <c r="J38" i="45" s="1"/>
  <c r="I38" i="45" a="1"/>
  <c r="I38" i="45" s="1"/>
  <c r="H38" i="45" a="1"/>
  <c r="H38" i="45" s="1"/>
  <c r="J37" i="45" a="1"/>
  <c r="J37" i="45" s="1"/>
  <c r="I37" i="45" a="1"/>
  <c r="I37" i="45" s="1"/>
  <c r="H37" i="45" a="1"/>
  <c r="H37" i="45" s="1"/>
  <c r="J36" i="45" a="1"/>
  <c r="J36" i="45" s="1"/>
  <c r="I36" i="45" a="1"/>
  <c r="I36" i="45" s="1"/>
  <c r="H36" i="45" a="1"/>
  <c r="H36" i="45" s="1"/>
  <c r="J21" i="45" a="1"/>
  <c r="J21" i="45" s="1"/>
  <c r="I21" i="45" a="1"/>
  <c r="I21" i="45" s="1"/>
  <c r="H21" i="45" a="1"/>
  <c r="H21" i="45" s="1"/>
  <c r="K84" i="56" l="1"/>
  <c r="J84" i="56"/>
  <c r="H84" i="56"/>
  <c r="G84" i="56"/>
  <c r="K83" i="56"/>
  <c r="J83" i="56"/>
  <c r="E83" i="56" s="1"/>
  <c r="H83" i="56"/>
  <c r="G83" i="56"/>
  <c r="K82" i="56"/>
  <c r="J82" i="56"/>
  <c r="H82" i="56"/>
  <c r="G82" i="56"/>
  <c r="K81" i="56"/>
  <c r="J81" i="56"/>
  <c r="H81" i="56"/>
  <c r="G81" i="56"/>
  <c r="K80" i="56"/>
  <c r="J80" i="56"/>
  <c r="H80" i="56"/>
  <c r="G80" i="56"/>
  <c r="K79" i="56"/>
  <c r="J79" i="56"/>
  <c r="H79" i="56"/>
  <c r="G79" i="56"/>
  <c r="K78" i="56"/>
  <c r="J78" i="56"/>
  <c r="E78" i="56" s="1"/>
  <c r="H78" i="56"/>
  <c r="G78" i="56"/>
  <c r="K77" i="56"/>
  <c r="J77" i="56"/>
  <c r="H77" i="56"/>
  <c r="G77" i="56"/>
  <c r="K76" i="56"/>
  <c r="J76" i="56"/>
  <c r="H76" i="56"/>
  <c r="G76" i="56"/>
  <c r="K75" i="56"/>
  <c r="J75" i="56"/>
  <c r="H75" i="56"/>
  <c r="G75" i="56"/>
  <c r="K74" i="56"/>
  <c r="J74" i="56"/>
  <c r="E74" i="56" s="1"/>
  <c r="H74" i="56"/>
  <c r="G74" i="56"/>
  <c r="K73" i="56"/>
  <c r="J73" i="56"/>
  <c r="E73" i="56" s="1"/>
  <c r="H73" i="56"/>
  <c r="G73" i="56"/>
  <c r="K72" i="56"/>
  <c r="J72" i="56"/>
  <c r="H72" i="56"/>
  <c r="G72" i="56"/>
  <c r="K71" i="56"/>
  <c r="J71" i="56"/>
  <c r="H71" i="56"/>
  <c r="G71" i="56"/>
  <c r="K70" i="56"/>
  <c r="J70" i="56"/>
  <c r="H70" i="56"/>
  <c r="G70" i="56"/>
  <c r="K69" i="56"/>
  <c r="J69" i="56"/>
  <c r="E69" i="56" s="1"/>
  <c r="H69" i="56"/>
  <c r="G69" i="56"/>
  <c r="K68" i="56"/>
  <c r="J68" i="56"/>
  <c r="H68" i="56"/>
  <c r="G68" i="56"/>
  <c r="K67" i="56"/>
  <c r="J67" i="56"/>
  <c r="E67" i="56" s="1"/>
  <c r="H67" i="56"/>
  <c r="G67" i="56"/>
  <c r="K66" i="56"/>
  <c r="J66" i="56"/>
  <c r="H66" i="56"/>
  <c r="G66" i="56"/>
  <c r="K65" i="56"/>
  <c r="J65" i="56"/>
  <c r="H65" i="56"/>
  <c r="G65" i="56"/>
  <c r="K64" i="56"/>
  <c r="J64" i="56"/>
  <c r="E64" i="56" s="1"/>
  <c r="H64" i="56"/>
  <c r="G64" i="56"/>
  <c r="K63" i="56"/>
  <c r="J63" i="56"/>
  <c r="E63" i="56" s="1"/>
  <c r="H63" i="56"/>
  <c r="G63" i="56"/>
  <c r="K62" i="56"/>
  <c r="J62" i="56"/>
  <c r="E62" i="56" s="1"/>
  <c r="H62" i="56"/>
  <c r="G62" i="56"/>
  <c r="K61" i="56"/>
  <c r="J61" i="56"/>
  <c r="H61" i="56"/>
  <c r="G61" i="56"/>
  <c r="K60" i="56"/>
  <c r="J60" i="56"/>
  <c r="H60" i="56"/>
  <c r="G60" i="56"/>
  <c r="K59" i="56"/>
  <c r="J59" i="56"/>
  <c r="E59" i="56" s="1"/>
  <c r="H59" i="56"/>
  <c r="G59" i="56"/>
  <c r="K58" i="56"/>
  <c r="J58" i="56"/>
  <c r="E58" i="56" s="1"/>
  <c r="H58" i="56"/>
  <c r="G58" i="56"/>
  <c r="K57" i="56"/>
  <c r="J57" i="56"/>
  <c r="E57" i="56" s="1"/>
  <c r="H57" i="56"/>
  <c r="G57" i="56"/>
  <c r="K56" i="56"/>
  <c r="J56" i="56"/>
  <c r="H56" i="56"/>
  <c r="G56" i="56"/>
  <c r="K55" i="56"/>
  <c r="J55" i="56"/>
  <c r="H55" i="56"/>
  <c r="G55" i="56"/>
  <c r="K54" i="56"/>
  <c r="J54" i="56"/>
  <c r="E54" i="56" s="1"/>
  <c r="H54" i="56"/>
  <c r="G54" i="56"/>
  <c r="K53" i="56"/>
  <c r="J53" i="56"/>
  <c r="E53" i="56" s="1"/>
  <c r="H53" i="56"/>
  <c r="G53" i="56"/>
  <c r="K52" i="56"/>
  <c r="J52" i="56"/>
  <c r="E52" i="56" s="1"/>
  <c r="H52" i="56"/>
  <c r="G52" i="56"/>
  <c r="K51" i="56"/>
  <c r="J51" i="56"/>
  <c r="E51" i="56" s="1"/>
  <c r="H51" i="56"/>
  <c r="G51" i="56"/>
  <c r="K50" i="56"/>
  <c r="J50" i="56"/>
  <c r="H50" i="56"/>
  <c r="G50" i="56"/>
  <c r="K49" i="56"/>
  <c r="J49" i="56"/>
  <c r="E49" i="56" s="1"/>
  <c r="H49" i="56"/>
  <c r="G49" i="56"/>
  <c r="K48" i="56"/>
  <c r="J48" i="56"/>
  <c r="E48" i="56" s="1"/>
  <c r="H48" i="56"/>
  <c r="G48" i="56"/>
  <c r="K47" i="56"/>
  <c r="J47" i="56"/>
  <c r="E47" i="56" s="1"/>
  <c r="H47" i="56"/>
  <c r="G47" i="56"/>
  <c r="K46" i="56"/>
  <c r="J46" i="56"/>
  <c r="E46" i="56" s="1"/>
  <c r="H46" i="56"/>
  <c r="G46" i="56"/>
  <c r="K45" i="56"/>
  <c r="J45" i="56"/>
  <c r="H45" i="56"/>
  <c r="G45" i="56"/>
  <c r="K44" i="56"/>
  <c r="J44" i="56"/>
  <c r="E44" i="56" s="1"/>
  <c r="H44" i="56"/>
  <c r="G44" i="56"/>
  <c r="K43" i="56"/>
  <c r="J43" i="56"/>
  <c r="E43" i="56" s="1"/>
  <c r="H43" i="56"/>
  <c r="G43" i="56"/>
  <c r="K42" i="56"/>
  <c r="J42" i="56"/>
  <c r="E42" i="56" s="1"/>
  <c r="H42" i="56"/>
  <c r="G42" i="56"/>
  <c r="K41" i="56"/>
  <c r="J41" i="56"/>
  <c r="E41" i="56" s="1"/>
  <c r="H41" i="56"/>
  <c r="G41" i="56"/>
  <c r="K40" i="56"/>
  <c r="J40" i="56"/>
  <c r="E40" i="56" s="1"/>
  <c r="H40" i="56"/>
  <c r="G40" i="56"/>
  <c r="K39" i="56"/>
  <c r="J39" i="56"/>
  <c r="E39" i="56" s="1"/>
  <c r="H39" i="56"/>
  <c r="G39" i="56"/>
  <c r="K38" i="56"/>
  <c r="J38" i="56"/>
  <c r="E38" i="56" s="1"/>
  <c r="H38" i="56"/>
  <c r="G38" i="56"/>
  <c r="K37" i="56"/>
  <c r="J37" i="56"/>
  <c r="E37" i="56" s="1"/>
  <c r="H37" i="56"/>
  <c r="G37" i="56"/>
  <c r="K36" i="56"/>
  <c r="J36" i="56"/>
  <c r="E36" i="56" s="1"/>
  <c r="H36" i="56"/>
  <c r="G36" i="56"/>
  <c r="K35" i="56"/>
  <c r="J35" i="56"/>
  <c r="E35" i="56" s="1"/>
  <c r="H35" i="56"/>
  <c r="G35" i="56"/>
  <c r="K34" i="56"/>
  <c r="J34" i="56"/>
  <c r="E34" i="56" s="1"/>
  <c r="H34" i="56"/>
  <c r="G34" i="56"/>
  <c r="K33" i="56"/>
  <c r="J33" i="56"/>
  <c r="E33" i="56" s="1"/>
  <c r="H33" i="56"/>
  <c r="G33" i="56"/>
  <c r="K32" i="56"/>
  <c r="J32" i="56"/>
  <c r="E32" i="56" s="1"/>
  <c r="H32" i="56"/>
  <c r="G32" i="56"/>
  <c r="K31" i="56"/>
  <c r="J31" i="56"/>
  <c r="E31" i="56" s="1"/>
  <c r="H31" i="56"/>
  <c r="G31" i="56"/>
  <c r="K30" i="56"/>
  <c r="J30" i="56"/>
  <c r="H30" i="56"/>
  <c r="G30" i="56"/>
  <c r="K29" i="56"/>
  <c r="J29" i="56"/>
  <c r="E29" i="56" s="1"/>
  <c r="H29" i="56"/>
  <c r="G29" i="56"/>
  <c r="K28" i="56"/>
  <c r="J28" i="56"/>
  <c r="E28" i="56" s="1"/>
  <c r="H28" i="56"/>
  <c r="G28" i="56"/>
  <c r="K27" i="56"/>
  <c r="J27" i="56"/>
  <c r="E27" i="56" s="1"/>
  <c r="H27" i="56"/>
  <c r="G27" i="56"/>
  <c r="K26" i="56"/>
  <c r="J26" i="56"/>
  <c r="E26" i="56" s="1"/>
  <c r="H26" i="56"/>
  <c r="G26" i="56"/>
  <c r="K25" i="56"/>
  <c r="J25" i="56"/>
  <c r="E25" i="56" s="1"/>
  <c r="H25" i="56"/>
  <c r="G25" i="56"/>
  <c r="K24" i="56"/>
  <c r="J24" i="56"/>
  <c r="E24" i="56" s="1"/>
  <c r="H24" i="56"/>
  <c r="G24" i="56"/>
  <c r="K23" i="56"/>
  <c r="J23" i="56"/>
  <c r="E23" i="56" s="1"/>
  <c r="H23" i="56"/>
  <c r="G23" i="56"/>
  <c r="K22" i="56"/>
  <c r="J22" i="56"/>
  <c r="E22" i="56" s="1"/>
  <c r="H22" i="56"/>
  <c r="G22" i="56"/>
  <c r="K21" i="56"/>
  <c r="J21" i="56"/>
  <c r="E21" i="56" s="1"/>
  <c r="H21" i="56"/>
  <c r="G21" i="56"/>
  <c r="K20" i="56"/>
  <c r="J20" i="56"/>
  <c r="E20" i="56" s="1"/>
  <c r="H20" i="56"/>
  <c r="G20" i="56"/>
  <c r="K19" i="56"/>
  <c r="J19" i="56"/>
  <c r="H19" i="56"/>
  <c r="G19" i="56"/>
  <c r="K18" i="56"/>
  <c r="J18" i="56"/>
  <c r="E18" i="56" s="1"/>
  <c r="H18" i="56"/>
  <c r="G18" i="56"/>
  <c r="K17" i="56"/>
  <c r="J17" i="56"/>
  <c r="E17" i="56" s="1"/>
  <c r="H17" i="56"/>
  <c r="G17" i="56"/>
  <c r="K16" i="56"/>
  <c r="J16" i="56"/>
  <c r="E16" i="56" s="1"/>
  <c r="H16" i="56"/>
  <c r="G16" i="56"/>
  <c r="K15" i="56"/>
  <c r="J15" i="56"/>
  <c r="H15" i="56"/>
  <c r="G15" i="56"/>
  <c r="K14" i="56"/>
  <c r="J14" i="56"/>
  <c r="E14" i="56" s="1"/>
  <c r="H14" i="56"/>
  <c r="G14" i="56"/>
  <c r="K13" i="56"/>
  <c r="J13" i="56"/>
  <c r="E13" i="56" s="1"/>
  <c r="H13" i="56"/>
  <c r="G13" i="56"/>
  <c r="K12" i="56"/>
  <c r="J12" i="56"/>
  <c r="E12" i="56" s="1"/>
  <c r="H12" i="56"/>
  <c r="G12" i="56"/>
  <c r="K11" i="56"/>
  <c r="J11" i="56"/>
  <c r="E11" i="56" s="1"/>
  <c r="H11" i="56"/>
  <c r="G11" i="56"/>
  <c r="K10" i="56"/>
  <c r="J10" i="56"/>
  <c r="H10" i="56"/>
  <c r="G10" i="56"/>
  <c r="K9" i="56"/>
  <c r="J9" i="56"/>
  <c r="E9" i="56" s="1"/>
  <c r="H9" i="56"/>
  <c r="G9" i="56"/>
  <c r="K8" i="56"/>
  <c r="J8" i="56"/>
  <c r="H8" i="56"/>
  <c r="G8" i="56"/>
  <c r="K7" i="56"/>
  <c r="J7" i="56"/>
  <c r="E7" i="56" s="1"/>
  <c r="H7" i="56"/>
  <c r="G7" i="56"/>
  <c r="K6" i="56"/>
  <c r="J6" i="56"/>
  <c r="E6" i="56" s="1"/>
  <c r="H6" i="56"/>
  <c r="G6" i="56"/>
  <c r="K5" i="56"/>
  <c r="J5" i="56"/>
  <c r="E5" i="56" s="1"/>
  <c r="H5" i="56"/>
  <c r="G5" i="56"/>
  <c r="K4" i="56"/>
  <c r="J4" i="56"/>
  <c r="E4" i="56" s="1"/>
  <c r="H4" i="56"/>
  <c r="G4" i="56"/>
  <c r="E55" i="56" l="1"/>
  <c r="E56" i="56"/>
  <c r="E61" i="56"/>
  <c r="E66" i="56"/>
  <c r="E30" i="56"/>
  <c r="E71" i="56"/>
  <c r="E10" i="56"/>
  <c r="E72" i="56"/>
  <c r="E77" i="56"/>
  <c r="E15" i="56"/>
  <c r="E45" i="56"/>
  <c r="E50" i="56"/>
  <c r="E76" i="56"/>
  <c r="E60" i="56"/>
  <c r="E65" i="56"/>
  <c r="E70" i="56"/>
  <c r="E81" i="56"/>
  <c r="E68" i="56"/>
  <c r="E75" i="56"/>
  <c r="E8" i="56"/>
  <c r="E19" i="56"/>
  <c r="E80" i="56"/>
  <c r="E79" i="56"/>
  <c r="E82" i="56"/>
  <c r="E84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scottxiao(肖志键)</author>
    <author>Admin</author>
  </authors>
  <commentList>
    <comment ref="A1" authorId="0" shapeId="0" xr:uid="{F37CA79B-C42E-4C6C-ABA6-502A4229CB4C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scottxiao(肖志键):
100+英雄id（3位)+技能编号(3位）
</t>
        </r>
      </text>
    </comment>
    <comment ref="C1" authorId="0" shapeId="0" xr:uid="{68D974BA-B3FF-4AC5-96C1-237C7F54E53D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scottxiao(肖志键):
100+英雄id（3位)+技能编号(3位）
</t>
        </r>
      </text>
    </comment>
    <comment ref="E1" authorId="1" shapeId="0" xr:uid="{C3AA6EB3-DED4-4936-8642-9572A3E88FC4}">
      <text>
        <r>
          <rPr>
            <sz val="9"/>
            <rFont val="宋体"/>
            <family val="3"/>
            <charset val="134"/>
          </rPr>
          <t xml:space="preserve">注意，赛季id如果不填，技能不会出现，填n，则表示在&gt;=n的赛季后技能出现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<sst xmlns="http://schemas.openxmlformats.org/spreadsheetml/2006/main" count="2671" uniqueCount="825">
  <si>
    <t>id</t>
    <phoneticPr fontId="4" type="noConversion"/>
  </si>
  <si>
    <t>name</t>
    <phoneticPr fontId="4" type="noConversion"/>
  </si>
  <si>
    <t>名称</t>
    <phoneticPr fontId="4" type="noConversion"/>
  </si>
  <si>
    <t>推荐id</t>
    <phoneticPr fontId="4" type="noConversion"/>
  </si>
  <si>
    <t>recommendId[|]</t>
    <phoneticPr fontId="4" type="noConversion"/>
  </si>
  <si>
    <t>剑士阵容</t>
    <phoneticPr fontId="4" type="noConversion"/>
  </si>
  <si>
    <t>枪兵阵容</t>
    <phoneticPr fontId="4" type="noConversion"/>
  </si>
  <si>
    <t>骑士阵容</t>
    <phoneticPr fontId="4" type="noConversion"/>
  </si>
  <si>
    <t>弓兵阵容</t>
    <phoneticPr fontId="4" type="noConversion"/>
  </si>
  <si>
    <t>英雄id</t>
    <phoneticPr fontId="4" type="noConversion"/>
  </si>
  <si>
    <t>槽位1英雄id</t>
    <phoneticPr fontId="4" type="noConversion"/>
  </si>
  <si>
    <t>槽位2英雄id</t>
    <phoneticPr fontId="4" type="noConversion"/>
  </si>
  <si>
    <t>槽位3英雄id</t>
    <phoneticPr fontId="4" type="noConversion"/>
  </si>
  <si>
    <t>heroId</t>
    <phoneticPr fontId="4" type="noConversion"/>
  </si>
  <si>
    <t>推荐技能id</t>
    <phoneticPr fontId="4" type="noConversion"/>
  </si>
  <si>
    <t>阵容名称</t>
    <phoneticPr fontId="4" type="noConversion"/>
  </si>
  <si>
    <t>desc</t>
    <phoneticPr fontId="4" type="noConversion"/>
  </si>
  <si>
    <t>convert(ResHero.proto, table_HeroTeamStrategy, HeroTeamStrategy.pbin)</t>
    <phoneticPr fontId="4" type="noConversion"/>
  </si>
  <si>
    <t>pos1[|]</t>
    <phoneticPr fontId="4" type="noConversion"/>
  </si>
  <si>
    <t>pos2[|]</t>
    <phoneticPr fontId="4" type="noConversion"/>
  </si>
  <si>
    <t>pos3[|]</t>
    <phoneticPr fontId="4" type="noConversion"/>
  </si>
  <si>
    <t>convert(ResHero.proto, table_HeroTeamStrategyDetail, HeroTeamStrategyDetail.pbin)</t>
    <phoneticPr fontId="4" type="noConversion"/>
  </si>
  <si>
    <t>convert(ResHero.proto, table_HeroStrategyDetail, HeroStrategyDetail.pbin)</t>
    <phoneticPr fontId="4" type="noConversion"/>
  </si>
  <si>
    <t>阵容兵种</t>
    <phoneticPr fontId="4" type="noConversion"/>
  </si>
  <si>
    <t>阵容风格</t>
    <phoneticPr fontId="4" type="noConversion"/>
  </si>
  <si>
    <t>统率</t>
  </si>
  <si>
    <t>弓兵</t>
  </si>
  <si>
    <t>所属阵容</t>
    <phoneticPr fontId="4" type="noConversion"/>
  </si>
  <si>
    <t>英雄名称</t>
    <phoneticPr fontId="4" type="noConversion"/>
  </si>
  <si>
    <t>大卫王</t>
  </si>
  <si>
    <t>李道玄</t>
  </si>
  <si>
    <t>关羽</t>
  </si>
  <si>
    <t>孙武</t>
  </si>
  <si>
    <t>纳尔西斯</t>
  </si>
  <si>
    <t>巴尔达斯</t>
  </si>
  <si>
    <t>阿克塞尔</t>
  </si>
  <si>
    <t>崔如意</t>
  </si>
  <si>
    <t>尼诺</t>
  </si>
  <si>
    <t>克洛特</t>
  </si>
  <si>
    <t>高猛</t>
  </si>
  <si>
    <t>袁夏</t>
  </si>
  <si>
    <t>理查一世</t>
  </si>
  <si>
    <t>狄奥多拉</t>
  </si>
  <si>
    <t>哈拉尔</t>
  </si>
  <si>
    <t>battleStyle</t>
  </si>
  <si>
    <t>智谋</t>
  </si>
  <si>
    <t>id</t>
  </si>
  <si>
    <t>技能名</t>
  </si>
  <si>
    <t>是否为装配技能</t>
  </si>
  <si>
    <t>赛季id</t>
  </si>
  <si>
    <t>技能列表展示</t>
  </si>
  <si>
    <t>火球轰击</t>
  </si>
  <si>
    <t>巨石冲击</t>
  </si>
  <si>
    <t>攻城大师</t>
  </si>
  <si>
    <t>迸裂</t>
  </si>
  <si>
    <t>怒火猛攻</t>
  </si>
  <si>
    <t>风卷残云</t>
  </si>
  <si>
    <t>天地无双斩</t>
  </si>
  <si>
    <t>毁灭的预示</t>
  </si>
  <si>
    <t>正义裁决</t>
  </si>
  <si>
    <t>恩泽庇护</t>
  </si>
  <si>
    <t>光明护佑</t>
  </si>
  <si>
    <t>沉默誓言</t>
  </si>
  <si>
    <t>三重攻势</t>
  </si>
  <si>
    <t>命运操弄</t>
  </si>
  <si>
    <t>战争祝福</t>
  </si>
  <si>
    <t>军神赠礼</t>
  </si>
  <si>
    <t>名门之后</t>
  </si>
  <si>
    <t>战术冲锋</t>
  </si>
  <si>
    <t>冲锋的极意</t>
  </si>
  <si>
    <t>连击</t>
  </si>
  <si>
    <t>丰收祝福</t>
  </si>
  <si>
    <t>孤注一掷</t>
  </si>
  <si>
    <t>狂怒血脉</t>
  </si>
  <si>
    <t>怒不可遏</t>
  </si>
  <si>
    <t>钢铁之躯</t>
  </si>
  <si>
    <t>破怒斩</t>
  </si>
  <si>
    <t>战争狂热</t>
  </si>
  <si>
    <t>致命一击</t>
  </si>
  <si>
    <t>胜利军规</t>
  </si>
  <si>
    <t>怒涛之击</t>
  </si>
  <si>
    <t>慈悲终结</t>
  </si>
  <si>
    <t>撕裂</t>
  </si>
  <si>
    <t>不屈战意</t>
  </si>
  <si>
    <t>持久战</t>
  </si>
  <si>
    <t>惩戒者</t>
  </si>
  <si>
    <t>破敌之眼</t>
  </si>
  <si>
    <t>反戈一击</t>
  </si>
  <si>
    <t>清算</t>
  </si>
  <si>
    <t>文武双全</t>
  </si>
  <si>
    <t>反击</t>
  </si>
  <si>
    <t>饥渴之刃</t>
  </si>
  <si>
    <t>百战之体</t>
  </si>
  <si>
    <t>剑盾突击</t>
  </si>
  <si>
    <t>震慑猛击</t>
  </si>
  <si>
    <t>不屈信念</t>
  </si>
  <si>
    <t>敏锐洞察</t>
  </si>
  <si>
    <t>以战养战</t>
  </si>
  <si>
    <t>冲击</t>
  </si>
  <si>
    <t>休整</t>
  </si>
  <si>
    <t>奇袭</t>
  </si>
  <si>
    <t>二连斩</t>
  </si>
  <si>
    <t>攻城战术</t>
  </si>
  <si>
    <t>锐锋</t>
  </si>
  <si>
    <t>激怒</t>
  </si>
  <si>
    <t>战斗训练</t>
  </si>
  <si>
    <t>防守训练</t>
  </si>
  <si>
    <t>谋略训练</t>
  </si>
  <si>
    <t>攻城训练</t>
  </si>
  <si>
    <t>铁壁</t>
  </si>
  <si>
    <t>燎天之火</t>
  </si>
  <si>
    <t>泰山压顶</t>
  </si>
  <si>
    <t>明心静气</t>
  </si>
  <si>
    <t>灵光乍现</t>
  </si>
  <si>
    <t>胜利的代价</t>
  </si>
  <si>
    <t>避芒击惰</t>
  </si>
  <si>
    <t>怒击扬志</t>
  </si>
  <si>
    <t>奋迅</t>
  </si>
  <si>
    <t>王者之剑</t>
  </si>
  <si>
    <t>列阵御敌</t>
  </si>
  <si>
    <t>冲冠一怒</t>
  </si>
  <si>
    <t>利刃攻心</t>
  </si>
  <si>
    <t>弱点进攻</t>
  </si>
  <si>
    <t>侵蚀之焰</t>
  </si>
  <si>
    <t>压迫之袭</t>
  </si>
  <si>
    <t>追击本能</t>
  </si>
  <si>
    <t>英勇时刻</t>
  </si>
  <si>
    <t>胜利怒吼</t>
  </si>
  <si>
    <t>波澜攻势</t>
  </si>
  <si>
    <t>蛮勇侵袭</t>
  </si>
  <si>
    <t>决意强袭</t>
  </si>
  <si>
    <t>灭却军锋</t>
  </si>
  <si>
    <t>命运恩宠</t>
  </si>
  <si>
    <t>绝对权力</t>
  </si>
  <si>
    <t>欺天之谋</t>
  </si>
  <si>
    <t>合纵连横</t>
  </si>
  <si>
    <t>以下克上</t>
  </si>
  <si>
    <t>历战之枪</t>
  </si>
  <si>
    <t>压制强攻</t>
  </si>
  <si>
    <t>长生军团</t>
  </si>
  <si>
    <t>万里平戎策</t>
  </si>
  <si>
    <t>不屈反击</t>
  </si>
  <si>
    <t>黑沼之刃</t>
  </si>
  <si>
    <t>狂烈之骑</t>
  </si>
  <si>
    <t>侵彻之弓</t>
  </si>
  <si>
    <t>王命谕令</t>
  </si>
  <si>
    <t>绿洲之佑</t>
  </si>
  <si>
    <t>制伏</t>
  </si>
  <si>
    <t>借势威吓</t>
  </si>
  <si>
    <t>神圣之剑</t>
  </si>
  <si>
    <t>会心加护</t>
  </si>
  <si>
    <t>燃身战意</t>
  </si>
  <si>
    <t>激昂</t>
  </si>
  <si>
    <t>阳谋</t>
  </si>
  <si>
    <t>反间</t>
  </si>
  <si>
    <t>机变</t>
  </si>
  <si>
    <t>苦肉</t>
  </si>
  <si>
    <t>余烬之灼</t>
  </si>
  <si>
    <t>戒备</t>
  </si>
  <si>
    <t>阵鼓</t>
  </si>
  <si>
    <t>掌军</t>
  </si>
  <si>
    <t>变阵</t>
  </si>
  <si>
    <t>裸衣</t>
  </si>
  <si>
    <t>伏击</t>
  </si>
  <si>
    <t>入阵曲</t>
  </si>
  <si>
    <t>固本</t>
  </si>
  <si>
    <t>破军奇略</t>
  </si>
  <si>
    <t>潜龙勿用</t>
  </si>
  <si>
    <t>不灭修罗</t>
  </si>
  <si>
    <t>截道封兵</t>
  </si>
  <si>
    <t>无妄诡谋</t>
  </si>
  <si>
    <t>碎踵之箭</t>
  </si>
  <si>
    <t>绝代风华</t>
  </si>
  <si>
    <t>勇烈战豪</t>
  </si>
  <si>
    <t>无尽狂潮</t>
  </si>
  <si>
    <t>塞北雪风</t>
  </si>
  <si>
    <t>疾策攻心</t>
  </si>
  <si>
    <t>无情追击</t>
  </si>
  <si>
    <t>流水之势</t>
  </si>
  <si>
    <t>威吓猛劈</t>
  </si>
  <si>
    <t>善战无攻</t>
  </si>
  <si>
    <t>铁壁军威</t>
  </si>
  <si>
    <t>恃勇之军</t>
  </si>
  <si>
    <t>生人勿近</t>
  </si>
  <si>
    <t>倾国凰主</t>
  </si>
  <si>
    <t>天妒神机</t>
  </si>
  <si>
    <t>严阵以待</t>
  </si>
  <si>
    <t>不败军威</t>
  </si>
  <si>
    <t>歼绝战法</t>
  </si>
  <si>
    <t>王车易位</t>
  </si>
  <si>
    <t>火羽飞蝗</t>
  </si>
  <si>
    <t>锐利刃锋</t>
  </si>
  <si>
    <t>绝处逢生</t>
  </si>
  <si>
    <t>决斗法则</t>
  </si>
  <si>
    <t>惊世疾霆</t>
  </si>
  <si>
    <t>麒麟王佐</t>
  </si>
  <si>
    <t>大将之风</t>
  </si>
  <si>
    <t>沸腾战吼</t>
  </si>
  <si>
    <t>致胜连锁</t>
  </si>
  <si>
    <t>乘胜追击</t>
  </si>
  <si>
    <t>将主风云</t>
  </si>
  <si>
    <t>大智谋身</t>
  </si>
  <si>
    <t>猎网连环</t>
  </si>
  <si>
    <t>潜龙出渊</t>
  </si>
  <si>
    <t>博浪逐龙</t>
  </si>
  <si>
    <t>诰命讨檄</t>
  </si>
  <si>
    <t>荡海兴云</t>
  </si>
  <si>
    <t>两仪无量</t>
  </si>
  <si>
    <t>御电驰风</t>
  </si>
  <si>
    <t>无畏陷阵</t>
  </si>
  <si>
    <t>千军藏锋</t>
  </si>
  <si>
    <t>扬焰奇风</t>
  </si>
  <si>
    <t>以王罚罪</t>
  </si>
  <si>
    <t>天威不犯</t>
  </si>
  <si>
    <t>煞虎驰疆</t>
  </si>
  <si>
    <t>振威截击</t>
  </si>
  <si>
    <t>烽火龙腾</t>
  </si>
  <si>
    <t>豪胆雄师</t>
  </si>
  <si>
    <t>王朝帝军</t>
  </si>
  <si>
    <t>神机看破</t>
  </si>
  <si>
    <t>雷彻风疾</t>
  </si>
  <si>
    <t>紫</t>
  </si>
  <si>
    <t>橙</t>
  </si>
  <si>
    <t>蓝</t>
  </si>
  <si>
    <t>绿</t>
  </si>
  <si>
    <t>品质</t>
    <phoneticPr fontId="4" type="noConversion"/>
  </si>
  <si>
    <t>显示icon图集</t>
    <phoneticPr fontId="4" type="noConversion"/>
  </si>
  <si>
    <t>iconAtlas</t>
    <phoneticPr fontId="4" type="noConversion"/>
  </si>
  <si>
    <t>soldierType</t>
    <phoneticPr fontId="4" type="noConversion"/>
  </si>
  <si>
    <t>标签文本</t>
    <phoneticPr fontId="4" type="noConversion"/>
  </si>
  <si>
    <t>tagTxt</t>
    <phoneticPr fontId="4" type="noConversion"/>
  </si>
  <si>
    <t>新手</t>
    <phoneticPr fontId="4" type="noConversion"/>
  </si>
  <si>
    <t>icon_packageitem</t>
  </si>
  <si>
    <t>剑士</t>
  </si>
  <si>
    <t>勇武</t>
  </si>
  <si>
    <t>骑兵</t>
  </si>
  <si>
    <t>枪兵</t>
  </si>
  <si>
    <t>状态控制智谋弓</t>
    <phoneticPr fontId="4" type="noConversion"/>
  </si>
  <si>
    <t>暴击致胜连击骑</t>
    <phoneticPr fontId="4" type="noConversion"/>
  </si>
  <si>
    <t>稳定生存统率枪</t>
    <phoneticPr fontId="4" type="noConversion"/>
  </si>
  <si>
    <t>混合</t>
    <phoneticPr fontId="4" type="noConversion"/>
  </si>
  <si>
    <t>亚历山大</t>
    <phoneticPr fontId="4" type="noConversion"/>
  </si>
  <si>
    <t>智勇双全智谋骑</t>
    <phoneticPr fontId="4" type="noConversion"/>
  </si>
  <si>
    <t>兵扫六合决斗骑</t>
    <phoneticPr fontId="4" type="noConversion"/>
  </si>
  <si>
    <t>剑士</t>
    <phoneticPr fontId="4" type="noConversion"/>
  </si>
  <si>
    <t>枪兵</t>
    <phoneticPr fontId="4" type="noConversion"/>
  </si>
  <si>
    <t>骑兵</t>
    <phoneticPr fontId="4" type="noConversion"/>
  </si>
  <si>
    <t>弓兵</t>
    <phoneticPr fontId="4" type="noConversion"/>
  </si>
  <si>
    <t>2076|2055|2208</t>
    <phoneticPr fontId="4" type="noConversion"/>
  </si>
  <si>
    <t>新手红颜弓</t>
    <phoneticPr fontId="4" type="noConversion"/>
  </si>
  <si>
    <t>曹操</t>
    <phoneticPr fontId="4" type="noConversion"/>
  </si>
  <si>
    <t>查理曼大帝</t>
    <phoneticPr fontId="4" type="noConversion"/>
  </si>
  <si>
    <t>大流士一世</t>
    <phoneticPr fontId="4" type="noConversion"/>
  </si>
  <si>
    <t>巴巴罗萨</t>
    <phoneticPr fontId="4" type="noConversion"/>
  </si>
  <si>
    <t>织田信长</t>
    <phoneticPr fontId="4" type="noConversion"/>
  </si>
  <si>
    <t>凯撒</t>
    <phoneticPr fontId="4" type="noConversion"/>
  </si>
  <si>
    <t>花木兰</t>
    <phoneticPr fontId="4" type="noConversion"/>
  </si>
  <si>
    <t>杜加瓦蒂</t>
    <phoneticPr fontId="4" type="noConversion"/>
  </si>
  <si>
    <t>凯索</t>
    <phoneticPr fontId="4" type="noConversion"/>
  </si>
  <si>
    <t>传奇皇者真伤剑</t>
    <phoneticPr fontId="4" type="noConversion"/>
  </si>
  <si>
    <t>3017|3207</t>
    <phoneticPr fontId="4" type="noConversion"/>
  </si>
  <si>
    <t>4005|4019|4202</t>
    <phoneticPr fontId="4" type="noConversion"/>
  </si>
  <si>
    <t>腓力四世</t>
    <phoneticPr fontId="4" type="noConversion"/>
  </si>
  <si>
    <t>克里奥帕特拉</t>
    <phoneticPr fontId="4" type="noConversion"/>
  </si>
  <si>
    <t>英雄定位（策划用</t>
    <phoneticPr fontId="4" type="noConversion"/>
  </si>
  <si>
    <t>谋伤，主将增伤</t>
    <phoneticPr fontId="4" type="noConversion"/>
  </si>
  <si>
    <t>谋伤</t>
    <phoneticPr fontId="4" type="noConversion"/>
  </si>
  <si>
    <t>暴力输出谋伤剑</t>
    <phoneticPr fontId="4" type="noConversion"/>
  </si>
  <si>
    <t>5014|5004</t>
    <phoneticPr fontId="4" type="noConversion"/>
  </si>
  <si>
    <t>5062|5016|5209</t>
    <phoneticPr fontId="4" type="noConversion"/>
  </si>
  <si>
    <t>汉谟拉比</t>
    <phoneticPr fontId="4" type="noConversion"/>
  </si>
  <si>
    <t>亚瑟王</t>
    <phoneticPr fontId="4" type="noConversion"/>
  </si>
  <si>
    <t>大卫王</t>
    <phoneticPr fontId="4" type="noConversion"/>
  </si>
  <si>
    <t>攻城中坚勇武剑</t>
    <phoneticPr fontId="4" type="noConversion"/>
  </si>
  <si>
    <t>屋大维</t>
    <phoneticPr fontId="4" type="noConversion"/>
  </si>
  <si>
    <t>群战之王反击枪</t>
    <phoneticPr fontId="4" type="noConversion"/>
  </si>
  <si>
    <t>布狄卡</t>
    <phoneticPr fontId="4" type="noConversion"/>
  </si>
  <si>
    <t>查士丁尼</t>
    <phoneticPr fontId="4" type="noConversion"/>
  </si>
  <si>
    <t>阿育王</t>
    <phoneticPr fontId="4" type="noConversion"/>
  </si>
  <si>
    <t>汉尼拔</t>
    <phoneticPr fontId="4" type="noConversion"/>
  </si>
  <si>
    <t>10023|10004</t>
    <phoneticPr fontId="4" type="noConversion"/>
  </si>
  <si>
    <t>熙德</t>
    <phoneticPr fontId="4" type="noConversion"/>
  </si>
  <si>
    <t>萨拉丁</t>
    <phoneticPr fontId="4" type="noConversion"/>
  </si>
  <si>
    <t>阿提拉</t>
    <phoneticPr fontId="4" type="noConversion"/>
  </si>
  <si>
    <t>哈立德</t>
    <phoneticPr fontId="4" type="noConversion"/>
  </si>
  <si>
    <t>4032|4076</t>
    <phoneticPr fontId="4" type="noConversion"/>
  </si>
  <si>
    <t>示巴女王</t>
    <phoneticPr fontId="4" type="noConversion"/>
  </si>
  <si>
    <t>亨利五世</t>
    <phoneticPr fontId="4" type="noConversion"/>
  </si>
  <si>
    <t>亚瑟王勇武骑</t>
    <phoneticPr fontId="4" type="noConversion"/>
  </si>
  <si>
    <t>14032|14076</t>
    <phoneticPr fontId="4" type="noConversion"/>
  </si>
  <si>
    <t>技能1</t>
    <phoneticPr fontId="4" type="noConversion"/>
  </si>
  <si>
    <t>技能2</t>
    <phoneticPr fontId="4" type="noConversion"/>
  </si>
  <si>
    <t>技能名1</t>
    <phoneticPr fontId="4" type="noConversion"/>
  </si>
  <si>
    <t>技能名2</t>
  </si>
  <si>
    <t>增伤</t>
    <phoneticPr fontId="4" type="noConversion"/>
  </si>
  <si>
    <t>武伤</t>
    <phoneticPr fontId="4" type="noConversion"/>
  </si>
  <si>
    <t>指挥武伤</t>
    <phoneticPr fontId="4" type="noConversion"/>
  </si>
  <si>
    <t>阵容介绍</t>
    <phoneticPr fontId="4" type="noConversion"/>
  </si>
  <si>
    <t>阵容介绍（文本）</t>
    <phoneticPr fontId="4" type="noConversion"/>
  </si>
  <si>
    <t>群战反击枪</t>
    <phoneticPr fontId="4" type="noConversion"/>
  </si>
  <si>
    <t>开荒公主剑</t>
    <phoneticPr fontId="4" type="noConversion"/>
  </si>
  <si>
    <t>新手暴击骑</t>
    <phoneticPr fontId="4" type="noConversion"/>
  </si>
  <si>
    <t>&lt;color=#ffc766&gt;关羽&lt;/color&gt;的固有技能具备稀有的&lt;color=#ffc766&gt;暴击率&lt;/color&gt;提升效果。触发暴击时，普通攻击和可暴击技能能够造成&lt;color=#ffc766&gt;双倍伤害&lt;/color&gt;，因此，&lt;color=#ffc766&gt;致命一击&lt;/color&gt;成为了他最为关键的装配技能。&lt;color=#ffc766&gt;杜加瓦蒂&lt;/color&gt;提供的&lt;color=#ffc766&gt;连击状态&lt;/color&gt;可以大幅提升普攻和技能的触发频率，是队伍中不可或缺的辅助英雄。</t>
    <phoneticPr fontId="4" type="noConversion"/>
  </si>
  <si>
    <t>本队最大特点是全体英雄都很容易获取，但却能有不俗的作战能力。&lt;color=#ffc766&gt;汉谟拉比和大卫王围绕溃散状态进行联动&lt;/color&gt;，提升队伍的输出能力。在装配技能的选择上，可以考虑添加更多&lt;color=#ffc766&gt;施加溃散状态&lt;/color&gt;的技能，以保持以上效果的稳定触发。注意该队三名英雄均具有很高的&lt;color=#ffc766&gt;摧城属性&lt;/color&gt;，装配技能可替换成摧城技能作为攻城部队使用。</t>
    <phoneticPr fontId="4" type="noConversion"/>
  </si>
  <si>
    <t>阵容名称（文本）</t>
    <phoneticPr fontId="4" type="noConversion"/>
  </si>
  <si>
    <t>TID_TEXT_LINEUP_GUIDE_CONTENT_1</t>
    <phoneticPr fontId="4" type="noConversion"/>
  </si>
  <si>
    <t>TID_TEXT_LINEUP_GUIDE_TITLE_1</t>
    <phoneticPr fontId="4" type="noConversion"/>
  </si>
  <si>
    <t>TID_TEXT_LINEUP_GUIDE_TITLE_2</t>
  </si>
  <si>
    <t>TID_TEXT_LINEUP_GUIDE_TITLE_3</t>
  </si>
  <si>
    <t>TID_TEXT_LINEUP_GUIDE_TITLE_4</t>
  </si>
  <si>
    <t>TID_TEXT_LINEUP_GUIDE_TITLE_5</t>
  </si>
  <si>
    <t>TID_TEXT_LINEUP_GUIDE_TITLE_7</t>
  </si>
  <si>
    <t>TID_TEXT_LINEUP_GUIDE_TITLE_8</t>
  </si>
  <si>
    <t>TID_TEXT_LINEUP_GUIDE_TITLE_10</t>
  </si>
  <si>
    <t>TID_TEXT_LINEUP_GUIDE_TITLE_11</t>
  </si>
  <si>
    <t>TID_TEXT_LINEUP_GUIDE_TITLE_12</t>
  </si>
  <si>
    <t>TID_TEXT_LINEUP_GUIDE_TITLE_13</t>
  </si>
  <si>
    <t>TID_TEXT_LINEUP_GUIDE_TITLE_15</t>
  </si>
  <si>
    <t>TID_TEXT_LINEUP_GUIDE_CONTENT_4</t>
  </si>
  <si>
    <t>TID_TEXT_LINEUP_GUIDE_CONTENT_8</t>
  </si>
  <si>
    <t>名称（备注）</t>
    <phoneticPr fontId="4" type="noConversion"/>
  </si>
  <si>
    <t>TID_TEXT_LINEUP_GUIDE_TAB_2</t>
  </si>
  <si>
    <t>TID_TEXT_LINEUP_GUIDE_TAB_3</t>
  </si>
  <si>
    <t>TID_TEXT_LINEUP_GUIDE_TAB_4</t>
  </si>
  <si>
    <t>TID_TEXT_LINEUP_GUIDE_TAB_5</t>
  </si>
  <si>
    <t>TID_TEXT_LINEUP_GUIDE_TAB_1</t>
  </si>
  <si>
    <t>新手阵容</t>
    <phoneticPr fontId="4" type="noConversion"/>
  </si>
  <si>
    <t>TID_TEXT_LINEUP_GUIDE_CONTENT_3</t>
    <phoneticPr fontId="4" type="noConversion"/>
  </si>
  <si>
    <t>2036|2055|2208</t>
    <phoneticPr fontId="4" type="noConversion"/>
  </si>
  <si>
    <t>2009|2036</t>
    <phoneticPr fontId="4" type="noConversion"/>
  </si>
  <si>
    <t>TID_TEXT_LINEUP_GUIDE_CONTENT_2</t>
    <phoneticPr fontId="4" type="noConversion"/>
  </si>
  <si>
    <t>贝利薇</t>
    <phoneticPr fontId="4" type="noConversion"/>
  </si>
  <si>
    <t>贞德</t>
    <phoneticPr fontId="4" type="noConversion"/>
  </si>
  <si>
    <t>.</t>
    <phoneticPr fontId="4" type="noConversion"/>
  </si>
  <si>
    <t>&lt;color=#ffc766&gt;杜加瓦蒂&lt;/color&gt;固有技能提供的&lt;color=#ffc766&gt;连击&lt;/color&gt;效果，能极大的提升花木兰的输出效率。注意装配技能多选择追击技能，力争输出最大化。队伍的第三名英雄可选择&lt;color=#ffc766&gt;大卫王&lt;/color&gt;，进一步提升&lt;color=#ffc766&gt;花木兰&lt;/color&gt;的输出能力；也可选择&lt;color=#ffc766&gt;约瑟芬&lt;/color&gt;，提升队伍的综合能力。</t>
    <phoneticPr fontId="4" type="noConversion"/>
  </si>
  <si>
    <t>约瑟芬</t>
    <phoneticPr fontId="4" type="noConversion"/>
  </si>
  <si>
    <t>冲锋的极意</t>
    <phoneticPr fontId="4" type="noConversion"/>
  </si>
  <si>
    <t>弱点进攻</t>
    <phoneticPr fontId="4" type="noConversion"/>
  </si>
  <si>
    <t>TID_TEXT_LINEUP_GUIDE_CONTENT_12_1</t>
    <phoneticPr fontId="4" type="noConversion"/>
  </si>
  <si>
    <t>新手统率剑</t>
    <phoneticPr fontId="4" type="noConversion"/>
  </si>
  <si>
    <t>TID_TEXT_LINEUP_GUIDE_TITLE_6</t>
    <phoneticPr fontId="4" type="noConversion"/>
  </si>
  <si>
    <t>&lt;color=#ffc766&gt;凯撒&lt;/color&gt;和&lt;color=#ffc766&gt;织田信长&lt;/color&gt;的固有技均为指挥技能，具有稳定的输出能力，适合新手前期使用。另一名副将可选择&lt;color=#ffc766&gt;李道玄&lt;/color&gt;，组成完整的统率剑队伍。由于前期风格加成还未解锁，也可选择&lt;color=#ffc766&gt;约瑟芬&lt;/color&gt;、&lt;color=#ffc766&gt;克里奥帕特拉&lt;/color&gt;、&lt;color=#ffc766&gt;哈拉尔&lt;/color&gt;等其他风格中个体能力更强的剑士英雄。</t>
    <phoneticPr fontId="4" type="noConversion"/>
  </si>
  <si>
    <t>TID_TEXT_LINEUP_GUIDE_CONTENT_6_1</t>
    <phoneticPr fontId="4" type="noConversion"/>
  </si>
  <si>
    <t>6002|2036</t>
    <phoneticPr fontId="4" type="noConversion"/>
  </si>
  <si>
    <t>6201|5004|1056</t>
    <phoneticPr fontId="4" type="noConversion"/>
  </si>
  <si>
    <t>TID_TEXT_LINEUP_GUIDE_CONTENT_9_1</t>
    <phoneticPr fontId="4" type="noConversion"/>
  </si>
  <si>
    <t>TID_TEXT_LINEUP_GUIDE_TITLE_9_1</t>
    <phoneticPr fontId="4" type="noConversion"/>
  </si>
  <si>
    <t>3001|3019|3207</t>
    <phoneticPr fontId="4" type="noConversion"/>
  </si>
  <si>
    <t>3017|3019|3207</t>
    <phoneticPr fontId="4" type="noConversion"/>
  </si>
  <si>
    <t>TID_TEXT_LINEUP_GUIDE_CONTENT_10_1</t>
    <phoneticPr fontId="4" type="noConversion"/>
  </si>
  <si>
    <t>TID_TEXT_LINEUP_GUIDE_CONTENT_11_1</t>
    <phoneticPr fontId="4" type="noConversion"/>
  </si>
  <si>
    <t>TID_TEXT_LINEUP_GUIDE_CONTENT_5_1</t>
    <phoneticPr fontId="4" type="noConversion"/>
  </si>
  <si>
    <t>5016|5004|5205</t>
    <phoneticPr fontId="4" type="noConversion"/>
  </si>
  <si>
    <t>在&lt;color=#ffc766&gt;兵圣状态&lt;/color&gt;中，&lt;color=#ffc766&gt;孙武&lt;/color&gt;能够额外造成一次高额伤害。频繁触发固有技能并保持兵圣状态是这个阵容的核心策略。&lt;color=#ffc766&gt;腓力四世&lt;/color&gt;可强化队伍的输出能力，&lt;color=#ffc766&gt;狄奥多拉&lt;/color&gt;则兼具续航和增伤，队伍的第三人可根据英雄拥有情况灵活选择。</t>
    <phoneticPr fontId="4" type="noConversion"/>
  </si>
  <si>
    <t>TID_TEXT_LINEUP_GUIDE_CONTENT_7_1</t>
    <phoneticPr fontId="4" type="noConversion"/>
  </si>
  <si>
    <t>李舜臣</t>
    <phoneticPr fontId="4" type="noConversion"/>
  </si>
  <si>
    <t>慈悲终结</t>
    <phoneticPr fontId="4" type="noConversion"/>
  </si>
  <si>
    <t>怒火猛攻</t>
    <phoneticPr fontId="4" type="noConversion"/>
  </si>
  <si>
    <t>泰山压顶</t>
    <phoneticPr fontId="4" type="noConversion"/>
  </si>
  <si>
    <t>哈特舍普苏特</t>
    <phoneticPr fontId="4" type="noConversion"/>
  </si>
  <si>
    <t>善德女王</t>
    <phoneticPr fontId="4" type="noConversion"/>
  </si>
  <si>
    <t>苏莱曼一世</t>
    <phoneticPr fontId="4" type="noConversion"/>
  </si>
  <si>
    <t>13092|13020</t>
  </si>
  <si>
    <t>13062|13092|13212</t>
  </si>
  <si>
    <t>TID_TEXT_LINEUP_GUIDE_CONTENT_15</t>
    <phoneticPr fontId="4" type="noConversion"/>
  </si>
  <si>
    <t>&lt;color=#ffc766&gt;苏莱曼一世&lt;/color&gt;攻击处于&lt;color=#ffc766&gt;异常状态&lt;/color&gt;中的敌人时，能产生额外效果，如攻击&lt;color=#ffc766&gt;燃烧状态&lt;/color&gt;的敌人，能额外造成一次高额伤害。善德女王能为敌军施加&lt;color=#ffc766&gt;沉默状态&lt;/color&gt;，与苏莱曼一世形成联动的同时，还能有效遏制以主动技能为主要输出手段的敌人。该队的装配技能尽量选择能附加燃烧状态的技能，以最大化苏莱曼一世的输出能力。需要注意的是，因为集结战斗中部队会不断切换目标，无法稳定的攻击燃烧状态中的敌军，会导致固有技能的输出效果降低。</t>
    <phoneticPr fontId="4" type="noConversion"/>
  </si>
  <si>
    <t>宫本武藏</t>
    <phoneticPr fontId="4" type="noConversion"/>
  </si>
  <si>
    <t>TID_TEXT_LINEUP_GUIDE_TITLE_17</t>
    <phoneticPr fontId="4" type="noConversion"/>
  </si>
  <si>
    <t>TID_TEXT_LINEUP_GUIDE_TITLE_16</t>
    <phoneticPr fontId="4" type="noConversion"/>
  </si>
  <si>
    <t>剑豪勇武剑</t>
    <phoneticPr fontId="4" type="noConversion"/>
  </si>
  <si>
    <t>TID_TEXT_LINEUP_GUIDE_CONTENT_17</t>
    <phoneticPr fontId="4" type="noConversion"/>
  </si>
  <si>
    <t>13093|13020</t>
    <phoneticPr fontId="4" type="noConversion"/>
  </si>
  <si>
    <t>列奥尼达一世</t>
    <phoneticPr fontId="4" type="noConversion"/>
  </si>
  <si>
    <t>风卷残云</t>
    <phoneticPr fontId="4" type="noConversion"/>
  </si>
  <si>
    <t>3013|3001|3019</t>
    <phoneticPr fontId="4" type="noConversion"/>
  </si>
  <si>
    <t>反击技能在&lt;color=#ffc766&gt;面对大量敌人同时进攻时&lt;/color&gt;，触发频率将提高，配合&lt;color=#ffc766&gt;巴巴罗萨&lt;/color&gt;出色的减伤能力，很适合在战斗中用来承受伤害，并通过反击技能进行输出。该队伍中&lt;color=#ffc766&gt;列奥尼达一世&lt;/color&gt;和&lt;color=#ffc766&gt;贞德&lt;/color&gt;的固有技能均为反击技能，且较容易获取，适合新手适用。</t>
    <phoneticPr fontId="4" type="noConversion"/>
  </si>
  <si>
    <t>4056|4019|4215</t>
    <phoneticPr fontId="4" type="noConversion"/>
  </si>
  <si>
    <t>4076|4202|4215</t>
    <phoneticPr fontId="4" type="noConversion"/>
  </si>
  <si>
    <t>君士坦丁大帝</t>
    <phoneticPr fontId="4" type="noConversion"/>
  </si>
  <si>
    <t>恩泽庇护</t>
    <phoneticPr fontId="4" type="noConversion"/>
  </si>
  <si>
    <t>百战之体</t>
    <phoneticPr fontId="4" type="noConversion"/>
  </si>
  <si>
    <t>7008|7055|7056</t>
    <phoneticPr fontId="4" type="noConversion"/>
  </si>
  <si>
    <t>&lt;color=#ffc766&gt;宫本武藏&lt;/color&gt;自身具有较高的伤害，还能帮助队伍中武力最高的一名其他英雄额外发动固有主动技能，是主动体系队伍的强力主将。&lt;color=#ffc766&gt;君士坦丁大帝&lt;/color&gt;能提供极强的续航能力，与宫本武藏形成良好的配合。另一名副将选择&lt;color=#ffc766&gt;汉谟拉比&lt;/color&gt;进一步强化宫本武藏的输出能力。由于君士坦丁大帝的获取难度较高，也可选择&lt;color=#ffc766&gt;大卫王&lt;/color&gt;，与汉谟拉比基于&lt;color=#ffc766&gt;溃散&lt;/color&gt;状态形成联动，提供极强的团队输出强化能力。</t>
    <phoneticPr fontId="4" type="noConversion"/>
  </si>
  <si>
    <t>70911|1036</t>
    <phoneticPr fontId="4" type="noConversion"/>
  </si>
  <si>
    <t>&lt;color=#ffc766&gt;亚瑟王&lt;/color&gt;每两次触发固有技能后能进入&lt;color=#ffc766&gt;祝福状态&lt;/color&gt;，此时攻击能&lt;color=#ffc766&gt;忽略敌军防御&lt;/color&gt;，造成惊人伤害。&lt;color=#ffc766&gt;宫本武藏&lt;/color&gt;自身输出能力很强，还能帮助亚瑟王更多地发动固有技能（需亚瑟王武力最高），是亚瑟王的最佳搭配之一。最后一名副将选择&lt;color=#ffc766&gt;君士坦丁大帝&lt;/color&gt;，为队伍提供强大的续航辅助。该队伍输出和续航兼顾，具有非常强大的作战能力。</t>
    <phoneticPr fontId="4" type="noConversion"/>
  </si>
  <si>
    <t>3042|3013|3001</t>
    <phoneticPr fontId="4" type="noConversion"/>
  </si>
  <si>
    <t>&lt;color=#ffc766&gt;理查一世&lt;/color&gt;具有极高的武力属性，以及强大的反击能力，并且主将技能附加减速效果，能黏住敌人持续输出。&lt;color=#ffc766&gt;列奥尼达一世&lt;/color&gt;获取难度不高，但输出能力不俗。&lt;color=#ffc766&gt;巴巴罗萨&lt;/color&gt;是队伍持续输出的续航支柱，当血量降低时，续航能力逐渐变强！此外，获取难度更低的&lt;color=#ffc766&gt;贞德&lt;/color&gt;和&lt;color=#ffc766&gt;大流士一世&lt;/color&gt;也可作为副将备选，进一步提升队伍输出效率。</t>
    <phoneticPr fontId="4" type="noConversion"/>
  </si>
  <si>
    <t>4005|4019</t>
    <phoneticPr fontId="4" type="noConversion"/>
  </si>
  <si>
    <t>4056|4019</t>
    <phoneticPr fontId="4" type="noConversion"/>
  </si>
  <si>
    <t>相比&lt;color=#ffc766&gt;杜加瓦蒂&lt;/color&gt;，&lt;color=#ffc766&gt;阿提拉&lt;/color&gt;能为&lt;color=#ffc766&gt;全队&lt;/color&gt;附加连击效果，配合提升暴击率的技能，能使整个队伍具有更强的爆发输出能力。&lt;color=#ffc766&gt;关羽&lt;/color&gt;仍是队伍的核心输出英雄，另一名英雄选择&lt;color=#ffc766&gt;哈拉尔&lt;/color&gt;，能进一步提升关羽的输出能力。也可选择&lt;color=#ffc766&gt;大流士一世&lt;/color&gt;，装配技能选择追击技能，配合其固有技能带来的&lt;color=#ffc766&gt;忽视防御&lt;/color&gt;效果，以及阿提拉附加的连击效果，组成双核输出队伍。该队是讲究极致输出，但防御能力稍弱的队伍。</t>
    <phoneticPr fontId="4" type="noConversion"/>
  </si>
  <si>
    <t>TID_TEXT_LINEUP_GUIDE_CONTENT_13</t>
    <phoneticPr fontId="4" type="noConversion"/>
  </si>
  <si>
    <t>备注</t>
    <phoneticPr fontId="4" type="noConversion"/>
  </si>
  <si>
    <t>关羽队辅助</t>
    <phoneticPr fontId="4" type="noConversion"/>
  </si>
  <si>
    <t>汉尼拔、熙德队辅助</t>
    <phoneticPr fontId="4" type="noConversion"/>
  </si>
  <si>
    <t>亚瑟辅助</t>
    <phoneticPr fontId="4" type="noConversion"/>
  </si>
  <si>
    <t>自己做主将</t>
    <phoneticPr fontId="4" type="noConversion"/>
  </si>
  <si>
    <t>战争祝福</t>
    <phoneticPr fontId="4" type="noConversion"/>
  </si>
  <si>
    <t>10010|10004|10210</t>
    <phoneticPr fontId="4" type="noConversion"/>
  </si>
  <si>
    <t>40321|10004|10210</t>
    <phoneticPr fontId="4" type="noConversion"/>
  </si>
  <si>
    <t>11063|9064|11206</t>
    <phoneticPr fontId="4" type="noConversion"/>
  </si>
  <si>
    <t>9064|40321|11206</t>
    <phoneticPr fontId="4" type="noConversion"/>
  </si>
  <si>
    <t>连击</t>
    <phoneticPr fontId="4" type="noConversion"/>
  </si>
  <si>
    <t>胜利怒吼</t>
    <phoneticPr fontId="4" type="noConversion"/>
  </si>
  <si>
    <t>&lt;color=#ffc766&gt;汉尼拔&lt;/color&gt;的固有技能能够&lt;color=#ffc766&gt;削弱敌军主将&lt;/color&gt;的谋略和防御属性，搭配&lt;color=#ffc766&gt;压迫之袭&lt;/color&gt;可实现全属性削弱。当&lt;color=#ffc766&gt;主将技能&lt;/color&gt;触发时，汉尼拔能够获得敌军主将被削弱的部分属性，从而在一段时间内产生爆发伤害。&lt;color=#ffc766&gt;查士丁尼一世&lt;/color&gt;能在我军英雄触发追击技能时提供回复和减伤效果，与汉尼拔形成很好的联动。&lt;color=#ffc766&gt;阿提拉&lt;/color&gt;提供的全体英雄连击效果非常适配该套体系，虽然风格不符，但仍是该队伍最好的辅助选择。注意选择阿提拉后，汉尼拔的&lt;color=#ffc766&gt;连击&lt;/color&gt;技能可换为&lt;color=#ffc766&gt;战术冲锋&lt;/color&gt;。</t>
    <phoneticPr fontId="4" type="noConversion"/>
  </si>
  <si>
    <t>&lt;color=#ffc766&gt;熙德&lt;/color&gt;能对处于&lt;color=#ffc766&gt;减速状态&lt;/color&gt;的敌人造成额外伤害，因此野战是该阵容的强项。熙德的主将技会对攻击目标附加减速状态，因此装配技能需要选择&lt;color=#ffc766&gt;胜利怒吼&lt;/color&gt;以提升队伍的怒气回复速率。副将&lt;color=#ffc766&gt;哈立德&lt;/color&gt;能提升队伍的输出能力，而&lt;color=#ffc766&gt;示巴女王&lt;/color&gt;则能为队伍带来更强的续航能力。也可选择&lt;color=#ffc766&gt;阿提拉&lt;/color&gt;替换示巴女王，损失风格加成，换来全队连击效果，追求更极致的输出能力（注意此时熙德的&lt;color=#ffc766&gt;连击&lt;/color&gt;技能可换为&lt;color=#ffc766&gt;弱点进攻&lt;/color&gt;）。</t>
    <phoneticPr fontId="4" type="noConversion"/>
  </si>
  <si>
    <t>饥渴之刃</t>
    <phoneticPr fontId="4" type="noConversion"/>
  </si>
  <si>
    <t>14056|14019</t>
    <phoneticPr fontId="4" type="noConversion"/>
  </si>
  <si>
    <t>以&lt;color=#ffc766&gt;亚瑟王&lt;/color&gt;为输出核心的骑兵队伍。亚瑟王在&lt;color=#ffc766&gt;祝福状态&lt;/color&gt;下能无视敌方防御，伤害极高，装备追击技能时能与&lt;color=#ffc766&gt;阿提拉&lt;/color&gt;固有技能提供的&lt;color=#ffc766&gt;连击效果&lt;/color&gt;形成联动，使输出效率最大化。副将选择&lt;color=#ffc766&gt;哈拉尔&lt;/color&gt;能更好地辅助亚瑟王进行输出，而选择&lt;color=#ffc766&gt;大流士一世&lt;/color&gt;则能带来更强的输出能力。</t>
    <phoneticPr fontId="4" type="noConversion"/>
  </si>
  <si>
    <t>TID_TEXT_LINEUP_GUIDE_CONTENT_16</t>
    <phoneticPr fontId="4" type="noConversion"/>
  </si>
  <si>
    <t>正义裁决</t>
    <phoneticPr fontId="4" type="noConversion"/>
  </si>
  <si>
    <t>1056|1211</t>
    <phoneticPr fontId="4" type="noConversion"/>
  </si>
  <si>
    <t>1055|1211</t>
    <phoneticPr fontId="4" type="noConversion"/>
  </si>
  <si>
    <t>先登破城</t>
  </si>
  <si>
    <t>先登破城</t>
    <phoneticPr fontId="4" type="noConversion"/>
  </si>
  <si>
    <t>攻城略地</t>
  </si>
  <si>
    <t>无畏先登</t>
  </si>
  <si>
    <t>盈车嘉穗</t>
  </si>
  <si>
    <t>辎重运输</t>
  </si>
  <si>
    <t>退亦有章</t>
  </si>
  <si>
    <t>攻城略地</t>
    <phoneticPr fontId="4" type="noConversion"/>
  </si>
  <si>
    <t>无畏先登</t>
    <phoneticPr fontId="4" type="noConversion"/>
  </si>
  <si>
    <t>木兰连击弓</t>
    <phoneticPr fontId="4" type="noConversion"/>
  </si>
  <si>
    <t>TID_TEXT_LINEUP_GUIDE_TITLE_18</t>
    <phoneticPr fontId="4" type="noConversion"/>
  </si>
  <si>
    <t>持久战</t>
    <phoneticPr fontId="4" type="noConversion"/>
  </si>
  <si>
    <t>TID_TEXT_LINEUP_GUIDE_CONTENT_18</t>
    <phoneticPr fontId="4" type="noConversion"/>
  </si>
  <si>
    <t>2009|20361</t>
    <phoneticPr fontId="4" type="noConversion"/>
  </si>
  <si>
    <t>20361|2055</t>
    <phoneticPr fontId="4" type="noConversion"/>
  </si>
  <si>
    <t>2032|2076</t>
    <phoneticPr fontId="4" type="noConversion"/>
  </si>
  <si>
    <t>该队的核心是&lt;color=#ffc766&gt;阿提拉&lt;/color&gt;，其为我军全体英雄附加的&lt;color=#ffc766&gt;连击&lt;/color&gt;效果，能极大地提升&lt;color=#ffc766&gt;花木兰&lt;/color&gt;和&lt;color=#ffc766&gt;约瑟芬&lt;/color&gt;的输出能力！注意此时英雄的装配技能要尽量选择追击技能。副将位置也可用&lt;color=#ffc766&gt;大卫王&lt;/color&gt;替换&lt;color=#ffc766&gt;约瑟芬&lt;/color&gt;，大卫王虽然不是追击体系，但能强化花木兰的输出效果，形成以主将为核心输出的队伍构筑。</t>
    <phoneticPr fontId="4" type="noConversion"/>
  </si>
  <si>
    <t>不屈反击</t>
    <phoneticPr fontId="4" type="noConversion"/>
  </si>
  <si>
    <t>反戈一击</t>
    <phoneticPr fontId="4" type="noConversion"/>
  </si>
  <si>
    <t>苦肉</t>
    <phoneticPr fontId="4" type="noConversion"/>
  </si>
  <si>
    <t>怒涛之击</t>
    <phoneticPr fontId="4" type="noConversion"/>
  </si>
  <si>
    <t>撕裂</t>
    <phoneticPr fontId="4" type="noConversion"/>
  </si>
  <si>
    <t>制伏</t>
    <phoneticPr fontId="4" type="noConversion"/>
  </si>
  <si>
    <t>unlockDesc</t>
    <phoneticPr fontId="4" type="noConversion"/>
  </si>
  <si>
    <t>玺戒id</t>
    <phoneticPr fontId="4" type="noConversion"/>
  </si>
  <si>
    <t>equipId</t>
    <phoneticPr fontId="4" type="noConversion"/>
  </si>
  <si>
    <t>玺戒解锁后的阵容介绍</t>
    <phoneticPr fontId="4" type="noConversion"/>
  </si>
  <si>
    <t>玺戒解锁后的阵容介绍（文本）</t>
    <phoneticPr fontId="4" type="noConversion"/>
  </si>
  <si>
    <t>入阵曲</t>
    <phoneticPr fontId="4" type="noConversion"/>
  </si>
  <si>
    <t>激昂</t>
    <phoneticPr fontId="4" type="noConversion"/>
  </si>
  <si>
    <t>雷欧</t>
    <phoneticPr fontId="4" type="noConversion"/>
  </si>
  <si>
    <t>固本</t>
    <phoneticPr fontId="4" type="noConversion"/>
  </si>
  <si>
    <t>泰尼乌斯</t>
    <phoneticPr fontId="4" type="noConversion"/>
  </si>
  <si>
    <t>列阵御敌</t>
    <phoneticPr fontId="4" type="noConversion"/>
  </si>
  <si>
    <t>变阵</t>
    <phoneticPr fontId="4" type="noConversion"/>
  </si>
  <si>
    <t>9034|9213</t>
    <phoneticPr fontId="4" type="noConversion"/>
  </si>
  <si>
    <t>9064|9203</t>
    <phoneticPr fontId="4" type="noConversion"/>
  </si>
  <si>
    <t>统率枪阵容以&lt;color=#ffc766&gt;指挥技能&lt;/color&gt;为主要的输出和治疗手段，&lt;color=#ffc766&gt;稳定性&lt;/color&gt;是其最大特点。&lt;color=#ffc766&gt;屋大维&lt;/color&gt;在每次我军触发一定次数固有指挥技能后，能提供额外的增伤效果，是该队伍的核心英雄。&lt;color=#ffc766&gt;凯撒&lt;/color&gt;和&lt;color=#ffc766&gt;示巴女王&lt;/color&gt;每隔9秒可各造成一次伤害和回复效果，具有稳定的作战能力。</t>
    <phoneticPr fontId="4" type="noConversion"/>
  </si>
  <si>
    <t>&lt;color=#ffc766&gt;哈拉尔&lt;/color&gt;可提升我军主将&lt;color=#ffc766&gt;主动&lt;/color&gt;和&lt;color=#ffc766&gt;追击&lt;/color&gt;装配技能的伤害，&lt;color=#ffc766&gt;约瑟芬&lt;/color&gt;装备&lt;color=#ffc766&gt;追击&lt;/color&gt;技能可享受&lt;color=#ffc766&gt;哈拉尔&lt;/color&gt;的增伤效果，同时&lt;color=#ffc766&gt;连击&lt;/color&gt;技能可进一步提升约瑟芬固有和装配追击技能的输出效率。该队伍的英雄均容易获取，适合新手使用。</t>
    <phoneticPr fontId="4" type="noConversion"/>
  </si>
  <si>
    <t>永燃之翼</t>
  </si>
  <si>
    <t>圣选贤哲</t>
  </si>
  <si>
    <t>毁灭信使</t>
  </si>
  <si>
    <t>天行骑士</t>
  </si>
  <si>
    <t>东天尊主</t>
  </si>
  <si>
    <t>闪耀守卫</t>
  </si>
  <si>
    <t>苍蓝之月</t>
  </si>
  <si>
    <t>赤金之日</t>
  </si>
  <si>
    <t>不动之山</t>
  </si>
  <si>
    <t>灼热之火</t>
  </si>
  <si>
    <t>静谧之水</t>
  </si>
  <si>
    <t>暴熊之戒</t>
  </si>
  <si>
    <t>石犀之戒</t>
  </si>
  <si>
    <t>乌鸦之戒</t>
  </si>
  <si>
    <t>海马之戒</t>
  </si>
  <si>
    <t>狂鲨之戒</t>
  </si>
  <si>
    <t>灵獾之戒</t>
  </si>
  <si>
    <t>巨象之戒</t>
  </si>
  <si>
    <t>怒狮之戒</t>
  </si>
  <si>
    <t>黑蛇之戒</t>
  </si>
  <si>
    <t>迅鹿之戒</t>
  </si>
  <si>
    <t>天鹰之戒</t>
  </si>
  <si>
    <t>夜狼之戒</t>
  </si>
  <si>
    <t>野猪之戒</t>
  </si>
  <si>
    <t>郁金香之戒</t>
  </si>
  <si>
    <t>雏菊之戒</t>
  </si>
  <si>
    <t>鸢尾花之戒</t>
  </si>
  <si>
    <t>玫瑰之戒</t>
  </si>
  <si>
    <t>三叶草之戒</t>
  </si>
  <si>
    <t>风信子之戒</t>
  </si>
  <si>
    <t>铃兰之戒</t>
  </si>
  <si>
    <t>月桂之戒</t>
  </si>
  <si>
    <t>紫罗兰之戒</t>
  </si>
  <si>
    <t>向日葵之戒</t>
  </si>
  <si>
    <t>天灾暴君</t>
  </si>
  <si>
    <t>慈悲主宰</t>
  </si>
  <si>
    <t>遮天之云</t>
  </si>
  <si>
    <t>装备名称</t>
  </si>
  <si>
    <t>装备品级</t>
  </si>
  <si>
    <t>附带技能ID</t>
    <phoneticPr fontId="16" type="noConversion"/>
  </si>
  <si>
    <t>附带技能名称</t>
  </si>
  <si>
    <t>全满技能效果</t>
    <phoneticPr fontId="16" type="noConversion"/>
  </si>
  <si>
    <t>投放途径</t>
  </si>
  <si>
    <t>橙+</t>
  </si>
  <si>
    <t>每9秒对敌军附加燃烧效果，每秒造成谋略伤害（伤害率：12%，谋略加成），同时使其受到的谋略伤害提升2.5%（谋略加成），持续9秒。释放技能时有15%+3%*星级概率额外附加沉默效果（无法使用主将技和主动技能），持续3秒。</t>
    <phoneticPr fontId="16" type="noConversion"/>
  </si>
  <si>
    <t>每9秒对敌军附加燃烧效果，每秒造成谋略伤害（伤害率：12%，谋略加成），同时使其受到的谋略伤害提升2.5%（谋略加成），持续9秒。释放技能时有30%概率额外附加沉默效果（无法使用主将技和主动技能），持续3秒。</t>
    <phoneticPr fontId="16" type="noConversion"/>
  </si>
  <si>
    <t>商城投放</t>
  </si>
  <si>
    <t>我军全体英雄无法使用主动技能（无法被净化），造成指挥技能伤害提升35%+2%*星级</t>
  </si>
  <si>
    <t>我军全体英雄无法使用主动技能（无法被净化），造成指挥技能伤害提升55%，指挥技能治疗效果提升55%</t>
    <phoneticPr fontId="16" type="noConversion"/>
  </si>
  <si>
    <t>我军受到伤害提升10%（无法被净化），造成主将技伤害提升115%+8%*星级</t>
  </si>
  <si>
    <t>我军受到伤害提升10%（无法被净化），造成主将技伤害提升130%</t>
    <phoneticPr fontId="16" type="noConversion"/>
  </si>
  <si>
    <t>我军发动主将后，提升30%+2%*星级怒气，使我军全体英雄进入虚弱状态（无法被净化），持续3秒</t>
  </si>
  <si>
    <t>我军发动主将后，提升37%怒气，使我军全体英雄进入虚弱状态（无法被净化），持续3秒</t>
    <phoneticPr fontId="16" type="noConversion"/>
  </si>
  <si>
    <t>我军全体英雄造成普通攻击伤害降低10%（无法被净化），造成被动技能伤害提升24%+1.2%*星级</t>
    <phoneticPr fontId="16" type="noConversion"/>
  </si>
  <si>
    <t>我军全体英雄造成普通攻击伤害降低20%（无法被净化），造成被动技能伤害提升45%</t>
    <phoneticPr fontId="16" type="noConversion"/>
  </si>
  <si>
    <t>我军副将造成伤害降低15%（无法被净化），我军主将自带主动技能发动概率提升5%+1%*星级（不受属性加成），造成伤害提升20%（谋略加成）</t>
  </si>
  <si>
    <t>我军副将造成伤害降低15%（无法被净化），我军主将造成的伤害提高18%（谋略加成），同时固有主动技能发动概率提升8%</t>
    <phoneticPr fontId="16" type="noConversion"/>
  </si>
  <si>
    <t>胜利军规</t>
    <phoneticPr fontId="16" type="noConversion"/>
  </si>
  <si>
    <t>我军全体英雄造成主动技能伤害降低25%（无法被净化），造成普通攻击伤害提高45%+2%*星级</t>
  </si>
  <si>
    <t>我军全体英雄造成主动技能伤害降低25%（无法被净化），造成普通攻击伤害提高74%</t>
    <phoneticPr fontId="16" type="noConversion"/>
  </si>
  <si>
    <t>每隔6秒，自身进入连击状态，且追击技能发动概率提升4%+1.2%*星级，持续3秒</t>
  </si>
  <si>
    <t>每隔6秒，自身进入连击状态，且追击技能发动概率提升10%，持续3秒</t>
    <phoneticPr fontId="16" type="noConversion"/>
  </si>
  <si>
    <t>进入准备状态，3秒后对敌军造成高额谋略伤害（伤害率390%，谋略加成），释放概率20%+1%*星级</t>
  </si>
  <si>
    <t>进入准备状态，3秒后对敌军造成高额谋略伤害（伤害率325%，谋略加成），释放概率25%</t>
    <phoneticPr fontId="16" type="noConversion"/>
  </si>
  <si>
    <t>进入准备状态，3秒后对敌军造成高额武力伤害（伤害率270%，武力加成），释放概率24%+1.2%*星级</t>
  </si>
  <si>
    <t>进入准备状态，3秒后对敌军造成高额武力伤害（伤害率270%，武力加成），释放概率30%</t>
    <phoneticPr fontId="16" type="noConversion"/>
  </si>
  <si>
    <t>进入战斗前18秒，降低我军受到武力伤害8%+0.4%*星级（守备加成）；18秒后，我军全体造成伤害提升8%+0.4%*星级（谋略加成）</t>
  </si>
  <si>
    <t>进入战斗前18秒，降低我军受到武力伤害10%；18秒后，我军全体造成伤害提升10%（谋略加成）</t>
    <phoneticPr fontId="16" type="noConversion"/>
  </si>
  <si>
    <t>释放主将技后，我军全体获得伤害提升12%+0.6%*星级效果，持续9秒</t>
  </si>
  <si>
    <t>我军主将释放主将技后，我军全体英雄武力伤害提升15%，持续9秒。</t>
    <phoneticPr fontId="16" type="noConversion"/>
  </si>
  <si>
    <t>进入战斗前18秒，我军受到伤害降低28%+1.4%*星级</t>
  </si>
  <si>
    <t>进入战斗前18秒，我军受到伤害降低35%</t>
    <phoneticPr fontId="16" type="noConversion"/>
  </si>
  <si>
    <t>进入准备状态，3秒后对目标造成武力伤害（伤害率280%，武力加成），同时有50%概率清除敌军的属性强化效果（清除战斗中临时效果），释放概率20%+1.4%*星级</t>
  </si>
  <si>
    <t>进入准备状态，3秒后对目标造成武力伤害（伤害率280%，武力加成），同时有50%概率清除敌军的属性强化效果（清除战斗中临时效果），释放概率27%</t>
    <phoneticPr fontId="16" type="noConversion"/>
  </si>
  <si>
    <t>降低全军守备20，提高主将武力80+3*星级</t>
  </si>
  <si>
    <t>降低全军守备20，提高主将武力95</t>
    <phoneticPr fontId="16" type="noConversion"/>
  </si>
  <si>
    <t>攻城时可发动，对城防造成200+12.5*星级点伤害（摧城加成）</t>
  </si>
  <si>
    <t>攻城时可发动，对城防造成525点伤害（摧城加成）</t>
    <phoneticPr fontId="16" type="noConversion"/>
  </si>
  <si>
    <t>偷取敌军主将24+1.5*星级点武力、谋略、守备（谋略加成），持续3秒</t>
  </si>
  <si>
    <t>偷取敌军主将44点武力、谋略、守备（谋略加成），持续3秒</t>
    <phoneticPr fontId="16" type="noConversion"/>
  </si>
  <si>
    <t>我军受到超过1%最大兵力的单次谋略伤害后，使我军受到谋略伤害降低12%+0.75%*星级，持续6秒</t>
  </si>
  <si>
    <t>我军受到超过1%最大兵力的单次谋略伤害后，使我军受到谋略伤害降低15.75%，持续6秒</t>
    <phoneticPr fontId="16" type="noConversion"/>
  </si>
  <si>
    <t>我军全体英雄每次普通攻击命中，降低目标0.8%+0.05%*星级受到恢复效果，最多叠加50层</t>
  </si>
  <si>
    <t>我军全体英雄每次普通攻击命中，降低目标1.05%受到恢复效果，最多叠加50层</t>
    <phoneticPr fontId="16" type="noConversion"/>
  </si>
  <si>
    <t>进入战斗后前18秒，我军受到普通攻击伤害和追击技能伤害降低24%+1.5%*星级</t>
  </si>
  <si>
    <t>进入战斗后前18秒，我军受到普通攻击伤害和追击技能伤害降低31.5%</t>
    <phoneticPr fontId="16" type="noConversion"/>
  </si>
  <si>
    <t>提升自身80+5*星级点摧城</t>
  </si>
  <si>
    <t>提升自身105点摧城</t>
    <phoneticPr fontId="16" type="noConversion"/>
  </si>
  <si>
    <t>提升自身40+2.5*星级点武力、谋略、守备</t>
    <phoneticPr fontId="16" type="noConversion"/>
  </si>
  <si>
    <t>提升自身52.5点武力、谋略、守备</t>
    <phoneticPr fontId="16" type="noConversion"/>
  </si>
  <si>
    <t>提升自身40+2.5*星级点谋略（武力加成）</t>
    <phoneticPr fontId="16" type="noConversion"/>
  </si>
  <si>
    <t>提升自身52.5点谋略（武力加成）</t>
    <phoneticPr fontId="16" type="noConversion"/>
  </si>
  <si>
    <t>使敌军一名随机英雄造成伤害降低15%+1%*星级，我军一名随机英雄造成的伤害提升15%+1%*星级</t>
  </si>
  <si>
    <t>使敌军一名随机英雄造成伤害降低20%，我军一名随机英雄造成的伤害提升20%</t>
    <phoneticPr fontId="16" type="noConversion"/>
  </si>
  <si>
    <t>每9秒一次，随机获得以下效果之一：1）回复我军兵力（290%+15%*星级）兵力；2） 降低我军受到的伤害24%+2%*星级，持续3秒</t>
  </si>
  <si>
    <t>每9秒一次，随机获得以下效果之一：1）回复我军兵力（365%兵力；2） 降低我军受到的伤害34%，持续3秒</t>
    <phoneticPr fontId="16" type="noConversion"/>
  </si>
  <si>
    <t>我军每进行9次普攻，提高我军全体英雄普攻和追击技能造成的伤害20%+1.25%*星级（武力加成），同时降低我军全体英雄守备30点，持续3秒</t>
  </si>
  <si>
    <t>我军每进行9次普攻，提高我军全体英雄普攻和追击技能造成的伤害26.25%（武力加成），同时降低我军全体英雄守备30点，持续3秒</t>
    <phoneticPr fontId="16" type="noConversion"/>
  </si>
  <si>
    <t>我军兵力降低到最大兵力的60%时，提升我军被动技能造成的伤害30%+3.5%*星级（常驻效果）</t>
  </si>
  <si>
    <t>我军兵力降低到最大兵力的60%时，提升我军被动技能造成的伤害47.5%（常驻效果）</t>
    <phoneticPr fontId="16" type="noConversion"/>
  </si>
  <si>
    <t>对敌军造成武力伤害（伤害率99%+7%*星级，武力加成）</t>
    <phoneticPr fontId="16" type="noConversion"/>
  </si>
  <si>
    <t>对敌军造成武力伤害（伤害率134%，武力加成）</t>
    <phoneticPr fontId="16" type="noConversion"/>
  </si>
  <si>
    <t>普通攻击后，对敌军造成武力伤害（伤害率120%+10%*星级，武力加成）</t>
    <phoneticPr fontId="16" type="noConversion"/>
  </si>
  <si>
    <t>任务赠送</t>
  </si>
  <si>
    <t>提升自身10%+2%*星级暴击率</t>
    <phoneticPr fontId="16" type="noConversion"/>
  </si>
  <si>
    <t>提升自身20%暴击率</t>
    <phoneticPr fontId="16" type="noConversion"/>
  </si>
  <si>
    <t>对敌军造成谋略伤害（伤害率99%+7%*星级，谋略加成）</t>
    <phoneticPr fontId="16" type="noConversion"/>
  </si>
  <si>
    <t>对敌军造成谋略伤害（伤害率134%，谋略加成）</t>
    <phoneticPr fontId="16" type="noConversion"/>
  </si>
  <si>
    <t>甲胄维护</t>
  </si>
  <si>
    <t>每隔6秒，有50%概率使我军受到的伤害降低15%，持续3秒。</t>
    <phoneticPr fontId="16" type="noConversion"/>
  </si>
  <si>
    <t>每隔6秒，有50%概率使我军受到的伤害降低15%，持续3秒。</t>
  </si>
  <si>
    <t>战后总结</t>
  </si>
  <si>
    <t>使英雄自身获得经验增加24%</t>
  </si>
  <si>
    <t>恢复我军兵力（恢复率110%+8%*星级，谋略加成）</t>
    <phoneticPr fontId="16" type="noConversion"/>
  </si>
  <si>
    <t>恢复我军兵力（恢复率150%，谋略加成）</t>
    <phoneticPr fontId="16" type="noConversion"/>
  </si>
  <si>
    <t>提升自身54+7*星级点摧城</t>
    <phoneticPr fontId="16" type="noConversion"/>
  </si>
  <si>
    <t>提升自身点摧城89</t>
    <phoneticPr fontId="16" type="noConversion"/>
  </si>
  <si>
    <t>勤劳之手</t>
  </si>
  <si>
    <t>采集速度提升16%</t>
  </si>
  <si>
    <t>丰收预兆</t>
  </si>
  <si>
    <t>成功采集时额外获得12%资源量</t>
  </si>
  <si>
    <t>商城投放</t>
    <phoneticPr fontId="4" type="noConversion"/>
  </si>
  <si>
    <t>暂不上</t>
    <phoneticPr fontId="4" type="noConversion"/>
  </si>
  <si>
    <t>玺戒技能（策划用</t>
    <phoneticPr fontId="4" type="noConversion"/>
  </si>
  <si>
    <t>玺戒ID</t>
    <phoneticPr fontId="4" type="noConversion"/>
  </si>
  <si>
    <t>玺戒名称（策划用</t>
    <phoneticPr fontId="4" type="noConversion"/>
  </si>
  <si>
    <t>波澜攻势</t>
    <phoneticPr fontId="4" type="noConversion"/>
  </si>
  <si>
    <t>武威</t>
    <phoneticPr fontId="4" type="noConversion"/>
  </si>
  <si>
    <t>未上阵阵容：</t>
    <phoneticPr fontId="4" type="noConversion"/>
  </si>
  <si>
    <t>崔布瓦娜</t>
    <phoneticPr fontId="4" type="noConversion"/>
  </si>
  <si>
    <t>王者之剑</t>
    <phoneticPr fontId="4" type="noConversion"/>
  </si>
  <si>
    <t>7077|7091|7061</t>
    <phoneticPr fontId="4" type="noConversion"/>
  </si>
  <si>
    <t>&lt;color=#ffc766&gt;亚瑟王&lt;/color&gt;每两次触发固有技能后能进入&lt;color=#ffc766&gt;祝福状态&lt;/color&gt;，此时攻击能&lt;color=#ffc766&gt;忽略敌军防御&lt;/color&gt;，造成惊人伤害。&lt;color=#ffc766&gt;崔布瓦娜&lt;/color&gt;能大大提升亚瑟王的固有主动技能发动频率，是其最佳的输出辅助副将。最后一名副将选择&lt;color=#ffc766&gt;君士坦丁大帝&lt;/color&gt;，为队伍提供强大的续航辅助。该队伍输出和续航兼顾，具有非常强大的作战能力。</t>
    <phoneticPr fontId="4" type="noConversion"/>
  </si>
  <si>
    <t>7077|7061|7056</t>
    <phoneticPr fontId="4" type="noConversion"/>
  </si>
  <si>
    <t>&lt;color=#ffc766&gt;宫本武藏&lt;/color&gt;自身具有较高的伤害，还能帮助队伍中武力最高的一名其他英雄额外发动固有主动技能，是主动体系队伍的强力主将。&lt;color=#ffc766&gt;君士坦丁大帝&lt;/color&gt;能提供极强的续航能力，与宫本武藏形成良好的配合。另一名副将选择&lt;color=#ffc766&gt;崔布瓦娜&lt;/color&gt;能大大提高宫本武藏固有主动技能的发动频率，提升伤害效率。由于君士坦丁大帝的获取难度较高，也可选择&lt;color=#ffc766&gt;汉谟拉比&lt;/color&gt;作为替换英雄。</t>
    <phoneticPr fontId="4" type="noConversion"/>
  </si>
  <si>
    <t>位置</t>
    <phoneticPr fontId="4" type="noConversion"/>
  </si>
  <si>
    <t>暂时没上</t>
    <phoneticPr fontId="4" type="noConversion"/>
  </si>
  <si>
    <t>反间</t>
    <phoneticPr fontId="4" type="noConversion"/>
  </si>
  <si>
    <t>以战养战</t>
    <phoneticPr fontId="4" type="noConversion"/>
  </si>
  <si>
    <t>克洛特</t>
    <phoneticPr fontId="4" type="noConversion"/>
  </si>
  <si>
    <t>压迫之袭</t>
    <phoneticPr fontId="4" type="noConversion"/>
  </si>
  <si>
    <t>关羽</t>
    <phoneticPr fontId="4" type="noConversion"/>
  </si>
  <si>
    <t>战争狂热</t>
    <phoneticPr fontId="4" type="noConversion"/>
  </si>
  <si>
    <t>致命一击</t>
    <phoneticPr fontId="4" type="noConversion"/>
  </si>
  <si>
    <t>哈拉尔</t>
    <phoneticPr fontId="4" type="noConversion"/>
  </si>
  <si>
    <t>破敌之眼</t>
    <phoneticPr fontId="4" type="noConversion"/>
  </si>
  <si>
    <t>1055|12111</t>
    <phoneticPr fontId="4" type="noConversion"/>
  </si>
  <si>
    <t>2076|20551|22081</t>
    <phoneticPr fontId="4" type="noConversion"/>
  </si>
  <si>
    <t>5016|50041|5205</t>
    <phoneticPr fontId="4" type="noConversion"/>
  </si>
  <si>
    <t>6201|6004|6056</t>
    <phoneticPr fontId="4" type="noConversion"/>
  </si>
  <si>
    <t>10042|10013|10001</t>
    <phoneticPr fontId="4" type="noConversion"/>
  </si>
  <si>
    <t>11023|11004</t>
    <phoneticPr fontId="4" type="noConversion"/>
  </si>
  <si>
    <t>10017|100191|10207</t>
    <phoneticPr fontId="4" type="noConversion"/>
  </si>
  <si>
    <t>11010|110041|11210</t>
    <phoneticPr fontId="4" type="noConversion"/>
  </si>
  <si>
    <t>12063|12064|12206</t>
    <phoneticPr fontId="4" type="noConversion"/>
  </si>
  <si>
    <t>13005|13019</t>
    <phoneticPr fontId="4" type="noConversion"/>
  </si>
  <si>
    <t>13056|130191</t>
    <phoneticPr fontId="4" type="noConversion"/>
  </si>
  <si>
    <t>13032|13076</t>
    <phoneticPr fontId="4" type="noConversion"/>
  </si>
  <si>
    <t>15093|15020</t>
    <phoneticPr fontId="4" type="noConversion"/>
  </si>
  <si>
    <t>15092|150201</t>
    <phoneticPr fontId="4" type="noConversion"/>
  </si>
  <si>
    <t>15062|15092|15212</t>
    <phoneticPr fontId="4" type="noConversion"/>
  </si>
  <si>
    <t>16056|16019</t>
    <phoneticPr fontId="4" type="noConversion"/>
  </si>
  <si>
    <t>16032|16076</t>
    <phoneticPr fontId="4" type="noConversion"/>
  </si>
  <si>
    <t>17091|17036</t>
    <phoneticPr fontId="4" type="noConversion"/>
  </si>
  <si>
    <t>18009|18036</t>
    <phoneticPr fontId="4" type="noConversion"/>
  </si>
  <si>
    <t>180361|18055</t>
    <phoneticPr fontId="4" type="noConversion"/>
  </si>
  <si>
    <t>18032|18076</t>
    <phoneticPr fontId="4" type="noConversion"/>
  </si>
  <si>
    <t>120641|12032|12206</t>
    <phoneticPr fontId="4" type="noConversion"/>
  </si>
  <si>
    <t>巴尔达斯</t>
    <phoneticPr fontId="4" type="noConversion"/>
  </si>
  <si>
    <t>戾虎血咬</t>
  </si>
  <si>
    <t>吕布</t>
    <phoneticPr fontId="4" type="noConversion"/>
  </si>
  <si>
    <t>行刑使徒</t>
  </si>
  <si>
    <t>血债血偿</t>
  </si>
  <si>
    <t>死亡黑旗</t>
  </si>
  <si>
    <t>巨象战舞</t>
  </si>
  <si>
    <t>固守屯兵</t>
  </si>
  <si>
    <t>兰甘亨</t>
    <phoneticPr fontId="4" type="noConversion"/>
  </si>
  <si>
    <t>戾虎血咬</t>
    <phoneticPr fontId="4" type="noConversion"/>
  </si>
  <si>
    <t>TID_TEXT_LINEUP_GUIDE_TITLE_19</t>
  </si>
  <si>
    <t>TID_TEXT_LINEUP_GUIDE_TITLE_20</t>
  </si>
  <si>
    <t>吕布关羽无双骑</t>
    <phoneticPr fontId="4" type="noConversion"/>
  </si>
  <si>
    <t>兰甘亨团辅枪</t>
    <phoneticPr fontId="4" type="noConversion"/>
  </si>
  <si>
    <t>TID_TEXT_LINEUP_GUIDE_TITLE_21</t>
  </si>
  <si>
    <t>TID_TEXT_LINEUP_GUIDE_CONTENT_19</t>
    <phoneticPr fontId="4" type="noConversion"/>
  </si>
  <si>
    <t>TID_TEXT_LINEUP_GUIDE_CONTENT_20</t>
    <phoneticPr fontId="4" type="noConversion"/>
  </si>
  <si>
    <t>TID_TEXT_LINEUP_GUIDE_CONTENT_21</t>
    <phoneticPr fontId="4" type="noConversion"/>
  </si>
  <si>
    <t>贝利薇连击弓</t>
    <phoneticPr fontId="4" type="noConversion"/>
  </si>
  <si>
    <t>进阶暴击骑阵容。&lt;color=#ffc766&gt;暴击率&lt;/color&gt;是该阵容的核心。&lt;color=#ffc766&gt;吕布&lt;/color&gt;在队伍中任意英雄暴击后，有概率进行额外普攻；&lt;color=#ffc766&gt;关羽&lt;/color&gt;则拥有高额的暴击率，开场暴击能与吕布配合，造成强力的开场爆发。&lt;color=#ffc766&gt;阿提拉&lt;/color&gt;可以为队伍中的两名英雄提供连击状态，大幅提升整体伤害输出。</t>
    <phoneticPr fontId="4" type="noConversion"/>
  </si>
  <si>
    <t>20009|20036</t>
    <phoneticPr fontId="4" type="noConversion"/>
  </si>
  <si>
    <t>20032|20076</t>
    <phoneticPr fontId="4" type="noConversion"/>
  </si>
  <si>
    <t>&lt;color=#ffc766&gt;汉尼拔&lt;/color&gt;的固有技能能够&lt;color=#ffc766&gt;削弱敌军主将&lt;/color&gt;的谋略和防御属性，搭配&lt;color=#ffc766&gt;压迫之袭&lt;/color&gt;可实现全属性削弱。当&lt;color=#ffc766&gt;主将技能&lt;/color&gt;触发时，汉尼拔能够获得敌军主将被削弱的部分属性，从而在一段时间内产生爆发伤害。&lt;color=#ffc766&gt;查士丁尼一世&lt;/color&gt;能在我军英雄触发追击技能时提供回复和减伤效果，与汉尼拔形成很好的联动。&lt;color=#ffc766&gt;阿育王&lt;/color&gt;可以提高&lt;color=#ffc766&gt;汉尼拔&lt;/color&gt;固有技能的释放概率，增加属性削弱的覆盖率，同时使队伍进入&lt;color=#ffc766&gt;免控&lt;/color&gt;状态。</t>
    <phoneticPr fontId="4" type="noConversion"/>
  </si>
  <si>
    <t>该阵容是以&lt;color=#ffc766&gt;连击&lt;/color&gt;为核心的追击阵容体系。&lt;color=#ffc766&gt;贝利薇&lt;/color&gt;每回合有概率进入连击状态，搭配追击技能有着极强的输出能力，是队伍的核心。&lt;color=#ffc766&gt;花木兰&lt;/color&gt;搭配追击技能也有着不俗的输出能力。&lt;color=#ffc766&gt;阿提拉&lt;/color&gt;可以使队伍整体进入连击状态，提高连击覆盖率，进一步增加队伍的输出能力。</t>
    <phoneticPr fontId="4" type="noConversion"/>
  </si>
  <si>
    <t>11075|11032|110042</t>
    <phoneticPr fontId="4" type="noConversion"/>
  </si>
  <si>
    <t>游娣特</t>
    <phoneticPr fontId="4" type="noConversion"/>
  </si>
  <si>
    <t>行刑使徒</t>
    <phoneticPr fontId="4" type="noConversion"/>
  </si>
  <si>
    <t>天地无双斩</t>
    <phoneticPr fontId="4" type="noConversion"/>
  </si>
  <si>
    <t>TID_TEXT_LINEUP_GUIDE_TITLE_22</t>
  </si>
  <si>
    <t>21064|210031</t>
    <phoneticPr fontId="4" type="noConversion"/>
  </si>
  <si>
    <t>21034|21003</t>
    <phoneticPr fontId="4" type="noConversion"/>
  </si>
  <si>
    <t>22077|22091</t>
    <phoneticPr fontId="4" type="noConversion"/>
  </si>
  <si>
    <t>22008|220911|22061</t>
    <phoneticPr fontId="4" type="noConversion"/>
  </si>
  <si>
    <t>以&lt;color=#ffc766&gt;游娣特&lt;/color&gt;为核心的剑士阵容。&lt;color=#ffc766&gt;游娣特&lt;/color&gt;的固有技能有着不俗的伤害，同时有概率附加&lt;color=#ffc766&gt;抵御&lt;/color&gt;状态，叠加层数后还能提高主将技的伤害。&lt;color=#ffc766&gt;崔布瓦娜&lt;/color&gt;可以提高&lt;color=#ffc766&gt;游娣特&lt;/color&gt;固有技能的释放频率，增加队伍的输出和生存能力。&lt;color=#ffc766&gt;君士坦丁大帝&lt;/color&gt;可以在&lt;color=#ffc766&gt;游娣特&lt;/color&gt;释放固有技能后，提供伤害减免，极大增加队伍的生存能力。</t>
    <phoneticPr fontId="4" type="noConversion"/>
  </si>
  <si>
    <t>该阵容是以&lt;color=#ffc766&gt;兰甘亨&lt;/color&gt;为核心的团队辅助阵容。&lt;color=#ffc766&gt;兰甘亨&lt;/color&gt;的主将技和固有技能可以提升范围内玩家多支部队的伤害输出，并增加生存能力。&lt;color=#ffc766&gt;屋大维&lt;/color&gt;能为部队提供额外的增伤效果。&lt;color=#ffc766&gt;示巴女王&lt;/color&gt;则能带来更强的续航能力。队伍的整体输出能力一般，但生存和辅助能力优秀，能极大地提升玩家其他部队的整体作战能力。</t>
    <phoneticPr fontId="4" type="noConversion"/>
  </si>
  <si>
    <t>TID_TEXT_LINEUP_GUIDE_CONTENT_22</t>
    <phoneticPr fontId="4" type="noConversion"/>
  </si>
  <si>
    <t>游娣特威慑剑</t>
    <phoneticPr fontId="4" type="noConversion"/>
  </si>
  <si>
    <t>TID_TEXT_LINEUP_GUIDE_CONTENT_10_2</t>
    <phoneticPr fontId="4" type="noConversion"/>
  </si>
  <si>
    <t>&lt;color=#ffc766&gt;理查一世&lt;/color&gt;具有极高的武力属性，以及强大的反击能力，并且主将技能附加减速效果，能黏住敌人持续输出。&lt;color=#ffc766&gt;布狄卡&lt;/color&gt;自身具有很高的反击伤害，还能进一步强化我军武力最高英雄的输出能力，与理查一世极其适配。&lt;color=#ffc766&gt;巴巴罗萨&lt;/color&gt;是队伍持续输出的续航支柱，当血量降低时，续航能力逐渐变强！</t>
    <phoneticPr fontId="4" type="noConversion"/>
  </si>
  <si>
    <t>10011|100131|100011</t>
    <phoneticPr fontId="4" type="noConversion"/>
  </si>
  <si>
    <t>17008|17061|17056</t>
    <phoneticPr fontId="4" type="noConversion"/>
  </si>
  <si>
    <t>17077|17055|17056</t>
    <phoneticPr fontId="4" type="noConversion"/>
  </si>
  <si>
    <t>阵容类型</t>
    <phoneticPr fontId="4" type="noConversion"/>
  </si>
  <si>
    <t>阵容优先级</t>
    <phoneticPr fontId="4" type="noConversion"/>
  </si>
  <si>
    <t>type</t>
    <phoneticPr fontId="4" type="noConversion"/>
  </si>
  <si>
    <t>sort</t>
    <phoneticPr fontId="4" type="noConversion"/>
  </si>
  <si>
    <t>战国三杰剑</t>
    <phoneticPr fontId="4" type="noConversion"/>
  </si>
  <si>
    <t>丰臣秀吉</t>
    <phoneticPr fontId="4" type="noConversion"/>
  </si>
  <si>
    <t>德川家康</t>
    <phoneticPr fontId="4" type="noConversion"/>
  </si>
  <si>
    <t>&lt;color=#ffc766&gt;丰臣秀吉&lt;/color&gt;自身具有不俗的伤害，还能提高队伍中武力最高的一名英雄的固有主动技能伤害。&lt;color=#ffc766&gt;织田信长&lt;/color&gt;固有为指挥技能，具有稳定的输出能力。同时&lt;color=#ffc766&gt;德川家康&lt;/color&gt;能提供很好的续航能力，并且可以使我军受到的技能伤害减少。该队伍攻守兼备，可适用于多种战斗场景，实力强劲。</t>
    <phoneticPr fontId="4" type="noConversion"/>
  </si>
  <si>
    <t>李成桂急智骑</t>
    <phoneticPr fontId="4" type="noConversion"/>
  </si>
  <si>
    <t>该阵容是以&lt;color=#ffc766&gt;李成桂&lt;/color&gt;为核心的骑兵输出阵容。&lt;color=#ffc766&gt;李成桂&lt;/color&gt;可进入&lt;color=#ffc766&gt;急智&lt;/color&gt;状态，搭配主动技能，有2次触发机会。&lt;color=#ffc766&gt;李裪&lt;/color&gt;则为队伍提供减伤和恢复，增加阵容的续航能力。&lt;color=#ffc766&gt;示巴女王&lt;/color&gt;每隔9秒可造成一次回复效果，提供稳定回复外，有概率缴械敌方部队。该队伍以主动输出为主，兼具稳定的减伤和回复。</t>
    <phoneticPr fontId="4" type="noConversion"/>
  </si>
  <si>
    <t>TID_TEXT_LINEUP_GUIDE_TITLE_23</t>
    <phoneticPr fontId="4" type="noConversion"/>
  </si>
  <si>
    <t>TID_TEXT_LINEUP_GUIDE_CONTENT_23</t>
    <phoneticPr fontId="4" type="noConversion"/>
  </si>
  <si>
    <t>TID_TEXT_LINEUP_GUIDE_TITLE_24</t>
    <phoneticPr fontId="4" type="noConversion"/>
  </si>
  <si>
    <t>TID_TEXT_LINEUP_GUIDE_CONTENT_24</t>
    <phoneticPr fontId="4" type="noConversion"/>
  </si>
  <si>
    <t>固守屯兵</t>
    <phoneticPr fontId="4" type="noConversion"/>
  </si>
  <si>
    <t>李成桂</t>
    <phoneticPr fontId="4" type="noConversion"/>
  </si>
  <si>
    <t>沸腾战吼</t>
    <phoneticPr fontId="4" type="noConversion"/>
  </si>
  <si>
    <t>李陶</t>
    <phoneticPr fontId="4" type="noConversion"/>
  </si>
  <si>
    <t>&lt;color=#ffc766&gt;丰臣秀吉&lt;/color&gt;自身具有不俗的伤害，还能提高队伍中武力最高的一名英雄的固有技能伤害。&lt;color=#ffc766&gt;织田信长&lt;/color&gt;固有为指挥技能，具有稳定的输出能力。同时&lt;color=#ffc766&gt;德川家康&lt;/color&gt;能提供很好的续航能力，并且可以使我军受到的技能伤害减少。该队伍攻守兼备，可适用于多种战斗场景，实力强劲。</t>
    <phoneticPr fontId="4" type="noConversion"/>
  </si>
  <si>
    <t>25042|25013|25001</t>
    <phoneticPr fontId="4" type="noConversion"/>
  </si>
  <si>
    <t>250131|250011|25019</t>
    <phoneticPr fontId="4" type="noConversion"/>
  </si>
  <si>
    <t>25017|250191|25207</t>
    <phoneticPr fontId="4" type="noConversion"/>
  </si>
  <si>
    <t>TID_TEXT_LINEUP_GUIDE_TITLE_26</t>
    <phoneticPr fontId="4" type="noConversion"/>
  </si>
  <si>
    <t>TID_TEXT_LINEUP_GUIDE_CONTENT_26</t>
    <phoneticPr fontId="4" type="noConversion"/>
  </si>
  <si>
    <t>李舜臣智谋弓</t>
    <phoneticPr fontId="4" type="noConversion"/>
  </si>
  <si>
    <t>&lt;color=#ffc766&gt;李舜臣&lt;/color&gt;能够造成一次高额伤害，并且提高下一位英雄的技能伤害。善德女王能为敌军施加&lt;color=#ffc766&gt;沉默状态&lt;/color&gt;，与李舜臣一世形成联动的同时，还能有效遏制以主动技能为主要输出手段的敌人。&lt;color=#ffc766&gt;狄奥多拉&lt;/color&gt;则兼具续航和增伤。</t>
    <phoneticPr fontId="4" type="noConversion"/>
  </si>
  <si>
    <t>26062|26212</t>
    <phoneticPr fontId="4" type="noConversion"/>
  </si>
  <si>
    <t>貂蝉</t>
    <phoneticPr fontId="4" type="noConversion"/>
  </si>
  <si>
    <t>克里奥帕特拉</t>
  </si>
  <si>
    <t>积草囤粮</t>
  </si>
  <si>
    <t>貂蝉采集队</t>
    <phoneticPr fontId="4" type="noConversion"/>
  </si>
  <si>
    <t>TID_TEXT_LINEUP_GUIDE_TITLE_27</t>
    <phoneticPr fontId="4" type="noConversion"/>
  </si>
  <si>
    <t>TID_TEXT_LINEUP_GUIDE_CONTENT_27</t>
    <phoneticPr fontId="4" type="noConversion"/>
  </si>
  <si>
    <t>&lt;color=#ffc766&gt;貂蝉&lt;/color&gt;固有技能可提升采集速度，且可以额外获得采集资源。&lt;color=#ffc766&gt;克里奥帕特拉&lt;/color&gt;和&lt;color=#ffc766&gt;大流士一世&lt;/color&gt;装配提升采集速度的技能，使得整个队伍的采集速度大幅度提高。</t>
    <phoneticPr fontId="4" type="noConversion"/>
  </si>
  <si>
    <t>智谋</t>
    <phoneticPr fontId="4" type="noConversion"/>
  </si>
  <si>
    <t>TID_TEXT_LINEUP_GUIDE_TITLE_28</t>
    <phoneticPr fontId="4" type="noConversion"/>
  </si>
  <si>
    <t>TID_TEXT_LINEUP_GUIDE_CONTENT_28</t>
    <phoneticPr fontId="4" type="noConversion"/>
  </si>
  <si>
    <t>理查一世</t>
    <phoneticPr fontId="4" type="noConversion"/>
  </si>
  <si>
    <t>毁灭信使</t>
    <phoneticPr fontId="4" type="noConversion"/>
  </si>
  <si>
    <t>敏锐洞察</t>
    <phoneticPr fontId="4" type="noConversion"/>
  </si>
  <si>
    <t>不动之山</t>
    <phoneticPr fontId="4" type="noConversion"/>
  </si>
  <si>
    <t>避芒击惰</t>
    <phoneticPr fontId="4" type="noConversion"/>
  </si>
  <si>
    <t>静谧之水</t>
    <phoneticPr fontId="4" type="noConversion"/>
  </si>
  <si>
    <t>光明护佑</t>
    <phoneticPr fontId="4" type="noConversion"/>
  </si>
  <si>
    <t>野猪之戒</t>
    <phoneticPr fontId="4" type="noConversion"/>
  </si>
  <si>
    <t>余烬之灼</t>
    <phoneticPr fontId="4" type="noConversion"/>
  </si>
  <si>
    <t>反击</t>
    <phoneticPr fontId="4" type="noConversion"/>
  </si>
  <si>
    <t>阵鼓</t>
    <phoneticPr fontId="4" type="noConversion"/>
  </si>
  <si>
    <t>曼萨穆萨</t>
    <phoneticPr fontId="4" type="noConversion"/>
  </si>
  <si>
    <t>TID_TEXT_LINEUP_GUIDE_TITLE_29</t>
    <phoneticPr fontId="4" type="noConversion"/>
  </si>
  <si>
    <t>TID_TEXT_LINEUP_GUIDE_CONTENT_29</t>
    <phoneticPr fontId="4" type="noConversion"/>
  </si>
  <si>
    <t>TID_TEXT_LINEUP_GUIDE_TITLE_30</t>
    <phoneticPr fontId="4" type="noConversion"/>
  </si>
  <si>
    <t>TID_TEXT_LINEUP_GUIDE_CONTENT_30</t>
    <phoneticPr fontId="4" type="noConversion"/>
  </si>
  <si>
    <t>以&lt;color=#ffc766&gt;游娣特&lt;/color&gt;为核心的剑士阵容。&lt;color=#ffc766&gt;游娣特&lt;/color&gt;的固有技能有着不俗的伤害，同时有概率附加&lt;color=#ffc766&gt;抵御&lt;/color&gt;状态，叠加层数后还能提高主将技的伤害。&lt;color=#ffc766&gt;崔布瓦娜&lt;/color&gt;可以提高&lt;color=#ffc766&gt;游娣特&lt;/color&gt;固有技能的释放频率，增加队伍的输出能力。&lt;color=#ffc766&gt;穆罕穆德二世&lt;/color&gt;可以为队伍增伤，同时提供伤害减免，增加队伍生存能力。</t>
    <phoneticPr fontId="4" type="noConversion"/>
  </si>
  <si>
    <t>TID_TEXT_LINEUP_GUIDE_TITLE_31</t>
    <phoneticPr fontId="4" type="noConversion"/>
  </si>
  <si>
    <t>TID_TEXT_LINEUP_GUIDE_CONTENT_31</t>
    <phoneticPr fontId="4" type="noConversion"/>
  </si>
  <si>
    <t>TID_TEXT_LINEUP_GUIDE_TITLE_32</t>
    <phoneticPr fontId="4" type="noConversion"/>
  </si>
  <si>
    <t>TID_TEXT_LINEUP_GUIDE_CONTENT_32</t>
    <phoneticPr fontId="4" type="noConversion"/>
  </si>
  <si>
    <t>&lt;color=#ffc766&gt;拉美西斯二世&lt;/color&gt; 可以使自己进入&lt;color=#ffc766&gt;神佑&lt;/color&gt; 状态，持续触发固有技能，是队伍的输出核心。&lt;color=#ffc766&gt;苏莱曼一世&lt;/color&gt;作为副将也能输出高额伤害。&lt;color=#ffc766&gt;查理曼大帝&lt;/color&gt;能触发主将固有主动技能，强化队伍的输出能力。</t>
    <phoneticPr fontId="4" type="noConversion"/>
  </si>
  <si>
    <t>&lt;color=#ffc766&gt;拉美西斯二世&lt;/color&gt; 可以使自己进入&lt;color=#ffc766&gt;神佑&lt;/color&gt; 状态，持续触发固有技能，是队伍的输出核心。&lt;color=#ffc766&gt;查理曼大帝&lt;/color&gt;能触发主将固有主动技能，强化队伍的输出能力，&lt;color=#ffc766&gt;狄奥多拉&lt;/color&gt;能为队伍提供减伤，同时增加主将的输出。</t>
    <phoneticPr fontId="4" type="noConversion"/>
  </si>
  <si>
    <t>&lt;color=#ffc766&gt;理查一世&lt;/color&gt;具有极高的武力属性，以及强大的反击能力，并且主将技能附加减速效果，能黏住敌人持续输出。&lt;color=#ffc766&gt;布狄卡&lt;/color&gt;自身具有很高的反击伤害，还能进一步强化我军武力最高英雄的输出能力，与理查一世极其适配。&lt;color=#ffc766&gt;曼萨穆萨&lt;/color&gt;在造成伤害的同时，能为队伍提供减伤，增加队伍续航。</t>
    <phoneticPr fontId="4" type="noConversion"/>
  </si>
  <si>
    <t>该阵容是以&lt;color=#ffc766&gt;连击&lt;/color&gt;为核心的追击阵容体系。&lt;color=#ffc766&gt;贝利薇&lt;/color&gt;每回合有概率进入连击状态，搭配追击技能有着极强的输出能力，是队伍的核心。&lt;color=#ffc766&gt;阿提拉&lt;/color&gt;可以使队伍整体进入连击状态，提高连击覆盖率，进一步增加队伍的输出能力。&lt;color=#ffc766&gt;穆罕穆德二世&lt;/color&gt;可以提升队伍的伤害，同时为队伍提供减伤，弥补阵容缺少的生存能力。</t>
    <phoneticPr fontId="4" type="noConversion"/>
  </si>
  <si>
    <t>穆罕穆德二世</t>
    <phoneticPr fontId="4" type="noConversion"/>
  </si>
  <si>
    <t>29115|20009|20036</t>
    <phoneticPr fontId="4" type="noConversion"/>
  </si>
  <si>
    <t>30115|22008|220911</t>
    <phoneticPr fontId="4" type="noConversion"/>
  </si>
  <si>
    <t>拉美西斯神佑剑</t>
    <phoneticPr fontId="4" type="noConversion"/>
  </si>
  <si>
    <t>拉美西斯神佑弓</t>
    <phoneticPr fontId="4" type="noConversion"/>
  </si>
  <si>
    <t>31116|31014</t>
    <phoneticPr fontId="4" type="noConversion"/>
  </si>
  <si>
    <t>拉美西斯二世</t>
    <phoneticPr fontId="4" type="noConversion"/>
  </si>
  <si>
    <t>创造之火</t>
  </si>
  <si>
    <t>创造之火</t>
    <phoneticPr fontId="4" type="noConversion"/>
  </si>
  <si>
    <t>黄金朝圣</t>
  </si>
  <si>
    <t>猎枭夜歌</t>
  </si>
  <si>
    <t>TID_TEXT_LINEUP_GUIDE_CONTENT_33</t>
    <phoneticPr fontId="4" type="noConversion"/>
  </si>
  <si>
    <t>33012|12063|12064</t>
    <phoneticPr fontId="4" type="noConversion"/>
  </si>
  <si>
    <t>&lt;color=#ffc766&gt;熙德&lt;/color&gt;能对处于&lt;color=#ffc766&gt;减速状态&lt;/color&gt;的敌人造成额外伤害，因此野战是该阵容的强项。熙德的主将技会对攻击目标附加减速状态，因此装配技能需要选择&lt;color=#ffc766&gt;胜利怒吼&lt;/color&gt;以提升队伍的怒气回复速率。&lt;color=#ffc766&gt;萨拉丁&lt;/color&gt;的固有技能能够回复怒气，提升主将技释放频率，增加队伍伤害。而&lt;color=#ffc766&gt;布什拉&lt;/color&gt;则能为队伍带来更强的续航能力。也可选择&lt;color=#ffc766&gt;阿提拉&lt;/color&gt;替换布什拉，损失风格加成，换来全队连击效果，追求更极致的输出能力（注意此时熙德的&lt;color=#ffc766&gt;连击&lt;/color&gt;技能可换为&lt;color=#ffc766&gt;弱点进攻&lt;/color&gt;）。</t>
    <phoneticPr fontId="4" type="noConversion"/>
  </si>
  <si>
    <t>智谋弓</t>
    <phoneticPr fontId="4" type="noConversion"/>
  </si>
  <si>
    <t>采集队</t>
    <phoneticPr fontId="4" type="noConversion"/>
  </si>
  <si>
    <t>连击弓</t>
    <phoneticPr fontId="4" type="noConversion"/>
  </si>
  <si>
    <t>指挥枪</t>
    <phoneticPr fontId="4" type="noConversion"/>
  </si>
  <si>
    <t>决斗骑</t>
    <phoneticPr fontId="4" type="noConversion"/>
  </si>
  <si>
    <t>暴击骑</t>
    <phoneticPr fontId="4" type="noConversion"/>
  </si>
  <si>
    <t>勇武剑</t>
    <phoneticPr fontId="4" type="noConversion"/>
  </si>
  <si>
    <t>亚瑟勇武剑</t>
    <phoneticPr fontId="4" type="noConversion"/>
  </si>
  <si>
    <t>勇武剑-2</t>
    <phoneticPr fontId="4" type="noConversion"/>
  </si>
  <si>
    <t>反击枪</t>
    <phoneticPr fontId="4" type="noConversion"/>
  </si>
  <si>
    <t>TID_TEXT_LINEUP_GUIDE_CONTENT_25</t>
    <phoneticPr fontId="4" type="noConversion"/>
  </si>
  <si>
    <t>反击技能在&lt;color=#ffc766&gt;面对大量敌人同时进攻时&lt;/color&gt;，触发频率将提高，配合&lt;color=#ffc766&gt;巴巴罗萨&lt;/color&gt;出色的减伤能力，很适合在战斗中用来承受伤害，并通过反击技能进行输出。该队伍中&lt;color=#ffc766&gt;理查一世&lt;/color&gt;和&lt;color=#ffc766&gt;列奥尼达一世&lt;/color&gt;的固有技能均为反击技能，且能够通过反击输出大量伤害，装配技能可以也选择反击技能，进一步提升伤害。队伍兼具输出和生存能力。</t>
    <phoneticPr fontId="4" type="noConversion"/>
  </si>
  <si>
    <t>新手剑</t>
    <phoneticPr fontId="4" type="noConversion"/>
  </si>
  <si>
    <t>新手弓</t>
    <phoneticPr fontId="4" type="noConversion"/>
  </si>
  <si>
    <t>新手反击枪</t>
    <phoneticPr fontId="4" type="noConversion"/>
  </si>
  <si>
    <t>新手骑</t>
    <phoneticPr fontId="4" type="noConversion"/>
  </si>
  <si>
    <t>智谋剑</t>
    <phoneticPr fontId="4" type="noConversion"/>
  </si>
  <si>
    <t>统帅剑</t>
    <phoneticPr fontId="4" type="noConversion"/>
  </si>
  <si>
    <t>攻城剑</t>
    <phoneticPr fontId="4" type="noConversion"/>
  </si>
  <si>
    <t>智谋骑</t>
    <phoneticPr fontId="4" type="noConversion"/>
  </si>
  <si>
    <t>亚瑟勇武骑</t>
    <phoneticPr fontId="4" type="noConversion"/>
  </si>
  <si>
    <t>统帅骑</t>
    <phoneticPr fontId="4" type="noConversion"/>
  </si>
  <si>
    <t>T+1</t>
    <phoneticPr fontId="4" type="noConversion"/>
  </si>
  <si>
    <t>1|2|3|4|27</t>
  </si>
  <si>
    <t>居鲁士大帝</t>
    <phoneticPr fontId="4" type="noConversion"/>
  </si>
  <si>
    <t>预言之子</t>
    <phoneticPr fontId="4" type="noConversion"/>
  </si>
  <si>
    <t>猎枭夜歌</t>
    <phoneticPr fontId="4" type="noConversion"/>
  </si>
  <si>
    <t>拉葛莎</t>
    <phoneticPr fontId="4" type="noConversion"/>
  </si>
  <si>
    <t>沸腾血脉</t>
    <phoneticPr fontId="4" type="noConversion"/>
  </si>
  <si>
    <t>赤金之日</t>
    <phoneticPr fontId="4" type="noConversion"/>
  </si>
  <si>
    <t>决意强袭</t>
    <phoneticPr fontId="4" type="noConversion"/>
  </si>
  <si>
    <t>罗宾汉</t>
    <phoneticPr fontId="4" type="noConversion"/>
  </si>
  <si>
    <t>快乐伙伴</t>
    <phoneticPr fontId="4" type="noConversion"/>
  </si>
  <si>
    <t>死亡黑旗</t>
    <phoneticPr fontId="4" type="noConversion"/>
  </si>
  <si>
    <t>贝利撒留</t>
    <phoneticPr fontId="4" type="noConversion"/>
  </si>
  <si>
    <t>124</t>
    <phoneticPr fontId="4" type="noConversion"/>
  </si>
  <si>
    <t>拓疆铁蹄</t>
    <phoneticPr fontId="4" type="noConversion"/>
  </si>
  <si>
    <t>伊丽莎白一世</t>
    <phoneticPr fontId="4" type="noConversion"/>
  </si>
  <si>
    <t>4076|4202|42151</t>
    <phoneticPr fontId="4" type="noConversion"/>
  </si>
  <si>
    <t>28107|10017|100191</t>
    <phoneticPr fontId="4" type="noConversion"/>
  </si>
  <si>
    <t>31041|31016|5205</t>
    <phoneticPr fontId="4" type="noConversion"/>
  </si>
  <si>
    <t>31062|5016|5209</t>
    <phoneticPr fontId="4" type="noConversion"/>
  </si>
  <si>
    <t>32116|32093|32020</t>
    <phoneticPr fontId="4" type="noConversion"/>
  </si>
  <si>
    <t>32041|32092|150201</t>
    <phoneticPr fontId="4" type="noConversion"/>
  </si>
  <si>
    <t>32062|15092|15212</t>
    <phoneticPr fontId="4" type="noConversion"/>
  </si>
  <si>
    <t>TID_TEXT_LINEUP_GUIDE_TITLE_12</t>
    <phoneticPr fontId="4" type="noConversion"/>
  </si>
  <si>
    <t>TID_TEXT_LINEUP_GUIDE_CONTENT_34</t>
    <phoneticPr fontId="4" type="noConversion"/>
  </si>
  <si>
    <t>&lt;color=#ffc766&gt;居鲁士大帝&lt;/color&gt;固有技能在装配技能触发时，可以造成伤害，装配两个反击技能，通过高频率触发装配技能和和固有技能，输出大量伤害。&lt;color=#ffc766&gt;布狄卡&lt;/color&gt;自身具有很高的反击伤害，还能进一步强化我军武力最高英雄的输出能力，与居鲁士大帝极其适配。&lt;color=#ffc766&gt;曼萨穆萨&lt;/color&gt;在造成伤害的同时，能为队伍提供减伤，增加队伍生存能力。</t>
    <phoneticPr fontId="4" type="noConversion"/>
  </si>
  <si>
    <t>T+2</t>
    <phoneticPr fontId="4" type="noConversion"/>
  </si>
  <si>
    <t>TID_TEXT_LINEUP_GUIDE_CONTENT_35</t>
    <phoneticPr fontId="4" type="noConversion"/>
  </si>
  <si>
    <t>以&lt;color=#ffc766&gt;游娣特&lt;/color&gt;为核心的剑士阵容。&lt;color=#ffc766&gt;游娣特&lt;/color&gt;的固有技能有着不俗的伤害，同时有概率附加&lt;color=#ffc766&gt;抵御&lt;/color&gt;状态，叠加层数后还能提高主将技的伤害。&lt;color=#ffc766&gt;穆罕穆德二世&lt;/color&gt;可以为队伍增伤，同时提供伤害减免，增加队伍生存能力。&lt;color=#ffc766&gt;拉葛莎&lt;/color&gt;可以为自身和主将附加&lt;color=#ffc766&gt;裁决&lt;/color&gt;效果，释放固有主动技能时有概率额外触发，与&lt;color=#ffc766&gt;游娣特&lt;/color&gt;十分契合。</t>
    <phoneticPr fontId="4" type="noConversion"/>
  </si>
  <si>
    <t>TID_TEXT_LINEUP_GUIDE_CONTENT_36</t>
    <phoneticPr fontId="4" type="noConversion"/>
  </si>
  <si>
    <t>&lt;color=#ffc766&gt;亚瑟王&lt;/color&gt;每两次触发固有技能后能进入&lt;color=#ffc766&gt;祝福状态&lt;/color&gt;，此时攻击能&lt;color=#ffc766&gt;忽略敌军防御&lt;/color&gt;，造成惊人伤害。&lt;color=#ffc766&gt;君士坦丁大帝&lt;/color&gt;能为队伍提供强大的续航。&lt;color=#ffc766&gt;拉葛莎&lt;/color&gt;能够为自身和主将附加&lt;color=#ffc766&gt;裁决&lt;/color&gt;状态，释放固有主动技能时有概率额外触发，使亚瑟王更快更频繁的进入&lt;color=#ffc766&gt;祝福状态&lt;/color&gt;。该队伍输出和续航兼顾，具有非常强大的作战能力。</t>
    <phoneticPr fontId="4" type="noConversion"/>
  </si>
  <si>
    <t>拉葛莎亚瑟裁决剑</t>
    <phoneticPr fontId="4" type="noConversion"/>
  </si>
  <si>
    <t>TID_TEXT_LINEUP_GUIDE_TITLE_37</t>
    <phoneticPr fontId="4" type="noConversion"/>
  </si>
  <si>
    <t>TID_TEXT_LINEUP_GUIDE_CONTENT_37</t>
    <phoneticPr fontId="4" type="noConversion"/>
  </si>
  <si>
    <t>&lt;color=#ffc766&gt;拉葛莎&lt;/color&gt;主将技能使自身和下一位英雄造成伤害时&lt;color=#ffc766&gt;无视敌军防御&lt;/color&gt;，固有技能可以增加自身和下一位出手英雄的固有技能释放频率，与亚瑟王十分契合。&lt;color=#ffc766&gt;亚瑟王&lt;/color&gt;在多次触发固有技能后，可以进入&lt;color=#ffc766&gt;祝福&lt;/color&gt;状态，输出爆发性伤害。对于没有亚瑟王的玩家，也可以使用&lt;color=#ffc766&gt;游娣特&lt;/color&gt;替代。最后一名副将可以选择&lt;color=#ffc766&gt;崔布瓦娜&lt;/color&gt;，进一步提升队伍伤害。也可以选择&lt;color=#ffc766&gt;君士坦丁大帝&lt;/color&gt;，为队伍提供强大的续航辅助。</t>
    <phoneticPr fontId="4" type="noConversion"/>
  </si>
  <si>
    <t>勇武剑-3-亚瑟</t>
    <phoneticPr fontId="4" type="noConversion"/>
  </si>
  <si>
    <t>不展示</t>
    <phoneticPr fontId="4" type="noConversion"/>
  </si>
  <si>
    <t>TID_TEXT_LINEUP_GUIDE_CONTENT_38</t>
    <phoneticPr fontId="4" type="noConversion"/>
  </si>
  <si>
    <t>该阵容是以&lt;color=#ffc766&gt;连击&lt;/color&gt;为核心的追击阵容体系。&lt;color=#ffc766&gt;贝利薇&lt;/color&gt;每回合有概率进入连击状态，搭配追击技能有着极强的输出能力，是队伍的核心。&lt;color=#ffc766&gt;罗宾汉&lt;/color&gt;可以基于连击状态，提供高额的输出增益，与&lt;color=#ffc766&gt;贝利薇&lt;/color&gt;十分契合。&lt;color=#ffc766&gt;穆罕穆德二世&lt;/color&gt;可以提升队伍的伤害，同时为队伍提供减伤，弥补阵容缺少的生存能力。</t>
    <phoneticPr fontId="4" type="noConversion"/>
  </si>
  <si>
    <t>吕布暴击无双骑</t>
    <phoneticPr fontId="4" type="noConversion"/>
  </si>
  <si>
    <t>TID_TEXT_LINEUP_GUIDE_TITLE_39</t>
    <phoneticPr fontId="4" type="noConversion"/>
  </si>
  <si>
    <t>TID_TEXT_LINEUP_GUIDE_CONTENT_39</t>
    <phoneticPr fontId="4" type="noConversion"/>
  </si>
  <si>
    <t>&lt;color=#ffc766&gt;暴击率&lt;/color&gt;是该阵容的核心。&lt;color=#ffc766&gt;吕布&lt;/color&gt;在队伍中任意英雄暴击后，有概率进行额外普攻；&lt;color=#ffc766&gt;罗宾汉&lt;/color&gt;能在吕布进行额外普攻时，提供大量的输出增益，进一步提高&lt;color=#ffc766&gt;吕布&lt;/color&gt;的伤害输出。&lt;color=#ffc766&gt;阿提拉&lt;/color&gt;可以为队伍中的两名英雄提供连击状态，大幅提升整体伤害输出。</t>
    <phoneticPr fontId="4" type="noConversion"/>
  </si>
  <si>
    <t>贝利撒留智谋骑</t>
    <phoneticPr fontId="4" type="noConversion"/>
  </si>
  <si>
    <t>TID_TEXT_LINEUP_GUIDE_TITLE_40</t>
    <phoneticPr fontId="4" type="noConversion"/>
  </si>
  <si>
    <t>TID_TEXT_LINEUP_GUIDE_CONTENT_40</t>
    <phoneticPr fontId="4" type="noConversion"/>
  </si>
  <si>
    <t>&lt;color=#ffc766&gt;贝利撒留&lt;/color&gt;在面对单名敌人时，主将技可以造成额外伤害，固有技能可以额外触发装配技能（需装配至少一个追击技能），输出大量伤害，是队伍的核心输出。&lt;color=#ffc766&gt;汉尼拔&lt;/color&gt;的固有技能能够&lt;color=#ffc766&gt;削弱敌军主将&lt;/color&gt;的谋略和防御属性，搭配&lt;color=#ffc766&gt;压迫之袭&lt;/color&gt;可实现全属性削弱，进一步提升&lt;color=#ffc766&gt;贝利撒留&lt;/color&gt;伤害。&lt;color=#ffc766&gt;阿育王&lt;/color&gt;可以提高&lt;color=#ffc766&gt;贝利撒留&lt;/color&gt;固有技能的释放概率，同时使队伍进入&lt;color=#ffc766&gt;免控&lt;/color&gt;状态。</t>
    <phoneticPr fontId="4" type="noConversion"/>
  </si>
  <si>
    <t>&lt;color=#ffc766&gt;贝利撒留&lt;/color&gt;在面对单名敌人时，主将技能够造成额外伤害，固有技能能够额外触发装配技能（需装配至少一个追击技能），输出大量伤害，是队伍的核心输出。&lt;color=#ffc766&gt;汉尼拔&lt;/color&gt;的固有技能能够&lt;color=#ffc766&gt;削弱敌军主将&lt;/color&gt;的谋略和防御属性，搭配&lt;color=#ffc766&gt;压迫之袭&lt;/color&gt;可实现全属性削弱，进一步提升&lt;color=#ffc766&gt;贝利撒留&lt;/color&gt;伤害。&lt;color=#ffc766&gt;阿育王&lt;/color&gt;可以提高&lt;color=#ffc766&gt;贝利撒留&lt;/color&gt;固有技能的释放概率，同时使队伍进入&lt;color=#ffc766&gt;免控&lt;/color&gt;状态。</t>
    <phoneticPr fontId="4" type="noConversion"/>
  </si>
  <si>
    <t>贝利撒留智谋枪</t>
    <phoneticPr fontId="4" type="noConversion"/>
  </si>
  <si>
    <t>TID_TEXT_LINEUP_GUIDE_TITLE_41</t>
    <phoneticPr fontId="4" type="noConversion"/>
  </si>
  <si>
    <t>TID_TEXT_LINEUP_GUIDE_CONTENT_41</t>
    <phoneticPr fontId="4" type="noConversion"/>
  </si>
  <si>
    <t>&lt;color=#ffc766&gt;贝利撒留&lt;/color&gt;在面对单名敌人时，主将技可以造成额外伤害，固有技能可以额外触发装配技能（需装配至少一个追击技能），输出大量伤害，是队伍的核心输出。&lt;color=#ffc766&gt;伊丽莎白一世/color&gt;的固有技能能够&lt;color=#ffc766&gt;将伤害转化为兵力&lt;/color&gt;，在造成伤害的同时，为队伍提供续航能力。&lt;color=#ffc766&gt;阿育王&lt;/color&gt;可以提高&lt;color=#ffc766&gt;贝利撒留&lt;/color&gt;固有技能的释放概率，同时使队伍进入&lt;color=#ffc766&gt;免控&lt;/color&gt;状态。</t>
    <phoneticPr fontId="4" type="noConversion"/>
  </si>
  <si>
    <t>智谋枪</t>
    <phoneticPr fontId="4" type="noConversion"/>
  </si>
  <si>
    <t>吕布亚瑟无双骑</t>
    <phoneticPr fontId="4" type="noConversion"/>
  </si>
  <si>
    <t>TID_TEXT_LINEUP_GUIDE_TITLE_42</t>
    <phoneticPr fontId="4" type="noConversion"/>
  </si>
  <si>
    <t>TID_TEXT_LINEUP_GUIDE_CONTENT_42</t>
    <phoneticPr fontId="4" type="noConversion"/>
  </si>
  <si>
    <t>亚瑟勇武骑的进阶阵容，将输出提升到了极致。&lt;color=#ffc766&gt;吕布&lt;/color&gt;在队伍中任意英雄暴击后，有概率进行额外普攻，搭配追击技能可以输出大量伤害；&lt;color=#ffc766&gt;阿提拉&lt;/color&gt;可以为队伍中的两名英雄提供连击状态，大幅提升整体伤害输出；&lt;color=#ffc766&gt;亚瑟王&lt;/color&gt;自身拥有高额的属性和独特的&lt;color=#ffc766&gt;光辉祝福&lt;/color&gt;状态，能够无视敌方部分防御造成高额伤害。对于没有&lt;color=#ffc766&gt;亚瑟王&lt;/color&gt;的玩家，也可以使用&lt;color=#ffc766&gt;关羽&lt;/color&gt;作为替换，关羽本身拥有高额的暴击率，开场暴击能与吕布配合，造成强力的开场爆发。</t>
    <phoneticPr fontId="4" type="noConversion"/>
  </si>
  <si>
    <t>吕布暴击骑/亚瑟勇武骑</t>
    <phoneticPr fontId="4" type="noConversion"/>
  </si>
  <si>
    <t>策划用</t>
    <phoneticPr fontId="4" type="noConversion"/>
  </si>
  <si>
    <t>1|2|3|4|27</t>
    <phoneticPr fontId="4" type="noConversion"/>
  </si>
  <si>
    <t>36|35|31|30|5|22|7|17|23|8</t>
    <phoneticPr fontId="4" type="noConversion"/>
  </si>
  <si>
    <t>41|34|28|25|21|10|9</t>
  </si>
  <si>
    <t>42|40|39|33|19|16|12|11|13|24</t>
    <phoneticPr fontId="4" type="noConversion"/>
  </si>
  <si>
    <t>38|32|29|15|20|18|26</t>
    <phoneticPr fontId="4" type="noConversion"/>
  </si>
  <si>
    <t>血债血偿</t>
    <phoneticPr fontId="4" type="noConversion"/>
  </si>
  <si>
    <t>都铎玫瑰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</si>
</sst>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4">
    <font>
      <sz val="11"/>
      <color indexed="8"/>
      <name val="等线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等线"/>
      <family val="3"/>
      <charset val="134"/>
    </font>
    <font>
      <sz val="9"/>
      <name val="等线"/>
      <family val="3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</font>
    <font>
      <sz val="11"/>
      <color rgb="FF9C0006"/>
      <name val="宋体"/>
      <family val="2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name val="微软雅黑"/>
      <family val="2"/>
      <charset val="134"/>
    </font>
    <font>
      <b/>
      <sz val="11"/>
      <color theme="7" tint="-0.249977111117893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theme="4" tint="-0.249977111117893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1"/>
      <color rgb="FFC00000"/>
      <name val="微软雅黑"/>
      <family val="2"/>
      <charset val="134"/>
    </font>
    <font>
      <b/>
      <sz val="10"/>
      <color rgb="FFC00000"/>
      <name val="Microsoft YaHei"/>
      <family val="2"/>
      <charset val="134"/>
    </font>
    <font>
      <b/>
      <sz val="1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indexed="8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2" borderId="0" applyNumberFormat="0" applyBorder="0" applyAlignment="0" applyProtection="0">
      <alignment vertical="center"/>
    </xf>
  </cellStyleXfs>
  <cellXfs count="155">
    <xf numFmtId="0" fontId="0" fillId="0" borderId="0" xfId="0" applyAlignment="1"/>
    <xf numFmtId="0" fontId="5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3" borderId="7" xfId="0" applyFont="1" applyFill="1" applyBorder="1">
      <alignment vertical="center"/>
    </xf>
    <xf numFmtId="0" fontId="14" fillId="3" borderId="8" xfId="0" applyFont="1" applyFill="1" applyBorder="1">
      <alignment vertical="center"/>
    </xf>
    <xf numFmtId="0" fontId="14" fillId="3" borderId="9" xfId="0" applyFont="1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7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10" borderId="0" xfId="0" applyFont="1" applyFill="1" applyAlignment="1"/>
    <xf numFmtId="0" fontId="0" fillId="10" borderId="0" xfId="0" applyFill="1" applyAlignment="1"/>
    <xf numFmtId="0" fontId="5" fillId="9" borderId="0" xfId="0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6" fillId="4" borderId="1" xfId="3" applyFont="1" applyFill="1" applyBorder="1" applyAlignment="1">
      <alignment horizontal="center" vertical="center"/>
    </xf>
    <xf numFmtId="0" fontId="5" fillId="4" borderId="1" xfId="3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/>
    </xf>
    <xf numFmtId="49" fontId="10" fillId="0" borderId="1" xfId="2" applyNumberFormat="1" applyFont="1" applyBorder="1" applyAlignment="1">
      <alignment horizontal="center"/>
    </xf>
    <xf numFmtId="49" fontId="10" fillId="0" borderId="1" xfId="4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49" fontId="2" fillId="0" borderId="2" xfId="2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8" fillId="11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12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176" fontId="14" fillId="3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19" fillId="4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176" fontId="10" fillId="4" borderId="1" xfId="0" applyNumberFormat="1" applyFont="1" applyFill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0" fillId="14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0" xfId="0" applyFont="1" applyFill="1">
      <alignment vertical="center"/>
    </xf>
    <xf numFmtId="0" fontId="5" fillId="14" borderId="0" xfId="0" applyFont="1" applyFill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5" fillId="4" borderId="0" xfId="0" applyFont="1" applyFill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9" fillId="4" borderId="0" xfId="0" applyFont="1" applyFill="1">
      <alignment vertical="center"/>
    </xf>
    <xf numFmtId="0" fontId="19" fillId="4" borderId="0" xfId="0" applyFont="1" applyFill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1" applyFont="1" applyFill="1" applyBorder="1" applyAlignment="1">
      <alignment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1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19" fillId="13" borderId="1" xfId="0" applyFont="1" applyFill="1" applyBorder="1" applyAlignment="1">
      <alignment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1" fillId="4" borderId="0" xfId="0" applyNumberFormat="1" applyFont="1" applyFill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176" fontId="21" fillId="0" borderId="0" xfId="0" applyNumberFormat="1" applyFont="1" applyAlignment="1">
      <alignment horizontal="center" vertical="center"/>
    </xf>
    <xf numFmtId="176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23" fillId="4" borderId="0" xfId="0" applyFont="1" applyFill="1">
      <alignment vertical="center"/>
    </xf>
    <xf numFmtId="0" fontId="23" fillId="4" borderId="1" xfId="0" applyFont="1" applyFill="1" applyBorder="1" applyAlignment="1">
      <alignment horizontal="center" vertical="center"/>
    </xf>
    <xf numFmtId="0" fontId="21" fillId="4" borderId="1" xfId="3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</cellXfs>
  <cellStyles count="5">
    <cellStyle name="差" xfId="4" builtinId="27"/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76122722-557D-412D-AFA0-1C7CA9B04480}"/>
  </cellStyles>
  <dxfs count="6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34920;&#26684;\0115Y_&#33521;&#38596;&#25915;&#30053;&#37197;&#32622;&#34920;.xlsx" TargetMode="External"/><Relationship Id="rId1" Type="http://schemas.openxmlformats.org/officeDocument/2006/relationships/externalLinkPath" Target="file:///E:\&#34920;&#26684;\0115Y_&#33521;&#38596;&#25915;&#30053;&#37197;&#3262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34920;&#26684;\0116Y_&#33521;&#38596;&#25915;&#30053;&#37197;&#32622;&#34920;.xlsx" TargetMode="External"/><Relationship Id="rId1" Type="http://schemas.openxmlformats.org/officeDocument/2006/relationships/externalLinkPath" Target="file:///E:\&#34920;&#26684;\0116Y_&#33521;&#38596;&#25915;&#30053;&#37197;&#3262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英雄攻略配置表"/>
      <sheetName val="阵容详细配置表"/>
      <sheetName val="英雄详细配置"/>
      <sheetName val="首充英雄详情"/>
      <sheetName val="#阵容详细配置表(留档)"/>
      <sheetName val="#英雄详细配置（留档）"/>
      <sheetName val="#技能参考"/>
      <sheetName val="#玺戒参考"/>
    </sheetNames>
    <sheetDataSet>
      <sheetData sheetId="0"/>
      <sheetData sheetId="1">
        <row r="1">
          <cell r="A1" t="str">
            <v>convert(ResHero.proto, table_HeroTeamStrategyDetail, HeroTeamStrategyDetail.pbin)</v>
          </cell>
        </row>
        <row r="2">
          <cell r="A2" t="str">
            <v>id</v>
          </cell>
          <cell r="K2" t="str">
            <v>阵容兵种</v>
          </cell>
          <cell r="N2" t="str">
            <v>标签文本</v>
          </cell>
        </row>
        <row r="3">
          <cell r="A3" t="str">
            <v>id</v>
          </cell>
          <cell r="K3" t="str">
            <v>soldierType</v>
          </cell>
          <cell r="N3" t="str">
            <v>tagTxt</v>
          </cell>
        </row>
        <row r="4">
          <cell r="A4">
            <v>1</v>
          </cell>
          <cell r="K4" t="str">
            <v>剑士</v>
          </cell>
          <cell r="N4" t="str">
            <v>新手</v>
          </cell>
        </row>
        <row r="5">
          <cell r="A5">
            <v>2</v>
          </cell>
          <cell r="K5" t="str">
            <v>弓兵</v>
          </cell>
          <cell r="N5" t="str">
            <v>新手</v>
          </cell>
        </row>
        <row r="6">
          <cell r="A6">
            <v>3</v>
          </cell>
          <cell r="K6" t="str">
            <v>枪兵</v>
          </cell>
          <cell r="N6" t="str">
            <v>新手</v>
          </cell>
        </row>
        <row r="7">
          <cell r="A7">
            <v>4</v>
          </cell>
          <cell r="K7" t="str">
            <v>骑兵</v>
          </cell>
          <cell r="N7" t="str">
            <v>新手</v>
          </cell>
        </row>
        <row r="8">
          <cell r="A8">
            <v>5</v>
          </cell>
          <cell r="K8" t="str">
            <v>剑士</v>
          </cell>
          <cell r="N8" t="str">
            <v>智谋</v>
          </cell>
        </row>
        <row r="9">
          <cell r="A9">
            <v>6</v>
          </cell>
          <cell r="K9" t="str">
            <v>剑士</v>
          </cell>
          <cell r="N9" t="str">
            <v>新手</v>
          </cell>
        </row>
        <row r="10">
          <cell r="A10">
            <v>7</v>
          </cell>
          <cell r="K10" t="str">
            <v>剑士</v>
          </cell>
          <cell r="N10" t="str">
            <v>混合</v>
          </cell>
        </row>
        <row r="11">
          <cell r="A11">
            <v>8</v>
          </cell>
          <cell r="K11" t="str">
            <v>剑士</v>
          </cell>
          <cell r="N11" t="str">
            <v>勇武</v>
          </cell>
        </row>
        <row r="12">
          <cell r="A12">
            <v>9</v>
          </cell>
          <cell r="K12" t="str">
            <v>枪兵</v>
          </cell>
          <cell r="N12" t="str">
            <v>统率</v>
          </cell>
        </row>
        <row r="13">
          <cell r="A13">
            <v>10</v>
          </cell>
          <cell r="K13" t="str">
            <v>枪兵</v>
          </cell>
          <cell r="N13" t="str">
            <v>勇武</v>
          </cell>
        </row>
        <row r="14">
          <cell r="A14">
            <v>11</v>
          </cell>
          <cell r="K14" t="str">
            <v>骑兵</v>
          </cell>
          <cell r="N14" t="str">
            <v>智谋</v>
          </cell>
        </row>
        <row r="15">
          <cell r="A15">
            <v>12</v>
          </cell>
          <cell r="K15" t="str">
            <v>骑兵</v>
          </cell>
          <cell r="N15" t="str">
            <v>统率</v>
          </cell>
        </row>
        <row r="16">
          <cell r="A16">
            <v>13</v>
          </cell>
          <cell r="K16" t="str">
            <v>骑兵</v>
          </cell>
          <cell r="N16" t="str">
            <v>勇武</v>
          </cell>
        </row>
        <row r="17">
          <cell r="A17">
            <v>15</v>
          </cell>
          <cell r="K17" t="str">
            <v>弓兵</v>
          </cell>
          <cell r="N17" t="str">
            <v>智谋</v>
          </cell>
        </row>
        <row r="18">
          <cell r="A18">
            <v>16</v>
          </cell>
          <cell r="K18" t="str">
            <v>骑兵</v>
          </cell>
          <cell r="N18" t="str">
            <v>勇武</v>
          </cell>
        </row>
        <row r="19">
          <cell r="A19">
            <v>17</v>
          </cell>
          <cell r="K19" t="str">
            <v>剑士</v>
          </cell>
          <cell r="N19" t="str">
            <v>勇武</v>
          </cell>
        </row>
        <row r="20">
          <cell r="A20">
            <v>18</v>
          </cell>
          <cell r="K20" t="str">
            <v>弓兵</v>
          </cell>
          <cell r="N20" t="str">
            <v>勇武</v>
          </cell>
        </row>
        <row r="21">
          <cell r="A21">
            <v>19</v>
          </cell>
          <cell r="K21" t="str">
            <v>骑兵</v>
          </cell>
          <cell r="N21" t="str">
            <v>勇武</v>
          </cell>
        </row>
        <row r="22">
          <cell r="A22">
            <v>20</v>
          </cell>
          <cell r="K22" t="str">
            <v>弓兵</v>
          </cell>
          <cell r="N22" t="str">
            <v>勇武</v>
          </cell>
        </row>
        <row r="23">
          <cell r="A23">
            <v>21</v>
          </cell>
          <cell r="K23" t="str">
            <v>枪兵</v>
          </cell>
          <cell r="N23" t="str">
            <v>统率</v>
          </cell>
        </row>
        <row r="24">
          <cell r="A24">
            <v>22</v>
          </cell>
          <cell r="K24" t="str">
            <v>剑士</v>
          </cell>
          <cell r="N24" t="str">
            <v>勇武</v>
          </cell>
        </row>
        <row r="25">
          <cell r="A25">
            <v>23</v>
          </cell>
          <cell r="K25" t="str">
            <v>剑士</v>
          </cell>
          <cell r="N25" t="str">
            <v>统率</v>
          </cell>
        </row>
        <row r="26">
          <cell r="A26">
            <v>24</v>
          </cell>
          <cell r="K26" t="str">
            <v>骑兵</v>
          </cell>
          <cell r="N26" t="str">
            <v>统率</v>
          </cell>
        </row>
        <row r="27">
          <cell r="A27">
            <v>25</v>
          </cell>
          <cell r="K27" t="str">
            <v>枪兵</v>
          </cell>
          <cell r="N27" t="str">
            <v>勇武</v>
          </cell>
        </row>
        <row r="28">
          <cell r="A28">
            <v>26</v>
          </cell>
          <cell r="K28" t="str">
            <v>弓兵</v>
          </cell>
          <cell r="N28" t="str">
            <v>智谋</v>
          </cell>
        </row>
        <row r="29">
          <cell r="A29">
            <v>27</v>
          </cell>
          <cell r="K29" t="str">
            <v>骑兵</v>
          </cell>
          <cell r="N29" t="str">
            <v>新手</v>
          </cell>
        </row>
        <row r="30">
          <cell r="A30">
            <v>28</v>
          </cell>
          <cell r="K30" t="str">
            <v>枪兵</v>
          </cell>
          <cell r="N30" t="str">
            <v>勇武</v>
          </cell>
        </row>
        <row r="31">
          <cell r="A31">
            <v>29</v>
          </cell>
          <cell r="K31" t="str">
            <v>弓兵</v>
          </cell>
          <cell r="N31" t="str">
            <v>勇武</v>
          </cell>
        </row>
        <row r="32">
          <cell r="A32">
            <v>30</v>
          </cell>
          <cell r="K32" t="str">
            <v>剑士</v>
          </cell>
          <cell r="N32" t="str">
            <v>勇武</v>
          </cell>
        </row>
        <row r="33">
          <cell r="A33">
            <v>31</v>
          </cell>
          <cell r="K33" t="str">
            <v>剑士</v>
          </cell>
          <cell r="N33" t="str">
            <v>智谋</v>
          </cell>
        </row>
        <row r="34">
          <cell r="A34">
            <v>32</v>
          </cell>
          <cell r="K34" t="str">
            <v>弓兵</v>
          </cell>
          <cell r="N34" t="str">
            <v>智谋</v>
          </cell>
        </row>
        <row r="35">
          <cell r="A35">
            <v>33</v>
          </cell>
          <cell r="K35" t="str">
            <v>骑兵</v>
          </cell>
          <cell r="N35" t="str">
            <v>统率</v>
          </cell>
        </row>
        <row r="36">
          <cell r="A36">
            <v>34</v>
          </cell>
          <cell r="K36" t="str">
            <v>枪兵</v>
          </cell>
          <cell r="N36" t="str">
            <v>勇武</v>
          </cell>
        </row>
        <row r="37">
          <cell r="A37">
            <v>35</v>
          </cell>
          <cell r="K37" t="str">
            <v>剑士</v>
          </cell>
          <cell r="N37" t="str">
            <v>勇武</v>
          </cell>
        </row>
        <row r="38">
          <cell r="A38">
            <v>36</v>
          </cell>
          <cell r="K38" t="str">
            <v>剑士</v>
          </cell>
          <cell r="N38" t="str">
            <v>勇武</v>
          </cell>
        </row>
        <row r="39">
          <cell r="A39">
            <v>37</v>
          </cell>
          <cell r="K39" t="str">
            <v>剑士</v>
          </cell>
          <cell r="N39" t="str">
            <v>勇武</v>
          </cell>
        </row>
        <row r="40">
          <cell r="A40">
            <v>38</v>
          </cell>
          <cell r="K40" t="str">
            <v>弓兵</v>
          </cell>
          <cell r="N40" t="str">
            <v>勇武</v>
          </cell>
        </row>
        <row r="41">
          <cell r="A41">
            <v>39</v>
          </cell>
          <cell r="K41" t="str">
            <v>骑兵</v>
          </cell>
          <cell r="N41" t="str">
            <v>勇武</v>
          </cell>
        </row>
        <row r="42">
          <cell r="A42">
            <v>40</v>
          </cell>
          <cell r="K42" t="str">
            <v>骑兵</v>
          </cell>
          <cell r="N42" t="str">
            <v>智谋</v>
          </cell>
        </row>
        <row r="43">
          <cell r="A43">
            <v>41</v>
          </cell>
          <cell r="K43" t="str">
            <v>枪兵</v>
          </cell>
          <cell r="N43" t="str">
            <v>智谋</v>
          </cell>
        </row>
        <row r="44">
          <cell r="A44">
            <v>42</v>
          </cell>
          <cell r="K44" t="str">
            <v>骑兵</v>
          </cell>
          <cell r="N44" t="str">
            <v>勇武</v>
          </cell>
        </row>
      </sheetData>
      <sheetData sheetId="2">
        <row r="1">
          <cell r="A1" t="str">
            <v>convert(ResHero.proto, table_HeroStrategyDetail, HeroStrategyDetail.pbin)</v>
          </cell>
        </row>
        <row r="2">
          <cell r="A2" t="str">
            <v>id</v>
          </cell>
          <cell r="B2" t="str">
            <v>所属阵容</v>
          </cell>
          <cell r="C2" t="str">
            <v>位置</v>
          </cell>
        </row>
        <row r="3">
          <cell r="A3" t="str">
            <v>id</v>
          </cell>
        </row>
        <row r="4">
          <cell r="A4">
            <v>1036</v>
          </cell>
          <cell r="B4">
            <v>1</v>
          </cell>
          <cell r="C4">
            <v>1</v>
          </cell>
        </row>
        <row r="5">
          <cell r="A5">
            <v>1056</v>
          </cell>
          <cell r="B5">
            <v>1</v>
          </cell>
          <cell r="C5">
            <v>2</v>
          </cell>
        </row>
        <row r="6">
          <cell r="A6">
            <v>1211</v>
          </cell>
          <cell r="B6">
            <v>1</v>
          </cell>
        </row>
        <row r="7">
          <cell r="A7">
            <v>1055</v>
          </cell>
          <cell r="B7">
            <v>1</v>
          </cell>
          <cell r="C7">
            <v>3</v>
          </cell>
        </row>
        <row r="8">
          <cell r="A8">
            <v>12111</v>
          </cell>
          <cell r="B8">
            <v>1</v>
          </cell>
        </row>
        <row r="9">
          <cell r="A9">
            <v>2009</v>
          </cell>
          <cell r="B9">
            <v>2</v>
          </cell>
          <cell r="C9">
            <v>1</v>
          </cell>
        </row>
        <row r="10">
          <cell r="A10">
            <v>2036</v>
          </cell>
          <cell r="B10">
            <v>2</v>
          </cell>
          <cell r="C10">
            <v>2</v>
          </cell>
        </row>
        <row r="11">
          <cell r="A11">
            <v>2055</v>
          </cell>
          <cell r="B11">
            <v>2</v>
          </cell>
        </row>
        <row r="12">
          <cell r="A12">
            <v>2208</v>
          </cell>
          <cell r="B12">
            <v>2</v>
          </cell>
        </row>
        <row r="13">
          <cell r="A13">
            <v>2076</v>
          </cell>
          <cell r="B13">
            <v>2</v>
          </cell>
          <cell r="C13">
            <v>3</v>
          </cell>
        </row>
        <row r="14">
          <cell r="A14">
            <v>20551</v>
          </cell>
          <cell r="B14">
            <v>2</v>
          </cell>
        </row>
        <row r="15">
          <cell r="A15">
            <v>22081</v>
          </cell>
          <cell r="B15">
            <v>2</v>
          </cell>
        </row>
        <row r="16">
          <cell r="A16">
            <v>3013</v>
          </cell>
          <cell r="B16">
            <v>3</v>
          </cell>
          <cell r="C16">
            <v>1</v>
          </cell>
        </row>
        <row r="17">
          <cell r="A17">
            <v>3001</v>
          </cell>
          <cell r="B17">
            <v>3</v>
          </cell>
          <cell r="C17">
            <v>2</v>
          </cell>
        </row>
        <row r="18">
          <cell r="A18">
            <v>3019</v>
          </cell>
          <cell r="B18">
            <v>3</v>
          </cell>
        </row>
        <row r="19">
          <cell r="A19">
            <v>3017</v>
          </cell>
          <cell r="B19">
            <v>3</v>
          </cell>
          <cell r="C19">
            <v>3</v>
          </cell>
        </row>
        <row r="20">
          <cell r="A20">
            <v>3207</v>
          </cell>
          <cell r="B20">
            <v>3</v>
          </cell>
        </row>
        <row r="21">
          <cell r="A21">
            <v>4005</v>
          </cell>
          <cell r="B21">
            <v>4</v>
          </cell>
          <cell r="C21">
            <v>1</v>
          </cell>
        </row>
        <row r="22">
          <cell r="A22">
            <v>4019</v>
          </cell>
          <cell r="B22">
            <v>4</v>
          </cell>
        </row>
        <row r="23">
          <cell r="A23">
            <v>4202</v>
          </cell>
          <cell r="B23">
            <v>4</v>
          </cell>
        </row>
        <row r="24">
          <cell r="A24">
            <v>4056</v>
          </cell>
          <cell r="B24">
            <v>4</v>
          </cell>
          <cell r="C24">
            <v>2</v>
          </cell>
        </row>
        <row r="25">
          <cell r="A25">
            <v>40191</v>
          </cell>
          <cell r="B25">
            <v>4</v>
          </cell>
        </row>
        <row r="26">
          <cell r="A26">
            <v>4215</v>
          </cell>
          <cell r="B26">
            <v>4</v>
          </cell>
        </row>
        <row r="27">
          <cell r="A27">
            <v>4076</v>
          </cell>
          <cell r="B27">
            <v>4</v>
          </cell>
          <cell r="C27">
            <v>3</v>
          </cell>
        </row>
        <row r="28">
          <cell r="A28">
            <v>42151</v>
          </cell>
          <cell r="B28">
            <v>4</v>
          </cell>
        </row>
        <row r="29">
          <cell r="A29">
            <v>5014</v>
          </cell>
          <cell r="B29">
            <v>5</v>
          </cell>
          <cell r="C29">
            <v>1</v>
          </cell>
        </row>
        <row r="30">
          <cell r="A30">
            <v>5004</v>
          </cell>
          <cell r="B30">
            <v>5</v>
          </cell>
        </row>
        <row r="31">
          <cell r="A31">
            <v>5016</v>
          </cell>
          <cell r="B31">
            <v>5</v>
          </cell>
          <cell r="C31">
            <v>2</v>
          </cell>
        </row>
        <row r="32">
          <cell r="A32">
            <v>50041</v>
          </cell>
          <cell r="B32">
            <v>5</v>
          </cell>
        </row>
        <row r="33">
          <cell r="A33">
            <v>5205</v>
          </cell>
          <cell r="B33">
            <v>5</v>
          </cell>
        </row>
        <row r="34">
          <cell r="A34">
            <v>5062</v>
          </cell>
          <cell r="B34">
            <v>5</v>
          </cell>
          <cell r="C34">
            <v>3</v>
          </cell>
        </row>
        <row r="35">
          <cell r="A35">
            <v>50161</v>
          </cell>
          <cell r="B35">
            <v>5</v>
          </cell>
        </row>
        <row r="36">
          <cell r="A36">
            <v>5209</v>
          </cell>
          <cell r="B36">
            <v>5</v>
          </cell>
        </row>
        <row r="37">
          <cell r="A37">
            <v>6003</v>
          </cell>
          <cell r="B37">
            <v>6</v>
          </cell>
          <cell r="C37">
            <v>1</v>
          </cell>
        </row>
        <row r="38">
          <cell r="A38">
            <v>6002</v>
          </cell>
          <cell r="B38">
            <v>6</v>
          </cell>
          <cell r="C38">
            <v>2</v>
          </cell>
        </row>
        <row r="39">
          <cell r="A39">
            <v>6036</v>
          </cell>
          <cell r="B39">
            <v>6</v>
          </cell>
        </row>
        <row r="40">
          <cell r="A40">
            <v>6201</v>
          </cell>
          <cell r="B40">
            <v>6</v>
          </cell>
          <cell r="C40">
            <v>3</v>
          </cell>
        </row>
        <row r="41">
          <cell r="A41">
            <v>6004</v>
          </cell>
          <cell r="B41">
            <v>6</v>
          </cell>
        </row>
        <row r="42">
          <cell r="A42">
            <v>6056</v>
          </cell>
          <cell r="B42">
            <v>6</v>
          </cell>
        </row>
        <row r="43">
          <cell r="A43">
            <v>7021</v>
          </cell>
          <cell r="B43">
            <v>7</v>
          </cell>
          <cell r="C43">
            <v>1</v>
          </cell>
        </row>
        <row r="44">
          <cell r="A44">
            <v>7077</v>
          </cell>
          <cell r="B44">
            <v>7</v>
          </cell>
          <cell r="C44">
            <v>2</v>
          </cell>
        </row>
        <row r="45">
          <cell r="A45">
            <v>7091</v>
          </cell>
          <cell r="B45">
            <v>7</v>
          </cell>
        </row>
        <row r="46">
          <cell r="A46">
            <v>7061</v>
          </cell>
          <cell r="B46">
            <v>7</v>
          </cell>
        </row>
        <row r="47">
          <cell r="A47">
            <v>7008</v>
          </cell>
          <cell r="B47">
            <v>7</v>
          </cell>
          <cell r="C47">
            <v>3</v>
          </cell>
        </row>
        <row r="48">
          <cell r="A48">
            <v>7055</v>
          </cell>
          <cell r="B48">
            <v>7</v>
          </cell>
        </row>
        <row r="49">
          <cell r="A49">
            <v>7056</v>
          </cell>
          <cell r="B49">
            <v>7</v>
          </cell>
        </row>
        <row r="50">
          <cell r="A50">
            <v>8036</v>
          </cell>
          <cell r="B50">
            <v>8</v>
          </cell>
          <cell r="C50">
            <v>1</v>
          </cell>
        </row>
        <row r="51">
          <cell r="A51">
            <v>8061</v>
          </cell>
          <cell r="B51">
            <v>8</v>
          </cell>
          <cell r="C51">
            <v>2</v>
          </cell>
        </row>
        <row r="52">
          <cell r="A52">
            <v>8055</v>
          </cell>
          <cell r="B52">
            <v>8</v>
          </cell>
          <cell r="C52">
            <v>3</v>
          </cell>
        </row>
        <row r="53">
          <cell r="A53">
            <v>9003</v>
          </cell>
          <cell r="B53">
            <v>9</v>
          </cell>
          <cell r="C53">
            <v>1</v>
          </cell>
        </row>
        <row r="54">
          <cell r="A54">
            <v>9034</v>
          </cell>
          <cell r="B54">
            <v>9</v>
          </cell>
          <cell r="C54">
            <v>2</v>
          </cell>
        </row>
        <row r="55">
          <cell r="A55">
            <v>90781</v>
          </cell>
          <cell r="B55">
            <v>9</v>
          </cell>
        </row>
        <row r="56">
          <cell r="A56">
            <v>9213</v>
          </cell>
          <cell r="B56">
            <v>9</v>
          </cell>
        </row>
        <row r="57">
          <cell r="A57">
            <v>9078</v>
          </cell>
          <cell r="B57">
            <v>9</v>
          </cell>
          <cell r="C57">
            <v>3</v>
          </cell>
        </row>
        <row r="58">
          <cell r="A58">
            <v>9064</v>
          </cell>
          <cell r="B58">
            <v>9</v>
          </cell>
        </row>
        <row r="59">
          <cell r="A59">
            <v>9203</v>
          </cell>
          <cell r="B59">
            <v>9</v>
          </cell>
        </row>
        <row r="60">
          <cell r="A60">
            <v>10042</v>
          </cell>
          <cell r="B60">
            <v>10</v>
          </cell>
          <cell r="C60">
            <v>1</v>
          </cell>
        </row>
        <row r="61">
          <cell r="A61">
            <v>10013</v>
          </cell>
          <cell r="B61">
            <v>10</v>
          </cell>
        </row>
        <row r="62">
          <cell r="A62">
            <v>10001</v>
          </cell>
          <cell r="B62">
            <v>10</v>
          </cell>
        </row>
        <row r="63">
          <cell r="A63">
            <v>10011</v>
          </cell>
          <cell r="B63">
            <v>10</v>
          </cell>
          <cell r="C63">
            <v>2</v>
          </cell>
        </row>
        <row r="64">
          <cell r="A64">
            <v>100131</v>
          </cell>
          <cell r="B64">
            <v>10</v>
          </cell>
        </row>
        <row r="65">
          <cell r="A65">
            <v>100011</v>
          </cell>
          <cell r="B65">
            <v>10</v>
          </cell>
        </row>
        <row r="66">
          <cell r="A66">
            <v>10019</v>
          </cell>
          <cell r="B66">
            <v>10</v>
          </cell>
        </row>
        <row r="67">
          <cell r="A67">
            <v>10017</v>
          </cell>
          <cell r="B67">
            <v>10</v>
          </cell>
          <cell r="C67">
            <v>3</v>
          </cell>
        </row>
        <row r="68">
          <cell r="A68">
            <v>100191</v>
          </cell>
          <cell r="B68">
            <v>10</v>
          </cell>
        </row>
        <row r="69">
          <cell r="A69">
            <v>10207</v>
          </cell>
          <cell r="B69">
            <v>10</v>
          </cell>
        </row>
        <row r="70">
          <cell r="A70">
            <v>11023</v>
          </cell>
          <cell r="B70">
            <v>11</v>
          </cell>
          <cell r="C70">
            <v>1</v>
          </cell>
        </row>
        <row r="71">
          <cell r="A71">
            <v>11004</v>
          </cell>
          <cell r="B71">
            <v>11</v>
          </cell>
        </row>
        <row r="72">
          <cell r="A72">
            <v>11010</v>
          </cell>
          <cell r="B72">
            <v>11</v>
          </cell>
          <cell r="C72">
            <v>2</v>
          </cell>
        </row>
        <row r="73">
          <cell r="A73">
            <v>110041</v>
          </cell>
          <cell r="B73">
            <v>11</v>
          </cell>
        </row>
        <row r="74">
          <cell r="A74">
            <v>11210</v>
          </cell>
          <cell r="B74">
            <v>11</v>
          </cell>
        </row>
        <row r="75">
          <cell r="A75">
            <v>11075</v>
          </cell>
          <cell r="B75">
            <v>11</v>
          </cell>
          <cell r="C75">
            <v>3</v>
          </cell>
        </row>
        <row r="76">
          <cell r="A76">
            <v>11032</v>
          </cell>
          <cell r="B76">
            <v>11</v>
          </cell>
        </row>
        <row r="77">
          <cell r="A77">
            <v>110042</v>
          </cell>
          <cell r="B77">
            <v>11</v>
          </cell>
        </row>
        <row r="78">
          <cell r="A78">
            <v>12047</v>
          </cell>
          <cell r="B78">
            <v>12</v>
          </cell>
          <cell r="C78">
            <v>1</v>
          </cell>
        </row>
        <row r="79">
          <cell r="A79">
            <v>12063</v>
          </cell>
          <cell r="B79">
            <v>12</v>
          </cell>
          <cell r="C79">
            <v>2</v>
          </cell>
        </row>
        <row r="80">
          <cell r="A80">
            <v>12064</v>
          </cell>
          <cell r="B80">
            <v>12</v>
          </cell>
        </row>
        <row r="81">
          <cell r="A81">
            <v>12206</v>
          </cell>
          <cell r="B81">
            <v>12</v>
          </cell>
        </row>
        <row r="82">
          <cell r="A82">
            <v>120641</v>
          </cell>
          <cell r="B82">
            <v>12</v>
          </cell>
          <cell r="C82">
            <v>3</v>
          </cell>
        </row>
        <row r="83">
          <cell r="A83">
            <v>12032</v>
          </cell>
          <cell r="B83">
            <v>12</v>
          </cell>
        </row>
        <row r="84">
          <cell r="A84">
            <v>13005</v>
          </cell>
          <cell r="B84">
            <v>13</v>
          </cell>
          <cell r="C84">
            <v>1</v>
          </cell>
        </row>
        <row r="85">
          <cell r="A85">
            <v>13019</v>
          </cell>
          <cell r="B85">
            <v>13</v>
          </cell>
        </row>
        <row r="86">
          <cell r="A86">
            <v>13056</v>
          </cell>
          <cell r="B86">
            <v>13</v>
          </cell>
          <cell r="C86">
            <v>2</v>
          </cell>
        </row>
        <row r="87">
          <cell r="A87">
            <v>130191</v>
          </cell>
          <cell r="B87">
            <v>13</v>
          </cell>
        </row>
        <row r="88">
          <cell r="A88">
            <v>13032</v>
          </cell>
          <cell r="B88">
            <v>13</v>
          </cell>
          <cell r="C88">
            <v>3</v>
          </cell>
        </row>
        <row r="89">
          <cell r="A89">
            <v>13076</v>
          </cell>
          <cell r="B89">
            <v>13</v>
          </cell>
        </row>
        <row r="90">
          <cell r="A90">
            <v>14006</v>
          </cell>
          <cell r="B90">
            <v>14</v>
          </cell>
        </row>
        <row r="91">
          <cell r="A91">
            <v>14012</v>
          </cell>
          <cell r="B91">
            <v>14</v>
          </cell>
        </row>
        <row r="92">
          <cell r="A92">
            <v>14074</v>
          </cell>
          <cell r="B92">
            <v>14</v>
          </cell>
        </row>
        <row r="93">
          <cell r="A93">
            <v>15093</v>
          </cell>
          <cell r="B93">
            <v>15</v>
          </cell>
          <cell r="C93">
            <v>1</v>
          </cell>
        </row>
        <row r="94">
          <cell r="A94">
            <v>15020</v>
          </cell>
          <cell r="B94">
            <v>15</v>
          </cell>
        </row>
        <row r="95">
          <cell r="A95">
            <v>15092</v>
          </cell>
          <cell r="B95">
            <v>15</v>
          </cell>
          <cell r="C95">
            <v>2</v>
          </cell>
        </row>
        <row r="96">
          <cell r="A96">
            <v>150201</v>
          </cell>
          <cell r="B96">
            <v>15</v>
          </cell>
        </row>
        <row r="97">
          <cell r="A97">
            <v>15062</v>
          </cell>
          <cell r="B97">
            <v>15</v>
          </cell>
          <cell r="C97">
            <v>3</v>
          </cell>
        </row>
        <row r="98">
          <cell r="A98">
            <v>15212</v>
          </cell>
          <cell r="B98">
            <v>15</v>
          </cell>
        </row>
        <row r="99">
          <cell r="A99">
            <v>16021</v>
          </cell>
          <cell r="B99">
            <v>16</v>
          </cell>
          <cell r="C99">
            <v>1</v>
          </cell>
        </row>
        <row r="100">
          <cell r="A100">
            <v>16056</v>
          </cell>
          <cell r="B100">
            <v>16</v>
          </cell>
          <cell r="C100">
            <v>2</v>
          </cell>
        </row>
        <row r="101">
          <cell r="A101">
            <v>16019</v>
          </cell>
          <cell r="B101">
            <v>16</v>
          </cell>
        </row>
        <row r="102">
          <cell r="A102">
            <v>16032</v>
          </cell>
          <cell r="B102">
            <v>16</v>
          </cell>
          <cell r="C102">
            <v>3</v>
          </cell>
        </row>
        <row r="103">
          <cell r="A103">
            <v>16076</v>
          </cell>
          <cell r="B103">
            <v>16</v>
          </cell>
        </row>
        <row r="104">
          <cell r="A104">
            <v>17091</v>
          </cell>
          <cell r="B104">
            <v>17</v>
          </cell>
          <cell r="C104">
            <v>1</v>
          </cell>
        </row>
        <row r="105">
          <cell r="A105">
            <v>17036</v>
          </cell>
          <cell r="B105">
            <v>17</v>
          </cell>
        </row>
        <row r="106">
          <cell r="A106">
            <v>17077</v>
          </cell>
          <cell r="B106">
            <v>17</v>
          </cell>
          <cell r="C106">
            <v>2</v>
          </cell>
        </row>
        <row r="107">
          <cell r="A107">
            <v>17055</v>
          </cell>
          <cell r="B107">
            <v>17</v>
          </cell>
        </row>
        <row r="108">
          <cell r="A108">
            <v>17056</v>
          </cell>
          <cell r="B108">
            <v>17</v>
          </cell>
        </row>
        <row r="109">
          <cell r="A109">
            <v>17008</v>
          </cell>
          <cell r="B109">
            <v>17</v>
          </cell>
          <cell r="C109">
            <v>3</v>
          </cell>
        </row>
        <row r="110">
          <cell r="A110">
            <v>17061</v>
          </cell>
          <cell r="B110">
            <v>17</v>
          </cell>
        </row>
        <row r="111">
          <cell r="A111">
            <v>18009</v>
          </cell>
          <cell r="B111">
            <v>18</v>
          </cell>
          <cell r="C111">
            <v>1</v>
          </cell>
        </row>
        <row r="112">
          <cell r="A112">
            <v>18036</v>
          </cell>
          <cell r="B112">
            <v>18</v>
          </cell>
        </row>
        <row r="113">
          <cell r="A113">
            <v>180361</v>
          </cell>
          <cell r="B113">
            <v>18</v>
          </cell>
          <cell r="C113">
            <v>2</v>
          </cell>
        </row>
        <row r="114">
          <cell r="A114">
            <v>18055</v>
          </cell>
          <cell r="B114">
            <v>18</v>
          </cell>
        </row>
        <row r="115">
          <cell r="A115">
            <v>18032</v>
          </cell>
          <cell r="B115">
            <v>18</v>
          </cell>
          <cell r="C115">
            <v>3</v>
          </cell>
        </row>
        <row r="116">
          <cell r="A116">
            <v>18076</v>
          </cell>
          <cell r="B116">
            <v>18</v>
          </cell>
        </row>
        <row r="117">
          <cell r="A117">
            <v>19037</v>
          </cell>
          <cell r="B117">
            <v>19</v>
          </cell>
          <cell r="C117">
            <v>1</v>
          </cell>
        </row>
        <row r="118">
          <cell r="A118">
            <v>19005</v>
          </cell>
          <cell r="B118">
            <v>19</v>
          </cell>
          <cell r="C118">
            <v>1</v>
          </cell>
        </row>
        <row r="119">
          <cell r="A119">
            <v>19019</v>
          </cell>
          <cell r="B119">
            <v>19</v>
          </cell>
          <cell r="C119">
            <v>1</v>
          </cell>
        </row>
        <row r="120">
          <cell r="A120">
            <v>190051</v>
          </cell>
          <cell r="B120">
            <v>19</v>
          </cell>
          <cell r="C120">
            <v>2</v>
          </cell>
        </row>
        <row r="121">
          <cell r="A121">
            <v>19056</v>
          </cell>
          <cell r="B121">
            <v>19</v>
          </cell>
          <cell r="C121">
            <v>2</v>
          </cell>
        </row>
        <row r="122">
          <cell r="A122">
            <v>190191</v>
          </cell>
          <cell r="B122">
            <v>19</v>
          </cell>
          <cell r="C122">
            <v>2</v>
          </cell>
        </row>
        <row r="123">
          <cell r="A123">
            <v>19032</v>
          </cell>
          <cell r="B123">
            <v>19</v>
          </cell>
          <cell r="C123">
            <v>3</v>
          </cell>
        </row>
        <row r="124">
          <cell r="A124">
            <v>19076</v>
          </cell>
          <cell r="B124">
            <v>19</v>
          </cell>
          <cell r="C124">
            <v>3</v>
          </cell>
        </row>
        <row r="125">
          <cell r="A125">
            <v>20069</v>
          </cell>
          <cell r="B125">
            <v>20</v>
          </cell>
          <cell r="C125">
            <v>1</v>
          </cell>
        </row>
        <row r="126">
          <cell r="A126">
            <v>20032</v>
          </cell>
          <cell r="B126">
            <v>20</v>
          </cell>
          <cell r="C126">
            <v>2</v>
          </cell>
        </row>
        <row r="127">
          <cell r="A127">
            <v>20076</v>
          </cell>
          <cell r="B127">
            <v>20</v>
          </cell>
        </row>
        <row r="128">
          <cell r="A128">
            <v>20009</v>
          </cell>
          <cell r="B128">
            <v>20</v>
          </cell>
          <cell r="C128">
            <v>3</v>
          </cell>
        </row>
        <row r="129">
          <cell r="A129">
            <v>20036</v>
          </cell>
          <cell r="B129">
            <v>20</v>
          </cell>
        </row>
        <row r="130">
          <cell r="A130">
            <v>21078</v>
          </cell>
          <cell r="B130">
            <v>21</v>
          </cell>
          <cell r="C130">
            <v>1</v>
          </cell>
        </row>
        <row r="131">
          <cell r="A131">
            <v>21034</v>
          </cell>
          <cell r="B131">
            <v>21</v>
          </cell>
          <cell r="C131">
            <v>2</v>
          </cell>
        </row>
        <row r="132">
          <cell r="A132">
            <v>21003</v>
          </cell>
          <cell r="B132">
            <v>21</v>
          </cell>
        </row>
        <row r="133">
          <cell r="A133">
            <v>21064</v>
          </cell>
          <cell r="B133">
            <v>21</v>
          </cell>
          <cell r="C133">
            <v>3</v>
          </cell>
        </row>
        <row r="134">
          <cell r="A134">
            <v>210031</v>
          </cell>
          <cell r="B134">
            <v>21</v>
          </cell>
        </row>
        <row r="135">
          <cell r="A135">
            <v>22106</v>
          </cell>
          <cell r="B135">
            <v>22</v>
          </cell>
          <cell r="C135">
            <v>1</v>
          </cell>
        </row>
        <row r="136">
          <cell r="A136">
            <v>22077</v>
          </cell>
          <cell r="B136">
            <v>22</v>
          </cell>
          <cell r="C136">
            <v>2</v>
          </cell>
        </row>
        <row r="137">
          <cell r="A137">
            <v>22091</v>
          </cell>
          <cell r="B137">
            <v>22</v>
          </cell>
        </row>
        <row r="138">
          <cell r="A138">
            <v>22008</v>
          </cell>
          <cell r="B138">
            <v>22</v>
          </cell>
          <cell r="C138">
            <v>3</v>
          </cell>
        </row>
        <row r="139">
          <cell r="A139">
            <v>220911</v>
          </cell>
          <cell r="B139">
            <v>22</v>
          </cell>
        </row>
        <row r="140">
          <cell r="A140">
            <v>22061</v>
          </cell>
          <cell r="B140">
            <v>22</v>
          </cell>
        </row>
        <row r="141">
          <cell r="A141">
            <v>23104</v>
          </cell>
          <cell r="B141">
            <v>23</v>
          </cell>
          <cell r="C141">
            <v>1</v>
          </cell>
        </row>
        <row r="142">
          <cell r="A142">
            <v>23002</v>
          </cell>
          <cell r="B142">
            <v>23</v>
          </cell>
          <cell r="C142">
            <v>2</v>
          </cell>
        </row>
        <row r="143">
          <cell r="A143">
            <v>23102</v>
          </cell>
          <cell r="B143">
            <v>23</v>
          </cell>
          <cell r="C143">
            <v>3</v>
          </cell>
        </row>
        <row r="144">
          <cell r="A144">
            <v>24105</v>
          </cell>
          <cell r="B144">
            <v>24</v>
          </cell>
          <cell r="C144">
            <v>1</v>
          </cell>
        </row>
        <row r="145">
          <cell r="A145">
            <v>24103</v>
          </cell>
          <cell r="B145">
            <v>24</v>
          </cell>
          <cell r="C145">
            <v>2</v>
          </cell>
        </row>
        <row r="146">
          <cell r="A146">
            <v>24064</v>
          </cell>
          <cell r="B146">
            <v>24</v>
          </cell>
          <cell r="C146">
            <v>3</v>
          </cell>
        </row>
        <row r="147">
          <cell r="A147">
            <v>25042</v>
          </cell>
          <cell r="B147">
            <v>25</v>
          </cell>
          <cell r="C147">
            <v>1</v>
          </cell>
        </row>
        <row r="148">
          <cell r="A148">
            <v>25013</v>
          </cell>
          <cell r="B148">
            <v>25</v>
          </cell>
        </row>
        <row r="149">
          <cell r="A149">
            <v>25001</v>
          </cell>
          <cell r="B149">
            <v>25</v>
          </cell>
        </row>
        <row r="150">
          <cell r="A150">
            <v>250131</v>
          </cell>
          <cell r="B150">
            <v>25</v>
          </cell>
          <cell r="C150">
            <v>2</v>
          </cell>
        </row>
        <row r="151">
          <cell r="A151">
            <v>250011</v>
          </cell>
          <cell r="B151">
            <v>25</v>
          </cell>
        </row>
        <row r="152">
          <cell r="A152">
            <v>25019</v>
          </cell>
          <cell r="B152">
            <v>25</v>
          </cell>
        </row>
        <row r="153">
          <cell r="A153">
            <v>25017</v>
          </cell>
          <cell r="B153">
            <v>25</v>
          </cell>
          <cell r="C153">
            <v>3</v>
          </cell>
        </row>
        <row r="154">
          <cell r="A154">
            <v>250191</v>
          </cell>
          <cell r="B154">
            <v>25</v>
          </cell>
        </row>
        <row r="155">
          <cell r="A155">
            <v>25207</v>
          </cell>
          <cell r="B155">
            <v>25</v>
          </cell>
        </row>
        <row r="156">
          <cell r="A156">
            <v>26020</v>
          </cell>
          <cell r="B156">
            <v>26</v>
          </cell>
          <cell r="C156">
            <v>1</v>
          </cell>
        </row>
        <row r="157">
          <cell r="A157">
            <v>26092</v>
          </cell>
          <cell r="B157">
            <v>26</v>
          </cell>
          <cell r="C157">
            <v>2</v>
          </cell>
        </row>
        <row r="158">
          <cell r="A158">
            <v>26062</v>
          </cell>
          <cell r="B158">
            <v>26</v>
          </cell>
          <cell r="C158">
            <v>3</v>
          </cell>
        </row>
        <row r="159">
          <cell r="A159">
            <v>26212</v>
          </cell>
          <cell r="B159">
            <v>26</v>
          </cell>
        </row>
        <row r="160">
          <cell r="A160">
            <v>27038</v>
          </cell>
          <cell r="B160">
            <v>27</v>
          </cell>
          <cell r="C160">
            <v>1</v>
          </cell>
        </row>
        <row r="161">
          <cell r="A161">
            <v>27004</v>
          </cell>
          <cell r="B161">
            <v>27</v>
          </cell>
          <cell r="C161">
            <v>2</v>
          </cell>
        </row>
        <row r="162">
          <cell r="A162">
            <v>27019</v>
          </cell>
          <cell r="B162">
            <v>27</v>
          </cell>
          <cell r="C162">
            <v>3</v>
          </cell>
        </row>
        <row r="163">
          <cell r="A163">
            <v>28107</v>
          </cell>
          <cell r="B163">
            <v>28</v>
          </cell>
          <cell r="C163">
            <v>3</v>
          </cell>
        </row>
        <row r="164">
          <cell r="A164">
            <v>29115</v>
          </cell>
          <cell r="B164">
            <v>29</v>
          </cell>
          <cell r="C164">
            <v>3</v>
          </cell>
        </row>
        <row r="165">
          <cell r="A165">
            <v>30115</v>
          </cell>
          <cell r="B165">
            <v>30</v>
          </cell>
          <cell r="C165">
            <v>3</v>
          </cell>
        </row>
        <row r="166">
          <cell r="A166">
            <v>31116</v>
          </cell>
          <cell r="B166">
            <v>31</v>
          </cell>
          <cell r="C166">
            <v>1</v>
          </cell>
        </row>
        <row r="167">
          <cell r="A167">
            <v>31014</v>
          </cell>
          <cell r="B167">
            <v>31</v>
          </cell>
        </row>
        <row r="168">
          <cell r="A168">
            <v>31041</v>
          </cell>
          <cell r="B168">
            <v>31</v>
          </cell>
          <cell r="C168">
            <v>2</v>
          </cell>
        </row>
        <row r="169">
          <cell r="A169">
            <v>31016</v>
          </cell>
          <cell r="B169">
            <v>31</v>
          </cell>
        </row>
        <row r="170">
          <cell r="A170">
            <v>31062</v>
          </cell>
          <cell r="B170">
            <v>31</v>
          </cell>
          <cell r="C170">
            <v>3</v>
          </cell>
        </row>
        <row r="171">
          <cell r="A171">
            <v>32116</v>
          </cell>
          <cell r="B171">
            <v>32</v>
          </cell>
          <cell r="C171">
            <v>1</v>
          </cell>
        </row>
        <row r="172">
          <cell r="A172">
            <v>32093</v>
          </cell>
          <cell r="B172">
            <v>32</v>
          </cell>
        </row>
        <row r="173">
          <cell r="A173">
            <v>32020</v>
          </cell>
          <cell r="B173">
            <v>32</v>
          </cell>
        </row>
        <row r="174">
          <cell r="A174">
            <v>32041</v>
          </cell>
          <cell r="B174">
            <v>32</v>
          </cell>
          <cell r="C174">
            <v>2</v>
          </cell>
        </row>
        <row r="175">
          <cell r="A175">
            <v>32092</v>
          </cell>
          <cell r="B175">
            <v>32</v>
          </cell>
        </row>
        <row r="176">
          <cell r="A176">
            <v>32062</v>
          </cell>
          <cell r="B176">
            <v>32</v>
          </cell>
          <cell r="C176">
            <v>3</v>
          </cell>
        </row>
        <row r="177">
          <cell r="A177">
            <v>33012</v>
          </cell>
          <cell r="B177">
            <v>33</v>
          </cell>
          <cell r="C177">
            <v>2</v>
          </cell>
        </row>
        <row r="178">
          <cell r="A178">
            <v>34121</v>
          </cell>
          <cell r="B178">
            <v>34</v>
          </cell>
          <cell r="C178">
            <v>1</v>
          </cell>
        </row>
        <row r="179">
          <cell r="A179">
            <v>34042</v>
          </cell>
          <cell r="B179">
            <v>34</v>
          </cell>
          <cell r="C179">
            <v>1</v>
          </cell>
        </row>
        <row r="180">
          <cell r="A180">
            <v>34013</v>
          </cell>
          <cell r="B180">
            <v>34</v>
          </cell>
          <cell r="C180">
            <v>1</v>
          </cell>
        </row>
        <row r="181">
          <cell r="A181">
            <v>34011</v>
          </cell>
          <cell r="B181">
            <v>34</v>
          </cell>
          <cell r="C181">
            <v>2</v>
          </cell>
        </row>
        <row r="182">
          <cell r="A182">
            <v>340131</v>
          </cell>
          <cell r="B182">
            <v>34</v>
          </cell>
          <cell r="C182">
            <v>2</v>
          </cell>
        </row>
        <row r="183">
          <cell r="A183">
            <v>34001</v>
          </cell>
          <cell r="B183">
            <v>34</v>
          </cell>
          <cell r="C183">
            <v>2</v>
          </cell>
        </row>
        <row r="184">
          <cell r="A184">
            <v>34107</v>
          </cell>
          <cell r="B184">
            <v>34</v>
          </cell>
          <cell r="C184">
            <v>3</v>
          </cell>
        </row>
        <row r="185">
          <cell r="A185">
            <v>34017</v>
          </cell>
          <cell r="B185">
            <v>34</v>
          </cell>
          <cell r="C185">
            <v>3</v>
          </cell>
        </row>
        <row r="186">
          <cell r="A186">
            <v>34019</v>
          </cell>
          <cell r="B186">
            <v>34</v>
          </cell>
          <cell r="C186">
            <v>3</v>
          </cell>
        </row>
        <row r="187">
          <cell r="A187">
            <v>35106</v>
          </cell>
          <cell r="B187">
            <v>35</v>
          </cell>
          <cell r="C187">
            <v>1</v>
          </cell>
        </row>
        <row r="188">
          <cell r="A188">
            <v>35008</v>
          </cell>
          <cell r="B188">
            <v>35</v>
          </cell>
          <cell r="C188">
            <v>2</v>
          </cell>
        </row>
        <row r="189">
          <cell r="A189">
            <v>35115</v>
          </cell>
          <cell r="B189">
            <v>35</v>
          </cell>
          <cell r="C189">
            <v>2</v>
          </cell>
        </row>
        <row r="190">
          <cell r="A190">
            <v>350911</v>
          </cell>
          <cell r="B190">
            <v>35</v>
          </cell>
          <cell r="C190">
            <v>2</v>
          </cell>
        </row>
        <row r="191">
          <cell r="A191">
            <v>35122</v>
          </cell>
          <cell r="B191">
            <v>35</v>
          </cell>
          <cell r="C191">
            <v>3</v>
          </cell>
        </row>
        <row r="192">
          <cell r="A192">
            <v>35077</v>
          </cell>
          <cell r="B192">
            <v>35</v>
          </cell>
          <cell r="C192">
            <v>3</v>
          </cell>
        </row>
        <row r="193">
          <cell r="A193">
            <v>35091</v>
          </cell>
          <cell r="B193">
            <v>35</v>
          </cell>
          <cell r="C193">
            <v>3</v>
          </cell>
        </row>
        <row r="194">
          <cell r="A194">
            <v>36021</v>
          </cell>
          <cell r="B194">
            <v>36</v>
          </cell>
          <cell r="C194">
            <v>1</v>
          </cell>
        </row>
        <row r="195">
          <cell r="A195">
            <v>36008</v>
          </cell>
          <cell r="B195">
            <v>36</v>
          </cell>
          <cell r="C195">
            <v>2</v>
          </cell>
        </row>
        <row r="196">
          <cell r="A196">
            <v>36115</v>
          </cell>
          <cell r="B196">
            <v>36</v>
          </cell>
          <cell r="C196">
            <v>2</v>
          </cell>
        </row>
        <row r="197">
          <cell r="A197">
            <v>360911</v>
          </cell>
          <cell r="B197">
            <v>36</v>
          </cell>
          <cell r="C197">
            <v>2</v>
          </cell>
        </row>
        <row r="198">
          <cell r="A198">
            <v>36122</v>
          </cell>
          <cell r="B198">
            <v>36</v>
          </cell>
          <cell r="C198">
            <v>3</v>
          </cell>
        </row>
        <row r="199">
          <cell r="A199">
            <v>36077</v>
          </cell>
          <cell r="B199">
            <v>36</v>
          </cell>
          <cell r="C199">
            <v>3</v>
          </cell>
        </row>
        <row r="200">
          <cell r="A200">
            <v>36091</v>
          </cell>
          <cell r="B200">
            <v>36</v>
          </cell>
          <cell r="C200">
            <v>3</v>
          </cell>
        </row>
        <row r="201">
          <cell r="A201">
            <v>37122</v>
          </cell>
          <cell r="B201">
            <v>37</v>
          </cell>
          <cell r="C201">
            <v>1</v>
          </cell>
        </row>
        <row r="202">
          <cell r="A202">
            <v>37021</v>
          </cell>
          <cell r="B202">
            <v>37</v>
          </cell>
          <cell r="C202">
            <v>2</v>
          </cell>
        </row>
        <row r="203">
          <cell r="A203">
            <v>37106</v>
          </cell>
          <cell r="B203">
            <v>37</v>
          </cell>
          <cell r="C203">
            <v>2</v>
          </cell>
        </row>
        <row r="204">
          <cell r="A204">
            <v>37077</v>
          </cell>
          <cell r="B204">
            <v>37</v>
          </cell>
          <cell r="C204">
            <v>2</v>
          </cell>
        </row>
        <row r="205">
          <cell r="A205">
            <v>37008</v>
          </cell>
          <cell r="B205">
            <v>37</v>
          </cell>
          <cell r="C205">
            <v>3</v>
          </cell>
        </row>
        <row r="206">
          <cell r="A206">
            <v>37115</v>
          </cell>
          <cell r="B206">
            <v>37</v>
          </cell>
          <cell r="C206">
            <v>3</v>
          </cell>
        </row>
        <row r="207">
          <cell r="A207">
            <v>370771</v>
          </cell>
          <cell r="B207">
            <v>37</v>
          </cell>
          <cell r="C207">
            <v>3</v>
          </cell>
        </row>
        <row r="208">
          <cell r="A208">
            <v>38069</v>
          </cell>
          <cell r="B208">
            <v>38</v>
          </cell>
          <cell r="C208">
            <v>1</v>
          </cell>
        </row>
        <row r="209">
          <cell r="A209">
            <v>38115</v>
          </cell>
          <cell r="B209">
            <v>38</v>
          </cell>
          <cell r="C209">
            <v>2</v>
          </cell>
        </row>
        <row r="210">
          <cell r="A210">
            <v>38009</v>
          </cell>
          <cell r="B210">
            <v>38</v>
          </cell>
          <cell r="C210">
            <v>2</v>
          </cell>
        </row>
        <row r="211">
          <cell r="A211">
            <v>38036</v>
          </cell>
          <cell r="B211">
            <v>38</v>
          </cell>
          <cell r="C211">
            <v>2</v>
          </cell>
        </row>
        <row r="212">
          <cell r="A212">
            <v>38123</v>
          </cell>
          <cell r="B212">
            <v>38</v>
          </cell>
          <cell r="C212">
            <v>3</v>
          </cell>
        </row>
        <row r="213">
          <cell r="A213">
            <v>38032</v>
          </cell>
          <cell r="B213">
            <v>38</v>
          </cell>
          <cell r="C213">
            <v>3</v>
          </cell>
        </row>
        <row r="214">
          <cell r="A214">
            <v>38076</v>
          </cell>
          <cell r="B214">
            <v>38</v>
          </cell>
          <cell r="C214">
            <v>3</v>
          </cell>
        </row>
        <row r="215">
          <cell r="A215">
            <v>39037</v>
          </cell>
          <cell r="B215">
            <v>39</v>
          </cell>
          <cell r="C215">
            <v>1</v>
          </cell>
        </row>
        <row r="216">
          <cell r="A216">
            <v>39005</v>
          </cell>
          <cell r="B216">
            <v>39</v>
          </cell>
          <cell r="C216">
            <v>1</v>
          </cell>
        </row>
        <row r="217">
          <cell r="A217">
            <v>39123</v>
          </cell>
          <cell r="B217">
            <v>39</v>
          </cell>
          <cell r="C217">
            <v>2</v>
          </cell>
        </row>
        <row r="218">
          <cell r="A218">
            <v>390051</v>
          </cell>
          <cell r="B218">
            <v>39</v>
          </cell>
          <cell r="C218">
            <v>2</v>
          </cell>
        </row>
        <row r="219">
          <cell r="A219">
            <v>39056</v>
          </cell>
          <cell r="B219">
            <v>39</v>
          </cell>
          <cell r="C219">
            <v>2</v>
          </cell>
        </row>
        <row r="220">
          <cell r="A220">
            <v>39032</v>
          </cell>
          <cell r="B220">
            <v>39</v>
          </cell>
          <cell r="C220">
            <v>3</v>
          </cell>
        </row>
        <row r="221">
          <cell r="A221">
            <v>39076</v>
          </cell>
          <cell r="B221">
            <v>39</v>
          </cell>
          <cell r="C221">
            <v>3</v>
          </cell>
        </row>
        <row r="222">
          <cell r="A222">
            <v>40124</v>
          </cell>
          <cell r="B222">
            <v>40</v>
          </cell>
          <cell r="C222">
            <v>1</v>
          </cell>
        </row>
        <row r="223">
          <cell r="A223">
            <v>40023</v>
          </cell>
          <cell r="B223">
            <v>40</v>
          </cell>
          <cell r="C223">
            <v>2</v>
          </cell>
        </row>
        <row r="224">
          <cell r="A224">
            <v>40010</v>
          </cell>
          <cell r="B224">
            <v>40</v>
          </cell>
          <cell r="C224">
            <v>2</v>
          </cell>
        </row>
        <row r="225">
          <cell r="A225">
            <v>40004</v>
          </cell>
          <cell r="B225">
            <v>40</v>
          </cell>
          <cell r="C225">
            <v>2</v>
          </cell>
        </row>
        <row r="226">
          <cell r="A226">
            <v>40075</v>
          </cell>
          <cell r="B226">
            <v>40</v>
          </cell>
          <cell r="C226">
            <v>3</v>
          </cell>
        </row>
        <row r="227">
          <cell r="A227">
            <v>40032</v>
          </cell>
          <cell r="B227">
            <v>40</v>
          </cell>
          <cell r="C227">
            <v>3</v>
          </cell>
        </row>
        <row r="228">
          <cell r="A228">
            <v>400101</v>
          </cell>
          <cell r="B228">
            <v>40</v>
          </cell>
          <cell r="C228">
            <v>3</v>
          </cell>
        </row>
        <row r="229">
          <cell r="A229">
            <v>41124</v>
          </cell>
          <cell r="B229">
            <v>41</v>
          </cell>
          <cell r="C229">
            <v>1</v>
          </cell>
        </row>
        <row r="230">
          <cell r="A230">
            <v>41125</v>
          </cell>
          <cell r="B230">
            <v>41</v>
          </cell>
          <cell r="C230">
            <v>2</v>
          </cell>
        </row>
        <row r="231">
          <cell r="A231">
            <v>41075</v>
          </cell>
          <cell r="B231">
            <v>41</v>
          </cell>
          <cell r="C231">
            <v>3</v>
          </cell>
        </row>
        <row r="232">
          <cell r="A232">
            <v>42037</v>
          </cell>
          <cell r="B232">
            <v>42</v>
          </cell>
          <cell r="C232">
            <v>1</v>
          </cell>
        </row>
        <row r="233">
          <cell r="A233">
            <v>42005</v>
          </cell>
          <cell r="B233">
            <v>42</v>
          </cell>
          <cell r="C233">
            <v>1</v>
          </cell>
        </row>
        <row r="234">
          <cell r="A234">
            <v>42021</v>
          </cell>
          <cell r="B234">
            <v>42</v>
          </cell>
          <cell r="C234">
            <v>2</v>
          </cell>
        </row>
        <row r="235">
          <cell r="A235">
            <v>420051</v>
          </cell>
          <cell r="B235">
            <v>42</v>
          </cell>
          <cell r="C235">
            <v>2</v>
          </cell>
        </row>
        <row r="236">
          <cell r="A236">
            <v>42056</v>
          </cell>
          <cell r="B236">
            <v>42</v>
          </cell>
          <cell r="C236">
            <v>2</v>
          </cell>
        </row>
        <row r="237">
          <cell r="A237">
            <v>42032</v>
          </cell>
          <cell r="B237">
            <v>42</v>
          </cell>
          <cell r="C237">
            <v>3</v>
          </cell>
        </row>
        <row r="238">
          <cell r="A238">
            <v>42076</v>
          </cell>
          <cell r="B238">
            <v>42</v>
          </cell>
          <cell r="C238">
            <v>3</v>
          </cell>
        </row>
      </sheetData>
      <sheetData sheetId="3"/>
      <sheetData sheetId="4"/>
      <sheetData sheetId="5"/>
      <sheetData sheetId="6">
        <row r="1">
          <cell r="A1" t="str">
            <v>id</v>
          </cell>
        </row>
      </sheetData>
      <sheetData sheetId="7">
        <row r="1">
          <cell r="A1" t="str">
            <v>玺戒ID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英雄攻略配置表"/>
      <sheetName val="阵容详细配置表"/>
      <sheetName val="英雄详细配置"/>
      <sheetName val="首充英雄详情"/>
      <sheetName val="#阵容详细配置表(留档)"/>
      <sheetName val="#英雄详细配置（留档）"/>
      <sheetName val="#技能参考"/>
      <sheetName val="#玺戒参考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id</v>
          </cell>
          <cell r="B1" t="str">
            <v>技能名</v>
          </cell>
        </row>
        <row r="2">
          <cell r="A2">
            <v>200001</v>
          </cell>
          <cell r="B2" t="str">
            <v>火球轰击</v>
          </cell>
        </row>
        <row r="3">
          <cell r="A3">
            <v>200002</v>
          </cell>
          <cell r="B3" t="str">
            <v>巨石冲击</v>
          </cell>
        </row>
        <row r="4">
          <cell r="A4">
            <v>200003</v>
          </cell>
          <cell r="B4" t="str">
            <v>攻城大师</v>
          </cell>
        </row>
        <row r="5">
          <cell r="A5">
            <v>200004</v>
          </cell>
          <cell r="B5" t="str">
            <v>迸裂</v>
          </cell>
        </row>
        <row r="6">
          <cell r="A6">
            <v>200005</v>
          </cell>
          <cell r="B6" t="str">
            <v>怒火猛攻</v>
          </cell>
        </row>
        <row r="7">
          <cell r="A7">
            <v>200006</v>
          </cell>
          <cell r="B7" t="str">
            <v>风卷残云</v>
          </cell>
        </row>
        <row r="8">
          <cell r="A8">
            <v>200007</v>
          </cell>
          <cell r="B8" t="str">
            <v>天地无双斩</v>
          </cell>
        </row>
        <row r="9">
          <cell r="A9">
            <v>200008</v>
          </cell>
          <cell r="B9" t="str">
            <v>毁灭的预示</v>
          </cell>
        </row>
        <row r="10">
          <cell r="A10">
            <v>200009</v>
          </cell>
          <cell r="B10" t="str">
            <v>正义裁决</v>
          </cell>
        </row>
        <row r="11">
          <cell r="A11">
            <v>200010</v>
          </cell>
          <cell r="B11" t="str">
            <v>恩泽庇护</v>
          </cell>
        </row>
        <row r="12">
          <cell r="A12">
            <v>200011</v>
          </cell>
          <cell r="B12" t="str">
            <v>光明护佑</v>
          </cell>
        </row>
        <row r="13">
          <cell r="A13">
            <v>200012</v>
          </cell>
          <cell r="B13" t="str">
            <v>沉默誓言</v>
          </cell>
        </row>
        <row r="14">
          <cell r="A14">
            <v>200013</v>
          </cell>
          <cell r="B14" t="str">
            <v>三重攻势</v>
          </cell>
        </row>
        <row r="15">
          <cell r="A15">
            <v>200014</v>
          </cell>
          <cell r="B15" t="str">
            <v>命运操弄</v>
          </cell>
        </row>
        <row r="16">
          <cell r="A16">
            <v>200015</v>
          </cell>
          <cell r="B16" t="str">
            <v>战争祝福</v>
          </cell>
        </row>
        <row r="17">
          <cell r="A17">
            <v>200016</v>
          </cell>
          <cell r="B17" t="str">
            <v>军神赠礼</v>
          </cell>
        </row>
        <row r="18">
          <cell r="A18">
            <v>200017</v>
          </cell>
          <cell r="B18" t="str">
            <v>名门之后</v>
          </cell>
        </row>
        <row r="19">
          <cell r="A19">
            <v>200018</v>
          </cell>
          <cell r="B19" t="str">
            <v>战术冲锋</v>
          </cell>
        </row>
        <row r="20">
          <cell r="A20">
            <v>200019</v>
          </cell>
          <cell r="B20" t="str">
            <v>冲锋的极意</v>
          </cell>
        </row>
        <row r="21">
          <cell r="A21">
            <v>200020</v>
          </cell>
          <cell r="B21" t="str">
            <v>连击</v>
          </cell>
        </row>
        <row r="22">
          <cell r="A22">
            <v>200021</v>
          </cell>
          <cell r="B22" t="str">
            <v>丰收祝福</v>
          </cell>
        </row>
        <row r="23">
          <cell r="A23">
            <v>200022</v>
          </cell>
          <cell r="B23" t="str">
            <v>孤注一掷</v>
          </cell>
        </row>
        <row r="24">
          <cell r="A24">
            <v>200023</v>
          </cell>
          <cell r="B24" t="str">
            <v>狂怒血脉</v>
          </cell>
        </row>
        <row r="25">
          <cell r="A25">
            <v>200024</v>
          </cell>
          <cell r="B25" t="str">
            <v>怒不可遏</v>
          </cell>
        </row>
        <row r="26">
          <cell r="A26">
            <v>200025</v>
          </cell>
          <cell r="B26" t="str">
            <v>钢铁之躯</v>
          </cell>
        </row>
        <row r="27">
          <cell r="A27">
            <v>200026</v>
          </cell>
          <cell r="B27" t="str">
            <v>破怒斩</v>
          </cell>
        </row>
        <row r="28">
          <cell r="A28">
            <v>200027</v>
          </cell>
          <cell r="B28" t="str">
            <v>战争狂热</v>
          </cell>
        </row>
        <row r="29">
          <cell r="A29">
            <v>200028</v>
          </cell>
          <cell r="B29" t="str">
            <v>致命一击</v>
          </cell>
        </row>
        <row r="30">
          <cell r="A30">
            <v>200029</v>
          </cell>
          <cell r="B30" t="str">
            <v>胜利军规</v>
          </cell>
        </row>
        <row r="31">
          <cell r="A31">
            <v>200030</v>
          </cell>
          <cell r="B31" t="str">
            <v>怒涛之击</v>
          </cell>
        </row>
        <row r="32">
          <cell r="A32">
            <v>200031</v>
          </cell>
          <cell r="B32" t="str">
            <v>慈悲终结</v>
          </cell>
        </row>
        <row r="33">
          <cell r="A33">
            <v>200032</v>
          </cell>
          <cell r="B33" t="str">
            <v>撕裂</v>
          </cell>
        </row>
        <row r="34">
          <cell r="A34">
            <v>200033</v>
          </cell>
          <cell r="B34" t="str">
            <v>不屈战意</v>
          </cell>
        </row>
        <row r="35">
          <cell r="A35">
            <v>200034</v>
          </cell>
          <cell r="B35" t="str">
            <v>持久战</v>
          </cell>
        </row>
        <row r="36">
          <cell r="A36">
            <v>200035</v>
          </cell>
          <cell r="B36" t="str">
            <v>惩戒者</v>
          </cell>
        </row>
        <row r="37">
          <cell r="A37">
            <v>200036</v>
          </cell>
          <cell r="B37" t="str">
            <v>破敌之眼</v>
          </cell>
        </row>
        <row r="38">
          <cell r="A38">
            <v>200037</v>
          </cell>
          <cell r="B38" t="str">
            <v>反戈一击</v>
          </cell>
        </row>
        <row r="39">
          <cell r="A39">
            <v>200038</v>
          </cell>
          <cell r="B39" t="str">
            <v>清算</v>
          </cell>
        </row>
        <row r="40">
          <cell r="A40">
            <v>200039</v>
          </cell>
          <cell r="B40" t="str">
            <v>文武双全</v>
          </cell>
        </row>
        <row r="41">
          <cell r="A41">
            <v>200040</v>
          </cell>
          <cell r="B41" t="str">
            <v>反击</v>
          </cell>
        </row>
        <row r="42">
          <cell r="A42">
            <v>200041</v>
          </cell>
          <cell r="B42" t="str">
            <v>饥渴之刃</v>
          </cell>
        </row>
        <row r="43">
          <cell r="A43">
            <v>200042</v>
          </cell>
          <cell r="B43" t="str">
            <v>百战之体</v>
          </cell>
        </row>
        <row r="44">
          <cell r="A44">
            <v>200043</v>
          </cell>
          <cell r="B44" t="str">
            <v>剑盾突击</v>
          </cell>
        </row>
        <row r="45">
          <cell r="A45">
            <v>200044</v>
          </cell>
          <cell r="B45" t="str">
            <v>震慑猛击</v>
          </cell>
        </row>
        <row r="46">
          <cell r="A46">
            <v>200045</v>
          </cell>
          <cell r="B46" t="str">
            <v>不屈信念</v>
          </cell>
        </row>
        <row r="47">
          <cell r="A47">
            <v>200046</v>
          </cell>
          <cell r="B47" t="str">
            <v>敏锐洞察</v>
          </cell>
        </row>
        <row r="48">
          <cell r="A48">
            <v>200047</v>
          </cell>
          <cell r="B48" t="str">
            <v>以战养战</v>
          </cell>
        </row>
        <row r="49">
          <cell r="A49">
            <v>200048</v>
          </cell>
          <cell r="B49" t="str">
            <v>冲击</v>
          </cell>
        </row>
        <row r="50">
          <cell r="A50">
            <v>200049</v>
          </cell>
          <cell r="B50" t="str">
            <v>休整</v>
          </cell>
        </row>
        <row r="51">
          <cell r="A51">
            <v>200050</v>
          </cell>
          <cell r="B51" t="str">
            <v>奇袭</v>
          </cell>
        </row>
        <row r="52">
          <cell r="A52">
            <v>200051</v>
          </cell>
          <cell r="B52" t="str">
            <v>二连斩</v>
          </cell>
        </row>
        <row r="53">
          <cell r="A53">
            <v>200052</v>
          </cell>
          <cell r="B53" t="str">
            <v>攻城战术</v>
          </cell>
        </row>
        <row r="54">
          <cell r="A54">
            <v>200053</v>
          </cell>
          <cell r="B54" t="str">
            <v>锐锋</v>
          </cell>
        </row>
        <row r="55">
          <cell r="A55">
            <v>200054</v>
          </cell>
          <cell r="B55" t="str">
            <v>激怒</v>
          </cell>
        </row>
        <row r="56">
          <cell r="A56">
            <v>200055</v>
          </cell>
          <cell r="B56" t="str">
            <v>战斗训练</v>
          </cell>
        </row>
        <row r="57">
          <cell r="A57">
            <v>200056</v>
          </cell>
          <cell r="B57" t="str">
            <v>防守训练</v>
          </cell>
        </row>
        <row r="58">
          <cell r="A58">
            <v>200057</v>
          </cell>
          <cell r="B58" t="str">
            <v>谋略训练</v>
          </cell>
        </row>
        <row r="59">
          <cell r="A59">
            <v>200058</v>
          </cell>
          <cell r="B59" t="str">
            <v>攻城训练</v>
          </cell>
        </row>
        <row r="60">
          <cell r="A60">
            <v>200059</v>
          </cell>
          <cell r="B60" t="str">
            <v>铁壁</v>
          </cell>
        </row>
        <row r="61">
          <cell r="A61">
            <v>200060</v>
          </cell>
          <cell r="B61" t="str">
            <v>燎天之火</v>
          </cell>
        </row>
        <row r="62">
          <cell r="A62">
            <v>200061</v>
          </cell>
          <cell r="B62" t="str">
            <v>泰山压顶</v>
          </cell>
        </row>
        <row r="63">
          <cell r="A63">
            <v>200062</v>
          </cell>
          <cell r="B63" t="str">
            <v>明心静气</v>
          </cell>
        </row>
        <row r="64">
          <cell r="A64">
            <v>200063</v>
          </cell>
          <cell r="B64" t="str">
            <v>灵光乍现</v>
          </cell>
        </row>
        <row r="65">
          <cell r="A65">
            <v>200064</v>
          </cell>
          <cell r="B65" t="str">
            <v>胜利的代价</v>
          </cell>
        </row>
        <row r="66">
          <cell r="A66">
            <v>200065</v>
          </cell>
          <cell r="B66" t="str">
            <v>避芒击惰</v>
          </cell>
        </row>
        <row r="67">
          <cell r="A67">
            <v>200066</v>
          </cell>
          <cell r="B67" t="str">
            <v>怒击扬志</v>
          </cell>
        </row>
        <row r="68">
          <cell r="A68">
            <v>200067</v>
          </cell>
          <cell r="B68" t="str">
            <v>奋迅</v>
          </cell>
        </row>
        <row r="69">
          <cell r="A69">
            <v>200068</v>
          </cell>
          <cell r="B69" t="str">
            <v>王者之剑</v>
          </cell>
        </row>
        <row r="70">
          <cell r="A70">
            <v>200069</v>
          </cell>
          <cell r="B70" t="str">
            <v>列阵御敌</v>
          </cell>
        </row>
        <row r="71">
          <cell r="A71">
            <v>200070</v>
          </cell>
          <cell r="B71" t="str">
            <v>冲冠一怒</v>
          </cell>
        </row>
        <row r="72">
          <cell r="A72">
            <v>200071</v>
          </cell>
          <cell r="B72" t="str">
            <v>利刃攻心</v>
          </cell>
        </row>
        <row r="73">
          <cell r="A73">
            <v>200072</v>
          </cell>
          <cell r="B73" t="str">
            <v>弱点进攻</v>
          </cell>
        </row>
        <row r="74">
          <cell r="A74">
            <v>200073</v>
          </cell>
          <cell r="B74" t="str">
            <v>侵蚀之焰</v>
          </cell>
        </row>
        <row r="75">
          <cell r="A75">
            <v>200074</v>
          </cell>
          <cell r="B75" t="str">
            <v>压迫之袭</v>
          </cell>
        </row>
        <row r="76">
          <cell r="A76">
            <v>200075</v>
          </cell>
          <cell r="B76" t="str">
            <v>追击本能</v>
          </cell>
        </row>
        <row r="77">
          <cell r="A77">
            <v>200076</v>
          </cell>
          <cell r="B77" t="str">
            <v>英勇时刻</v>
          </cell>
        </row>
        <row r="78">
          <cell r="A78">
            <v>200078</v>
          </cell>
          <cell r="B78" t="str">
            <v>胜利怒吼</v>
          </cell>
        </row>
        <row r="79">
          <cell r="A79">
            <v>200079</v>
          </cell>
          <cell r="B79" t="str">
            <v>波澜攻势</v>
          </cell>
        </row>
        <row r="80">
          <cell r="A80">
            <v>200080</v>
          </cell>
          <cell r="B80" t="str">
            <v>蛮勇侵袭</v>
          </cell>
        </row>
        <row r="81">
          <cell r="A81">
            <v>200083</v>
          </cell>
          <cell r="B81" t="str">
            <v>决意强袭</v>
          </cell>
        </row>
        <row r="82">
          <cell r="A82">
            <v>200084</v>
          </cell>
          <cell r="B82" t="str">
            <v>灭却军锋</v>
          </cell>
        </row>
        <row r="83">
          <cell r="A83">
            <v>200085</v>
          </cell>
          <cell r="B83" t="str">
            <v>命运恩宠</v>
          </cell>
        </row>
        <row r="84">
          <cell r="A84">
            <v>200086</v>
          </cell>
          <cell r="B84" t="str">
            <v>绝对权力</v>
          </cell>
        </row>
        <row r="85">
          <cell r="A85">
            <v>200087</v>
          </cell>
          <cell r="B85" t="str">
            <v>欺天之谋</v>
          </cell>
        </row>
        <row r="86">
          <cell r="A86">
            <v>200088</v>
          </cell>
          <cell r="B86" t="str">
            <v>合纵连横</v>
          </cell>
        </row>
        <row r="87">
          <cell r="A87">
            <v>200092</v>
          </cell>
          <cell r="B87" t="str">
            <v>以下克上</v>
          </cell>
        </row>
        <row r="88">
          <cell r="A88">
            <v>200095</v>
          </cell>
          <cell r="B88" t="str">
            <v>历战之枪</v>
          </cell>
        </row>
        <row r="89">
          <cell r="A89">
            <v>200096</v>
          </cell>
          <cell r="B89" t="str">
            <v>压制强攻</v>
          </cell>
        </row>
        <row r="90">
          <cell r="A90">
            <v>200098</v>
          </cell>
          <cell r="B90" t="str">
            <v>长生军团</v>
          </cell>
        </row>
        <row r="91">
          <cell r="A91">
            <v>200099</v>
          </cell>
          <cell r="B91" t="str">
            <v>万里平戎策</v>
          </cell>
        </row>
        <row r="92">
          <cell r="A92">
            <v>200100</v>
          </cell>
          <cell r="B92" t="str">
            <v>不屈反击</v>
          </cell>
        </row>
        <row r="93">
          <cell r="A93">
            <v>200101</v>
          </cell>
          <cell r="B93" t="str">
            <v>黑沼之刃</v>
          </cell>
        </row>
        <row r="94">
          <cell r="A94">
            <v>200102</v>
          </cell>
          <cell r="B94" t="str">
            <v>狂烈之骑</v>
          </cell>
        </row>
        <row r="95">
          <cell r="A95">
            <v>200103</v>
          </cell>
          <cell r="B95" t="str">
            <v>侵彻之弓</v>
          </cell>
        </row>
        <row r="96">
          <cell r="A96">
            <v>200105</v>
          </cell>
          <cell r="B96" t="str">
            <v>王命谕令</v>
          </cell>
        </row>
        <row r="97">
          <cell r="A97">
            <v>200107</v>
          </cell>
          <cell r="B97" t="str">
            <v>绿洲之佑</v>
          </cell>
        </row>
        <row r="98">
          <cell r="A98">
            <v>200108</v>
          </cell>
          <cell r="B98" t="str">
            <v>制伏</v>
          </cell>
        </row>
        <row r="99">
          <cell r="A99">
            <v>200109</v>
          </cell>
          <cell r="B99" t="str">
            <v>借势威吓</v>
          </cell>
        </row>
        <row r="100">
          <cell r="A100">
            <v>200110</v>
          </cell>
          <cell r="B100" t="str">
            <v>神圣之剑</v>
          </cell>
        </row>
        <row r="101">
          <cell r="A101">
            <v>200111</v>
          </cell>
          <cell r="B101" t="str">
            <v>会心加护</v>
          </cell>
        </row>
        <row r="102">
          <cell r="A102">
            <v>200112</v>
          </cell>
          <cell r="B102" t="str">
            <v>燃身战意</v>
          </cell>
        </row>
        <row r="103">
          <cell r="A103">
            <v>200113</v>
          </cell>
          <cell r="B103" t="str">
            <v>激昂</v>
          </cell>
        </row>
        <row r="104">
          <cell r="A104">
            <v>200114</v>
          </cell>
          <cell r="B104" t="str">
            <v>阳谋</v>
          </cell>
        </row>
        <row r="105">
          <cell r="A105">
            <v>200115</v>
          </cell>
          <cell r="B105" t="str">
            <v>反间</v>
          </cell>
        </row>
        <row r="106">
          <cell r="A106">
            <v>200116</v>
          </cell>
          <cell r="B106" t="str">
            <v>机变</v>
          </cell>
        </row>
        <row r="107">
          <cell r="A107">
            <v>200117</v>
          </cell>
          <cell r="B107" t="str">
            <v>苦肉</v>
          </cell>
        </row>
        <row r="108">
          <cell r="A108">
            <v>200118</v>
          </cell>
          <cell r="B108" t="str">
            <v>余烬之灼</v>
          </cell>
        </row>
        <row r="109">
          <cell r="A109">
            <v>200119</v>
          </cell>
          <cell r="B109" t="str">
            <v>戒备</v>
          </cell>
        </row>
        <row r="110">
          <cell r="A110">
            <v>200120</v>
          </cell>
          <cell r="B110" t="str">
            <v>阵鼓</v>
          </cell>
        </row>
        <row r="111">
          <cell r="A111">
            <v>200121</v>
          </cell>
          <cell r="B111" t="str">
            <v>掌军</v>
          </cell>
        </row>
        <row r="112">
          <cell r="A112">
            <v>200122</v>
          </cell>
          <cell r="B112" t="str">
            <v>变阵</v>
          </cell>
        </row>
        <row r="113">
          <cell r="A113">
            <v>200123</v>
          </cell>
          <cell r="B113" t="str">
            <v>裸衣</v>
          </cell>
        </row>
        <row r="114">
          <cell r="A114">
            <v>200124</v>
          </cell>
          <cell r="B114" t="str">
            <v>伏击</v>
          </cell>
        </row>
        <row r="115">
          <cell r="A115">
            <v>200125</v>
          </cell>
          <cell r="B115" t="str">
            <v>入阵曲</v>
          </cell>
        </row>
        <row r="116">
          <cell r="A116">
            <v>200126</v>
          </cell>
          <cell r="B116" t="str">
            <v>固本</v>
          </cell>
        </row>
        <row r="117">
          <cell r="A117">
            <v>200127</v>
          </cell>
          <cell r="B117" t="str">
            <v>破军奇略</v>
          </cell>
        </row>
        <row r="118">
          <cell r="A118">
            <v>200128</v>
          </cell>
          <cell r="B118" t="str">
            <v>潜龙勿用</v>
          </cell>
        </row>
        <row r="119">
          <cell r="A119">
            <v>200129</v>
          </cell>
          <cell r="B119" t="str">
            <v>不灭修罗</v>
          </cell>
        </row>
        <row r="120">
          <cell r="A120">
            <v>200130</v>
          </cell>
          <cell r="B120" t="str">
            <v>截道封兵</v>
          </cell>
        </row>
        <row r="121">
          <cell r="A121">
            <v>200131</v>
          </cell>
          <cell r="B121" t="str">
            <v>无妄诡谋</v>
          </cell>
        </row>
        <row r="122">
          <cell r="A122">
            <v>200132</v>
          </cell>
          <cell r="B122" t="str">
            <v>碎踵之箭</v>
          </cell>
        </row>
        <row r="123">
          <cell r="A123">
            <v>200133</v>
          </cell>
          <cell r="B123" t="str">
            <v>绝代风华</v>
          </cell>
        </row>
        <row r="124">
          <cell r="A124">
            <v>200134</v>
          </cell>
          <cell r="B124" t="str">
            <v>勇烈战豪</v>
          </cell>
        </row>
        <row r="125">
          <cell r="A125">
            <v>200135</v>
          </cell>
          <cell r="B125" t="str">
            <v>无尽狂潮</v>
          </cell>
        </row>
        <row r="126">
          <cell r="A126">
            <v>200136</v>
          </cell>
          <cell r="B126" t="str">
            <v>塞北雪风</v>
          </cell>
        </row>
        <row r="127">
          <cell r="A127">
            <v>200137</v>
          </cell>
          <cell r="B127" t="str">
            <v>疾策攻心</v>
          </cell>
        </row>
        <row r="128">
          <cell r="A128">
            <v>200138</v>
          </cell>
          <cell r="B128" t="str">
            <v>无情追击</v>
          </cell>
        </row>
        <row r="129">
          <cell r="A129">
            <v>200139</v>
          </cell>
          <cell r="B129" t="str">
            <v>流水之势</v>
          </cell>
        </row>
        <row r="130">
          <cell r="A130">
            <v>200140</v>
          </cell>
          <cell r="B130" t="str">
            <v>威吓猛劈</v>
          </cell>
        </row>
        <row r="131">
          <cell r="A131">
            <v>200141</v>
          </cell>
          <cell r="B131" t="str">
            <v>善战无攻</v>
          </cell>
        </row>
        <row r="132">
          <cell r="A132">
            <v>200142</v>
          </cell>
          <cell r="B132" t="str">
            <v>铁壁军威</v>
          </cell>
        </row>
        <row r="133">
          <cell r="A133">
            <v>200143</v>
          </cell>
          <cell r="B133" t="str">
            <v>恃勇之军</v>
          </cell>
        </row>
        <row r="134">
          <cell r="A134">
            <v>200144</v>
          </cell>
          <cell r="B134" t="str">
            <v>生人勿近</v>
          </cell>
        </row>
        <row r="135">
          <cell r="A135">
            <v>200146</v>
          </cell>
          <cell r="B135" t="str">
            <v>倾国凰主</v>
          </cell>
        </row>
        <row r="136">
          <cell r="A136">
            <v>200147</v>
          </cell>
          <cell r="B136" t="str">
            <v>天妒神机</v>
          </cell>
        </row>
        <row r="137">
          <cell r="A137">
            <v>200148</v>
          </cell>
          <cell r="B137" t="str">
            <v>严阵以待</v>
          </cell>
        </row>
        <row r="138">
          <cell r="A138">
            <v>200149</v>
          </cell>
          <cell r="B138" t="str">
            <v>不败军威</v>
          </cell>
        </row>
        <row r="139">
          <cell r="A139">
            <v>200150</v>
          </cell>
          <cell r="B139" t="str">
            <v>歼绝战法</v>
          </cell>
        </row>
        <row r="140">
          <cell r="A140">
            <v>200151</v>
          </cell>
          <cell r="B140" t="str">
            <v>王车易位</v>
          </cell>
        </row>
        <row r="141">
          <cell r="A141">
            <v>200152</v>
          </cell>
          <cell r="B141" t="str">
            <v>火羽飞蝗</v>
          </cell>
        </row>
        <row r="142">
          <cell r="A142">
            <v>200153</v>
          </cell>
          <cell r="B142" t="str">
            <v>锐利刃锋</v>
          </cell>
        </row>
        <row r="143">
          <cell r="A143">
            <v>200154</v>
          </cell>
          <cell r="B143" t="str">
            <v>绝处逢生</v>
          </cell>
        </row>
        <row r="144">
          <cell r="A144">
            <v>200155</v>
          </cell>
          <cell r="B144" t="str">
            <v>决斗法则</v>
          </cell>
        </row>
        <row r="145">
          <cell r="A145">
            <v>200156</v>
          </cell>
          <cell r="B145" t="str">
            <v>惊世疾霆</v>
          </cell>
        </row>
        <row r="146">
          <cell r="A146">
            <v>200157</v>
          </cell>
          <cell r="B146" t="str">
            <v>麒麟王佐</v>
          </cell>
        </row>
        <row r="147">
          <cell r="A147">
            <v>200158</v>
          </cell>
          <cell r="B147" t="str">
            <v>大将之风</v>
          </cell>
        </row>
        <row r="148">
          <cell r="A148">
            <v>200159</v>
          </cell>
          <cell r="B148" t="str">
            <v>沸腾战吼</v>
          </cell>
        </row>
        <row r="149">
          <cell r="A149">
            <v>200160</v>
          </cell>
          <cell r="B149" t="str">
            <v>致胜连锁</v>
          </cell>
        </row>
        <row r="150">
          <cell r="A150">
            <v>200161</v>
          </cell>
          <cell r="B150" t="str">
            <v>乘胜追击</v>
          </cell>
        </row>
        <row r="151">
          <cell r="A151">
            <v>200162</v>
          </cell>
          <cell r="B151" t="str">
            <v>将主风云</v>
          </cell>
        </row>
        <row r="152">
          <cell r="A152">
            <v>200163</v>
          </cell>
          <cell r="B152" t="str">
            <v>大智谋身</v>
          </cell>
        </row>
        <row r="153">
          <cell r="A153">
            <v>200164</v>
          </cell>
          <cell r="B153" t="str">
            <v>猎网连环</v>
          </cell>
        </row>
        <row r="154">
          <cell r="A154">
            <v>200165</v>
          </cell>
          <cell r="B154" t="str">
            <v>潜龙出渊</v>
          </cell>
        </row>
        <row r="155">
          <cell r="A155">
            <v>200166</v>
          </cell>
          <cell r="B155" t="str">
            <v>博浪逐龙</v>
          </cell>
        </row>
        <row r="156">
          <cell r="A156">
            <v>200167</v>
          </cell>
          <cell r="B156" t="str">
            <v>诰命讨檄</v>
          </cell>
        </row>
        <row r="157">
          <cell r="A157">
            <v>200170</v>
          </cell>
          <cell r="B157" t="str">
            <v>荡海兴云</v>
          </cell>
        </row>
        <row r="158">
          <cell r="A158">
            <v>200171</v>
          </cell>
          <cell r="B158" t="str">
            <v>两仪无量</v>
          </cell>
        </row>
        <row r="159">
          <cell r="A159">
            <v>200172</v>
          </cell>
          <cell r="B159" t="str">
            <v>御电驰风</v>
          </cell>
        </row>
        <row r="160">
          <cell r="A160">
            <v>200173</v>
          </cell>
          <cell r="B160" t="str">
            <v>无畏陷阵</v>
          </cell>
        </row>
        <row r="161">
          <cell r="A161">
            <v>200174</v>
          </cell>
          <cell r="B161" t="str">
            <v>流水之势</v>
          </cell>
        </row>
        <row r="162">
          <cell r="A162">
            <v>200175</v>
          </cell>
          <cell r="B162" t="str">
            <v>千军藏锋</v>
          </cell>
        </row>
        <row r="163">
          <cell r="A163">
            <v>200176</v>
          </cell>
          <cell r="B163" t="str">
            <v>扬焰奇风</v>
          </cell>
        </row>
        <row r="164">
          <cell r="A164">
            <v>200177</v>
          </cell>
          <cell r="B164" t="str">
            <v>以王罚罪</v>
          </cell>
        </row>
        <row r="165">
          <cell r="A165">
            <v>200178</v>
          </cell>
          <cell r="B165" t="str">
            <v>天威不犯</v>
          </cell>
        </row>
        <row r="166">
          <cell r="A166">
            <v>200179</v>
          </cell>
          <cell r="B166" t="str">
            <v>煞虎驰疆</v>
          </cell>
        </row>
        <row r="167">
          <cell r="A167">
            <v>200180</v>
          </cell>
          <cell r="B167" t="str">
            <v>振威截击</v>
          </cell>
        </row>
        <row r="168">
          <cell r="A168">
            <v>200181</v>
          </cell>
          <cell r="B168" t="str">
            <v>烽火龙腾</v>
          </cell>
        </row>
        <row r="169">
          <cell r="A169">
            <v>200182</v>
          </cell>
          <cell r="B169" t="str">
            <v>豪胆雄师</v>
          </cell>
        </row>
        <row r="170">
          <cell r="A170">
            <v>200183</v>
          </cell>
          <cell r="B170" t="str">
            <v>王朝帝军</v>
          </cell>
        </row>
        <row r="171">
          <cell r="A171">
            <v>200184</v>
          </cell>
          <cell r="B171" t="str">
            <v>神机看破</v>
          </cell>
        </row>
        <row r="172">
          <cell r="A172">
            <v>200185</v>
          </cell>
          <cell r="B172" t="str">
            <v>雷彻风疾</v>
          </cell>
        </row>
        <row r="173">
          <cell r="A173">
            <v>200166</v>
          </cell>
          <cell r="B173" t="str">
            <v>攻城略地</v>
          </cell>
        </row>
        <row r="174">
          <cell r="A174">
            <v>200167</v>
          </cell>
          <cell r="B174" t="str">
            <v>无畏先登</v>
          </cell>
        </row>
        <row r="175">
          <cell r="A175">
            <v>200168</v>
          </cell>
          <cell r="B175" t="str">
            <v>先登破城</v>
          </cell>
        </row>
        <row r="176">
          <cell r="A176">
            <v>200170</v>
          </cell>
          <cell r="B176" t="str">
            <v>盈车嘉穗</v>
          </cell>
        </row>
        <row r="177">
          <cell r="A177">
            <v>200171</v>
          </cell>
          <cell r="B177" t="str">
            <v>辎重运输</v>
          </cell>
        </row>
        <row r="178">
          <cell r="A178">
            <v>200172</v>
          </cell>
          <cell r="B178" t="str">
            <v>退亦有章</v>
          </cell>
        </row>
        <row r="179">
          <cell r="A179">
            <v>210000</v>
          </cell>
          <cell r="B179" t="str">
            <v>戾虎血咬</v>
          </cell>
        </row>
        <row r="180">
          <cell r="A180">
            <v>210001</v>
          </cell>
          <cell r="B180" t="str">
            <v>行刑使徒</v>
          </cell>
        </row>
        <row r="181">
          <cell r="A181">
            <v>210002</v>
          </cell>
          <cell r="B181" t="str">
            <v>血债血偿</v>
          </cell>
        </row>
        <row r="182">
          <cell r="A182">
            <v>210003</v>
          </cell>
          <cell r="B182" t="str">
            <v>死亡黑旗</v>
          </cell>
        </row>
        <row r="183">
          <cell r="A183">
            <v>210004</v>
          </cell>
          <cell r="B183" t="str">
            <v>巨象战舞</v>
          </cell>
        </row>
        <row r="184">
          <cell r="A184">
            <v>210005</v>
          </cell>
          <cell r="B184" t="str">
            <v>固守屯兵</v>
          </cell>
        </row>
        <row r="185">
          <cell r="A185">
            <v>210006</v>
          </cell>
          <cell r="B185" t="str">
            <v>黄金朝圣</v>
          </cell>
        </row>
        <row r="186">
          <cell r="A186">
            <v>210007</v>
          </cell>
          <cell r="B186" t="str">
            <v>猎枭夜歌</v>
          </cell>
        </row>
        <row r="187">
          <cell r="A187">
            <v>210008</v>
          </cell>
          <cell r="B187" t="str">
            <v>创造之火</v>
          </cell>
        </row>
        <row r="188">
          <cell r="A188">
            <v>210009</v>
          </cell>
          <cell r="B188" t="str">
            <v>预言之子</v>
          </cell>
        </row>
        <row r="189">
          <cell r="A189">
            <v>210010</v>
          </cell>
          <cell r="B189" t="str">
            <v>沸腾血脉</v>
          </cell>
        </row>
        <row r="190">
          <cell r="A190">
            <v>210011</v>
          </cell>
          <cell r="B190" t="str">
            <v>快乐伙伴</v>
          </cell>
        </row>
        <row r="191">
          <cell r="A191">
            <v>210012</v>
          </cell>
          <cell r="B191" t="str">
            <v>拓疆铁蹄</v>
          </cell>
        </row>
        <row r="192">
          <cell r="A192">
            <v>210013</v>
          </cell>
          <cell r="B192" t="str">
            <v>都铎玫瑰</v>
          </cell>
        </row>
      </sheetData>
      <sheetData sheetId="7">
        <row r="1">
          <cell r="A1" t="str">
            <v>玺戒ID</v>
          </cell>
          <cell r="B1" t="str">
            <v>装备名称</v>
          </cell>
          <cell r="C1" t="str">
            <v>装备品级</v>
          </cell>
          <cell r="D1" t="str">
            <v>附带技能ID</v>
          </cell>
          <cell r="E1" t="str">
            <v>附带技能名称</v>
          </cell>
        </row>
        <row r="3">
          <cell r="A3">
            <v>101</v>
          </cell>
          <cell r="B3" t="str">
            <v>永燃之翼</v>
          </cell>
          <cell r="C3" t="str">
            <v>橙+</v>
          </cell>
          <cell r="D3">
            <v>200073</v>
          </cell>
          <cell r="E3" t="str">
            <v>侵蚀之焰</v>
          </cell>
        </row>
        <row r="4">
          <cell r="A4">
            <v>102</v>
          </cell>
          <cell r="B4" t="str">
            <v>圣选贤哲</v>
          </cell>
          <cell r="C4" t="str">
            <v>橙+</v>
          </cell>
          <cell r="D4">
            <v>200012</v>
          </cell>
          <cell r="E4" t="str">
            <v>沉默誓言</v>
          </cell>
        </row>
        <row r="5">
          <cell r="A5">
            <v>103</v>
          </cell>
          <cell r="B5" t="str">
            <v>天灾暴君</v>
          </cell>
          <cell r="C5" t="str">
            <v>橙+</v>
          </cell>
          <cell r="D5">
            <v>200022</v>
          </cell>
          <cell r="E5" t="str">
            <v>孤注一掷</v>
          </cell>
        </row>
        <row r="6">
          <cell r="A6">
            <v>104</v>
          </cell>
          <cell r="B6" t="str">
            <v>慈悲主宰</v>
          </cell>
          <cell r="C6" t="str">
            <v>橙+</v>
          </cell>
          <cell r="D6">
            <v>200023</v>
          </cell>
          <cell r="E6" t="str">
            <v>狂怒血脉</v>
          </cell>
        </row>
        <row r="7">
          <cell r="A7">
            <v>105</v>
          </cell>
          <cell r="B7" t="str">
            <v>毁灭信使</v>
          </cell>
          <cell r="C7" t="str">
            <v>橙+</v>
          </cell>
          <cell r="D7">
            <v>200046</v>
          </cell>
          <cell r="E7" t="str">
            <v>敏锐洞察</v>
          </cell>
        </row>
        <row r="8">
          <cell r="A8">
            <v>106</v>
          </cell>
          <cell r="B8" t="str">
            <v>天行骑士</v>
          </cell>
          <cell r="C8" t="str">
            <v>橙+</v>
          </cell>
          <cell r="D8">
            <v>200064</v>
          </cell>
          <cell r="E8" t="str">
            <v>胜利的代价</v>
          </cell>
        </row>
        <row r="9">
          <cell r="A9">
            <v>107</v>
          </cell>
          <cell r="B9" t="str">
            <v>东天尊主</v>
          </cell>
          <cell r="C9" t="str">
            <v>橙+</v>
          </cell>
          <cell r="D9">
            <v>200029</v>
          </cell>
          <cell r="E9" t="str">
            <v>胜利军规</v>
          </cell>
        </row>
        <row r="10">
          <cell r="A10">
            <v>108</v>
          </cell>
          <cell r="B10" t="str">
            <v>闪耀守卫</v>
          </cell>
          <cell r="C10" t="str">
            <v>橙+</v>
          </cell>
          <cell r="D10">
            <v>200079</v>
          </cell>
          <cell r="E10" t="str">
            <v>波澜攻势</v>
          </cell>
        </row>
        <row r="11">
          <cell r="A11">
            <v>109</v>
          </cell>
          <cell r="B11" t="str">
            <v>苍蓝之月</v>
          </cell>
          <cell r="C11" t="str">
            <v>橙</v>
          </cell>
          <cell r="D11">
            <v>200008</v>
          </cell>
          <cell r="E11" t="str">
            <v>毁灭的预示</v>
          </cell>
        </row>
        <row r="12">
          <cell r="A12">
            <v>110</v>
          </cell>
          <cell r="B12" t="str">
            <v>赤金之日</v>
          </cell>
          <cell r="C12" t="str">
            <v>橙</v>
          </cell>
          <cell r="D12">
            <v>200083</v>
          </cell>
          <cell r="E12" t="str">
            <v>决意强袭</v>
          </cell>
        </row>
        <row r="13">
          <cell r="A13">
            <v>111</v>
          </cell>
          <cell r="B13" t="str">
            <v>不动之山</v>
          </cell>
          <cell r="C13" t="str">
            <v>橙</v>
          </cell>
          <cell r="D13">
            <v>200065</v>
          </cell>
          <cell r="E13" t="str">
            <v>避芒击惰</v>
          </cell>
        </row>
        <row r="14">
          <cell r="A14">
            <v>112</v>
          </cell>
          <cell r="B14" t="str">
            <v>灼热之火</v>
          </cell>
          <cell r="C14" t="str">
            <v>橙</v>
          </cell>
          <cell r="D14">
            <v>200076</v>
          </cell>
          <cell r="E14" t="str">
            <v>英勇时刻</v>
          </cell>
        </row>
        <row r="15">
          <cell r="A15">
            <v>113</v>
          </cell>
          <cell r="B15" t="str">
            <v>静谧之水</v>
          </cell>
          <cell r="C15" t="str">
            <v>橙</v>
          </cell>
          <cell r="D15">
            <v>200011</v>
          </cell>
          <cell r="E15" t="str">
            <v>光明护佑</v>
          </cell>
        </row>
        <row r="16">
          <cell r="A16">
            <v>114</v>
          </cell>
          <cell r="B16" t="str">
            <v>遮天之云</v>
          </cell>
          <cell r="C16" t="str">
            <v>橙</v>
          </cell>
          <cell r="D16">
            <v>200096</v>
          </cell>
          <cell r="E16" t="str">
            <v>压制强攻</v>
          </cell>
        </row>
        <row r="17">
          <cell r="A17">
            <v>201</v>
          </cell>
          <cell r="B17" t="str">
            <v>暴熊之戒</v>
          </cell>
          <cell r="C17" t="str">
            <v>紫</v>
          </cell>
          <cell r="D17">
            <v>200123</v>
          </cell>
          <cell r="E17" t="str">
            <v>裸衣</v>
          </cell>
        </row>
        <row r="18">
          <cell r="A18">
            <v>202</v>
          </cell>
          <cell r="B18" t="str">
            <v>石犀之戒</v>
          </cell>
          <cell r="C18" t="str">
            <v>紫</v>
          </cell>
          <cell r="D18">
            <v>200004</v>
          </cell>
          <cell r="E18" t="str">
            <v>迸裂</v>
          </cell>
        </row>
        <row r="19">
          <cell r="A19">
            <v>203</v>
          </cell>
          <cell r="B19" t="str">
            <v>乌鸦之戒</v>
          </cell>
          <cell r="C19" t="str">
            <v>紫</v>
          </cell>
          <cell r="D19">
            <v>200014</v>
          </cell>
          <cell r="E19" t="str">
            <v>命运操弄</v>
          </cell>
        </row>
        <row r="20">
          <cell r="A20">
            <v>204</v>
          </cell>
          <cell r="B20" t="str">
            <v>海马之戒</v>
          </cell>
          <cell r="C20" t="str">
            <v>紫</v>
          </cell>
          <cell r="D20">
            <v>200045</v>
          </cell>
          <cell r="E20" t="str">
            <v>不屈信念</v>
          </cell>
        </row>
        <row r="21">
          <cell r="A21">
            <v>205</v>
          </cell>
          <cell r="B21" t="str">
            <v>狂鲨之戒</v>
          </cell>
          <cell r="C21" t="str">
            <v>紫</v>
          </cell>
          <cell r="D21">
            <v>200035</v>
          </cell>
          <cell r="E21" t="str">
            <v>惩戒者</v>
          </cell>
        </row>
        <row r="22">
          <cell r="A22">
            <v>206</v>
          </cell>
          <cell r="B22" t="str">
            <v>灵獾之戒</v>
          </cell>
          <cell r="C22" t="str">
            <v>紫</v>
          </cell>
          <cell r="D22">
            <v>200025</v>
          </cell>
          <cell r="E22" t="str">
            <v>钢铁之躯</v>
          </cell>
        </row>
        <row r="23">
          <cell r="A23">
            <v>207</v>
          </cell>
          <cell r="B23" t="str">
            <v>巨象之戒</v>
          </cell>
          <cell r="C23" t="str">
            <v>紫</v>
          </cell>
          <cell r="D23">
            <v>200003</v>
          </cell>
          <cell r="E23" t="str">
            <v>攻城大师</v>
          </cell>
        </row>
        <row r="24">
          <cell r="A24">
            <v>208</v>
          </cell>
          <cell r="B24" t="str">
            <v>怒狮之戒</v>
          </cell>
          <cell r="C24" t="str">
            <v>紫</v>
          </cell>
          <cell r="D24">
            <v>200017</v>
          </cell>
          <cell r="E24" t="str">
            <v>名门之后</v>
          </cell>
        </row>
        <row r="25">
          <cell r="A25">
            <v>209</v>
          </cell>
          <cell r="B25" t="str">
            <v>黑蛇之戒</v>
          </cell>
          <cell r="C25" t="str">
            <v>紫</v>
          </cell>
          <cell r="D25">
            <v>200039</v>
          </cell>
          <cell r="E25" t="str">
            <v>文武双全</v>
          </cell>
        </row>
        <row r="26">
          <cell r="A26">
            <v>210</v>
          </cell>
          <cell r="B26" t="str">
            <v>迅鹿之戒</v>
          </cell>
          <cell r="C26" t="str">
            <v>紫</v>
          </cell>
          <cell r="D26">
            <v>200109</v>
          </cell>
          <cell r="E26" t="str">
            <v>借势威吓</v>
          </cell>
        </row>
        <row r="27">
          <cell r="A27">
            <v>211</v>
          </cell>
          <cell r="B27" t="str">
            <v>天鹰之戒</v>
          </cell>
          <cell r="C27" t="str">
            <v>紫</v>
          </cell>
          <cell r="D27">
            <v>200107</v>
          </cell>
          <cell r="E27" t="str">
            <v>绿洲之佑</v>
          </cell>
        </row>
        <row r="28">
          <cell r="A28">
            <v>212</v>
          </cell>
          <cell r="B28" t="str">
            <v>夜狼之戒</v>
          </cell>
          <cell r="C28" t="str">
            <v>紫</v>
          </cell>
          <cell r="D28">
            <v>200112</v>
          </cell>
          <cell r="E28" t="str">
            <v>燃身战意</v>
          </cell>
        </row>
        <row r="29">
          <cell r="A29">
            <v>213</v>
          </cell>
          <cell r="B29" t="str">
            <v>野猪之戒</v>
          </cell>
          <cell r="C29" t="str">
            <v>紫</v>
          </cell>
          <cell r="D29">
            <v>200118</v>
          </cell>
          <cell r="E29" t="str">
            <v>余烬之灼</v>
          </cell>
        </row>
        <row r="30">
          <cell r="A30">
            <v>214</v>
          </cell>
          <cell r="B30" t="str">
            <v>挽马之戒</v>
          </cell>
          <cell r="C30" t="str">
            <v>紫</v>
          </cell>
          <cell r="D30">
            <v>200183</v>
          </cell>
          <cell r="E30" t="str">
            <v>负载强化</v>
          </cell>
        </row>
        <row r="31">
          <cell r="A31">
            <v>301</v>
          </cell>
          <cell r="B31" t="str">
            <v>郁金香之戒</v>
          </cell>
          <cell r="C31" t="str">
            <v>蓝</v>
          </cell>
          <cell r="D31">
            <v>200048</v>
          </cell>
          <cell r="E31" t="str">
            <v>冲击</v>
          </cell>
        </row>
        <row r="32">
          <cell r="A32">
            <v>302</v>
          </cell>
          <cell r="B32" t="str">
            <v>雏菊之戒</v>
          </cell>
          <cell r="C32" t="str">
            <v>蓝</v>
          </cell>
          <cell r="D32">
            <v>200051</v>
          </cell>
          <cell r="E32" t="str">
            <v>二连斩</v>
          </cell>
        </row>
        <row r="33">
          <cell r="A33">
            <v>303</v>
          </cell>
          <cell r="B33" t="str">
            <v>鸢尾花之戒</v>
          </cell>
          <cell r="C33" t="str">
            <v>蓝</v>
          </cell>
          <cell r="D33">
            <v>200053</v>
          </cell>
          <cell r="E33" t="str">
            <v>锐锋</v>
          </cell>
        </row>
        <row r="34">
          <cell r="A34">
            <v>304</v>
          </cell>
          <cell r="B34" t="str">
            <v>玫瑰之戒</v>
          </cell>
          <cell r="C34" t="str">
            <v>蓝</v>
          </cell>
          <cell r="D34">
            <v>200050</v>
          </cell>
          <cell r="E34" t="str">
            <v>奇袭</v>
          </cell>
        </row>
        <row r="35">
          <cell r="A35">
            <v>305</v>
          </cell>
          <cell r="B35" t="str">
            <v>三叶草之戒</v>
          </cell>
          <cell r="C35" t="str">
            <v>蓝</v>
          </cell>
          <cell r="D35">
            <v>200162</v>
          </cell>
          <cell r="E35" t="str">
            <v>甲胄维护</v>
          </cell>
        </row>
        <row r="36">
          <cell r="A36">
            <v>306</v>
          </cell>
          <cell r="B36" t="str">
            <v>风信子之戒</v>
          </cell>
          <cell r="C36" t="str">
            <v>蓝</v>
          </cell>
          <cell r="D36">
            <v>200163</v>
          </cell>
          <cell r="E36" t="str">
            <v>战后总结</v>
          </cell>
        </row>
        <row r="37">
          <cell r="A37">
            <v>307</v>
          </cell>
          <cell r="B37" t="str">
            <v>铃兰之戒</v>
          </cell>
          <cell r="C37" t="str">
            <v>蓝</v>
          </cell>
          <cell r="D37">
            <v>200049</v>
          </cell>
          <cell r="E37" t="str">
            <v>休整</v>
          </cell>
        </row>
        <row r="38">
          <cell r="A38">
            <v>308</v>
          </cell>
          <cell r="B38" t="str">
            <v>月桂之戒</v>
          </cell>
          <cell r="C38" t="str">
            <v>蓝</v>
          </cell>
          <cell r="D38">
            <v>200052</v>
          </cell>
          <cell r="E38" t="str">
            <v>攻城战术</v>
          </cell>
        </row>
        <row r="39">
          <cell r="A39">
            <v>309</v>
          </cell>
          <cell r="B39" t="str">
            <v>紫罗兰之戒</v>
          </cell>
          <cell r="C39" t="str">
            <v>蓝</v>
          </cell>
          <cell r="D39">
            <v>200164</v>
          </cell>
          <cell r="E39" t="str">
            <v>勤劳之手</v>
          </cell>
        </row>
        <row r="40">
          <cell r="A40">
            <v>310</v>
          </cell>
          <cell r="B40" t="str">
            <v>向日葵之戒</v>
          </cell>
          <cell r="C40" t="str">
            <v>蓝</v>
          </cell>
          <cell r="D40">
            <v>200165</v>
          </cell>
          <cell r="E40" t="str">
            <v>丰收预兆</v>
          </cell>
        </row>
        <row r="43">
          <cell r="B43" t="str">
            <v>未上阵阵容：</v>
          </cell>
          <cell r="C43">
            <v>6</v>
          </cell>
          <cell r="D43">
            <v>14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3BBD-225F-4284-87E9-B00B01E1267C}">
  <dimension ref="A1:F8"/>
  <sheetViews>
    <sheetView workbookViewId="0">
      <selection activeCell="D24" sqref="D24"/>
    </sheetView>
  </sheetViews>
  <sheetFormatPr defaultColWidth="9" defaultRowHeight="16.5"/>
  <cols>
    <col min="1" max="1" width="20.875" style="13" customWidth="1"/>
    <col min="2" max="2" width="41.125" style="13" customWidth="1"/>
    <col min="3" max="3" width="16.125" style="13" customWidth="1"/>
    <col min="4" max="4" width="22.875" style="13" customWidth="1"/>
    <col min="5" max="5" width="32.125" style="13" customWidth="1"/>
    <col min="6" max="6" width="17.125" style="10" customWidth="1"/>
    <col min="7" max="16384" width="9" style="10"/>
  </cols>
  <sheetData>
    <row r="1" spans="1:6">
      <c r="A1" s="127" t="s">
        <v>17</v>
      </c>
    </row>
    <row r="2" spans="1:6">
      <c r="A2" s="13" t="s">
        <v>0</v>
      </c>
      <c r="B2" s="13" t="s">
        <v>2</v>
      </c>
      <c r="C2" s="13" t="s">
        <v>320</v>
      </c>
      <c r="D2" s="13" t="s">
        <v>3</v>
      </c>
      <c r="E2" s="13" t="s">
        <v>817</v>
      </c>
      <c r="F2" s="13" t="s">
        <v>23</v>
      </c>
    </row>
    <row r="3" spans="1:6">
      <c r="A3" s="13" t="s">
        <v>0</v>
      </c>
      <c r="B3" s="13" t="s">
        <v>1</v>
      </c>
      <c r="D3" s="13" t="s">
        <v>4</v>
      </c>
      <c r="F3" s="13" t="s">
        <v>228</v>
      </c>
    </row>
    <row r="4" spans="1:6">
      <c r="A4" s="13">
        <v>1</v>
      </c>
      <c r="B4" s="13" t="s">
        <v>325</v>
      </c>
      <c r="C4" s="13" t="s">
        <v>326</v>
      </c>
      <c r="D4" s="13" t="s">
        <v>760</v>
      </c>
      <c r="E4" s="13" t="s">
        <v>818</v>
      </c>
      <c r="F4" s="13"/>
    </row>
    <row r="5" spans="1:6">
      <c r="A5" s="13">
        <v>2</v>
      </c>
      <c r="B5" s="13" t="s">
        <v>321</v>
      </c>
      <c r="C5" s="13" t="s">
        <v>5</v>
      </c>
      <c r="D5" s="13" t="s">
        <v>819</v>
      </c>
      <c r="E5" s="13" t="str">
        <f t="array" ref="E5">_xlfn.TEXTJOIN("|", TRUE, _xlfn._xlws.SORT(_xlfn._xlws.FILTER([1]阵容详细配置表!A:A, ([1]阵容详细配置表!K:K=F5) * ([1]阵容详细配置表!N:N&lt;&gt;"新手")), 1, -1))</f>
        <v>37|36|35|31|30|23|22|17|8|7|5</v>
      </c>
      <c r="F5" s="13" t="s">
        <v>244</v>
      </c>
    </row>
    <row r="6" spans="1:6">
      <c r="A6" s="13">
        <v>3</v>
      </c>
      <c r="B6" s="13" t="s">
        <v>322</v>
      </c>
      <c r="C6" s="13" t="s">
        <v>6</v>
      </c>
      <c r="D6" s="13" t="s">
        <v>820</v>
      </c>
      <c r="E6" s="13" t="str">
        <f t="array" ref="E6">_xlfn.TEXTJOIN("|", TRUE, _xlfn._xlws.SORT(_xlfn._xlws.FILTER([1]阵容详细配置表!A:A, ([1]阵容详细配置表!K:K=F6) * ([1]阵容详细配置表!N:N&lt;&gt;"新手")), 1, -1))</f>
        <v>41|34|28|25|21|10|9</v>
      </c>
      <c r="F6" s="13" t="s">
        <v>245</v>
      </c>
    </row>
    <row r="7" spans="1:6">
      <c r="A7" s="13">
        <v>4</v>
      </c>
      <c r="B7" s="13" t="s">
        <v>323</v>
      </c>
      <c r="C7" s="13" t="s">
        <v>7</v>
      </c>
      <c r="D7" s="13" t="s">
        <v>821</v>
      </c>
      <c r="E7" s="13" t="str">
        <f t="array" ref="E7">_xlfn.TEXTJOIN("|", TRUE, _xlfn._xlws.SORT(_xlfn._xlws.FILTER([1]阵容详细配置表!A:A, ([1]阵容详细配置表!K:K=F7) * ([1]阵容详细配置表!N:N&lt;&gt;"新手")), 1, -1))</f>
        <v>42|40|39|33|24|19|16|13|12|11</v>
      </c>
      <c r="F7" s="13" t="s">
        <v>246</v>
      </c>
    </row>
    <row r="8" spans="1:6">
      <c r="A8" s="13">
        <v>5</v>
      </c>
      <c r="B8" s="13" t="s">
        <v>324</v>
      </c>
      <c r="C8" s="13" t="s">
        <v>8</v>
      </c>
      <c r="D8" s="13" t="s">
        <v>822</v>
      </c>
      <c r="E8" s="13" t="str">
        <f t="array" ref="E8">_xlfn.TEXTJOIN("|", TRUE, _xlfn._xlws.SORT(_xlfn._xlws.FILTER([1]阵容详细配置表!A:A, ([1]阵容详细配置表!K:K=F8) * ([1]阵容详细配置表!N:N&lt;&gt;"新手")), 1, -1))</f>
        <v>38|32|29|26|20|18|15</v>
      </c>
      <c r="F8" s="13" t="s">
        <v>247</v>
      </c>
    </row>
  </sheetData>
  <phoneticPr fontId="4" type="noConversion"/>
  <dataValidations count="1">
    <dataValidation allowBlank="1" errorTitle="范围错误" error="1 ~ 65535" promptTitle="范围" prompt="1 ~ 65535" sqref="A1" xr:uid="{C6FAD2F8-CBDE-432A-991C-BBF1FE6DE647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6895-083C-464B-BA65-229EFCADC076}">
  <dimension ref="A1:R44"/>
  <sheetViews>
    <sheetView zoomScaleNormal="100" workbookViewId="0">
      <pane xSplit="2" ySplit="3" topLeftCell="F10" activePane="bottomRight" state="frozen"/>
      <selection pane="topRight" activeCell="C1" sqref="C1"/>
      <selection pane="bottomLeft" activeCell="A4" sqref="A4"/>
      <selection pane="bottomRight" activeCell="F46" sqref="F46"/>
    </sheetView>
  </sheetViews>
  <sheetFormatPr defaultColWidth="9" defaultRowHeight="16.5"/>
  <cols>
    <col min="1" max="1" width="9" style="13"/>
    <col min="2" max="2" width="16.875" style="13" customWidth="1"/>
    <col min="3" max="4" width="22.375" style="13" customWidth="1"/>
    <col min="5" max="5" width="128.375" style="12" customWidth="1"/>
    <col min="6" max="6" width="22.375" style="13" customWidth="1"/>
    <col min="7" max="7" width="128.375" style="12" customWidth="1"/>
    <col min="8" max="10" width="19.5" style="13" customWidth="1"/>
    <col min="11" max="12" width="13.75" style="13" customWidth="1"/>
    <col min="13" max="13" width="16.375" style="13" bestFit="1" customWidth="1"/>
    <col min="14" max="14" width="9" style="13"/>
    <col min="15" max="15" width="9.25" style="13" bestFit="1" customWidth="1"/>
    <col min="16" max="16" width="11.25" style="13" bestFit="1" customWidth="1"/>
    <col min="17" max="16384" width="9" style="13"/>
  </cols>
  <sheetData>
    <row r="1" spans="1:17">
      <c r="A1" s="34" t="s">
        <v>21</v>
      </c>
      <c r="B1" s="2"/>
      <c r="C1" s="2"/>
      <c r="D1" s="2"/>
      <c r="E1" s="8"/>
      <c r="F1" s="2"/>
      <c r="G1" s="8"/>
      <c r="H1" s="2"/>
      <c r="I1" s="2"/>
      <c r="J1" s="2"/>
      <c r="K1" s="2"/>
      <c r="L1" s="2"/>
      <c r="M1" s="2"/>
      <c r="N1" s="2"/>
    </row>
    <row r="2" spans="1:17">
      <c r="A2" s="2" t="s">
        <v>0</v>
      </c>
      <c r="B2" s="2" t="s">
        <v>304</v>
      </c>
      <c r="C2" s="2" t="s">
        <v>15</v>
      </c>
      <c r="D2" s="2" t="s">
        <v>297</v>
      </c>
      <c r="E2" s="8" t="s">
        <v>298</v>
      </c>
      <c r="F2" s="2" t="s">
        <v>438</v>
      </c>
      <c r="G2" s="8" t="s">
        <v>439</v>
      </c>
      <c r="H2" s="2" t="s">
        <v>10</v>
      </c>
      <c r="I2" s="2" t="s">
        <v>11</v>
      </c>
      <c r="J2" s="2" t="s">
        <v>12</v>
      </c>
      <c r="K2" s="2" t="s">
        <v>23</v>
      </c>
      <c r="L2" s="2" t="s">
        <v>24</v>
      </c>
      <c r="M2" s="2" t="s">
        <v>226</v>
      </c>
      <c r="N2" s="2" t="s">
        <v>229</v>
      </c>
      <c r="O2" s="2" t="s">
        <v>661</v>
      </c>
      <c r="P2" s="2" t="s">
        <v>662</v>
      </c>
      <c r="Q2" s="2" t="s">
        <v>391</v>
      </c>
    </row>
    <row r="3" spans="1:17">
      <c r="A3" s="2" t="s">
        <v>0</v>
      </c>
      <c r="B3" s="2"/>
      <c r="C3" s="2" t="s">
        <v>1</v>
      </c>
      <c r="D3" s="8" t="s">
        <v>16</v>
      </c>
      <c r="E3" s="8"/>
      <c r="F3" s="8" t="s">
        <v>435</v>
      </c>
      <c r="G3" s="8"/>
      <c r="H3" s="2" t="s">
        <v>18</v>
      </c>
      <c r="I3" s="2" t="s">
        <v>19</v>
      </c>
      <c r="J3" s="2" t="s">
        <v>20</v>
      </c>
      <c r="K3" s="2" t="s">
        <v>228</v>
      </c>
      <c r="L3" s="2" t="s">
        <v>44</v>
      </c>
      <c r="M3" s="2" t="s">
        <v>227</v>
      </c>
      <c r="N3" s="2" t="s">
        <v>230</v>
      </c>
      <c r="O3" s="2" t="s">
        <v>663</v>
      </c>
      <c r="P3" s="2" t="s">
        <v>664</v>
      </c>
      <c r="Q3" s="8"/>
    </row>
    <row r="4" spans="1:17" s="6" customFormat="1" ht="49.5">
      <c r="A4" s="8">
        <v>1</v>
      </c>
      <c r="B4" s="7" t="s">
        <v>300</v>
      </c>
      <c r="C4" s="38" t="s">
        <v>306</v>
      </c>
      <c r="D4" s="38" t="s">
        <v>305</v>
      </c>
      <c r="E4" s="14" t="s">
        <v>450</v>
      </c>
      <c r="F4" s="38" t="s">
        <v>305</v>
      </c>
      <c r="G4" s="14" t="s">
        <v>450</v>
      </c>
      <c r="H4" s="8">
        <v>1036</v>
      </c>
      <c r="I4" s="8" t="s">
        <v>410</v>
      </c>
      <c r="J4" s="8" t="s">
        <v>597</v>
      </c>
      <c r="K4" s="5" t="s">
        <v>233</v>
      </c>
      <c r="L4" s="8" t="s">
        <v>234</v>
      </c>
      <c r="M4" s="8" t="s">
        <v>232</v>
      </c>
      <c r="N4" s="4" t="s">
        <v>231</v>
      </c>
      <c r="O4" s="8"/>
      <c r="P4" s="8"/>
      <c r="Q4" s="8" t="s">
        <v>749</v>
      </c>
    </row>
    <row r="5" spans="1:17" s="6" customFormat="1" ht="49.5">
      <c r="A5" s="8">
        <v>2</v>
      </c>
      <c r="B5" s="7" t="s">
        <v>249</v>
      </c>
      <c r="C5" s="38" t="s">
        <v>307</v>
      </c>
      <c r="D5" s="38" t="s">
        <v>330</v>
      </c>
      <c r="E5" s="14" t="s">
        <v>334</v>
      </c>
      <c r="F5" s="38" t="s">
        <v>330</v>
      </c>
      <c r="G5" s="14" t="s">
        <v>334</v>
      </c>
      <c r="H5" s="8" t="s">
        <v>329</v>
      </c>
      <c r="I5" s="8" t="s">
        <v>328</v>
      </c>
      <c r="J5" s="8" t="s">
        <v>598</v>
      </c>
      <c r="K5" s="7" t="s">
        <v>26</v>
      </c>
      <c r="L5" s="8" t="s">
        <v>234</v>
      </c>
      <c r="M5" s="8" t="s">
        <v>232</v>
      </c>
      <c r="N5" s="4" t="s">
        <v>231</v>
      </c>
      <c r="O5" s="8"/>
      <c r="P5" s="8"/>
      <c r="Q5" s="8" t="s">
        <v>750</v>
      </c>
    </row>
    <row r="6" spans="1:17" s="6" customFormat="1" ht="49.5">
      <c r="A6" s="8">
        <v>3</v>
      </c>
      <c r="B6" s="7" t="s">
        <v>299</v>
      </c>
      <c r="C6" s="38" t="s">
        <v>308</v>
      </c>
      <c r="D6" s="38" t="s">
        <v>327</v>
      </c>
      <c r="E6" s="11" t="s">
        <v>375</v>
      </c>
      <c r="F6" s="38" t="s">
        <v>327</v>
      </c>
      <c r="G6" s="11" t="s">
        <v>375</v>
      </c>
      <c r="H6" s="8" t="s">
        <v>374</v>
      </c>
      <c r="I6" s="8" t="s">
        <v>347</v>
      </c>
      <c r="J6" s="8" t="s">
        <v>260</v>
      </c>
      <c r="K6" s="7" t="s">
        <v>236</v>
      </c>
      <c r="L6" s="8" t="s">
        <v>234</v>
      </c>
      <c r="M6" s="8" t="s">
        <v>232</v>
      </c>
      <c r="N6" s="8" t="s">
        <v>231</v>
      </c>
      <c r="O6" s="8"/>
      <c r="P6" s="8"/>
      <c r="Q6" s="8" t="s">
        <v>751</v>
      </c>
    </row>
    <row r="7" spans="1:17" s="6" customFormat="1" ht="49.5">
      <c r="A7" s="8">
        <v>4</v>
      </c>
      <c r="B7" s="7" t="s">
        <v>301</v>
      </c>
      <c r="C7" s="38" t="s">
        <v>309</v>
      </c>
      <c r="D7" s="38" t="s">
        <v>318</v>
      </c>
      <c r="E7" s="14" t="s">
        <v>302</v>
      </c>
      <c r="F7" s="38" t="s">
        <v>318</v>
      </c>
      <c r="G7" s="14" t="s">
        <v>302</v>
      </c>
      <c r="H7" s="8" t="s">
        <v>261</v>
      </c>
      <c r="I7" s="8" t="s">
        <v>376</v>
      </c>
      <c r="J7" s="8" t="s">
        <v>775</v>
      </c>
      <c r="K7" s="7" t="s">
        <v>246</v>
      </c>
      <c r="L7" s="8" t="s">
        <v>234</v>
      </c>
      <c r="M7" s="8" t="s">
        <v>232</v>
      </c>
      <c r="N7" s="8" t="s">
        <v>231</v>
      </c>
      <c r="O7" s="8"/>
      <c r="P7" s="8"/>
      <c r="Q7" s="8" t="s">
        <v>752</v>
      </c>
    </row>
    <row r="8" spans="1:17" s="6" customFormat="1" ht="49.5">
      <c r="A8" s="8">
        <v>5</v>
      </c>
      <c r="B8" s="9" t="s">
        <v>267</v>
      </c>
      <c r="C8" s="38" t="s">
        <v>310</v>
      </c>
      <c r="D8" s="38" t="s">
        <v>351</v>
      </c>
      <c r="E8" s="11" t="s">
        <v>353</v>
      </c>
      <c r="F8" s="38" t="s">
        <v>351</v>
      </c>
      <c r="G8" s="11" t="s">
        <v>353</v>
      </c>
      <c r="H8" s="8" t="s">
        <v>268</v>
      </c>
      <c r="I8" s="8" t="s">
        <v>599</v>
      </c>
      <c r="J8" s="8" t="s">
        <v>269</v>
      </c>
      <c r="K8" s="9" t="s">
        <v>233</v>
      </c>
      <c r="L8" s="8" t="s">
        <v>45</v>
      </c>
      <c r="M8" s="8" t="s">
        <v>232</v>
      </c>
      <c r="N8" s="8" t="s">
        <v>45</v>
      </c>
      <c r="O8" s="8"/>
      <c r="P8" s="8"/>
      <c r="Q8" s="8" t="s">
        <v>753</v>
      </c>
    </row>
    <row r="9" spans="1:17" s="85" customFormat="1" ht="49.5">
      <c r="A9" s="83">
        <v>6</v>
      </c>
      <c r="B9" s="112" t="s">
        <v>339</v>
      </c>
      <c r="C9" s="113" t="s">
        <v>340</v>
      </c>
      <c r="D9" s="113" t="s">
        <v>342</v>
      </c>
      <c r="E9" s="114" t="s">
        <v>341</v>
      </c>
      <c r="F9" s="113" t="s">
        <v>342</v>
      </c>
      <c r="G9" s="114" t="s">
        <v>341</v>
      </c>
      <c r="H9" s="83">
        <v>6003</v>
      </c>
      <c r="I9" s="83" t="s">
        <v>343</v>
      </c>
      <c r="J9" s="83" t="s">
        <v>600</v>
      </c>
      <c r="K9" s="112" t="s">
        <v>233</v>
      </c>
      <c r="L9" s="115" t="s">
        <v>25</v>
      </c>
      <c r="M9" s="83" t="s">
        <v>232</v>
      </c>
      <c r="N9" s="83" t="s">
        <v>231</v>
      </c>
      <c r="O9" s="83"/>
      <c r="P9" s="83"/>
      <c r="Q9" s="83" t="s">
        <v>754</v>
      </c>
    </row>
    <row r="10" spans="1:17" s="48" customFormat="1" ht="66">
      <c r="A10" s="84">
        <v>7</v>
      </c>
      <c r="B10" s="116" t="s">
        <v>259</v>
      </c>
      <c r="C10" s="117" t="s">
        <v>311</v>
      </c>
      <c r="D10" s="117" t="s">
        <v>354</v>
      </c>
      <c r="E10" s="118" t="s">
        <v>384</v>
      </c>
      <c r="F10" s="117" t="s">
        <v>354</v>
      </c>
      <c r="G10" s="118" t="s">
        <v>583</v>
      </c>
      <c r="H10" s="119">
        <v>7021</v>
      </c>
      <c r="I10" s="119" t="s">
        <v>582</v>
      </c>
      <c r="J10" s="44" t="s">
        <v>381</v>
      </c>
      <c r="K10" s="120" t="s">
        <v>233</v>
      </c>
      <c r="L10" s="84" t="s">
        <v>234</v>
      </c>
      <c r="M10" s="84" t="s">
        <v>232</v>
      </c>
      <c r="N10" s="44" t="s">
        <v>240</v>
      </c>
      <c r="O10" s="44">
        <v>7</v>
      </c>
      <c r="P10" s="44">
        <v>1</v>
      </c>
      <c r="Q10" s="8" t="s">
        <v>744</v>
      </c>
    </row>
    <row r="11" spans="1:17" s="6" customFormat="1" ht="49.5">
      <c r="A11" s="8">
        <v>8</v>
      </c>
      <c r="B11" s="7" t="s">
        <v>273</v>
      </c>
      <c r="C11" s="38" t="s">
        <v>312</v>
      </c>
      <c r="D11" s="38" t="s">
        <v>319</v>
      </c>
      <c r="E11" s="40" t="s">
        <v>303</v>
      </c>
      <c r="F11" s="38" t="s">
        <v>319</v>
      </c>
      <c r="G11" s="40" t="s">
        <v>303</v>
      </c>
      <c r="H11" s="8">
        <v>8036</v>
      </c>
      <c r="I11" s="8">
        <v>8061</v>
      </c>
      <c r="J11" s="8">
        <v>8055</v>
      </c>
      <c r="K11" s="7" t="s">
        <v>233</v>
      </c>
      <c r="L11" s="8" t="s">
        <v>234</v>
      </c>
      <c r="M11" s="8" t="s">
        <v>232</v>
      </c>
      <c r="N11" s="8" t="s">
        <v>234</v>
      </c>
      <c r="O11" s="8"/>
      <c r="P11" s="8"/>
      <c r="Q11" s="8" t="s">
        <v>755</v>
      </c>
    </row>
    <row r="12" spans="1:17" s="6" customFormat="1" ht="49.5">
      <c r="A12" s="8">
        <v>9</v>
      </c>
      <c r="B12" s="5" t="s">
        <v>239</v>
      </c>
      <c r="C12" s="38" t="s">
        <v>346</v>
      </c>
      <c r="D12" s="38" t="s">
        <v>345</v>
      </c>
      <c r="E12" s="40" t="s">
        <v>449</v>
      </c>
      <c r="F12" s="38" t="s">
        <v>345</v>
      </c>
      <c r="G12" s="40" t="s">
        <v>449</v>
      </c>
      <c r="H12" s="8">
        <v>9003</v>
      </c>
      <c r="I12" s="8" t="s">
        <v>447</v>
      </c>
      <c r="J12" s="8" t="s">
        <v>448</v>
      </c>
      <c r="K12" s="5" t="s">
        <v>236</v>
      </c>
      <c r="L12" s="8" t="s">
        <v>25</v>
      </c>
      <c r="M12" s="8" t="s">
        <v>232</v>
      </c>
      <c r="N12" s="8" t="s">
        <v>25</v>
      </c>
      <c r="O12" s="8"/>
      <c r="P12" s="8"/>
      <c r="Q12" s="8" t="s">
        <v>740</v>
      </c>
    </row>
    <row r="13" spans="1:17" s="6" customFormat="1" ht="49.5">
      <c r="A13" s="8">
        <v>10</v>
      </c>
      <c r="B13" s="7" t="s">
        <v>275</v>
      </c>
      <c r="C13" s="38" t="s">
        <v>313</v>
      </c>
      <c r="D13" s="38" t="s">
        <v>656</v>
      </c>
      <c r="E13" s="40" t="s">
        <v>657</v>
      </c>
      <c r="F13" s="38" t="s">
        <v>656</v>
      </c>
      <c r="G13" s="40" t="s">
        <v>657</v>
      </c>
      <c r="H13" s="8" t="s">
        <v>601</v>
      </c>
      <c r="I13" s="8" t="s">
        <v>658</v>
      </c>
      <c r="J13" s="8" t="s">
        <v>603</v>
      </c>
      <c r="K13" s="7" t="s">
        <v>236</v>
      </c>
      <c r="L13" s="8" t="s">
        <v>234</v>
      </c>
      <c r="M13" s="8" t="s">
        <v>232</v>
      </c>
      <c r="N13" s="8" t="s">
        <v>234</v>
      </c>
      <c r="O13" s="8">
        <v>25</v>
      </c>
      <c r="P13" s="8">
        <v>2</v>
      </c>
      <c r="Q13" s="8"/>
    </row>
    <row r="14" spans="1:17" s="6" customFormat="1" ht="82.5">
      <c r="A14" s="8">
        <v>11</v>
      </c>
      <c r="B14" s="9" t="s">
        <v>242</v>
      </c>
      <c r="C14" s="38" t="s">
        <v>314</v>
      </c>
      <c r="D14" s="38" t="s">
        <v>350</v>
      </c>
      <c r="E14" s="72" t="s">
        <v>641</v>
      </c>
      <c r="F14" s="38" t="s">
        <v>350</v>
      </c>
      <c r="G14" s="72" t="s">
        <v>641</v>
      </c>
      <c r="H14" s="8" t="s">
        <v>602</v>
      </c>
      <c r="I14" s="8" t="s">
        <v>604</v>
      </c>
      <c r="J14" s="8" t="s">
        <v>643</v>
      </c>
      <c r="K14" s="7" t="s">
        <v>235</v>
      </c>
      <c r="L14" s="8" t="s">
        <v>45</v>
      </c>
      <c r="M14" s="8" t="s">
        <v>232</v>
      </c>
      <c r="N14" s="8" t="s">
        <v>45</v>
      </c>
      <c r="O14" s="8"/>
      <c r="P14" s="8"/>
      <c r="Q14" s="8" t="s">
        <v>756</v>
      </c>
    </row>
    <row r="15" spans="1:17" s="6" customFormat="1" ht="82.5">
      <c r="A15" s="8">
        <v>12</v>
      </c>
      <c r="B15" s="5" t="s">
        <v>243</v>
      </c>
      <c r="C15" s="38" t="s">
        <v>315</v>
      </c>
      <c r="D15" s="38" t="s">
        <v>338</v>
      </c>
      <c r="E15" s="39" t="s">
        <v>404</v>
      </c>
      <c r="F15" s="38" t="s">
        <v>338</v>
      </c>
      <c r="G15" s="39" t="s">
        <v>404</v>
      </c>
      <c r="H15" s="8">
        <v>12047</v>
      </c>
      <c r="I15" s="8" t="s">
        <v>605</v>
      </c>
      <c r="J15" s="8" t="s">
        <v>618</v>
      </c>
      <c r="K15" s="7" t="s">
        <v>235</v>
      </c>
      <c r="L15" s="8" t="s">
        <v>25</v>
      </c>
      <c r="M15" s="8" t="s">
        <v>232</v>
      </c>
      <c r="N15" s="8" t="s">
        <v>25</v>
      </c>
      <c r="O15" s="8">
        <v>12</v>
      </c>
      <c r="P15" s="8">
        <v>1</v>
      </c>
      <c r="Q15" s="8" t="s">
        <v>741</v>
      </c>
    </row>
    <row r="16" spans="1:17" s="6" customFormat="1" ht="66">
      <c r="A16" s="8">
        <v>13</v>
      </c>
      <c r="B16" s="7" t="s">
        <v>238</v>
      </c>
      <c r="C16" s="38" t="s">
        <v>316</v>
      </c>
      <c r="D16" s="38" t="s">
        <v>390</v>
      </c>
      <c r="E16" s="40" t="s">
        <v>389</v>
      </c>
      <c r="F16" s="38" t="s">
        <v>390</v>
      </c>
      <c r="G16" s="40" t="s">
        <v>389</v>
      </c>
      <c r="H16" s="8" t="s">
        <v>606</v>
      </c>
      <c r="I16" s="8" t="s">
        <v>607</v>
      </c>
      <c r="J16" s="8" t="s">
        <v>608</v>
      </c>
      <c r="K16" s="7" t="s">
        <v>235</v>
      </c>
      <c r="L16" s="8" t="s">
        <v>234</v>
      </c>
      <c r="M16" s="8" t="s">
        <v>232</v>
      </c>
      <c r="N16" s="8" t="s">
        <v>234</v>
      </c>
      <c r="O16" s="8"/>
      <c r="P16" s="8"/>
      <c r="Q16" s="8" t="s">
        <v>742</v>
      </c>
    </row>
    <row r="17" spans="1:18" s="6" customFormat="1" ht="66">
      <c r="A17" s="8">
        <v>15</v>
      </c>
      <c r="B17" s="9" t="s">
        <v>237</v>
      </c>
      <c r="C17" s="38" t="s">
        <v>317</v>
      </c>
      <c r="D17" s="38" t="s">
        <v>364</v>
      </c>
      <c r="E17" s="39" t="s">
        <v>365</v>
      </c>
      <c r="F17" s="38" t="s">
        <v>364</v>
      </c>
      <c r="G17" s="39" t="s">
        <v>365</v>
      </c>
      <c r="H17" s="8" t="s">
        <v>609</v>
      </c>
      <c r="I17" s="8" t="s">
        <v>610</v>
      </c>
      <c r="J17" s="8" t="s">
        <v>611</v>
      </c>
      <c r="K17" s="9" t="s">
        <v>26</v>
      </c>
      <c r="L17" s="8" t="s">
        <v>45</v>
      </c>
      <c r="M17" s="8" t="s">
        <v>232</v>
      </c>
      <c r="N17" s="8" t="s">
        <v>45</v>
      </c>
      <c r="O17" s="8"/>
      <c r="P17" s="8"/>
      <c r="Q17" s="8"/>
    </row>
    <row r="18" spans="1:18" s="86" customFormat="1" ht="49.5">
      <c r="A18" s="84">
        <v>16</v>
      </c>
      <c r="B18" s="121" t="s">
        <v>288</v>
      </c>
      <c r="C18" s="117" t="s">
        <v>368</v>
      </c>
      <c r="D18" s="117" t="s">
        <v>408</v>
      </c>
      <c r="E18" s="122" t="s">
        <v>407</v>
      </c>
      <c r="F18" s="117" t="s">
        <v>408</v>
      </c>
      <c r="G18" s="122" t="s">
        <v>407</v>
      </c>
      <c r="H18" s="84">
        <v>16021</v>
      </c>
      <c r="I18" s="84" t="s">
        <v>612</v>
      </c>
      <c r="J18" s="84" t="s">
        <v>613</v>
      </c>
      <c r="K18" s="120" t="s">
        <v>235</v>
      </c>
      <c r="L18" s="84" t="s">
        <v>234</v>
      </c>
      <c r="M18" s="84" t="s">
        <v>232</v>
      </c>
      <c r="N18" s="84" t="s">
        <v>234</v>
      </c>
      <c r="O18" s="84"/>
      <c r="P18" s="84"/>
      <c r="Q18" s="8" t="s">
        <v>757</v>
      </c>
    </row>
    <row r="19" spans="1:18" s="6" customFormat="1" ht="66">
      <c r="A19" s="8">
        <v>17</v>
      </c>
      <c r="B19" s="7" t="s">
        <v>369</v>
      </c>
      <c r="C19" s="38" t="s">
        <v>367</v>
      </c>
      <c r="D19" s="38" t="s">
        <v>370</v>
      </c>
      <c r="E19" s="11" t="s">
        <v>382</v>
      </c>
      <c r="F19" s="38" t="s">
        <v>370</v>
      </c>
      <c r="G19" s="11" t="s">
        <v>585</v>
      </c>
      <c r="H19" s="8" t="s">
        <v>614</v>
      </c>
      <c r="I19" s="8" t="s">
        <v>660</v>
      </c>
      <c r="J19" s="8" t="s">
        <v>659</v>
      </c>
      <c r="K19" s="7" t="s">
        <v>244</v>
      </c>
      <c r="L19" s="8" t="s">
        <v>234</v>
      </c>
      <c r="M19" s="8" t="s">
        <v>232</v>
      </c>
      <c r="N19" s="8" t="s">
        <v>234</v>
      </c>
      <c r="O19" s="8"/>
      <c r="P19" s="8"/>
      <c r="Q19" s="8" t="s">
        <v>743</v>
      </c>
    </row>
    <row r="20" spans="1:18" s="6" customFormat="1" ht="49.5">
      <c r="A20" s="8">
        <v>18</v>
      </c>
      <c r="B20" s="7" t="s">
        <v>421</v>
      </c>
      <c r="C20" s="38" t="s">
        <v>422</v>
      </c>
      <c r="D20" s="38" t="s">
        <v>424</v>
      </c>
      <c r="E20" s="11" t="s">
        <v>428</v>
      </c>
      <c r="F20" s="38" t="s">
        <v>424</v>
      </c>
      <c r="G20" s="11" t="s">
        <v>428</v>
      </c>
      <c r="H20" s="8" t="s">
        <v>615</v>
      </c>
      <c r="I20" s="8" t="s">
        <v>616</v>
      </c>
      <c r="J20" s="8" t="s">
        <v>617</v>
      </c>
      <c r="K20" s="7" t="s">
        <v>26</v>
      </c>
      <c r="L20" s="8" t="s">
        <v>234</v>
      </c>
      <c r="M20" s="8" t="s">
        <v>232</v>
      </c>
      <c r="N20" s="8" t="s">
        <v>234</v>
      </c>
      <c r="O20" s="8"/>
      <c r="P20" s="8"/>
      <c r="Q20" s="8" t="s">
        <v>739</v>
      </c>
    </row>
    <row r="21" spans="1:18" ht="49.5">
      <c r="A21" s="2">
        <v>19</v>
      </c>
      <c r="B21" s="7" t="s">
        <v>631</v>
      </c>
      <c r="C21" s="38" t="s">
        <v>629</v>
      </c>
      <c r="D21" s="8" t="s">
        <v>634</v>
      </c>
      <c r="E21" s="11" t="s">
        <v>638</v>
      </c>
      <c r="F21" s="11" t="s">
        <v>634</v>
      </c>
      <c r="G21" s="11" t="s">
        <v>638</v>
      </c>
      <c r="H21" s="8" t="str">
        <f t="array" ref="H21">_xlfn.TEXTJOIN("|", TRUE, IF(([1]英雄详细配置!B:B=A21)*(ISNUMBER([1]英雄详细配置!C:C)*([1]英雄详细配置!C:C=1)+ISBLANK([1]英雄详细配置!C:C)), [1]英雄详细配置!A:A, ""))</f>
        <v>19037|19005|19019</v>
      </c>
      <c r="I21" s="8" t="str" cm="1">
        <f t="array" ref="I21">_xlfn.TEXTJOIN("|", TRUE, IF(([1]英雄详细配置!B:B=A21)*(ISNUMBER([1]英雄详细配置!C:C)*([1]英雄详细配置!C:C=2)+ISBLANK([1]英雄详细配置!C:C)), [1]英雄详细配置!A:A, ""))</f>
        <v>190051|19056|190191</v>
      </c>
      <c r="J21" s="8" t="str">
        <f t="array" ref="J21">_xlfn.TEXTJOIN("|", TRUE, IF(([1]英雄详细配置!B:B=A21)*(ISNUMBER([1]英雄详细配置!C:C)*([1]英雄详细配置!C:C=3)+ISBLANK([1]英雄详细配置!C:C)), [1]英雄详细配置!A:A, ""))</f>
        <v>19032|19076</v>
      </c>
      <c r="K21" s="8" t="s">
        <v>246</v>
      </c>
      <c r="L21" s="8" t="s">
        <v>234</v>
      </c>
      <c r="M21" s="8" t="s">
        <v>232</v>
      </c>
      <c r="N21" s="8" t="s">
        <v>234</v>
      </c>
      <c r="O21" s="2">
        <v>19</v>
      </c>
      <c r="P21" s="2">
        <v>1</v>
      </c>
      <c r="Q21" s="8"/>
    </row>
    <row r="22" spans="1:18" ht="49.5">
      <c r="A22" s="2">
        <v>20</v>
      </c>
      <c r="B22" s="7" t="s">
        <v>637</v>
      </c>
      <c r="C22" s="38" t="s">
        <v>630</v>
      </c>
      <c r="D22" s="8" t="s">
        <v>635</v>
      </c>
      <c r="E22" s="11" t="s">
        <v>642</v>
      </c>
      <c r="F22" s="11" t="s">
        <v>635</v>
      </c>
      <c r="G22" s="11" t="s">
        <v>642</v>
      </c>
      <c r="H22" s="8">
        <v>20069</v>
      </c>
      <c r="I22" s="8" t="s">
        <v>640</v>
      </c>
      <c r="J22" s="8" t="s">
        <v>639</v>
      </c>
      <c r="K22" s="8" t="s">
        <v>247</v>
      </c>
      <c r="L22" s="8" t="s">
        <v>234</v>
      </c>
      <c r="M22" s="8" t="s">
        <v>232</v>
      </c>
      <c r="N22" s="8" t="s">
        <v>234</v>
      </c>
      <c r="O22" s="8">
        <v>20</v>
      </c>
      <c r="P22" s="8">
        <v>1</v>
      </c>
      <c r="Q22" s="8"/>
    </row>
    <row r="23" spans="1:18" ht="49.5">
      <c r="A23" s="2">
        <v>21</v>
      </c>
      <c r="B23" s="5" t="s">
        <v>632</v>
      </c>
      <c r="C23" s="38" t="s">
        <v>633</v>
      </c>
      <c r="D23" s="8" t="s">
        <v>636</v>
      </c>
      <c r="E23" s="11" t="s">
        <v>653</v>
      </c>
      <c r="F23" s="11" t="s">
        <v>636</v>
      </c>
      <c r="G23" s="11" t="s">
        <v>653</v>
      </c>
      <c r="H23" s="8">
        <v>21078</v>
      </c>
      <c r="I23" s="8" t="s">
        <v>649</v>
      </c>
      <c r="J23" s="8" t="s">
        <v>648</v>
      </c>
      <c r="K23" s="8" t="s">
        <v>245</v>
      </c>
      <c r="L23" s="8" t="s">
        <v>25</v>
      </c>
      <c r="M23" s="8" t="s">
        <v>232</v>
      </c>
      <c r="N23" s="8" t="s">
        <v>25</v>
      </c>
      <c r="O23" s="2"/>
      <c r="P23" s="2"/>
      <c r="Q23" s="8"/>
    </row>
    <row r="24" spans="1:18" ht="66">
      <c r="A24" s="2">
        <v>22</v>
      </c>
      <c r="B24" s="7" t="s">
        <v>655</v>
      </c>
      <c r="C24" s="38" t="s">
        <v>647</v>
      </c>
      <c r="D24" s="8" t="s">
        <v>654</v>
      </c>
      <c r="E24" s="11" t="s">
        <v>652</v>
      </c>
      <c r="F24" s="11" t="s">
        <v>654</v>
      </c>
      <c r="G24" s="11" t="s">
        <v>652</v>
      </c>
      <c r="H24" s="8">
        <v>22106</v>
      </c>
      <c r="I24" s="8" t="s">
        <v>650</v>
      </c>
      <c r="J24" s="8" t="s">
        <v>651</v>
      </c>
      <c r="K24" s="7" t="s">
        <v>244</v>
      </c>
      <c r="L24" s="8" t="s">
        <v>234</v>
      </c>
      <c r="M24" s="8" t="s">
        <v>232</v>
      </c>
      <c r="N24" s="8" t="s">
        <v>234</v>
      </c>
      <c r="O24" s="2">
        <v>22</v>
      </c>
      <c r="P24" s="2">
        <v>1</v>
      </c>
      <c r="Q24" s="8" t="s">
        <v>745</v>
      </c>
    </row>
    <row r="25" spans="1:18" ht="49.5">
      <c r="A25" s="2">
        <v>23</v>
      </c>
      <c r="B25" s="2" t="s">
        <v>665</v>
      </c>
      <c r="C25" s="38" t="s">
        <v>671</v>
      </c>
      <c r="D25" s="8" t="s">
        <v>672</v>
      </c>
      <c r="E25" s="11" t="s">
        <v>679</v>
      </c>
      <c r="F25" s="11" t="s">
        <v>672</v>
      </c>
      <c r="G25" s="11" t="s">
        <v>668</v>
      </c>
      <c r="H25" s="81">
        <v>23104</v>
      </c>
      <c r="I25" s="81">
        <v>23002</v>
      </c>
      <c r="J25" s="81">
        <v>23102</v>
      </c>
      <c r="K25" s="7" t="s">
        <v>244</v>
      </c>
      <c r="L25" s="8" t="s">
        <v>25</v>
      </c>
      <c r="M25" s="8" t="s">
        <v>232</v>
      </c>
      <c r="N25" s="8" t="s">
        <v>25</v>
      </c>
      <c r="O25" s="2"/>
      <c r="P25" s="2"/>
      <c r="Q25" s="8" t="s">
        <v>754</v>
      </c>
    </row>
    <row r="26" spans="1:18" ht="49.5">
      <c r="A26" s="2">
        <v>24</v>
      </c>
      <c r="B26" s="2" t="s">
        <v>669</v>
      </c>
      <c r="C26" s="38" t="s">
        <v>673</v>
      </c>
      <c r="D26" s="8" t="s">
        <v>674</v>
      </c>
      <c r="E26" s="11" t="s">
        <v>670</v>
      </c>
      <c r="F26" s="11" t="s">
        <v>674</v>
      </c>
      <c r="G26" s="11" t="s">
        <v>670</v>
      </c>
      <c r="H26" s="2">
        <v>24105</v>
      </c>
      <c r="I26" s="2">
        <v>24103</v>
      </c>
      <c r="J26" s="2">
        <v>24064</v>
      </c>
      <c r="K26" s="8" t="s">
        <v>246</v>
      </c>
      <c r="L26" s="8" t="s">
        <v>25</v>
      </c>
      <c r="M26" s="8" t="s">
        <v>232</v>
      </c>
      <c r="N26" s="8" t="s">
        <v>25</v>
      </c>
      <c r="O26" s="2"/>
      <c r="P26" s="2"/>
      <c r="Q26" s="8" t="s">
        <v>758</v>
      </c>
    </row>
    <row r="27" spans="1:18" ht="49.5">
      <c r="A27" s="2">
        <v>25</v>
      </c>
      <c r="B27" s="7" t="s">
        <v>299</v>
      </c>
      <c r="C27" s="38" t="s">
        <v>308</v>
      </c>
      <c r="D27" s="38" t="s">
        <v>747</v>
      </c>
      <c r="E27" s="11" t="s">
        <v>748</v>
      </c>
      <c r="F27" s="38" t="s">
        <v>747</v>
      </c>
      <c r="G27" s="11" t="s">
        <v>748</v>
      </c>
      <c r="H27" s="8" t="s">
        <v>680</v>
      </c>
      <c r="I27" s="8" t="s">
        <v>681</v>
      </c>
      <c r="J27" s="8" t="s">
        <v>682</v>
      </c>
      <c r="K27" s="7" t="s">
        <v>236</v>
      </c>
      <c r="L27" s="8" t="s">
        <v>234</v>
      </c>
      <c r="M27" s="8" t="s">
        <v>232</v>
      </c>
      <c r="N27" s="8" t="s">
        <v>234</v>
      </c>
      <c r="O27" s="8">
        <v>25</v>
      </c>
      <c r="P27" s="8">
        <v>1</v>
      </c>
      <c r="Q27" s="8" t="s">
        <v>746</v>
      </c>
    </row>
    <row r="28" spans="1:18" ht="33">
      <c r="A28" s="2">
        <v>26</v>
      </c>
      <c r="B28" s="9" t="s">
        <v>685</v>
      </c>
      <c r="C28" s="38" t="s">
        <v>683</v>
      </c>
      <c r="D28" s="38" t="s">
        <v>684</v>
      </c>
      <c r="E28" s="11" t="s">
        <v>686</v>
      </c>
      <c r="F28" s="38" t="s">
        <v>684</v>
      </c>
      <c r="G28" s="11" t="s">
        <v>686</v>
      </c>
      <c r="H28" s="8">
        <v>26020</v>
      </c>
      <c r="I28" s="8">
        <v>26092</v>
      </c>
      <c r="J28" s="8" t="s">
        <v>687</v>
      </c>
      <c r="K28" s="9" t="s">
        <v>26</v>
      </c>
      <c r="L28" s="8" t="s">
        <v>45</v>
      </c>
      <c r="M28" s="8" t="s">
        <v>232</v>
      </c>
      <c r="N28" s="8" t="s">
        <v>695</v>
      </c>
      <c r="O28" s="2"/>
      <c r="P28" s="2"/>
      <c r="Q28" s="8" t="s">
        <v>737</v>
      </c>
    </row>
    <row r="29" spans="1:18" ht="33">
      <c r="A29" s="2">
        <v>27</v>
      </c>
      <c r="B29" s="2" t="s">
        <v>691</v>
      </c>
      <c r="C29" s="38" t="s">
        <v>692</v>
      </c>
      <c r="D29" s="38" t="s">
        <v>693</v>
      </c>
      <c r="E29" s="11" t="s">
        <v>694</v>
      </c>
      <c r="F29" s="38" t="s">
        <v>693</v>
      </c>
      <c r="G29" s="11" t="s">
        <v>694</v>
      </c>
      <c r="H29" s="8">
        <v>27038</v>
      </c>
      <c r="I29" s="8">
        <v>27004</v>
      </c>
      <c r="J29" s="8">
        <v>27019</v>
      </c>
      <c r="K29" s="8" t="s">
        <v>246</v>
      </c>
      <c r="L29" s="8" t="s">
        <v>695</v>
      </c>
      <c r="M29" s="8" t="s">
        <v>232</v>
      </c>
      <c r="N29" s="8" t="s">
        <v>231</v>
      </c>
      <c r="O29" s="2"/>
      <c r="P29" s="2"/>
      <c r="Q29" s="8" t="s">
        <v>738</v>
      </c>
    </row>
    <row r="30" spans="1:18" ht="49.5">
      <c r="A30" s="2">
        <v>28</v>
      </c>
      <c r="B30" s="7" t="s">
        <v>275</v>
      </c>
      <c r="C30" s="38" t="s">
        <v>696</v>
      </c>
      <c r="D30" s="38" t="s">
        <v>697</v>
      </c>
      <c r="E30" s="11" t="s">
        <v>721</v>
      </c>
      <c r="F30" s="38" t="s">
        <v>697</v>
      </c>
      <c r="G30" s="11" t="s">
        <v>721</v>
      </c>
      <c r="H30" s="75" t="s">
        <v>601</v>
      </c>
      <c r="I30" s="75" t="s">
        <v>658</v>
      </c>
      <c r="J30" s="75" t="s">
        <v>776</v>
      </c>
      <c r="K30" s="7" t="s">
        <v>236</v>
      </c>
      <c r="L30" s="8" t="s">
        <v>234</v>
      </c>
      <c r="M30" s="8" t="s">
        <v>232</v>
      </c>
      <c r="N30" s="8" t="s">
        <v>234</v>
      </c>
      <c r="O30" s="2">
        <v>25</v>
      </c>
      <c r="P30" s="2">
        <v>3</v>
      </c>
      <c r="Q30" s="8"/>
      <c r="R30" s="13" t="s">
        <v>759</v>
      </c>
    </row>
    <row r="31" spans="1:18" ht="49.5">
      <c r="A31" s="2">
        <v>29</v>
      </c>
      <c r="B31" s="7" t="s">
        <v>637</v>
      </c>
      <c r="C31" s="38" t="s">
        <v>710</v>
      </c>
      <c r="D31" s="8" t="s">
        <v>711</v>
      </c>
      <c r="E31" s="11" t="s">
        <v>722</v>
      </c>
      <c r="F31" s="8" t="s">
        <v>711</v>
      </c>
      <c r="G31" s="11" t="s">
        <v>722</v>
      </c>
      <c r="H31" s="8">
        <v>20069</v>
      </c>
      <c r="I31" s="8" t="s">
        <v>640</v>
      </c>
      <c r="J31" s="8" t="s">
        <v>724</v>
      </c>
      <c r="K31" s="8" t="s">
        <v>247</v>
      </c>
      <c r="L31" s="8" t="s">
        <v>234</v>
      </c>
      <c r="M31" s="8" t="s">
        <v>232</v>
      </c>
      <c r="N31" s="8" t="s">
        <v>234</v>
      </c>
      <c r="O31" s="8">
        <v>20</v>
      </c>
      <c r="P31" s="8">
        <v>2</v>
      </c>
      <c r="Q31" s="8"/>
    </row>
    <row r="32" spans="1:18" ht="66">
      <c r="A32" s="2">
        <v>30</v>
      </c>
      <c r="B32" s="7" t="s">
        <v>655</v>
      </c>
      <c r="C32" s="38" t="s">
        <v>712</v>
      </c>
      <c r="D32" s="8" t="s">
        <v>713</v>
      </c>
      <c r="E32" s="11" t="s">
        <v>714</v>
      </c>
      <c r="F32" s="8" t="s">
        <v>713</v>
      </c>
      <c r="G32" s="11" t="s">
        <v>714</v>
      </c>
      <c r="H32" s="8">
        <v>22106</v>
      </c>
      <c r="I32" s="8" t="s">
        <v>650</v>
      </c>
      <c r="J32" s="8" t="s">
        <v>725</v>
      </c>
      <c r="K32" s="7" t="s">
        <v>244</v>
      </c>
      <c r="L32" s="8" t="s">
        <v>234</v>
      </c>
      <c r="M32" s="8" t="s">
        <v>232</v>
      </c>
      <c r="N32" s="8" t="s">
        <v>234</v>
      </c>
      <c r="O32" s="2">
        <v>22</v>
      </c>
      <c r="P32" s="2">
        <v>2</v>
      </c>
      <c r="Q32" s="8"/>
    </row>
    <row r="33" spans="1:18" ht="49.5">
      <c r="A33" s="38">
        <v>31</v>
      </c>
      <c r="B33" s="9" t="s">
        <v>726</v>
      </c>
      <c r="C33" s="38" t="s">
        <v>715</v>
      </c>
      <c r="D33" s="8" t="s">
        <v>716</v>
      </c>
      <c r="E33" s="11" t="s">
        <v>720</v>
      </c>
      <c r="F33" s="8" t="s">
        <v>716</v>
      </c>
      <c r="G33" s="11" t="s">
        <v>720</v>
      </c>
      <c r="H33" s="75" t="s">
        <v>728</v>
      </c>
      <c r="I33" s="75" t="s">
        <v>777</v>
      </c>
      <c r="J33" s="75" t="s">
        <v>778</v>
      </c>
      <c r="K33" s="9" t="s">
        <v>244</v>
      </c>
      <c r="L33" s="8" t="s">
        <v>45</v>
      </c>
      <c r="M33" s="8" t="s">
        <v>232</v>
      </c>
      <c r="N33" s="8" t="s">
        <v>45</v>
      </c>
      <c r="O33" s="2"/>
      <c r="P33" s="2"/>
      <c r="Q33" s="8"/>
    </row>
    <row r="34" spans="1:18" ht="49.5">
      <c r="A34" s="38">
        <v>32</v>
      </c>
      <c r="B34" s="9" t="s">
        <v>727</v>
      </c>
      <c r="C34" s="38" t="s">
        <v>717</v>
      </c>
      <c r="D34" s="8" t="s">
        <v>718</v>
      </c>
      <c r="E34" s="11" t="s">
        <v>719</v>
      </c>
      <c r="F34" s="8" t="s">
        <v>718</v>
      </c>
      <c r="G34" s="11" t="s">
        <v>719</v>
      </c>
      <c r="H34" s="75" t="s">
        <v>779</v>
      </c>
      <c r="I34" s="75" t="s">
        <v>780</v>
      </c>
      <c r="J34" s="75" t="s">
        <v>781</v>
      </c>
      <c r="K34" s="9" t="s">
        <v>26</v>
      </c>
      <c r="L34" s="8" t="s">
        <v>45</v>
      </c>
      <c r="M34" s="8" t="s">
        <v>232</v>
      </c>
      <c r="N34" s="8" t="s">
        <v>45</v>
      </c>
      <c r="O34" s="8"/>
      <c r="P34" s="2"/>
      <c r="Q34" s="8"/>
    </row>
    <row r="35" spans="1:18" s="6" customFormat="1" ht="82.5">
      <c r="A35" s="8">
        <v>33</v>
      </c>
      <c r="B35" s="5" t="s">
        <v>243</v>
      </c>
      <c r="C35" s="38" t="s">
        <v>782</v>
      </c>
      <c r="D35" s="8" t="s">
        <v>734</v>
      </c>
      <c r="E35" s="11" t="s">
        <v>736</v>
      </c>
      <c r="F35" s="8" t="s">
        <v>734</v>
      </c>
      <c r="G35" s="11" t="s">
        <v>736</v>
      </c>
      <c r="H35" s="8">
        <v>12047</v>
      </c>
      <c r="I35" s="8" t="s">
        <v>735</v>
      </c>
      <c r="J35" s="8" t="s">
        <v>618</v>
      </c>
      <c r="K35" s="7" t="s">
        <v>235</v>
      </c>
      <c r="L35" s="8" t="s">
        <v>25</v>
      </c>
      <c r="M35" s="8" t="s">
        <v>232</v>
      </c>
      <c r="N35" s="8" t="s">
        <v>25</v>
      </c>
      <c r="O35" s="8">
        <v>12</v>
      </c>
      <c r="P35" s="8">
        <v>2</v>
      </c>
      <c r="Q35" s="8"/>
    </row>
    <row r="36" spans="1:18" ht="49.5">
      <c r="A36" s="2">
        <v>34</v>
      </c>
      <c r="B36" s="7" t="s">
        <v>275</v>
      </c>
      <c r="C36" s="38" t="s">
        <v>696</v>
      </c>
      <c r="D36" s="38" t="s">
        <v>783</v>
      </c>
      <c r="E36" s="72" t="s">
        <v>784</v>
      </c>
      <c r="F36" s="38" t="s">
        <v>783</v>
      </c>
      <c r="G36" s="72" t="s">
        <v>784</v>
      </c>
      <c r="H36" s="8" t="str">
        <f t="array" ref="H36">_xlfn.TEXTJOIN("|", TRUE, IF(([1]英雄详细配置!B:B=A36)*(ISNUMBER([1]英雄详细配置!C:C)*([1]英雄详细配置!C:C=1)+ISBLANK([1]英雄详细配置!C:C)), [1]英雄详细配置!A:A, ""))</f>
        <v>34121|34042|34013</v>
      </c>
      <c r="I36" s="8" t="str" cm="1">
        <f t="array" ref="I36">_xlfn.TEXTJOIN("|", TRUE, IF(([1]英雄详细配置!B:B=A36)*(ISNUMBER([1]英雄详细配置!C:C)*([1]英雄详细配置!C:C=2)+ISBLANK([1]英雄详细配置!C:C)), [1]英雄详细配置!A:A, ""))</f>
        <v>34011|340131|34001</v>
      </c>
      <c r="J36" s="8" t="str">
        <f t="array" ref="J36">_xlfn.TEXTJOIN("|", TRUE, IF(([1]英雄详细配置!B:B=A36)*(ISNUMBER([1]英雄详细配置!C:C)*([1]英雄详细配置!C:C=3)+ISBLANK([1]英雄详细配置!C:C)), [1]英雄详细配置!A:A, ""))</f>
        <v>34107|34017|34019</v>
      </c>
      <c r="K36" s="7" t="s">
        <v>236</v>
      </c>
      <c r="L36" s="8" t="s">
        <v>234</v>
      </c>
      <c r="M36" s="8" t="s">
        <v>232</v>
      </c>
      <c r="N36" s="8" t="s">
        <v>234</v>
      </c>
      <c r="O36" s="8">
        <v>25</v>
      </c>
      <c r="P36" s="8">
        <v>4</v>
      </c>
      <c r="Q36" s="8"/>
      <c r="R36" s="13" t="s">
        <v>785</v>
      </c>
    </row>
    <row r="37" spans="1:18" ht="66">
      <c r="A37" s="2">
        <v>35</v>
      </c>
      <c r="B37" s="7" t="s">
        <v>655</v>
      </c>
      <c r="C37" s="38" t="s">
        <v>712</v>
      </c>
      <c r="D37" s="8" t="s">
        <v>786</v>
      </c>
      <c r="E37" s="72" t="s">
        <v>787</v>
      </c>
      <c r="F37" s="8" t="s">
        <v>786</v>
      </c>
      <c r="G37" s="72" t="s">
        <v>787</v>
      </c>
      <c r="H37" s="8" t="str">
        <f t="array" ref="H37">_xlfn.TEXTJOIN("|", TRUE, IF(([1]英雄详细配置!B:B=A37)*(ISNUMBER([1]英雄详细配置!C:C)*([1]英雄详细配置!C:C=1)+ISBLANK([1]英雄详细配置!C:C)), [1]英雄详细配置!A:A, ""))</f>
        <v>35106</v>
      </c>
      <c r="I37" s="8" t="str" cm="1">
        <f t="array" ref="I37">_xlfn.TEXTJOIN("|", TRUE, IF(([1]英雄详细配置!B:B=A37)*(ISNUMBER([1]英雄详细配置!C:C)*([1]英雄详细配置!C:C=2)+ISBLANK([1]英雄详细配置!C:C)), [1]英雄详细配置!A:A, ""))</f>
        <v>35008|35115|350911</v>
      </c>
      <c r="J37" s="8" t="str">
        <f t="array" ref="J37">_xlfn.TEXTJOIN("|", TRUE, IF(([1]英雄详细配置!B:B=A37)*(ISNUMBER([1]英雄详细配置!C:C)*([1]英雄详细配置!C:C=3)+ISBLANK([1]英雄详细配置!C:C)), [1]英雄详细配置!A:A, ""))</f>
        <v>35122|35077|35091</v>
      </c>
      <c r="K37" s="7" t="s">
        <v>244</v>
      </c>
      <c r="L37" s="8" t="s">
        <v>234</v>
      </c>
      <c r="M37" s="8" t="s">
        <v>232</v>
      </c>
      <c r="N37" s="8" t="s">
        <v>234</v>
      </c>
      <c r="O37" s="2">
        <v>22</v>
      </c>
      <c r="P37" s="2">
        <v>3</v>
      </c>
      <c r="Q37" s="8"/>
    </row>
    <row r="38" spans="1:18" s="48" customFormat="1" ht="66">
      <c r="A38" s="84">
        <v>36</v>
      </c>
      <c r="B38" s="116" t="s">
        <v>259</v>
      </c>
      <c r="C38" s="117" t="s">
        <v>311</v>
      </c>
      <c r="D38" s="117" t="s">
        <v>788</v>
      </c>
      <c r="E38" s="72" t="s">
        <v>789</v>
      </c>
      <c r="F38" s="117" t="s">
        <v>788</v>
      </c>
      <c r="G38" s="72" t="s">
        <v>789</v>
      </c>
      <c r="H38" s="8" t="str">
        <f t="array" ref="H38">_xlfn.TEXTJOIN("|", TRUE, IF(([1]英雄详细配置!B:B=A38)*(ISNUMBER([1]英雄详细配置!C:C)*([1]英雄详细配置!C:C=1)+ISBLANK([1]英雄详细配置!C:C)), [1]英雄详细配置!A:A, ""))</f>
        <v>36021</v>
      </c>
      <c r="I38" s="8" t="str" cm="1">
        <f t="array" ref="I38">_xlfn.TEXTJOIN("|", TRUE, IF(([1]英雄详细配置!B:B=A38)*(ISNUMBER([1]英雄详细配置!C:C)*([1]英雄详细配置!C:C=2)+ISBLANK([1]英雄详细配置!C:C)), [1]英雄详细配置!A:A, ""))</f>
        <v>36008|36115|360911</v>
      </c>
      <c r="J38" s="8" t="str">
        <f t="array" ref="J38">_xlfn.TEXTJOIN("|", TRUE, IF(([1]英雄详细配置!B:B=A38)*(ISNUMBER([1]英雄详细配置!C:C)*([1]英雄详细配置!C:C=3)+ISBLANK([1]英雄详细配置!C:C)), [1]英雄详细配置!A:A, ""))</f>
        <v>36122|36077|36091</v>
      </c>
      <c r="K38" s="120" t="s">
        <v>233</v>
      </c>
      <c r="L38" s="84" t="s">
        <v>234</v>
      </c>
      <c r="M38" s="84" t="s">
        <v>232</v>
      </c>
      <c r="N38" s="8" t="s">
        <v>234</v>
      </c>
      <c r="O38" s="44">
        <v>7</v>
      </c>
      <c r="P38" s="44">
        <v>2</v>
      </c>
      <c r="Q38" s="8"/>
    </row>
    <row r="39" spans="1:18" s="126" customFormat="1" ht="66">
      <c r="A39" s="83">
        <v>37</v>
      </c>
      <c r="B39" s="112" t="s">
        <v>790</v>
      </c>
      <c r="C39" s="113" t="s">
        <v>791</v>
      </c>
      <c r="D39" s="113" t="s">
        <v>792</v>
      </c>
      <c r="E39" s="123" t="s">
        <v>793</v>
      </c>
      <c r="F39" s="113" t="s">
        <v>792</v>
      </c>
      <c r="G39" s="123" t="s">
        <v>793</v>
      </c>
      <c r="H39" s="83" t="str">
        <f t="array" ref="H39">_xlfn.TEXTJOIN("|", TRUE, IF(([1]英雄详细配置!B:B=A39)*(ISNUMBER([1]英雄详细配置!C:C)*([1]英雄详细配置!C:C=1)+ISBLANK([1]英雄详细配置!C:C)), [1]英雄详细配置!A:A, ""))</f>
        <v>37122</v>
      </c>
      <c r="I39" s="83" t="str" cm="1">
        <f t="array" ref="I39">_xlfn.TEXTJOIN("|", TRUE, IF(([1]英雄详细配置!B:B=A39)*(ISNUMBER([1]英雄详细配置!C:C)*([1]英雄详细配置!C:C=2)+ISBLANK([1]英雄详细配置!C:C)), [1]英雄详细配置!A:A, ""))</f>
        <v>37021|37106|37077</v>
      </c>
      <c r="J39" s="83" t="str">
        <f t="array" ref="J39">_xlfn.TEXTJOIN("|", TRUE, IF(([1]英雄详细配置!B:B=A39)*(ISNUMBER([1]英雄详细配置!C:C)*([1]英雄详细配置!C:C=3)+ISBLANK([1]英雄详细配置!C:C)), [1]英雄详细配置!A:A, ""))</f>
        <v>37008|37115|370771</v>
      </c>
      <c r="K39" s="124" t="s">
        <v>233</v>
      </c>
      <c r="L39" s="83" t="s">
        <v>234</v>
      </c>
      <c r="M39" s="83" t="s">
        <v>232</v>
      </c>
      <c r="N39" s="83" t="s">
        <v>234</v>
      </c>
      <c r="O39" s="125"/>
      <c r="P39" s="125"/>
      <c r="Q39" s="83" t="s">
        <v>794</v>
      </c>
      <c r="R39" s="126" t="s">
        <v>795</v>
      </c>
    </row>
    <row r="40" spans="1:18" ht="49.5">
      <c r="A40" s="2">
        <v>38</v>
      </c>
      <c r="B40" s="7" t="s">
        <v>637</v>
      </c>
      <c r="C40" s="38" t="s">
        <v>710</v>
      </c>
      <c r="D40" s="8" t="s">
        <v>796</v>
      </c>
      <c r="E40" s="72" t="s">
        <v>797</v>
      </c>
      <c r="F40" s="8" t="s">
        <v>796</v>
      </c>
      <c r="G40" s="72" t="s">
        <v>797</v>
      </c>
      <c r="H40" s="8" t="str">
        <f t="array" ref="H40">_xlfn.TEXTJOIN("|", TRUE, IF(([1]英雄详细配置!B:B=A40)*(ISNUMBER([1]英雄详细配置!C:C)*([1]英雄详细配置!C:C=1)+ISBLANK([1]英雄详细配置!C:C)), [1]英雄详细配置!A:A, ""))</f>
        <v>38069</v>
      </c>
      <c r="I40" s="8" t="str" cm="1">
        <f t="array" ref="I40">_xlfn.TEXTJOIN("|", TRUE, IF(([1]英雄详细配置!B:B=A40)*(ISNUMBER([1]英雄详细配置!C:C)*([1]英雄详细配置!C:C=2)+ISBLANK([1]英雄详细配置!C:C)), [1]英雄详细配置!A:A, ""))</f>
        <v>38115|38009|38036</v>
      </c>
      <c r="J40" s="8" t="str">
        <f t="array" ref="J40">_xlfn.TEXTJOIN("|", TRUE, IF(([1]英雄详细配置!B:B=A40)*(ISNUMBER([1]英雄详细配置!C:C)*([1]英雄详细配置!C:C=3)+ISBLANK([1]英雄详细配置!C:C)), [1]英雄详细配置!A:A, ""))</f>
        <v>38123|38032|38076</v>
      </c>
      <c r="K40" s="8" t="s">
        <v>247</v>
      </c>
      <c r="L40" s="8" t="s">
        <v>234</v>
      </c>
      <c r="M40" s="8" t="s">
        <v>232</v>
      </c>
      <c r="N40" s="8" t="s">
        <v>234</v>
      </c>
      <c r="O40" s="8">
        <v>20</v>
      </c>
      <c r="P40" s="8">
        <v>3</v>
      </c>
      <c r="Q40" s="8"/>
    </row>
    <row r="41" spans="1:18" ht="49.5">
      <c r="A41" s="2">
        <v>39</v>
      </c>
      <c r="B41" s="7" t="s">
        <v>798</v>
      </c>
      <c r="C41" s="38" t="s">
        <v>799</v>
      </c>
      <c r="D41" s="8" t="s">
        <v>800</v>
      </c>
      <c r="E41" s="72" t="s">
        <v>801</v>
      </c>
      <c r="F41" s="8" t="s">
        <v>800</v>
      </c>
      <c r="G41" s="72" t="s">
        <v>801</v>
      </c>
      <c r="H41" s="8" t="str">
        <f t="array" ref="H41">_xlfn.TEXTJOIN("|", TRUE, IF(([1]英雄详细配置!B:B=A41)*(ISNUMBER([1]英雄详细配置!C:C)*([1]英雄详细配置!C:C=1)+ISBLANK([1]英雄详细配置!C:C)), [1]英雄详细配置!A:A, ""))</f>
        <v>39037|39005</v>
      </c>
      <c r="I41" s="8" t="str" cm="1">
        <f t="array" ref="I41">_xlfn.TEXTJOIN("|", TRUE, IF(([1]英雄详细配置!B:B=A41)*(ISNUMBER([1]英雄详细配置!C:C)*([1]英雄详细配置!C:C=2)+ISBLANK([1]英雄详细配置!C:C)), [1]英雄详细配置!A:A, ""))</f>
        <v>39123|390051|39056</v>
      </c>
      <c r="J41" s="8" t="str">
        <f t="array" ref="J41">_xlfn.TEXTJOIN("|", TRUE, IF(([1]英雄详细配置!B:B=A41)*(ISNUMBER([1]英雄详细配置!C:C)*([1]英雄详细配置!C:C=3)+ISBLANK([1]英雄详细配置!C:C)), [1]英雄详细配置!A:A, ""))</f>
        <v>39032|39076</v>
      </c>
      <c r="K41" s="8" t="s">
        <v>246</v>
      </c>
      <c r="L41" s="8" t="s">
        <v>234</v>
      </c>
      <c r="M41" s="8" t="s">
        <v>232</v>
      </c>
      <c r="N41" s="8" t="s">
        <v>234</v>
      </c>
      <c r="O41" s="2">
        <v>19</v>
      </c>
      <c r="P41" s="2">
        <v>2</v>
      </c>
      <c r="Q41" s="8"/>
    </row>
    <row r="42" spans="1:18" s="6" customFormat="1" ht="66">
      <c r="A42" s="8">
        <v>40</v>
      </c>
      <c r="B42" s="9" t="s">
        <v>802</v>
      </c>
      <c r="C42" s="38" t="s">
        <v>803</v>
      </c>
      <c r="D42" s="38" t="s">
        <v>804</v>
      </c>
      <c r="E42" s="72" t="s">
        <v>805</v>
      </c>
      <c r="F42" s="38" t="s">
        <v>804</v>
      </c>
      <c r="G42" s="72" t="s">
        <v>806</v>
      </c>
      <c r="H42" s="8" t="str">
        <f t="array" ref="H42">_xlfn.TEXTJOIN("|", TRUE, IF(([1]英雄详细配置!B:B=A42)*(ISNUMBER([1]英雄详细配置!C:C)*([1]英雄详细配置!C:C=1)+ISBLANK([1]英雄详细配置!C:C)), [1]英雄详细配置!A:A, ""))</f>
        <v>40124</v>
      </c>
      <c r="I42" s="8" t="str" cm="1">
        <f t="array" ref="I42">_xlfn.TEXTJOIN("|", TRUE, IF(([1]英雄详细配置!B:B=A42)*(ISNUMBER([1]英雄详细配置!C:C)*([1]英雄详细配置!C:C=2)+ISBLANK([1]英雄详细配置!C:C)), [1]英雄详细配置!A:A, ""))</f>
        <v>40023|40010|40004</v>
      </c>
      <c r="J42" s="8" t="str">
        <f t="array" ref="J42">_xlfn.TEXTJOIN("|", TRUE, IF(([1]英雄详细配置!B:B=A42)*(ISNUMBER([1]英雄详细配置!C:C)*([1]英雄详细配置!C:C=3)+ISBLANK([1]英雄详细配置!C:C)), [1]英雄详细配置!A:A, ""))</f>
        <v>40075|40032|400101</v>
      </c>
      <c r="K42" s="7" t="s">
        <v>235</v>
      </c>
      <c r="L42" s="8" t="s">
        <v>45</v>
      </c>
      <c r="M42" s="8" t="s">
        <v>232</v>
      </c>
      <c r="N42" s="8" t="s">
        <v>45</v>
      </c>
      <c r="O42" s="8"/>
      <c r="P42" s="8"/>
      <c r="Q42" s="8"/>
    </row>
    <row r="43" spans="1:18" s="6" customFormat="1" ht="82.5">
      <c r="A43" s="8">
        <v>41</v>
      </c>
      <c r="B43" s="9" t="s">
        <v>807</v>
      </c>
      <c r="C43" s="38" t="s">
        <v>808</v>
      </c>
      <c r="D43" s="38" t="s">
        <v>809</v>
      </c>
      <c r="E43" s="72" t="s">
        <v>810</v>
      </c>
      <c r="F43" s="38" t="s">
        <v>809</v>
      </c>
      <c r="G43" s="72" t="s">
        <v>641</v>
      </c>
      <c r="H43" s="8" t="str">
        <f t="array" ref="H43">_xlfn.TEXTJOIN("|", TRUE, IF(([1]英雄详细配置!B:B=A43)*(ISNUMBER([1]英雄详细配置!C:C)*([1]英雄详细配置!C:C=1)+ISBLANK([1]英雄详细配置!C:C)), [1]英雄详细配置!A:A, ""))</f>
        <v>41124</v>
      </c>
      <c r="I43" s="8" t="str" cm="1">
        <f t="array" ref="I43">_xlfn.TEXTJOIN("|", TRUE, IF(([1]英雄详细配置!B:B=A43)*(ISNUMBER([1]英雄详细配置!C:C)*([1]英雄详细配置!C:C=2)+ISBLANK([1]英雄详细配置!C:C)), [1]英雄详细配置!A:A, ""))</f>
        <v>41125</v>
      </c>
      <c r="J43" s="8" t="str">
        <f t="array" ref="J43">_xlfn.TEXTJOIN("|", TRUE, IF(([1]英雄详细配置!B:B=A43)*(ISNUMBER([1]英雄详细配置!C:C)*([1]英雄详细配置!C:C=3)+ISBLANK([1]英雄详细配置!C:C)), [1]英雄详细配置!A:A, ""))</f>
        <v>41075</v>
      </c>
      <c r="K43" s="7" t="s">
        <v>245</v>
      </c>
      <c r="L43" s="8" t="s">
        <v>45</v>
      </c>
      <c r="M43" s="8" t="s">
        <v>232</v>
      </c>
      <c r="N43" s="8" t="s">
        <v>45</v>
      </c>
      <c r="O43" s="8"/>
      <c r="P43" s="8"/>
      <c r="Q43" s="8" t="s">
        <v>811</v>
      </c>
    </row>
    <row r="44" spans="1:18" ht="66">
      <c r="A44" s="2">
        <v>42</v>
      </c>
      <c r="B44" s="7" t="s">
        <v>812</v>
      </c>
      <c r="C44" s="38" t="s">
        <v>813</v>
      </c>
      <c r="D44" s="8" t="s">
        <v>814</v>
      </c>
      <c r="E44" s="11" t="s">
        <v>815</v>
      </c>
      <c r="F44" s="8" t="s">
        <v>814</v>
      </c>
      <c r="G44" s="11" t="s">
        <v>815</v>
      </c>
      <c r="H44" s="8" t="str">
        <f t="array" ref="H44">_xlfn.TEXTJOIN("|", TRUE, IF(([1]英雄详细配置!B:B=A44)*(ISNUMBER([1]英雄详细配置!C:C)*([1]英雄详细配置!C:C=1)+ISBLANK([1]英雄详细配置!C:C)), [1]英雄详细配置!A:A, ""))</f>
        <v>42037|42005</v>
      </c>
      <c r="I44" s="8" t="str" cm="1">
        <f t="array" ref="I44">_xlfn.TEXTJOIN("|", TRUE, IF(([1]英雄详细配置!B:B=A44)*(ISNUMBER([1]英雄详细配置!C:C)*([1]英雄详细配置!C:C=2)+ISBLANK([1]英雄详细配置!C:C)), [1]英雄详细配置!A:A, ""))</f>
        <v>42021|420051|42056</v>
      </c>
      <c r="J44" s="8" t="str">
        <f t="array" ref="J44">_xlfn.TEXTJOIN("|", TRUE, IF(([1]英雄详细配置!B:B=A44)*(ISNUMBER([1]英雄详细配置!C:C)*([1]英雄详细配置!C:C=3)+ISBLANK([1]英雄详细配置!C:C)), [1]英雄详细配置!A:A, ""))</f>
        <v>42032|42076</v>
      </c>
      <c r="K44" s="8" t="s">
        <v>246</v>
      </c>
      <c r="L44" s="8" t="s">
        <v>234</v>
      </c>
      <c r="M44" s="8" t="s">
        <v>232</v>
      </c>
      <c r="N44" s="8" t="s">
        <v>234</v>
      </c>
      <c r="O44" s="2">
        <v>19</v>
      </c>
      <c r="P44" s="2">
        <v>2</v>
      </c>
      <c r="Q44" s="8" t="s">
        <v>816</v>
      </c>
    </row>
  </sheetData>
  <autoFilter ref="A3:N17" xr:uid="{AA696895-083C-464B-BA65-229EFCADC076}">
    <sortState xmlns:xlrd2="http://schemas.microsoft.com/office/spreadsheetml/2017/richdata2" ref="A4:N17">
      <sortCondition ref="A3:A17"/>
    </sortState>
  </autoFilter>
  <phoneticPr fontId="4" type="noConversion"/>
  <dataValidations disablePrompts="1" count="1">
    <dataValidation allowBlank="1" errorTitle="范围错误" error="1 ~ 65535" promptTitle="范围" prompt="1 ~ 65535" sqref="A1" xr:uid="{4C7D154A-F644-492C-9BF9-2A395A1DB225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C52A-05CE-4764-BA49-D230947556B6}">
  <dimension ref="A1:Q238"/>
  <sheetViews>
    <sheetView tabSelected="1" zoomScaleNormal="100" workbookViewId="0">
      <pane xSplit="1" ySplit="3" topLeftCell="B209" activePane="bottomRight" state="frozen"/>
      <selection pane="topRight" activeCell="B1" sqref="B1"/>
      <selection pane="bottomLeft" activeCell="A4" sqref="A4"/>
      <selection pane="bottomRight" activeCell="O213" sqref="O213"/>
    </sheetView>
  </sheetViews>
  <sheetFormatPr defaultColWidth="9" defaultRowHeight="16.5"/>
  <cols>
    <col min="1" max="1" width="11.25" style="95" customWidth="1"/>
    <col min="2" max="2" width="9" style="13"/>
    <col min="3" max="3" width="9.875" style="13" customWidth="1"/>
    <col min="4" max="4" width="16" style="13" customWidth="1"/>
    <col min="5" max="5" width="28" style="13" customWidth="1"/>
    <col min="6" max="8" width="19.375" style="13" customWidth="1"/>
    <col min="9" max="9" width="22" style="13" customWidth="1"/>
    <col min="10" max="13" width="15" style="13" customWidth="1"/>
    <col min="14" max="14" width="9" style="10"/>
    <col min="15" max="16384" width="9" style="13"/>
  </cols>
  <sheetData>
    <row r="1" spans="1:15">
      <c r="A1" s="8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35"/>
      <c r="L1" s="36"/>
      <c r="M1" s="36"/>
      <c r="N1" s="37"/>
      <c r="O1" s="10"/>
    </row>
    <row r="2" spans="1:15">
      <c r="A2" s="87" t="s">
        <v>0</v>
      </c>
      <c r="B2" s="17" t="s">
        <v>27</v>
      </c>
      <c r="C2" s="17" t="s">
        <v>586</v>
      </c>
      <c r="D2" s="17" t="s">
        <v>28</v>
      </c>
      <c r="E2" s="17" t="s">
        <v>9</v>
      </c>
      <c r="F2" s="17" t="s">
        <v>14</v>
      </c>
      <c r="G2" s="17" t="s">
        <v>436</v>
      </c>
      <c r="H2" s="17" t="s">
        <v>576</v>
      </c>
      <c r="I2" s="17" t="s">
        <v>574</v>
      </c>
      <c r="J2" s="17" t="s">
        <v>264</v>
      </c>
      <c r="K2" s="17" t="s">
        <v>290</v>
      </c>
      <c r="L2" s="17" t="s">
        <v>291</v>
      </c>
      <c r="M2" s="17" t="s">
        <v>292</v>
      </c>
      <c r="N2" s="17" t="s">
        <v>293</v>
      </c>
      <c r="O2" s="10" t="s">
        <v>391</v>
      </c>
    </row>
    <row r="3" spans="1:15">
      <c r="A3" s="87" t="s">
        <v>0</v>
      </c>
      <c r="B3" s="17"/>
      <c r="C3" s="17"/>
      <c r="D3" s="17"/>
      <c r="E3" s="17" t="s">
        <v>13</v>
      </c>
      <c r="F3" s="17" t="s">
        <v>4</v>
      </c>
      <c r="G3" s="17" t="s">
        <v>437</v>
      </c>
      <c r="H3" s="17"/>
      <c r="I3" s="17"/>
      <c r="J3" s="17"/>
      <c r="K3" s="17"/>
      <c r="L3" s="17"/>
      <c r="M3" s="17"/>
      <c r="N3" s="17"/>
      <c r="O3" s="10"/>
    </row>
    <row r="4" spans="1:15">
      <c r="A4" s="88">
        <v>1036</v>
      </c>
      <c r="B4" s="18">
        <v>1</v>
      </c>
      <c r="C4" s="18">
        <v>1</v>
      </c>
      <c r="D4" s="18" t="s">
        <v>335</v>
      </c>
      <c r="E4" s="18">
        <v>36</v>
      </c>
      <c r="F4" s="18" t="str">
        <f t="shared" ref="F4:F67" si="0">K4&amp;"|"&amp;L4</f>
        <v>200020|200072</v>
      </c>
      <c r="G4" s="18">
        <v>208</v>
      </c>
      <c r="H4" s="18" t="s">
        <v>469</v>
      </c>
      <c r="I4" s="18" t="s">
        <v>67</v>
      </c>
      <c r="J4" s="18"/>
      <c r="K4" s="18">
        <v>200020</v>
      </c>
      <c r="L4" s="18">
        <v>200072</v>
      </c>
      <c r="M4" s="18" t="s">
        <v>401</v>
      </c>
      <c r="N4" s="18" t="s">
        <v>337</v>
      </c>
      <c r="O4" s="10"/>
    </row>
    <row r="5" spans="1:15">
      <c r="A5" s="88">
        <v>1056</v>
      </c>
      <c r="B5" s="18">
        <v>1</v>
      </c>
      <c r="C5" s="18">
        <v>2</v>
      </c>
      <c r="D5" s="18" t="s">
        <v>43</v>
      </c>
      <c r="E5" s="18">
        <v>56</v>
      </c>
      <c r="F5" s="18" t="str">
        <f>K5&amp;"|"&amp;L5</f>
        <v>200041|200015</v>
      </c>
      <c r="G5" s="18">
        <v>212</v>
      </c>
      <c r="H5" s="18" t="s">
        <v>473</v>
      </c>
      <c r="I5" s="18" t="s">
        <v>151</v>
      </c>
      <c r="J5" s="18"/>
      <c r="K5" s="18">
        <v>200041</v>
      </c>
      <c r="L5" s="18">
        <v>200015</v>
      </c>
      <c r="M5" s="18" t="s">
        <v>91</v>
      </c>
      <c r="N5" s="18" t="s">
        <v>396</v>
      </c>
      <c r="O5" s="10"/>
    </row>
    <row r="6" spans="1:15">
      <c r="A6" s="88">
        <v>1211</v>
      </c>
      <c r="B6" s="18">
        <v>1</v>
      </c>
      <c r="C6" s="18"/>
      <c r="D6" s="18" t="s">
        <v>39</v>
      </c>
      <c r="E6" s="18">
        <v>211</v>
      </c>
      <c r="F6" s="18" t="str">
        <f>K6&amp;"|"&amp;L6</f>
        <v>200043|200117</v>
      </c>
      <c r="G6" s="18">
        <v>212</v>
      </c>
      <c r="H6" s="18" t="s">
        <v>473</v>
      </c>
      <c r="I6" s="18" t="s">
        <v>151</v>
      </c>
      <c r="J6" s="18"/>
      <c r="K6" s="18">
        <v>200043</v>
      </c>
      <c r="L6" s="18">
        <v>200117</v>
      </c>
      <c r="M6" s="18" t="s">
        <v>93</v>
      </c>
      <c r="N6" s="18" t="s">
        <v>431</v>
      </c>
      <c r="O6" s="10"/>
    </row>
    <row r="7" spans="1:15">
      <c r="A7" s="88">
        <v>1055</v>
      </c>
      <c r="B7" s="18">
        <v>1</v>
      </c>
      <c r="C7" s="18">
        <v>3</v>
      </c>
      <c r="D7" s="18" t="s">
        <v>29</v>
      </c>
      <c r="E7" s="18">
        <v>55</v>
      </c>
      <c r="F7" s="18" t="str">
        <f t="shared" si="0"/>
        <v>200061|200009</v>
      </c>
      <c r="G7" s="18">
        <v>201</v>
      </c>
      <c r="H7" s="18" t="s">
        <v>462</v>
      </c>
      <c r="I7" s="18" t="s">
        <v>162</v>
      </c>
      <c r="J7" s="18"/>
      <c r="K7" s="18">
        <v>200061</v>
      </c>
      <c r="L7" s="18">
        <v>200009</v>
      </c>
      <c r="M7" s="18" t="s">
        <v>111</v>
      </c>
      <c r="N7" s="18" t="s">
        <v>409</v>
      </c>
      <c r="O7" s="10"/>
    </row>
    <row r="8" spans="1:15">
      <c r="A8" s="88">
        <v>12111</v>
      </c>
      <c r="B8" s="18">
        <v>1</v>
      </c>
      <c r="C8" s="18"/>
      <c r="D8" s="18" t="s">
        <v>39</v>
      </c>
      <c r="E8" s="18">
        <v>211</v>
      </c>
      <c r="F8" s="18" t="str">
        <f t="shared" si="0"/>
        <v>200043|200117</v>
      </c>
      <c r="G8" s="18">
        <v>201</v>
      </c>
      <c r="H8" s="18" t="s">
        <v>462</v>
      </c>
      <c r="I8" s="18" t="s">
        <v>162</v>
      </c>
      <c r="J8" s="18"/>
      <c r="K8" s="18">
        <v>200043</v>
      </c>
      <c r="L8" s="18">
        <v>200117</v>
      </c>
      <c r="M8" s="18" t="s">
        <v>93</v>
      </c>
      <c r="N8" s="18" t="s">
        <v>431</v>
      </c>
      <c r="O8" s="10"/>
    </row>
    <row r="9" spans="1:15">
      <c r="A9" s="89">
        <v>2009</v>
      </c>
      <c r="B9" s="2">
        <v>2</v>
      </c>
      <c r="C9" s="2">
        <v>1</v>
      </c>
      <c r="D9" s="2" t="s">
        <v>256</v>
      </c>
      <c r="E9" s="2">
        <v>9</v>
      </c>
      <c r="F9" s="2" t="str">
        <f t="shared" si="0"/>
        <v>200072|200031</v>
      </c>
      <c r="G9" s="2">
        <v>201</v>
      </c>
      <c r="H9" s="2" t="s">
        <v>462</v>
      </c>
      <c r="I9" s="2" t="s">
        <v>162</v>
      </c>
      <c r="J9" s="2"/>
      <c r="K9" s="2">
        <v>200072</v>
      </c>
      <c r="L9" s="2">
        <v>200031</v>
      </c>
      <c r="M9" s="2" t="s">
        <v>337</v>
      </c>
      <c r="N9" s="2" t="s">
        <v>356</v>
      </c>
      <c r="O9" s="10"/>
    </row>
    <row r="10" spans="1:15">
      <c r="A10" s="89">
        <v>2036</v>
      </c>
      <c r="B10" s="2">
        <v>2</v>
      </c>
      <c r="C10" s="2">
        <v>2</v>
      </c>
      <c r="D10" s="2" t="s">
        <v>335</v>
      </c>
      <c r="E10" s="2">
        <v>36</v>
      </c>
      <c r="F10" s="2" t="str">
        <f>K10&amp;"|"&amp;L10</f>
        <v>200020|200072</v>
      </c>
      <c r="G10" s="2">
        <v>210</v>
      </c>
      <c r="H10" s="2" t="s">
        <v>471</v>
      </c>
      <c r="I10" s="2" t="s">
        <v>148</v>
      </c>
      <c r="J10" s="2"/>
      <c r="K10" s="2">
        <v>200020</v>
      </c>
      <c r="L10" s="2">
        <v>200072</v>
      </c>
      <c r="M10" s="2" t="s">
        <v>70</v>
      </c>
      <c r="N10" s="2" t="s">
        <v>337</v>
      </c>
      <c r="O10" s="10"/>
    </row>
    <row r="11" spans="1:15">
      <c r="A11" s="89">
        <v>2055</v>
      </c>
      <c r="B11" s="2">
        <v>2</v>
      </c>
      <c r="C11" s="2"/>
      <c r="D11" s="2" t="s">
        <v>29</v>
      </c>
      <c r="E11" s="2">
        <v>55</v>
      </c>
      <c r="F11" s="2" t="str">
        <f>K11&amp;"|"&amp;L11</f>
        <v>200061|200009</v>
      </c>
      <c r="G11" s="2">
        <v>210</v>
      </c>
      <c r="H11" s="2" t="s">
        <v>471</v>
      </c>
      <c r="I11" s="2" t="s">
        <v>148</v>
      </c>
      <c r="J11" s="2"/>
      <c r="K11" s="2">
        <v>200061</v>
      </c>
      <c r="L11" s="2">
        <v>200009</v>
      </c>
      <c r="M11" s="2" t="s">
        <v>111</v>
      </c>
      <c r="N11" s="2" t="s">
        <v>409</v>
      </c>
      <c r="O11" s="10"/>
    </row>
    <row r="12" spans="1:15">
      <c r="A12" s="89">
        <v>2208</v>
      </c>
      <c r="B12" s="2">
        <v>2</v>
      </c>
      <c r="C12" s="2"/>
      <c r="D12" s="2" t="s">
        <v>36</v>
      </c>
      <c r="E12" s="2">
        <v>208</v>
      </c>
      <c r="F12" s="2" t="str">
        <f>K12&amp;"|"&amp;L12</f>
        <v>200030|200032</v>
      </c>
      <c r="G12" s="2">
        <v>210</v>
      </c>
      <c r="H12" s="2" t="s">
        <v>471</v>
      </c>
      <c r="I12" s="2" t="s">
        <v>148</v>
      </c>
      <c r="J12" s="2"/>
      <c r="K12" s="2">
        <v>200030</v>
      </c>
      <c r="L12" s="2">
        <v>200032</v>
      </c>
      <c r="M12" s="2" t="s">
        <v>80</v>
      </c>
      <c r="N12" s="2" t="s">
        <v>433</v>
      </c>
      <c r="O12" s="10"/>
    </row>
    <row r="13" spans="1:15">
      <c r="A13" s="89">
        <v>2076</v>
      </c>
      <c r="B13" s="2">
        <v>2</v>
      </c>
      <c r="C13" s="2">
        <v>3</v>
      </c>
      <c r="D13" s="2" t="s">
        <v>257</v>
      </c>
      <c r="E13" s="2">
        <v>76</v>
      </c>
      <c r="F13" s="2" t="str">
        <f t="shared" si="0"/>
        <v>200125|200041</v>
      </c>
      <c r="G13" s="2">
        <v>212</v>
      </c>
      <c r="H13" s="2" t="s">
        <v>473</v>
      </c>
      <c r="I13" s="2" t="s">
        <v>151</v>
      </c>
      <c r="J13" s="2"/>
      <c r="K13" s="2">
        <v>200125</v>
      </c>
      <c r="L13" s="2">
        <v>200041</v>
      </c>
      <c r="M13" s="2" t="s">
        <v>440</v>
      </c>
      <c r="N13" s="2" t="s">
        <v>405</v>
      </c>
      <c r="O13" s="10"/>
    </row>
    <row r="14" spans="1:15">
      <c r="A14" s="89">
        <v>20551</v>
      </c>
      <c r="B14" s="2">
        <v>2</v>
      </c>
      <c r="C14" s="2"/>
      <c r="D14" s="2" t="s">
        <v>29</v>
      </c>
      <c r="E14" s="2">
        <v>55</v>
      </c>
      <c r="F14" s="2" t="str">
        <f t="shared" si="0"/>
        <v>200061|200009</v>
      </c>
      <c r="G14" s="2">
        <v>212</v>
      </c>
      <c r="H14" s="2" t="s">
        <v>473</v>
      </c>
      <c r="I14" s="2" t="s">
        <v>151</v>
      </c>
      <c r="J14" s="2"/>
      <c r="K14" s="2">
        <v>200061</v>
      </c>
      <c r="L14" s="2">
        <v>200009</v>
      </c>
      <c r="M14" s="2" t="s">
        <v>111</v>
      </c>
      <c r="N14" s="2" t="s">
        <v>409</v>
      </c>
      <c r="O14" s="10"/>
    </row>
    <row r="15" spans="1:15">
      <c r="A15" s="89">
        <v>22081</v>
      </c>
      <c r="B15" s="2">
        <v>2</v>
      </c>
      <c r="C15" s="2"/>
      <c r="D15" s="2" t="s">
        <v>36</v>
      </c>
      <c r="E15" s="2">
        <v>208</v>
      </c>
      <c r="F15" s="2" t="str">
        <f>K15&amp;"|"&amp;L15</f>
        <v>200030|200032</v>
      </c>
      <c r="G15" s="2">
        <v>212</v>
      </c>
      <c r="H15" s="2" t="s">
        <v>473</v>
      </c>
      <c r="I15" s="2" t="s">
        <v>151</v>
      </c>
      <c r="J15" s="2"/>
      <c r="K15" s="2">
        <v>200030</v>
      </c>
      <c r="L15" s="2">
        <v>200032</v>
      </c>
      <c r="M15" s="2" t="s">
        <v>80</v>
      </c>
      <c r="N15" s="2" t="s">
        <v>433</v>
      </c>
      <c r="O15" s="10"/>
    </row>
    <row r="16" spans="1:15">
      <c r="A16" s="88">
        <v>3013</v>
      </c>
      <c r="B16" s="18">
        <v>3</v>
      </c>
      <c r="C16" s="18">
        <v>1</v>
      </c>
      <c r="D16" s="18" t="s">
        <v>372</v>
      </c>
      <c r="E16" s="18">
        <v>13</v>
      </c>
      <c r="F16" s="18" t="str">
        <f t="shared" ref="F16:F19" si="1">K16&amp;"|"&amp;L16</f>
        <v>200100|200006</v>
      </c>
      <c r="G16" s="18">
        <v>213</v>
      </c>
      <c r="H16" s="18" t="s">
        <v>474</v>
      </c>
      <c r="I16" s="18" t="s">
        <v>157</v>
      </c>
      <c r="J16" s="18"/>
      <c r="K16" s="18">
        <v>200100</v>
      </c>
      <c r="L16" s="18">
        <v>200006</v>
      </c>
      <c r="M16" s="18" t="s">
        <v>429</v>
      </c>
      <c r="N16" s="18" t="s">
        <v>373</v>
      </c>
      <c r="O16" s="10"/>
    </row>
    <row r="17" spans="1:15">
      <c r="A17" s="88">
        <v>3001</v>
      </c>
      <c r="B17" s="18">
        <v>3</v>
      </c>
      <c r="C17" s="18">
        <v>2</v>
      </c>
      <c r="D17" s="18" t="s">
        <v>332</v>
      </c>
      <c r="E17" s="18">
        <v>1</v>
      </c>
      <c r="F17" s="18" t="str">
        <f t="shared" si="1"/>
        <v>200068|200100</v>
      </c>
      <c r="G17" s="18">
        <v>211</v>
      </c>
      <c r="H17" s="18" t="s">
        <v>472</v>
      </c>
      <c r="I17" s="18" t="s">
        <v>146</v>
      </c>
      <c r="J17" s="18"/>
      <c r="K17" s="18">
        <v>200068</v>
      </c>
      <c r="L17" s="18">
        <v>200100</v>
      </c>
      <c r="M17" s="18" t="s">
        <v>118</v>
      </c>
      <c r="N17" s="18" t="s">
        <v>429</v>
      </c>
      <c r="O17" s="10"/>
    </row>
    <row r="18" spans="1:15">
      <c r="A18" s="88">
        <v>3019</v>
      </c>
      <c r="B18" s="18">
        <v>3</v>
      </c>
      <c r="C18" s="18"/>
      <c r="D18" s="18" t="s">
        <v>252</v>
      </c>
      <c r="E18" s="18">
        <v>19</v>
      </c>
      <c r="F18" s="18" t="str">
        <f t="shared" si="1"/>
        <v>200019|200072</v>
      </c>
      <c r="G18" s="18">
        <v>211</v>
      </c>
      <c r="H18" s="18" t="s">
        <v>472</v>
      </c>
      <c r="I18" s="18" t="s">
        <v>146</v>
      </c>
      <c r="J18" s="18"/>
      <c r="K18" s="18">
        <v>200019</v>
      </c>
      <c r="L18" s="18">
        <v>200072</v>
      </c>
      <c r="M18" s="18" t="s">
        <v>336</v>
      </c>
      <c r="N18" s="18" t="s">
        <v>337</v>
      </c>
      <c r="O18" s="10"/>
    </row>
    <row r="19" spans="1:15">
      <c r="A19" s="88">
        <v>3017</v>
      </c>
      <c r="B19" s="18">
        <v>3</v>
      </c>
      <c r="C19" s="18">
        <v>3</v>
      </c>
      <c r="D19" s="18" t="s">
        <v>253</v>
      </c>
      <c r="E19" s="18">
        <v>17</v>
      </c>
      <c r="F19" s="18" t="str">
        <f t="shared" si="1"/>
        <v>200010|200042</v>
      </c>
      <c r="G19" s="18">
        <v>210</v>
      </c>
      <c r="H19" s="18" t="s">
        <v>471</v>
      </c>
      <c r="I19" s="18" t="s">
        <v>148</v>
      </c>
      <c r="J19" s="18"/>
      <c r="K19" s="18">
        <v>200010</v>
      </c>
      <c r="L19" s="18">
        <v>200042</v>
      </c>
      <c r="M19" s="53" t="s">
        <v>379</v>
      </c>
      <c r="N19" s="18" t="s">
        <v>92</v>
      </c>
      <c r="O19" s="10"/>
    </row>
    <row r="20" spans="1:15">
      <c r="A20" s="88">
        <v>3207</v>
      </c>
      <c r="B20" s="18">
        <v>3</v>
      </c>
      <c r="C20" s="18"/>
      <c r="D20" s="18" t="s">
        <v>578</v>
      </c>
      <c r="E20" s="18">
        <v>207</v>
      </c>
      <c r="F20" s="18" t="str">
        <f>K20&amp;"|"&amp;L20</f>
        <v>200040|200120</v>
      </c>
      <c r="G20" s="18">
        <v>206</v>
      </c>
      <c r="H20" s="18" t="s">
        <v>467</v>
      </c>
      <c r="I20" s="18" t="s">
        <v>75</v>
      </c>
      <c r="J20" s="18"/>
      <c r="K20" s="18">
        <v>200040</v>
      </c>
      <c r="L20" s="18">
        <v>200120</v>
      </c>
      <c r="M20" s="18" t="s">
        <v>90</v>
      </c>
      <c r="N20" s="18" t="s">
        <v>159</v>
      </c>
      <c r="O20" s="10"/>
    </row>
    <row r="21" spans="1:15">
      <c r="A21" s="89">
        <v>4005</v>
      </c>
      <c r="B21" s="2">
        <v>4</v>
      </c>
      <c r="C21" s="2">
        <v>1</v>
      </c>
      <c r="D21" s="2" t="s">
        <v>31</v>
      </c>
      <c r="E21" s="2">
        <v>5</v>
      </c>
      <c r="F21" s="2" t="str">
        <f t="shared" si="0"/>
        <v>200027|200028</v>
      </c>
      <c r="G21" s="2">
        <v>208</v>
      </c>
      <c r="H21" s="2" t="s">
        <v>469</v>
      </c>
      <c r="I21" s="2" t="s">
        <v>67</v>
      </c>
      <c r="J21" s="2"/>
      <c r="K21" s="2">
        <v>200027</v>
      </c>
      <c r="L21" s="2">
        <v>200028</v>
      </c>
      <c r="M21" s="2" t="s">
        <v>77</v>
      </c>
      <c r="N21" s="2" t="s">
        <v>78</v>
      </c>
      <c r="O21" s="10"/>
    </row>
    <row r="22" spans="1:15">
      <c r="A22" s="89">
        <v>4019</v>
      </c>
      <c r="B22" s="2">
        <v>4</v>
      </c>
      <c r="C22" s="2"/>
      <c r="D22" s="2" t="s">
        <v>252</v>
      </c>
      <c r="E22" s="2">
        <v>19</v>
      </c>
      <c r="F22" s="2" t="str">
        <f>K22&amp;"|"&amp;L22</f>
        <v>200019|200072</v>
      </c>
      <c r="G22" s="2">
        <v>208</v>
      </c>
      <c r="H22" s="2" t="s">
        <v>469</v>
      </c>
      <c r="I22" s="2" t="s">
        <v>67</v>
      </c>
      <c r="J22" s="2"/>
      <c r="K22" s="2">
        <v>200019</v>
      </c>
      <c r="L22" s="2">
        <v>200072</v>
      </c>
      <c r="M22" s="2" t="s">
        <v>69</v>
      </c>
      <c r="N22" s="2" t="s">
        <v>122</v>
      </c>
      <c r="O22" s="10"/>
    </row>
    <row r="23" spans="1:15">
      <c r="A23" s="89">
        <v>4202</v>
      </c>
      <c r="B23" s="2">
        <v>4</v>
      </c>
      <c r="C23" s="2"/>
      <c r="D23" s="2" t="s">
        <v>33</v>
      </c>
      <c r="E23" s="2">
        <v>202</v>
      </c>
      <c r="F23" s="2" t="str">
        <f>K23&amp;"|"&amp;L23</f>
        <v>200026|200113</v>
      </c>
      <c r="G23" s="2">
        <v>203</v>
      </c>
      <c r="H23" s="2" t="s">
        <v>464</v>
      </c>
      <c r="I23" s="2" t="s">
        <v>64</v>
      </c>
      <c r="J23" s="2" t="s">
        <v>295</v>
      </c>
      <c r="K23" s="2">
        <v>200026</v>
      </c>
      <c r="L23" s="2">
        <v>200113</v>
      </c>
      <c r="M23" s="2" t="s">
        <v>76</v>
      </c>
      <c r="N23" s="2" t="s">
        <v>441</v>
      </c>
      <c r="O23" s="10"/>
    </row>
    <row r="24" spans="1:15">
      <c r="A24" s="89">
        <v>4056</v>
      </c>
      <c r="B24" s="2">
        <v>4</v>
      </c>
      <c r="C24" s="2">
        <v>2</v>
      </c>
      <c r="D24" s="2" t="s">
        <v>43</v>
      </c>
      <c r="E24" s="2">
        <v>56</v>
      </c>
      <c r="F24" s="2" t="str">
        <f t="shared" ref="F24:F28" si="2">K24&amp;"|"&amp;L24</f>
        <v>200041|200015</v>
      </c>
      <c r="G24" s="2">
        <v>201</v>
      </c>
      <c r="H24" s="2" t="s">
        <v>462</v>
      </c>
      <c r="I24" s="2" t="s">
        <v>162</v>
      </c>
      <c r="J24" s="2"/>
      <c r="K24" s="2">
        <v>200041</v>
      </c>
      <c r="L24" s="2">
        <v>200015</v>
      </c>
      <c r="M24" s="2" t="s">
        <v>91</v>
      </c>
      <c r="N24" s="2" t="s">
        <v>396</v>
      </c>
      <c r="O24" s="10"/>
    </row>
    <row r="25" spans="1:15">
      <c r="A25" s="89">
        <v>40191</v>
      </c>
      <c r="B25" s="2">
        <v>4</v>
      </c>
      <c r="C25" s="2"/>
      <c r="D25" s="2" t="s">
        <v>252</v>
      </c>
      <c r="E25" s="2">
        <v>19</v>
      </c>
      <c r="F25" s="2" t="str">
        <f>K25&amp;"|"&amp;L25</f>
        <v>200019|200072</v>
      </c>
      <c r="G25" s="2">
        <v>201</v>
      </c>
      <c r="H25" s="2" t="s">
        <v>462</v>
      </c>
      <c r="I25" s="2" t="s">
        <v>162</v>
      </c>
      <c r="J25" s="2"/>
      <c r="K25" s="2">
        <v>200019</v>
      </c>
      <c r="L25" s="2">
        <v>200072</v>
      </c>
      <c r="M25" s="2" t="s">
        <v>69</v>
      </c>
      <c r="N25" s="2" t="s">
        <v>122</v>
      </c>
      <c r="O25" s="10"/>
    </row>
    <row r="26" spans="1:15">
      <c r="A26" s="89">
        <v>4215</v>
      </c>
      <c r="B26" s="2">
        <v>4</v>
      </c>
      <c r="C26" s="2"/>
      <c r="D26" s="2" t="s">
        <v>258</v>
      </c>
      <c r="E26" s="2">
        <v>215</v>
      </c>
      <c r="F26" s="2" t="str">
        <f>K26&amp;"|"&amp;L26</f>
        <v>200030|200032</v>
      </c>
      <c r="G26" s="2">
        <v>201</v>
      </c>
      <c r="H26" s="2" t="s">
        <v>462</v>
      </c>
      <c r="I26" s="2" t="s">
        <v>162</v>
      </c>
      <c r="J26" s="2" t="s">
        <v>294</v>
      </c>
      <c r="K26" s="2">
        <v>200030</v>
      </c>
      <c r="L26" s="2">
        <v>200032</v>
      </c>
      <c r="M26" s="2" t="s">
        <v>432</v>
      </c>
      <c r="N26" s="2" t="s">
        <v>433</v>
      </c>
      <c r="O26" s="10"/>
    </row>
    <row r="27" spans="1:15">
      <c r="A27" s="89">
        <v>4076</v>
      </c>
      <c r="B27" s="2">
        <v>4</v>
      </c>
      <c r="C27" s="2">
        <v>3</v>
      </c>
      <c r="D27" s="2" t="s">
        <v>257</v>
      </c>
      <c r="E27" s="2">
        <v>76</v>
      </c>
      <c r="F27" s="2" t="str">
        <f t="shared" si="2"/>
        <v>200125|200041</v>
      </c>
      <c r="G27" s="2">
        <v>212</v>
      </c>
      <c r="H27" s="2" t="s">
        <v>473</v>
      </c>
      <c r="I27" s="2" t="s">
        <v>151</v>
      </c>
      <c r="J27" s="2"/>
      <c r="K27" s="2">
        <v>200125</v>
      </c>
      <c r="L27" s="2">
        <v>200041</v>
      </c>
      <c r="M27" s="2" t="s">
        <v>164</v>
      </c>
      <c r="N27" s="2" t="s">
        <v>91</v>
      </c>
      <c r="O27" s="10"/>
    </row>
    <row r="28" spans="1:15">
      <c r="A28" s="89">
        <v>42151</v>
      </c>
      <c r="B28" s="2">
        <v>4</v>
      </c>
      <c r="C28" s="2"/>
      <c r="D28" s="2" t="s">
        <v>258</v>
      </c>
      <c r="E28" s="2">
        <v>215</v>
      </c>
      <c r="F28" s="2" t="str">
        <f t="shared" si="2"/>
        <v>200030|200032</v>
      </c>
      <c r="G28" s="2">
        <v>212</v>
      </c>
      <c r="H28" s="2" t="s">
        <v>473</v>
      </c>
      <c r="I28" s="2" t="s">
        <v>151</v>
      </c>
      <c r="J28" s="2" t="s">
        <v>294</v>
      </c>
      <c r="K28" s="2">
        <v>200030</v>
      </c>
      <c r="L28" s="2">
        <v>200032</v>
      </c>
      <c r="M28" s="2" t="s">
        <v>432</v>
      </c>
      <c r="N28" s="2" t="s">
        <v>433</v>
      </c>
      <c r="O28" s="10"/>
    </row>
    <row r="29" spans="1:15">
      <c r="A29" s="88">
        <v>5014</v>
      </c>
      <c r="B29" s="18">
        <v>5</v>
      </c>
      <c r="C29" s="18">
        <v>1</v>
      </c>
      <c r="D29" s="18" t="s">
        <v>32</v>
      </c>
      <c r="E29" s="18">
        <v>14</v>
      </c>
      <c r="F29" s="18" t="str">
        <f t="shared" si="0"/>
        <v>200063|200016</v>
      </c>
      <c r="G29" s="18">
        <v>109</v>
      </c>
      <c r="H29" s="18" t="s">
        <v>457</v>
      </c>
      <c r="I29" s="18" t="s">
        <v>58</v>
      </c>
      <c r="J29" s="18"/>
      <c r="K29" s="18">
        <v>200063</v>
      </c>
      <c r="L29" s="18">
        <v>200016</v>
      </c>
      <c r="M29" s="18" t="s">
        <v>113</v>
      </c>
      <c r="N29" s="18" t="s">
        <v>66</v>
      </c>
      <c r="O29" s="10"/>
    </row>
    <row r="30" spans="1:15">
      <c r="A30" s="88">
        <v>5004</v>
      </c>
      <c r="B30" s="18">
        <v>5</v>
      </c>
      <c r="C30" s="18"/>
      <c r="D30" s="18" t="s">
        <v>263</v>
      </c>
      <c r="E30" s="18">
        <v>4</v>
      </c>
      <c r="F30" s="18" t="str">
        <f>K30&amp;"|"&amp;L30</f>
        <v>200020|200074</v>
      </c>
      <c r="G30" s="18">
        <v>109</v>
      </c>
      <c r="H30" s="18" t="s">
        <v>457</v>
      </c>
      <c r="I30" s="18" t="s">
        <v>58</v>
      </c>
      <c r="J30" s="18"/>
      <c r="K30" s="18">
        <v>200020</v>
      </c>
      <c r="L30" s="18">
        <v>200074</v>
      </c>
      <c r="M30" s="18" t="s">
        <v>401</v>
      </c>
      <c r="N30" s="18" t="s">
        <v>124</v>
      </c>
      <c r="O30" s="10"/>
    </row>
    <row r="31" spans="1:15">
      <c r="A31" s="88">
        <v>5016</v>
      </c>
      <c r="B31" s="18">
        <v>5</v>
      </c>
      <c r="C31" s="18">
        <v>2</v>
      </c>
      <c r="D31" s="18" t="s">
        <v>262</v>
      </c>
      <c r="E31" s="18">
        <v>16</v>
      </c>
      <c r="F31" s="18" t="str">
        <f t="shared" si="0"/>
        <v>200047|200016</v>
      </c>
      <c r="G31" s="18">
        <v>106</v>
      </c>
      <c r="H31" s="18" t="s">
        <v>454</v>
      </c>
      <c r="I31" s="18" t="s">
        <v>114</v>
      </c>
      <c r="J31" s="18"/>
      <c r="K31" s="18">
        <v>200047</v>
      </c>
      <c r="L31" s="18">
        <v>200016</v>
      </c>
      <c r="M31" s="18" t="s">
        <v>97</v>
      </c>
      <c r="N31" s="18" t="s">
        <v>66</v>
      </c>
      <c r="O31" s="10"/>
    </row>
    <row r="32" spans="1:15">
      <c r="A32" s="88">
        <v>50041</v>
      </c>
      <c r="B32" s="18">
        <v>5</v>
      </c>
      <c r="C32" s="18"/>
      <c r="D32" s="18" t="s">
        <v>263</v>
      </c>
      <c r="E32" s="18">
        <v>4</v>
      </c>
      <c r="F32" s="18" t="str">
        <f>K32&amp;"|"&amp;L32</f>
        <v>200020|200074</v>
      </c>
      <c r="G32" s="18">
        <v>113</v>
      </c>
      <c r="H32" s="18" t="s">
        <v>461</v>
      </c>
      <c r="I32" s="18" t="s">
        <v>61</v>
      </c>
      <c r="J32" s="18"/>
      <c r="K32" s="18">
        <v>200020</v>
      </c>
      <c r="L32" s="18">
        <v>200074</v>
      </c>
      <c r="M32" s="18" t="s">
        <v>401</v>
      </c>
      <c r="N32" s="18" t="s">
        <v>124</v>
      </c>
      <c r="O32" s="10"/>
    </row>
    <row r="33" spans="1:15">
      <c r="A33" s="88">
        <v>5205</v>
      </c>
      <c r="B33" s="18">
        <v>5</v>
      </c>
      <c r="C33" s="18"/>
      <c r="D33" s="18" t="s">
        <v>619</v>
      </c>
      <c r="E33" s="18">
        <v>205</v>
      </c>
      <c r="F33" s="18" t="str">
        <f>K33&amp;"|"&amp;L33</f>
        <v>200124|200116</v>
      </c>
      <c r="G33" s="18">
        <v>210</v>
      </c>
      <c r="H33" s="18" t="s">
        <v>471</v>
      </c>
      <c r="I33" s="18" t="s">
        <v>148</v>
      </c>
      <c r="J33" s="18" t="s">
        <v>265</v>
      </c>
      <c r="K33" s="18">
        <v>200124</v>
      </c>
      <c r="L33" s="18">
        <v>200116</v>
      </c>
      <c r="M33" s="18" t="s">
        <v>163</v>
      </c>
      <c r="N33" s="18" t="s">
        <v>155</v>
      </c>
      <c r="O33" s="10"/>
    </row>
    <row r="34" spans="1:15">
      <c r="A34" s="88">
        <v>5062</v>
      </c>
      <c r="B34" s="18">
        <v>5</v>
      </c>
      <c r="C34" s="18">
        <v>3</v>
      </c>
      <c r="D34" s="18" t="s">
        <v>42</v>
      </c>
      <c r="E34" s="18">
        <v>62</v>
      </c>
      <c r="F34" s="18" t="str">
        <f t="shared" si="0"/>
        <v>200047|200098</v>
      </c>
      <c r="G34" s="18">
        <v>111</v>
      </c>
      <c r="H34" s="18" t="s">
        <v>459</v>
      </c>
      <c r="I34" s="18" t="s">
        <v>115</v>
      </c>
      <c r="J34" s="18"/>
      <c r="K34" s="18">
        <v>200047</v>
      </c>
      <c r="L34" s="18">
        <v>200098</v>
      </c>
      <c r="M34" s="18" t="s">
        <v>97</v>
      </c>
      <c r="N34" s="18" t="s">
        <v>139</v>
      </c>
      <c r="O34" s="10"/>
    </row>
    <row r="35" spans="1:15">
      <c r="A35" s="88">
        <v>50161</v>
      </c>
      <c r="B35" s="18">
        <v>5</v>
      </c>
      <c r="C35" s="18"/>
      <c r="D35" s="18" t="s">
        <v>262</v>
      </c>
      <c r="E35" s="18">
        <v>16</v>
      </c>
      <c r="F35" s="18" t="str">
        <f t="shared" si="0"/>
        <v>200047|200016</v>
      </c>
      <c r="G35" s="18">
        <v>106</v>
      </c>
      <c r="H35" s="18" t="s">
        <v>454</v>
      </c>
      <c r="I35" s="18" t="s">
        <v>114</v>
      </c>
      <c r="J35" s="18"/>
      <c r="K35" s="18">
        <v>200047</v>
      </c>
      <c r="L35" s="18">
        <v>200016</v>
      </c>
      <c r="M35" s="18" t="s">
        <v>97</v>
      </c>
      <c r="N35" s="18" t="s">
        <v>66</v>
      </c>
      <c r="O35" s="10"/>
    </row>
    <row r="36" spans="1:15">
      <c r="A36" s="88">
        <v>5209</v>
      </c>
      <c r="B36" s="18">
        <v>5</v>
      </c>
      <c r="C36" s="18"/>
      <c r="D36" s="18" t="s">
        <v>37</v>
      </c>
      <c r="E36" s="18">
        <v>209</v>
      </c>
      <c r="F36" s="18" t="str">
        <f t="shared" si="0"/>
        <v>200114|200116</v>
      </c>
      <c r="G36" s="18">
        <v>206</v>
      </c>
      <c r="H36" s="18" t="s">
        <v>467</v>
      </c>
      <c r="I36" s="18" t="s">
        <v>75</v>
      </c>
      <c r="J36" s="18" t="s">
        <v>266</v>
      </c>
      <c r="K36" s="18">
        <v>200114</v>
      </c>
      <c r="L36" s="18">
        <v>200116</v>
      </c>
      <c r="M36" s="18" t="s">
        <v>153</v>
      </c>
      <c r="N36" s="18" t="s">
        <v>155</v>
      </c>
      <c r="O36" s="10"/>
    </row>
    <row r="37" spans="1:15">
      <c r="A37" s="89">
        <v>6003</v>
      </c>
      <c r="B37" s="2">
        <v>6</v>
      </c>
      <c r="C37" s="2">
        <v>1</v>
      </c>
      <c r="D37" s="2" t="s">
        <v>255</v>
      </c>
      <c r="E37" s="2">
        <v>3</v>
      </c>
      <c r="F37" s="2" t="str">
        <f t="shared" si="0"/>
        <v>200080|200068</v>
      </c>
      <c r="G37" s="2"/>
      <c r="H37" s="2" t="e">
        <v>#N/A</v>
      </c>
      <c r="I37" s="2" t="e">
        <v>#N/A</v>
      </c>
      <c r="J37" s="2"/>
      <c r="K37" s="2">
        <v>200080</v>
      </c>
      <c r="L37" s="2">
        <v>200068</v>
      </c>
      <c r="M37" s="2" t="s">
        <v>129</v>
      </c>
      <c r="N37" s="2" t="s">
        <v>118</v>
      </c>
      <c r="O37" s="49" t="s">
        <v>587</v>
      </c>
    </row>
    <row r="38" spans="1:15">
      <c r="A38" s="89">
        <v>6002</v>
      </c>
      <c r="B38" s="2">
        <v>6</v>
      </c>
      <c r="C38" s="2">
        <v>2</v>
      </c>
      <c r="D38" s="2" t="s">
        <v>254</v>
      </c>
      <c r="E38" s="2">
        <v>2</v>
      </c>
      <c r="F38" s="2" t="str">
        <f>K38&amp;"|"&amp;L38</f>
        <v>200080|200068</v>
      </c>
      <c r="G38" s="2"/>
      <c r="H38" s="2" t="e">
        <v>#N/A</v>
      </c>
      <c r="I38" s="2" t="e">
        <v>#N/A</v>
      </c>
      <c r="J38" s="2"/>
      <c r="K38" s="2">
        <v>200080</v>
      </c>
      <c r="L38" s="2">
        <v>200068</v>
      </c>
      <c r="M38" s="2" t="s">
        <v>129</v>
      </c>
      <c r="N38" s="2" t="s">
        <v>118</v>
      </c>
      <c r="O38" s="10"/>
    </row>
    <row r="39" spans="1:15">
      <c r="A39" s="89">
        <v>6036</v>
      </c>
      <c r="B39" s="2">
        <v>6</v>
      </c>
      <c r="C39" s="2"/>
      <c r="D39" s="2" t="s">
        <v>335</v>
      </c>
      <c r="E39" s="2">
        <v>36</v>
      </c>
      <c r="F39" s="2" t="str">
        <f>K39&amp;"|"&amp;L39</f>
        <v>200020|200072</v>
      </c>
      <c r="G39" s="2"/>
      <c r="H39" s="2" t="e">
        <v>#N/A</v>
      </c>
      <c r="I39" s="2" t="e">
        <v>#N/A</v>
      </c>
      <c r="J39" s="2"/>
      <c r="K39" s="2">
        <v>200020</v>
      </c>
      <c r="L39" s="2">
        <v>200072</v>
      </c>
      <c r="M39" s="2" t="s">
        <v>70</v>
      </c>
      <c r="N39" s="2" t="s">
        <v>337</v>
      </c>
      <c r="O39" s="10"/>
    </row>
    <row r="40" spans="1:15">
      <c r="A40" s="89">
        <v>6201</v>
      </c>
      <c r="B40" s="2">
        <v>6</v>
      </c>
      <c r="C40" s="2">
        <v>3</v>
      </c>
      <c r="D40" s="2" t="s">
        <v>30</v>
      </c>
      <c r="E40" s="2">
        <v>201</v>
      </c>
      <c r="F40" s="2" t="str">
        <f t="shared" si="0"/>
        <v>200069|200122</v>
      </c>
      <c r="G40" s="2"/>
      <c r="H40" s="2" t="e">
        <v>#N/A</v>
      </c>
      <c r="I40" s="2" t="e">
        <v>#N/A</v>
      </c>
      <c r="J40" s="2" t="s">
        <v>296</v>
      </c>
      <c r="K40" s="2">
        <v>200069</v>
      </c>
      <c r="L40" s="2">
        <v>200122</v>
      </c>
      <c r="M40" s="2" t="s">
        <v>119</v>
      </c>
      <c r="N40" s="2" t="s">
        <v>161</v>
      </c>
      <c r="O40" s="10"/>
    </row>
    <row r="41" spans="1:15">
      <c r="A41" s="89">
        <v>6004</v>
      </c>
      <c r="B41" s="2">
        <v>6</v>
      </c>
      <c r="C41" s="2"/>
      <c r="D41" s="2" t="s">
        <v>263</v>
      </c>
      <c r="E41" s="2">
        <v>4</v>
      </c>
      <c r="F41" s="2" t="str">
        <f>K41&amp;"|"&amp;L41</f>
        <v>200020|200074</v>
      </c>
      <c r="G41" s="2"/>
      <c r="H41" s="2" t="e">
        <v>#N/A</v>
      </c>
      <c r="I41" s="2" t="e">
        <v>#N/A</v>
      </c>
      <c r="J41" s="2"/>
      <c r="K41" s="2">
        <v>200020</v>
      </c>
      <c r="L41" s="2">
        <v>200074</v>
      </c>
      <c r="M41" s="2" t="s">
        <v>401</v>
      </c>
      <c r="N41" s="2" t="s">
        <v>124</v>
      </c>
      <c r="O41" s="10"/>
    </row>
    <row r="42" spans="1:15">
      <c r="A42" s="89">
        <v>6056</v>
      </c>
      <c r="B42" s="2">
        <v>6</v>
      </c>
      <c r="C42" s="2"/>
      <c r="D42" s="2" t="s">
        <v>43</v>
      </c>
      <c r="E42" s="2">
        <v>56</v>
      </c>
      <c r="F42" s="2" t="str">
        <f t="shared" ref="F42:F49" si="3">K42&amp;"|"&amp;L42</f>
        <v>200041|200015</v>
      </c>
      <c r="G42" s="2"/>
      <c r="H42" s="2" t="e">
        <v>#N/A</v>
      </c>
      <c r="I42" s="2" t="e">
        <v>#N/A</v>
      </c>
      <c r="J42" s="2"/>
      <c r="K42" s="2">
        <v>200041</v>
      </c>
      <c r="L42" s="2">
        <v>200015</v>
      </c>
      <c r="M42" s="2" t="s">
        <v>91</v>
      </c>
      <c r="N42" s="2" t="s">
        <v>396</v>
      </c>
      <c r="O42" s="10"/>
    </row>
    <row r="43" spans="1:15">
      <c r="A43" s="90">
        <v>7021</v>
      </c>
      <c r="B43" s="18">
        <v>7</v>
      </c>
      <c r="C43" s="18">
        <v>1</v>
      </c>
      <c r="D43" s="18" t="s">
        <v>271</v>
      </c>
      <c r="E43" s="18">
        <v>21</v>
      </c>
      <c r="F43" s="18" t="str">
        <f t="shared" si="3"/>
        <v>200015|200005</v>
      </c>
      <c r="G43" s="18">
        <v>110</v>
      </c>
      <c r="H43" s="18" t="s">
        <v>458</v>
      </c>
      <c r="I43" s="18" t="s">
        <v>130</v>
      </c>
      <c r="J43" s="18"/>
      <c r="K43" s="18">
        <v>200015</v>
      </c>
      <c r="L43" s="18">
        <v>200005</v>
      </c>
      <c r="M43" s="18" t="s">
        <v>396</v>
      </c>
      <c r="N43" s="18" t="s">
        <v>55</v>
      </c>
      <c r="O43" s="10"/>
    </row>
    <row r="44" spans="1:15">
      <c r="A44" s="90">
        <v>7077</v>
      </c>
      <c r="B44" s="18">
        <v>7</v>
      </c>
      <c r="C44" s="18">
        <v>2</v>
      </c>
      <c r="D44" s="18" t="s">
        <v>580</v>
      </c>
      <c r="E44" s="18">
        <v>77</v>
      </c>
      <c r="F44" s="18" t="str">
        <f t="shared" si="3"/>
        <v>200009|200068</v>
      </c>
      <c r="G44" s="18">
        <v>113</v>
      </c>
      <c r="H44" s="18" t="s">
        <v>461</v>
      </c>
      <c r="I44" s="18" t="s">
        <v>61</v>
      </c>
      <c r="J44" s="18"/>
      <c r="K44" s="18">
        <f>INDEX('[2]#技能参考'!$A:$A,MATCH(M44,'[2]#技能参考'!$B:$B,0),1)</f>
        <v>200009</v>
      </c>
      <c r="L44" s="18">
        <f>INDEX('[2]#技能参考'!$A:$A,MATCH(N44,'[2]#技能参考'!$B:$B,0),1)</f>
        <v>200068</v>
      </c>
      <c r="M44" s="18" t="s">
        <v>409</v>
      </c>
      <c r="N44" s="18" t="s">
        <v>581</v>
      </c>
      <c r="O44" s="10"/>
    </row>
    <row r="45" spans="1:15">
      <c r="A45" s="88">
        <v>7091</v>
      </c>
      <c r="B45" s="18">
        <v>7</v>
      </c>
      <c r="C45" s="18"/>
      <c r="D45" s="18" t="s">
        <v>366</v>
      </c>
      <c r="E45" s="18">
        <v>91</v>
      </c>
      <c r="F45" s="18" t="str">
        <f t="shared" si="3"/>
        <v>200061|200005</v>
      </c>
      <c r="G45" s="18">
        <v>113</v>
      </c>
      <c r="H45" s="18" t="s">
        <v>461</v>
      </c>
      <c r="I45" s="18" t="s">
        <v>61</v>
      </c>
      <c r="J45" s="18"/>
      <c r="K45" s="18">
        <v>200061</v>
      </c>
      <c r="L45" s="18">
        <v>200005</v>
      </c>
      <c r="M45" s="18" t="s">
        <v>358</v>
      </c>
      <c r="N45" s="18" t="s">
        <v>357</v>
      </c>
      <c r="O45" s="10" t="s">
        <v>394</v>
      </c>
    </row>
    <row r="46" spans="1:15">
      <c r="A46" s="88">
        <v>7061</v>
      </c>
      <c r="B46" s="18">
        <v>7</v>
      </c>
      <c r="C46" s="18"/>
      <c r="D46" s="18" t="s">
        <v>270</v>
      </c>
      <c r="E46" s="18">
        <v>61</v>
      </c>
      <c r="F46" s="18" t="str">
        <f t="shared" si="3"/>
        <v>200061|200015</v>
      </c>
      <c r="G46" s="18">
        <v>113</v>
      </c>
      <c r="H46" s="18" t="s">
        <v>461</v>
      </c>
      <c r="I46" s="18" t="s">
        <v>61</v>
      </c>
      <c r="J46" s="18"/>
      <c r="K46" s="18">
        <v>200061</v>
      </c>
      <c r="L46" s="18">
        <v>200015</v>
      </c>
      <c r="M46" s="18" t="s">
        <v>358</v>
      </c>
      <c r="N46" s="18" t="s">
        <v>396</v>
      </c>
      <c r="O46" s="10"/>
    </row>
    <row r="47" spans="1:15">
      <c r="A47" s="90">
        <v>7008</v>
      </c>
      <c r="B47" s="18">
        <v>7</v>
      </c>
      <c r="C47" s="18">
        <v>3</v>
      </c>
      <c r="D47" s="18" t="s">
        <v>378</v>
      </c>
      <c r="E47" s="18">
        <v>8</v>
      </c>
      <c r="F47" s="18" t="str">
        <f t="shared" si="3"/>
        <v>200042|200010</v>
      </c>
      <c r="G47" s="18">
        <v>106</v>
      </c>
      <c r="H47" s="18" t="s">
        <v>454</v>
      </c>
      <c r="I47" s="18" t="s">
        <v>114</v>
      </c>
      <c r="J47" s="18"/>
      <c r="K47" s="18">
        <v>200042</v>
      </c>
      <c r="L47" s="18">
        <v>200010</v>
      </c>
      <c r="M47" s="18" t="s">
        <v>380</v>
      </c>
      <c r="N47" s="18" t="s">
        <v>379</v>
      </c>
      <c r="O47" s="10"/>
    </row>
    <row r="48" spans="1:15">
      <c r="A48" s="88">
        <v>7055</v>
      </c>
      <c r="B48" s="18">
        <v>7</v>
      </c>
      <c r="C48" s="18"/>
      <c r="D48" s="18" t="s">
        <v>29</v>
      </c>
      <c r="E48" s="18">
        <v>55</v>
      </c>
      <c r="F48" s="18" t="str">
        <f t="shared" si="3"/>
        <v>200061|200009</v>
      </c>
      <c r="G48" s="18">
        <v>111</v>
      </c>
      <c r="H48" s="18" t="s">
        <v>459</v>
      </c>
      <c r="I48" s="18" t="s">
        <v>115</v>
      </c>
      <c r="J48" s="18"/>
      <c r="K48" s="18">
        <v>200061</v>
      </c>
      <c r="L48" s="18">
        <v>200009</v>
      </c>
      <c r="M48" s="18" t="s">
        <v>111</v>
      </c>
      <c r="N48" s="18" t="s">
        <v>409</v>
      </c>
      <c r="O48" s="10"/>
    </row>
    <row r="49" spans="1:15">
      <c r="A49" s="88">
        <v>7056</v>
      </c>
      <c r="B49" s="18">
        <v>7</v>
      </c>
      <c r="C49" s="18"/>
      <c r="D49" s="18" t="s">
        <v>43</v>
      </c>
      <c r="E49" s="18">
        <v>56</v>
      </c>
      <c r="F49" s="18" t="str">
        <f t="shared" si="3"/>
        <v>200041|200015</v>
      </c>
      <c r="G49" s="18">
        <v>111</v>
      </c>
      <c r="H49" s="18" t="s">
        <v>459</v>
      </c>
      <c r="I49" s="18" t="s">
        <v>115</v>
      </c>
      <c r="J49" s="18"/>
      <c r="K49" s="18">
        <v>200041</v>
      </c>
      <c r="L49" s="18">
        <v>200015</v>
      </c>
      <c r="M49" s="18" t="s">
        <v>405</v>
      </c>
      <c r="N49" s="18" t="s">
        <v>396</v>
      </c>
      <c r="O49" s="10"/>
    </row>
    <row r="50" spans="1:15">
      <c r="A50" s="89">
        <v>8036</v>
      </c>
      <c r="B50" s="2">
        <v>8</v>
      </c>
      <c r="C50" s="2">
        <v>1</v>
      </c>
      <c r="D50" s="2" t="s">
        <v>335</v>
      </c>
      <c r="E50" s="2">
        <v>36</v>
      </c>
      <c r="F50" s="2" t="str">
        <f t="shared" si="0"/>
        <v>200168|200020</v>
      </c>
      <c r="G50" s="2">
        <v>202</v>
      </c>
      <c r="H50" s="2" t="s">
        <v>463</v>
      </c>
      <c r="I50" s="2" t="s">
        <v>54</v>
      </c>
      <c r="J50" s="2"/>
      <c r="K50" s="2">
        <v>200168</v>
      </c>
      <c r="L50" s="2">
        <v>200020</v>
      </c>
      <c r="M50" s="2" t="s">
        <v>413</v>
      </c>
      <c r="N50" s="2" t="s">
        <v>401</v>
      </c>
      <c r="O50" s="10"/>
    </row>
    <row r="51" spans="1:15">
      <c r="A51" s="89">
        <v>8061</v>
      </c>
      <c r="B51" s="2">
        <v>8</v>
      </c>
      <c r="C51" s="2">
        <v>2</v>
      </c>
      <c r="D51" s="2" t="s">
        <v>270</v>
      </c>
      <c r="E51" s="2">
        <v>61</v>
      </c>
      <c r="F51" s="2" t="str">
        <f t="shared" si="0"/>
        <v>200166|200061</v>
      </c>
      <c r="G51" s="2">
        <v>308</v>
      </c>
      <c r="H51" s="2" t="s">
        <v>482</v>
      </c>
      <c r="I51" s="2" t="s">
        <v>102</v>
      </c>
      <c r="J51" s="2"/>
      <c r="K51" s="2">
        <v>200166</v>
      </c>
      <c r="L51" s="2">
        <v>200061</v>
      </c>
      <c r="M51" s="2" t="s">
        <v>419</v>
      </c>
      <c r="N51" s="2" t="s">
        <v>358</v>
      </c>
      <c r="O51" s="10"/>
    </row>
    <row r="52" spans="1:15">
      <c r="A52" s="89">
        <v>8055</v>
      </c>
      <c r="B52" s="2">
        <v>8</v>
      </c>
      <c r="C52" s="2">
        <v>3</v>
      </c>
      <c r="D52" s="2" t="s">
        <v>272</v>
      </c>
      <c r="E52" s="2">
        <v>55</v>
      </c>
      <c r="F52" s="2" t="str">
        <f t="shared" si="0"/>
        <v>200167|200061</v>
      </c>
      <c r="G52" s="2">
        <v>207</v>
      </c>
      <c r="H52" s="2" t="s">
        <v>468</v>
      </c>
      <c r="I52" s="2" t="s">
        <v>53</v>
      </c>
      <c r="J52" s="2"/>
      <c r="K52" s="2">
        <v>200167</v>
      </c>
      <c r="L52" s="2">
        <v>200061</v>
      </c>
      <c r="M52" s="2" t="s">
        <v>420</v>
      </c>
      <c r="N52" s="2" t="s">
        <v>358</v>
      </c>
      <c r="O52" s="10"/>
    </row>
    <row r="53" spans="1:15">
      <c r="A53" s="88">
        <v>9003</v>
      </c>
      <c r="B53" s="18">
        <v>9</v>
      </c>
      <c r="C53" s="18">
        <v>1</v>
      </c>
      <c r="D53" s="18" t="s">
        <v>255</v>
      </c>
      <c r="E53" s="18">
        <v>3</v>
      </c>
      <c r="F53" s="18" t="str">
        <f t="shared" si="0"/>
        <v>200080|200068</v>
      </c>
      <c r="G53" s="18">
        <v>111</v>
      </c>
      <c r="H53" s="18" t="s">
        <v>459</v>
      </c>
      <c r="I53" s="18" t="s">
        <v>115</v>
      </c>
      <c r="J53" s="18"/>
      <c r="K53" s="18">
        <v>200080</v>
      </c>
      <c r="L53" s="18">
        <v>200068</v>
      </c>
      <c r="M53" s="18" t="s">
        <v>129</v>
      </c>
      <c r="N53" s="18" t="s">
        <v>118</v>
      </c>
      <c r="O53" s="10"/>
    </row>
    <row r="54" spans="1:15">
      <c r="A54" s="88">
        <v>9034</v>
      </c>
      <c r="B54" s="18">
        <v>9</v>
      </c>
      <c r="C54" s="18">
        <v>2</v>
      </c>
      <c r="D54" s="18" t="s">
        <v>274</v>
      </c>
      <c r="E54" s="18">
        <v>34</v>
      </c>
      <c r="F54" s="18" t="str">
        <f t="shared" si="0"/>
        <v>200068|200006</v>
      </c>
      <c r="G54" s="18">
        <v>102</v>
      </c>
      <c r="H54" s="18" t="s">
        <v>452</v>
      </c>
      <c r="I54" s="18" t="s">
        <v>62</v>
      </c>
      <c r="J54" s="18"/>
      <c r="K54" s="18">
        <v>200068</v>
      </c>
      <c r="L54" s="18">
        <v>200006</v>
      </c>
      <c r="M54" s="18" t="s">
        <v>118</v>
      </c>
      <c r="N54" s="18" t="s">
        <v>56</v>
      </c>
      <c r="O54" s="10"/>
    </row>
    <row r="55" spans="1:15">
      <c r="A55" s="88">
        <v>90781</v>
      </c>
      <c r="B55" s="18">
        <v>9</v>
      </c>
      <c r="C55" s="18"/>
      <c r="D55" s="53" t="s">
        <v>627</v>
      </c>
      <c r="E55" s="53">
        <v>78</v>
      </c>
      <c r="F55" s="53" t="str">
        <f t="shared" si="0"/>
        <v>200042|200010</v>
      </c>
      <c r="G55" s="53">
        <v>102</v>
      </c>
      <c r="H55" s="53" t="s">
        <v>452</v>
      </c>
      <c r="I55" s="53" t="s">
        <v>62</v>
      </c>
      <c r="J55" s="53"/>
      <c r="K55" s="53">
        <f>INDEX('[2]#技能参考'!$A:$A,MATCH(M55,'[2]#技能参考'!$B:$B,0),1)</f>
        <v>200042</v>
      </c>
      <c r="L55" s="53">
        <f>INDEX('[2]#技能参考'!$A:$A,MATCH(N55,'[2]#技能参考'!$B:$B,0),1)</f>
        <v>200010</v>
      </c>
      <c r="M55" s="53" t="s">
        <v>92</v>
      </c>
      <c r="N55" s="53" t="s">
        <v>60</v>
      </c>
      <c r="O55" s="10"/>
    </row>
    <row r="56" spans="1:15">
      <c r="A56" s="88">
        <v>9213</v>
      </c>
      <c r="B56" s="18">
        <v>9</v>
      </c>
      <c r="C56" s="18"/>
      <c r="D56" s="18" t="s">
        <v>444</v>
      </c>
      <c r="E56" s="18">
        <v>213</v>
      </c>
      <c r="F56" s="18" t="str">
        <f t="shared" si="0"/>
        <v>200069|200122</v>
      </c>
      <c r="G56" s="18">
        <v>210</v>
      </c>
      <c r="H56" s="18" t="s">
        <v>471</v>
      </c>
      <c r="I56" s="18" t="s">
        <v>148</v>
      </c>
      <c r="J56" s="18"/>
      <c r="K56" s="18">
        <v>200069</v>
      </c>
      <c r="L56" s="18">
        <v>200122</v>
      </c>
      <c r="M56" s="18" t="s">
        <v>445</v>
      </c>
      <c r="N56" s="18" t="s">
        <v>446</v>
      </c>
      <c r="O56" s="10"/>
    </row>
    <row r="57" spans="1:15">
      <c r="A57" s="88">
        <f>9000+E57</f>
        <v>9078</v>
      </c>
      <c r="B57" s="18">
        <v>9</v>
      </c>
      <c r="C57" s="18">
        <v>3</v>
      </c>
      <c r="D57" s="53" t="s">
        <v>627</v>
      </c>
      <c r="E57" s="53">
        <v>78</v>
      </c>
      <c r="F57" s="53" t="str">
        <f t="shared" si="0"/>
        <v>200042|200010</v>
      </c>
      <c r="G57" s="53">
        <v>113</v>
      </c>
      <c r="H57" s="53" t="s">
        <v>461</v>
      </c>
      <c r="I57" s="53" t="s">
        <v>61</v>
      </c>
      <c r="J57" s="53"/>
      <c r="K57" s="53">
        <f>INDEX('[2]#技能参考'!$A:$A,MATCH(M57,'[2]#技能参考'!$B:$B,0),1)</f>
        <v>200042</v>
      </c>
      <c r="L57" s="53">
        <f>INDEX('[2]#技能参考'!$A:$A,MATCH(N57,'[2]#技能参考'!$B:$B,0),1)</f>
        <v>200010</v>
      </c>
      <c r="M57" s="53" t="s">
        <v>92</v>
      </c>
      <c r="N57" s="53" t="s">
        <v>60</v>
      </c>
      <c r="O57" s="10"/>
    </row>
    <row r="58" spans="1:15">
      <c r="A58" s="88">
        <v>9064</v>
      </c>
      <c r="B58" s="18">
        <v>9</v>
      </c>
      <c r="C58" s="18"/>
      <c r="D58" s="18" t="s">
        <v>286</v>
      </c>
      <c r="E58" s="18">
        <v>64</v>
      </c>
      <c r="F58" s="18" t="str">
        <f t="shared" si="0"/>
        <v>200042|200010</v>
      </c>
      <c r="G58" s="18">
        <v>113</v>
      </c>
      <c r="H58" s="18" t="s">
        <v>461</v>
      </c>
      <c r="I58" s="18" t="s">
        <v>61</v>
      </c>
      <c r="J58" s="18"/>
      <c r="K58" s="18">
        <v>200042</v>
      </c>
      <c r="L58" s="18">
        <v>200010</v>
      </c>
      <c r="M58" s="18" t="s">
        <v>380</v>
      </c>
      <c r="N58" s="18" t="s">
        <v>379</v>
      </c>
      <c r="O58" s="10"/>
    </row>
    <row r="59" spans="1:15">
      <c r="A59" s="88">
        <v>9203</v>
      </c>
      <c r="B59" s="18">
        <v>9</v>
      </c>
      <c r="C59" s="18"/>
      <c r="D59" s="18" t="s">
        <v>442</v>
      </c>
      <c r="E59" s="18">
        <v>203</v>
      </c>
      <c r="F59" s="18" t="str">
        <f t="shared" si="0"/>
        <v>200126|200117</v>
      </c>
      <c r="G59" s="18">
        <v>211</v>
      </c>
      <c r="H59" s="18" t="s">
        <v>472</v>
      </c>
      <c r="I59" s="18" t="s">
        <v>146</v>
      </c>
      <c r="J59" s="18"/>
      <c r="K59" s="18">
        <v>200126</v>
      </c>
      <c r="L59" s="18">
        <v>200117</v>
      </c>
      <c r="M59" s="18" t="s">
        <v>443</v>
      </c>
      <c r="N59" s="18" t="s">
        <v>431</v>
      </c>
      <c r="O59" s="10"/>
    </row>
    <row r="60" spans="1:15">
      <c r="A60" s="89">
        <f>10000+E60</f>
        <v>10042</v>
      </c>
      <c r="B60" s="2">
        <v>10</v>
      </c>
      <c r="C60" s="2">
        <v>1</v>
      </c>
      <c r="D60" s="2" t="s">
        <v>41</v>
      </c>
      <c r="E60" s="2">
        <v>42</v>
      </c>
      <c r="F60" s="2" t="str">
        <f t="shared" si="0"/>
        <v>200037|200006</v>
      </c>
      <c r="G60" s="2">
        <v>105</v>
      </c>
      <c r="H60" s="2" t="s">
        <v>453</v>
      </c>
      <c r="I60" s="2" t="s">
        <v>96</v>
      </c>
      <c r="J60" s="2"/>
      <c r="K60" s="2">
        <v>200037</v>
      </c>
      <c r="L60" s="2">
        <v>200006</v>
      </c>
      <c r="M60" s="2" t="s">
        <v>87</v>
      </c>
      <c r="N60" s="2" t="s">
        <v>56</v>
      </c>
      <c r="O60" s="10"/>
    </row>
    <row r="61" spans="1:15">
      <c r="A61" s="89">
        <f>10000+E61</f>
        <v>10013</v>
      </c>
      <c r="B61" s="2">
        <v>10</v>
      </c>
      <c r="C61" s="2"/>
      <c r="D61" s="2" t="s">
        <v>372</v>
      </c>
      <c r="E61" s="2">
        <v>13</v>
      </c>
      <c r="F61" s="2" t="str">
        <f t="shared" si="0"/>
        <v>200100|200006</v>
      </c>
      <c r="G61" s="2">
        <v>105</v>
      </c>
      <c r="H61" s="2" t="s">
        <v>453</v>
      </c>
      <c r="I61" s="2" t="s">
        <v>96</v>
      </c>
      <c r="J61" s="2"/>
      <c r="K61" s="2">
        <v>200100</v>
      </c>
      <c r="L61" s="2">
        <v>200006</v>
      </c>
      <c r="M61" s="2" t="s">
        <v>429</v>
      </c>
      <c r="N61" s="2" t="s">
        <v>373</v>
      </c>
      <c r="O61" s="10"/>
    </row>
    <row r="62" spans="1:15">
      <c r="A62" s="89">
        <f>10000+E62</f>
        <v>10001</v>
      </c>
      <c r="B62" s="2">
        <v>10</v>
      </c>
      <c r="C62" s="2"/>
      <c r="D62" s="2" t="s">
        <v>332</v>
      </c>
      <c r="E62" s="2">
        <v>1</v>
      </c>
      <c r="F62" s="2" t="str">
        <f>K62&amp;"|"&amp;L62</f>
        <v>200068|200100</v>
      </c>
      <c r="G62" s="2">
        <v>105</v>
      </c>
      <c r="H62" s="2" t="s">
        <v>453</v>
      </c>
      <c r="I62" s="2" t="s">
        <v>96</v>
      </c>
      <c r="J62" s="2"/>
      <c r="K62" s="2">
        <v>200068</v>
      </c>
      <c r="L62" s="2">
        <v>200100</v>
      </c>
      <c r="M62" s="2" t="s">
        <v>118</v>
      </c>
      <c r="N62" s="2" t="s">
        <v>429</v>
      </c>
      <c r="O62" s="10"/>
    </row>
    <row r="63" spans="1:15">
      <c r="A63" s="89">
        <v>10011</v>
      </c>
      <c r="B63" s="2">
        <v>10</v>
      </c>
      <c r="C63" s="2">
        <v>2</v>
      </c>
      <c r="D63" s="2" t="s">
        <v>276</v>
      </c>
      <c r="E63" s="2">
        <v>11</v>
      </c>
      <c r="F63" s="2" t="str">
        <f>K63&amp;"|"&amp;L63</f>
        <v>200037|200006</v>
      </c>
      <c r="G63" s="2">
        <v>111</v>
      </c>
      <c r="H63" s="2" t="str">
        <f>INDEX('[2]#玺戒参考'!$A:$E,MATCH(G63,'[2]#玺戒参考'!$A:$A,0),2)</f>
        <v>不动之山</v>
      </c>
      <c r="I63" s="2" t="str">
        <f>INDEX('[2]#玺戒参考'!$A:$E,MATCH(G63,'[2]#玺戒参考'!$A:$A,0),5)</f>
        <v>避芒击惰</v>
      </c>
      <c r="J63" s="2"/>
      <c r="K63" s="2">
        <v>200037</v>
      </c>
      <c r="L63" s="2">
        <v>200006</v>
      </c>
      <c r="M63" s="2" t="s">
        <v>87</v>
      </c>
      <c r="N63" s="2" t="s">
        <v>56</v>
      </c>
      <c r="O63" s="10"/>
    </row>
    <row r="64" spans="1:15">
      <c r="A64" s="89">
        <v>100131</v>
      </c>
      <c r="B64" s="2">
        <v>10</v>
      </c>
      <c r="C64" s="2"/>
      <c r="D64" s="2" t="s">
        <v>372</v>
      </c>
      <c r="E64" s="2">
        <v>13</v>
      </c>
      <c r="F64" s="2" t="str">
        <f t="shared" ref="F64" si="4">K64&amp;"|"&amp;L64</f>
        <v>200100|200006</v>
      </c>
      <c r="G64" s="2">
        <v>111</v>
      </c>
      <c r="H64" s="2" t="s">
        <v>459</v>
      </c>
      <c r="I64" s="2" t="s">
        <v>115</v>
      </c>
      <c r="J64" s="2"/>
      <c r="K64" s="2">
        <v>200100</v>
      </c>
      <c r="L64" s="2">
        <v>200006</v>
      </c>
      <c r="M64" s="2" t="s">
        <v>429</v>
      </c>
      <c r="N64" s="2" t="s">
        <v>373</v>
      </c>
      <c r="O64" s="10"/>
    </row>
    <row r="65" spans="1:15">
      <c r="A65" s="89">
        <v>100011</v>
      </c>
      <c r="B65" s="2">
        <v>10</v>
      </c>
      <c r="C65" s="2"/>
      <c r="D65" s="2" t="s">
        <v>332</v>
      </c>
      <c r="E65" s="2">
        <v>1</v>
      </c>
      <c r="F65" s="2" t="str">
        <f>K65&amp;"|"&amp;L65</f>
        <v>200068|200100</v>
      </c>
      <c r="G65" s="2">
        <v>111</v>
      </c>
      <c r="H65" s="2" t="s">
        <v>459</v>
      </c>
      <c r="I65" s="2" t="s">
        <v>115</v>
      </c>
      <c r="J65" s="2"/>
      <c r="K65" s="2">
        <v>200068</v>
      </c>
      <c r="L65" s="2">
        <v>200100</v>
      </c>
      <c r="M65" s="2" t="s">
        <v>118</v>
      </c>
      <c r="N65" s="2" t="s">
        <v>429</v>
      </c>
      <c r="O65" s="10"/>
    </row>
    <row r="66" spans="1:15">
      <c r="A66" s="89">
        <v>10019</v>
      </c>
      <c r="B66" s="2">
        <v>10</v>
      </c>
      <c r="C66" s="2"/>
      <c r="D66" s="2" t="s">
        <v>252</v>
      </c>
      <c r="E66" s="2">
        <v>19</v>
      </c>
      <c r="F66" s="2" t="str">
        <f t="shared" ref="F66" si="5">K66&amp;"|"&amp;L66</f>
        <v>200019|200072</v>
      </c>
      <c r="G66" s="2">
        <v>111</v>
      </c>
      <c r="H66" s="2" t="str">
        <f>INDEX('[2]#玺戒参考'!$A:$E,MATCH(G66,'[2]#玺戒参考'!$A:$A,0),2)</f>
        <v>不动之山</v>
      </c>
      <c r="I66" s="2" t="str">
        <f>INDEX('[2]#玺戒参考'!$A:$E,MATCH(G66,'[2]#玺戒参考'!$A:$A,0),5)</f>
        <v>避芒击惰</v>
      </c>
      <c r="J66" s="2"/>
      <c r="K66" s="2">
        <f>INDEX('[2]#技能参考'!$A:$A,MATCH(M66,'[2]#技能参考'!$B:$B,0),1)</f>
        <v>200019</v>
      </c>
      <c r="L66" s="2">
        <f>INDEX('[2]#技能参考'!$A:$A,MATCH(N66,'[2]#技能参考'!$B:$B,0),1)</f>
        <v>200072</v>
      </c>
      <c r="M66" s="2" t="s">
        <v>336</v>
      </c>
      <c r="N66" s="2" t="s">
        <v>337</v>
      </c>
      <c r="O66" s="10"/>
    </row>
    <row r="67" spans="1:15">
      <c r="A67" s="89">
        <f t="shared" ref="A67:A69" si="6">10000+E67</f>
        <v>10017</v>
      </c>
      <c r="B67" s="2">
        <v>10</v>
      </c>
      <c r="C67" s="2">
        <v>3</v>
      </c>
      <c r="D67" s="2" t="s">
        <v>253</v>
      </c>
      <c r="E67" s="2">
        <v>17</v>
      </c>
      <c r="F67" s="2" t="str">
        <f t="shared" si="0"/>
        <v>200010|200042</v>
      </c>
      <c r="G67" s="2">
        <v>113</v>
      </c>
      <c r="H67" s="2" t="s">
        <v>461</v>
      </c>
      <c r="I67" s="2" t="s">
        <v>61</v>
      </c>
      <c r="J67" s="2"/>
      <c r="K67" s="2">
        <v>200010</v>
      </c>
      <c r="L67" s="2">
        <v>200042</v>
      </c>
      <c r="M67" s="71" t="s">
        <v>379</v>
      </c>
      <c r="N67" s="2" t="s">
        <v>92</v>
      </c>
      <c r="O67" s="10"/>
    </row>
    <row r="68" spans="1:15">
      <c r="A68" s="89">
        <v>100191</v>
      </c>
      <c r="B68" s="2">
        <v>10</v>
      </c>
      <c r="C68" s="2"/>
      <c r="D68" s="2" t="s">
        <v>252</v>
      </c>
      <c r="E68" s="2">
        <v>19</v>
      </c>
      <c r="F68" s="2" t="str">
        <f t="shared" ref="F68:F102" si="7">K68&amp;"|"&amp;L68</f>
        <v>200019|200072</v>
      </c>
      <c r="G68" s="2">
        <v>113</v>
      </c>
      <c r="H68" s="2" t="str">
        <f>INDEX('[2]#玺戒参考'!$A:$E,MATCH(G68,'[2]#玺戒参考'!$A:$A,0),2)</f>
        <v>静谧之水</v>
      </c>
      <c r="I68" s="2" t="str">
        <f>INDEX('[2]#玺戒参考'!$A:$E,MATCH(G68,'[2]#玺戒参考'!$A:$A,0),5)</f>
        <v>光明护佑</v>
      </c>
      <c r="J68" s="2"/>
      <c r="K68" s="2">
        <f>INDEX('[2]#技能参考'!$A:$A,MATCH(M68,'[2]#技能参考'!$B:$B,0),1)</f>
        <v>200019</v>
      </c>
      <c r="L68" s="2">
        <f>INDEX('[2]#技能参考'!$A:$A,MATCH(N68,'[2]#技能参考'!$B:$B,0),1)</f>
        <v>200072</v>
      </c>
      <c r="M68" s="2" t="s">
        <v>336</v>
      </c>
      <c r="N68" s="2" t="s">
        <v>337</v>
      </c>
      <c r="O68" s="10"/>
    </row>
    <row r="69" spans="1:15">
      <c r="A69" s="89">
        <f t="shared" si="6"/>
        <v>10207</v>
      </c>
      <c r="B69" s="2">
        <v>10</v>
      </c>
      <c r="C69" s="2"/>
      <c r="D69" s="2" t="s">
        <v>578</v>
      </c>
      <c r="E69" s="2">
        <v>207</v>
      </c>
      <c r="F69" s="2" t="str">
        <f t="shared" si="7"/>
        <v>200040|200120</v>
      </c>
      <c r="G69" s="2">
        <v>213</v>
      </c>
      <c r="H69" s="2" t="s">
        <v>474</v>
      </c>
      <c r="I69" s="2" t="s">
        <v>157</v>
      </c>
      <c r="J69" s="2"/>
      <c r="K69" s="2">
        <v>200040</v>
      </c>
      <c r="L69" s="2">
        <v>200120</v>
      </c>
      <c r="M69" s="2" t="s">
        <v>90</v>
      </c>
      <c r="N69" s="2" t="s">
        <v>159</v>
      </c>
      <c r="O69" s="10"/>
    </row>
    <row r="70" spans="1:15">
      <c r="A70" s="88">
        <v>11023</v>
      </c>
      <c r="B70" s="18">
        <v>11</v>
      </c>
      <c r="C70" s="18">
        <v>1</v>
      </c>
      <c r="D70" s="50" t="s">
        <v>279</v>
      </c>
      <c r="E70" s="51">
        <v>23</v>
      </c>
      <c r="F70" s="18" t="str">
        <f t="shared" si="7"/>
        <v>200020|200074</v>
      </c>
      <c r="G70" s="18">
        <v>108</v>
      </c>
      <c r="H70" s="18" t="s">
        <v>456</v>
      </c>
      <c r="I70" s="18" t="s">
        <v>128</v>
      </c>
      <c r="J70" s="18"/>
      <c r="K70" s="18">
        <v>200020</v>
      </c>
      <c r="L70" s="18">
        <v>200074</v>
      </c>
      <c r="M70" s="18" t="s">
        <v>401</v>
      </c>
      <c r="N70" s="18" t="s">
        <v>124</v>
      </c>
      <c r="O70" s="10"/>
    </row>
    <row r="71" spans="1:15">
      <c r="A71" s="88">
        <v>11004</v>
      </c>
      <c r="B71" s="18">
        <v>11</v>
      </c>
      <c r="C71" s="18"/>
      <c r="D71" s="18" t="s">
        <v>263</v>
      </c>
      <c r="E71" s="18">
        <v>4</v>
      </c>
      <c r="F71" s="18" t="str">
        <f t="shared" si="7"/>
        <v>200020|200074</v>
      </c>
      <c r="G71" s="18">
        <v>109</v>
      </c>
      <c r="H71" s="18" t="s">
        <v>457</v>
      </c>
      <c r="I71" s="18" t="s">
        <v>58</v>
      </c>
      <c r="J71" s="18"/>
      <c r="K71" s="18">
        <v>200020</v>
      </c>
      <c r="L71" s="18">
        <v>200074</v>
      </c>
      <c r="M71" s="18" t="s">
        <v>401</v>
      </c>
      <c r="N71" s="18" t="s">
        <v>124</v>
      </c>
      <c r="O71" s="10"/>
    </row>
    <row r="72" spans="1:15">
      <c r="A72" s="88">
        <v>11010</v>
      </c>
      <c r="B72" s="18">
        <v>11</v>
      </c>
      <c r="C72" s="18">
        <v>2</v>
      </c>
      <c r="D72" s="18" t="s">
        <v>277</v>
      </c>
      <c r="E72" s="18">
        <v>10</v>
      </c>
      <c r="F72" s="18" t="str">
        <f>K72&amp;"|"&amp;L72</f>
        <v>200047|200010</v>
      </c>
      <c r="G72" s="53">
        <v>111</v>
      </c>
      <c r="H72" s="53" t="s">
        <v>459</v>
      </c>
      <c r="I72" s="53" t="s">
        <v>115</v>
      </c>
      <c r="J72" s="18"/>
      <c r="K72" s="18">
        <v>200047</v>
      </c>
      <c r="L72" s="18">
        <v>200010</v>
      </c>
      <c r="M72" s="18" t="s">
        <v>589</v>
      </c>
      <c r="N72" s="18" t="s">
        <v>60</v>
      </c>
      <c r="O72" s="10"/>
    </row>
    <row r="73" spans="1:15">
      <c r="A73" s="88">
        <v>110041</v>
      </c>
      <c r="B73" s="18">
        <v>11</v>
      </c>
      <c r="C73" s="18"/>
      <c r="D73" s="18" t="s">
        <v>263</v>
      </c>
      <c r="E73" s="18">
        <v>4</v>
      </c>
      <c r="F73" s="18" t="str">
        <f t="shared" ref="F73:F77" si="8">K73&amp;"|"&amp;L73</f>
        <v>200020|200074</v>
      </c>
      <c r="G73" s="18">
        <v>113</v>
      </c>
      <c r="H73" s="18" t="s">
        <v>461</v>
      </c>
      <c r="I73" s="18" t="s">
        <v>61</v>
      </c>
      <c r="J73" s="18"/>
      <c r="K73" s="18">
        <v>200020</v>
      </c>
      <c r="L73" s="18">
        <v>200074</v>
      </c>
      <c r="M73" s="18" t="s">
        <v>401</v>
      </c>
      <c r="N73" s="18" t="s">
        <v>124</v>
      </c>
      <c r="O73" s="10"/>
    </row>
    <row r="74" spans="1:15">
      <c r="A74" s="88">
        <v>11210</v>
      </c>
      <c r="B74" s="18">
        <v>11</v>
      </c>
      <c r="C74" s="18"/>
      <c r="D74" s="18" t="s">
        <v>590</v>
      </c>
      <c r="E74" s="18">
        <v>210</v>
      </c>
      <c r="F74" s="18" t="str">
        <f t="shared" si="8"/>
        <v>200115|200108</v>
      </c>
      <c r="G74" s="18">
        <v>209</v>
      </c>
      <c r="H74" s="18" t="s">
        <v>470</v>
      </c>
      <c r="I74" s="18" t="s">
        <v>89</v>
      </c>
      <c r="J74" s="18"/>
      <c r="K74" s="18">
        <v>200115</v>
      </c>
      <c r="L74" s="18">
        <v>200108</v>
      </c>
      <c r="M74" s="18" t="s">
        <v>588</v>
      </c>
      <c r="N74" s="18" t="s">
        <v>434</v>
      </c>
      <c r="O74" s="10"/>
    </row>
    <row r="75" spans="1:15" s="74" customFormat="1">
      <c r="A75" s="91">
        <v>11075</v>
      </c>
      <c r="B75" s="53">
        <v>11</v>
      </c>
      <c r="C75" s="53">
        <v>3</v>
      </c>
      <c r="D75" s="53" t="s">
        <v>278</v>
      </c>
      <c r="E75" s="53">
        <v>75</v>
      </c>
      <c r="F75" s="53" t="str">
        <f t="shared" si="8"/>
        <v>200072|200031</v>
      </c>
      <c r="G75" s="53">
        <v>113</v>
      </c>
      <c r="H75" s="53" t="s">
        <v>461</v>
      </c>
      <c r="I75" s="53" t="s">
        <v>61</v>
      </c>
      <c r="J75" s="53"/>
      <c r="K75" s="53">
        <f>INDEX('[2]#技能参考'!$A:$A,MATCH(M75,'[2]#技能参考'!$B:$B,0),1)</f>
        <v>200072</v>
      </c>
      <c r="L75" s="53">
        <f>INDEX('[2]#技能参考'!$A:$A,MATCH(N75,'[2]#技能参考'!$B:$B,0),1)</f>
        <v>200031</v>
      </c>
      <c r="M75" s="53" t="s">
        <v>122</v>
      </c>
      <c r="N75" s="53" t="s">
        <v>81</v>
      </c>
      <c r="O75" s="73"/>
    </row>
    <row r="76" spans="1:15">
      <c r="A76" s="88">
        <v>11032</v>
      </c>
      <c r="B76" s="18">
        <v>11</v>
      </c>
      <c r="C76" s="18"/>
      <c r="D76" s="18" t="s">
        <v>283</v>
      </c>
      <c r="E76" s="18">
        <v>32</v>
      </c>
      <c r="F76" s="18" t="str">
        <f t="shared" si="8"/>
        <v>200072|200031</v>
      </c>
      <c r="G76" s="18">
        <v>111</v>
      </c>
      <c r="H76" s="18" t="s">
        <v>459</v>
      </c>
      <c r="I76" s="18" t="s">
        <v>115</v>
      </c>
      <c r="J76" s="18"/>
      <c r="K76" s="18">
        <v>200072</v>
      </c>
      <c r="L76" s="18">
        <v>200031</v>
      </c>
      <c r="M76" s="18" t="s">
        <v>337</v>
      </c>
      <c r="N76" s="18" t="s">
        <v>356</v>
      </c>
      <c r="O76" s="10"/>
    </row>
    <row r="77" spans="1:15">
      <c r="A77" s="88">
        <v>110042</v>
      </c>
      <c r="B77" s="18">
        <v>11</v>
      </c>
      <c r="C77" s="18"/>
      <c r="D77" s="18" t="s">
        <v>263</v>
      </c>
      <c r="E77" s="18">
        <v>4</v>
      </c>
      <c r="F77" s="18" t="str">
        <f t="shared" si="8"/>
        <v>200020|200074</v>
      </c>
      <c r="G77" s="18">
        <v>113</v>
      </c>
      <c r="H77" s="18" t="s">
        <v>461</v>
      </c>
      <c r="I77" s="18" t="s">
        <v>61</v>
      </c>
      <c r="J77" s="18"/>
      <c r="K77" s="18">
        <v>200020</v>
      </c>
      <c r="L77" s="18">
        <v>200074</v>
      </c>
      <c r="M77" s="18" t="s">
        <v>401</v>
      </c>
      <c r="N77" s="18" t="s">
        <v>591</v>
      </c>
      <c r="O77" s="10"/>
    </row>
    <row r="78" spans="1:15">
      <c r="A78" s="89">
        <v>12047</v>
      </c>
      <c r="B78" s="2">
        <v>12</v>
      </c>
      <c r="C78" s="2">
        <v>1</v>
      </c>
      <c r="D78" s="2" t="s">
        <v>281</v>
      </c>
      <c r="E78" s="2">
        <v>47</v>
      </c>
      <c r="F78" s="2" t="str">
        <f t="shared" si="7"/>
        <v>200020|200078</v>
      </c>
      <c r="G78" s="2">
        <v>108</v>
      </c>
      <c r="H78" s="2" t="s">
        <v>456</v>
      </c>
      <c r="I78" s="2" t="s">
        <v>128</v>
      </c>
      <c r="J78" s="2"/>
      <c r="K78" s="2">
        <v>200020</v>
      </c>
      <c r="L78" s="2">
        <v>200078</v>
      </c>
      <c r="M78" s="2" t="s">
        <v>401</v>
      </c>
      <c r="N78" s="2" t="s">
        <v>402</v>
      </c>
      <c r="O78" s="10"/>
    </row>
    <row r="79" spans="1:15">
      <c r="A79" s="89">
        <v>12063</v>
      </c>
      <c r="B79" s="2">
        <v>12</v>
      </c>
      <c r="C79" s="2">
        <v>2</v>
      </c>
      <c r="D79" s="2" t="s">
        <v>284</v>
      </c>
      <c r="E79" s="2">
        <v>63</v>
      </c>
      <c r="F79" s="2" t="str">
        <f t="shared" si="7"/>
        <v>200019|200078</v>
      </c>
      <c r="G79" s="2">
        <v>112</v>
      </c>
      <c r="H79" s="2" t="s">
        <v>460</v>
      </c>
      <c r="I79" s="2" t="s">
        <v>126</v>
      </c>
      <c r="J79" s="2"/>
      <c r="K79" s="2">
        <v>200019</v>
      </c>
      <c r="L79" s="2">
        <v>200078</v>
      </c>
      <c r="M79" s="2" t="s">
        <v>69</v>
      </c>
      <c r="N79" s="2" t="s">
        <v>127</v>
      </c>
      <c r="O79" s="10"/>
    </row>
    <row r="80" spans="1:15">
      <c r="A80" s="89">
        <v>12064</v>
      </c>
      <c r="B80" s="2">
        <v>12</v>
      </c>
      <c r="C80" s="2"/>
      <c r="D80" s="2" t="s">
        <v>286</v>
      </c>
      <c r="E80" s="2">
        <v>64</v>
      </c>
      <c r="F80" s="2" t="str">
        <f t="shared" si="7"/>
        <v>200042|200010</v>
      </c>
      <c r="G80" s="2">
        <v>113</v>
      </c>
      <c r="H80" s="2" t="s">
        <v>461</v>
      </c>
      <c r="I80" s="2" t="s">
        <v>61</v>
      </c>
      <c r="J80" s="2"/>
      <c r="K80" s="2">
        <v>200042</v>
      </c>
      <c r="L80" s="2">
        <v>200010</v>
      </c>
      <c r="M80" s="2" t="s">
        <v>380</v>
      </c>
      <c r="N80" s="2" t="s">
        <v>379</v>
      </c>
      <c r="O80" s="10"/>
    </row>
    <row r="81" spans="1:15">
      <c r="A81" s="89">
        <v>12206</v>
      </c>
      <c r="B81" s="2">
        <v>12</v>
      </c>
      <c r="C81" s="2"/>
      <c r="D81" s="2" t="s">
        <v>35</v>
      </c>
      <c r="E81" s="2">
        <v>206</v>
      </c>
      <c r="F81" s="2" t="str">
        <f t="shared" si="7"/>
        <v>200026|200113</v>
      </c>
      <c r="G81" s="2">
        <v>212</v>
      </c>
      <c r="H81" s="2" t="s">
        <v>473</v>
      </c>
      <c r="I81" s="2" t="s">
        <v>151</v>
      </c>
      <c r="J81" s="2"/>
      <c r="K81" s="2">
        <v>200026</v>
      </c>
      <c r="L81" s="2">
        <v>200113</v>
      </c>
      <c r="M81" s="2" t="s">
        <v>76</v>
      </c>
      <c r="N81" s="2" t="s">
        <v>152</v>
      </c>
      <c r="O81" s="10"/>
    </row>
    <row r="82" spans="1:15">
      <c r="A82" s="89">
        <v>120641</v>
      </c>
      <c r="B82" s="2">
        <v>12</v>
      </c>
      <c r="C82" s="2">
        <v>3</v>
      </c>
      <c r="D82" s="2" t="s">
        <v>286</v>
      </c>
      <c r="E82" s="2">
        <v>64</v>
      </c>
      <c r="F82" s="2" t="str">
        <f t="shared" si="7"/>
        <v>200042|200010</v>
      </c>
      <c r="G82" s="2">
        <v>113</v>
      </c>
      <c r="H82" s="2" t="s">
        <v>461</v>
      </c>
      <c r="I82" s="2" t="s">
        <v>61</v>
      </c>
      <c r="J82" s="2"/>
      <c r="K82" s="2">
        <v>200042</v>
      </c>
      <c r="L82" s="2">
        <v>200010</v>
      </c>
      <c r="M82" s="2" t="s">
        <v>380</v>
      </c>
      <c r="N82" s="2" t="s">
        <v>379</v>
      </c>
      <c r="O82" s="10"/>
    </row>
    <row r="83" spans="1:15">
      <c r="A83" s="89">
        <v>12032</v>
      </c>
      <c r="B83" s="2">
        <v>12</v>
      </c>
      <c r="C83" s="2"/>
      <c r="D83" s="2" t="s">
        <v>283</v>
      </c>
      <c r="E83" s="2">
        <v>32</v>
      </c>
      <c r="F83" s="2" t="str">
        <f t="shared" si="7"/>
        <v>200072|200031</v>
      </c>
      <c r="G83" s="2">
        <v>107</v>
      </c>
      <c r="H83" s="2" t="s">
        <v>455</v>
      </c>
      <c r="I83" s="2" t="s">
        <v>79</v>
      </c>
      <c r="J83" s="2"/>
      <c r="K83" s="2">
        <v>200072</v>
      </c>
      <c r="L83" s="2">
        <v>200031</v>
      </c>
      <c r="M83" s="2" t="s">
        <v>337</v>
      </c>
      <c r="N83" s="2" t="s">
        <v>356</v>
      </c>
      <c r="O83" s="10"/>
    </row>
    <row r="84" spans="1:15">
      <c r="A84" s="88">
        <v>13005</v>
      </c>
      <c r="B84" s="18">
        <v>13</v>
      </c>
      <c r="C84" s="18">
        <v>1</v>
      </c>
      <c r="D84" s="18" t="s">
        <v>592</v>
      </c>
      <c r="E84" s="18">
        <v>5</v>
      </c>
      <c r="F84" s="18" t="str">
        <f t="shared" si="7"/>
        <v>200027|200028</v>
      </c>
      <c r="G84" s="18">
        <v>111</v>
      </c>
      <c r="H84" s="18" t="s">
        <v>459</v>
      </c>
      <c r="I84" s="18" t="s">
        <v>115</v>
      </c>
      <c r="J84" s="18"/>
      <c r="K84" s="18">
        <v>200027</v>
      </c>
      <c r="L84" s="18">
        <v>200028</v>
      </c>
      <c r="M84" s="18" t="s">
        <v>593</v>
      </c>
      <c r="N84" s="18" t="s">
        <v>594</v>
      </c>
      <c r="O84" s="10"/>
    </row>
    <row r="85" spans="1:15">
      <c r="A85" s="88">
        <v>13019</v>
      </c>
      <c r="B85" s="18">
        <v>13</v>
      </c>
      <c r="C85" s="18"/>
      <c r="D85" s="18" t="s">
        <v>252</v>
      </c>
      <c r="E85" s="18">
        <v>19</v>
      </c>
      <c r="F85" s="18" t="str">
        <f t="shared" si="7"/>
        <v>200019|200072</v>
      </c>
      <c r="G85" s="18">
        <v>111</v>
      </c>
      <c r="H85" s="18" t="s">
        <v>459</v>
      </c>
      <c r="I85" s="18" t="s">
        <v>115</v>
      </c>
      <c r="J85" s="18"/>
      <c r="K85" s="18">
        <v>200019</v>
      </c>
      <c r="L85" s="18">
        <v>200072</v>
      </c>
      <c r="M85" s="18" t="s">
        <v>336</v>
      </c>
      <c r="N85" s="18" t="s">
        <v>337</v>
      </c>
      <c r="O85" s="10"/>
    </row>
    <row r="86" spans="1:15">
      <c r="A86" s="88">
        <v>13056</v>
      </c>
      <c r="B86" s="18">
        <v>13</v>
      </c>
      <c r="C86" s="18">
        <v>2</v>
      </c>
      <c r="D86" s="18" t="s">
        <v>595</v>
      </c>
      <c r="E86" s="18">
        <v>56</v>
      </c>
      <c r="F86" s="18" t="str">
        <f t="shared" si="7"/>
        <v>200041|200015</v>
      </c>
      <c r="G86" s="18">
        <v>107</v>
      </c>
      <c r="H86" s="18" t="s">
        <v>455</v>
      </c>
      <c r="I86" s="18" t="s">
        <v>79</v>
      </c>
      <c r="J86" s="18"/>
      <c r="K86" s="18">
        <v>200041</v>
      </c>
      <c r="L86" s="18">
        <v>200015</v>
      </c>
      <c r="M86" s="18" t="s">
        <v>405</v>
      </c>
      <c r="N86" s="18" t="s">
        <v>396</v>
      </c>
      <c r="O86" s="10"/>
    </row>
    <row r="87" spans="1:15">
      <c r="A87" s="88">
        <v>130191</v>
      </c>
      <c r="B87" s="18">
        <v>13</v>
      </c>
      <c r="C87" s="18"/>
      <c r="D87" s="18" t="s">
        <v>252</v>
      </c>
      <c r="E87" s="18">
        <v>19</v>
      </c>
      <c r="F87" s="18" t="str">
        <f t="shared" si="7"/>
        <v>200019|200072</v>
      </c>
      <c r="G87" s="18">
        <v>107</v>
      </c>
      <c r="H87" s="18" t="s">
        <v>455</v>
      </c>
      <c r="I87" s="18" t="s">
        <v>79</v>
      </c>
      <c r="J87" s="18"/>
      <c r="K87" s="18">
        <v>200019</v>
      </c>
      <c r="L87" s="18">
        <v>200072</v>
      </c>
      <c r="M87" s="18" t="s">
        <v>336</v>
      </c>
      <c r="N87" s="18" t="s">
        <v>337</v>
      </c>
      <c r="O87" s="10"/>
    </row>
    <row r="88" spans="1:15">
      <c r="A88" s="88">
        <v>13032</v>
      </c>
      <c r="B88" s="18">
        <v>13</v>
      </c>
      <c r="C88" s="18">
        <v>3</v>
      </c>
      <c r="D88" s="18" t="s">
        <v>283</v>
      </c>
      <c r="E88" s="18">
        <v>32</v>
      </c>
      <c r="F88" s="18" t="str">
        <f t="shared" si="7"/>
        <v>200072|200036</v>
      </c>
      <c r="G88" s="18">
        <v>113</v>
      </c>
      <c r="H88" s="18" t="s">
        <v>461</v>
      </c>
      <c r="I88" s="18" t="s">
        <v>61</v>
      </c>
      <c r="J88" s="18"/>
      <c r="K88" s="18">
        <v>200072</v>
      </c>
      <c r="L88" s="18">
        <v>200036</v>
      </c>
      <c r="M88" s="18" t="s">
        <v>337</v>
      </c>
      <c r="N88" s="18" t="s">
        <v>596</v>
      </c>
      <c r="O88" s="10"/>
    </row>
    <row r="89" spans="1:15">
      <c r="A89" s="88">
        <v>13076</v>
      </c>
      <c r="B89" s="18">
        <v>13</v>
      </c>
      <c r="C89" s="18"/>
      <c r="D89" s="18" t="s">
        <v>257</v>
      </c>
      <c r="E89" s="18">
        <v>76</v>
      </c>
      <c r="F89" s="18" t="str">
        <f t="shared" si="7"/>
        <v>200125|200041</v>
      </c>
      <c r="G89" s="18">
        <v>113</v>
      </c>
      <c r="H89" s="18" t="s">
        <v>461</v>
      </c>
      <c r="I89" s="18" t="s">
        <v>61</v>
      </c>
      <c r="J89" s="18"/>
      <c r="K89" s="18">
        <v>200125</v>
      </c>
      <c r="L89" s="18">
        <v>200041</v>
      </c>
      <c r="M89" s="18" t="s">
        <v>440</v>
      </c>
      <c r="N89" s="18" t="s">
        <v>405</v>
      </c>
      <c r="O89" s="10"/>
    </row>
    <row r="90" spans="1:15">
      <c r="A90" s="89">
        <v>14006</v>
      </c>
      <c r="B90" s="2">
        <v>14</v>
      </c>
      <c r="C90" s="2"/>
      <c r="D90" s="2" t="s">
        <v>287</v>
      </c>
      <c r="E90" s="2">
        <v>6</v>
      </c>
      <c r="F90" s="2" t="str">
        <f t="shared" si="7"/>
        <v>200099|200016</v>
      </c>
      <c r="G90" s="2"/>
      <c r="H90" s="2" t="e">
        <v>#N/A</v>
      </c>
      <c r="I90" s="2" t="e">
        <v>#N/A</v>
      </c>
      <c r="J90" s="2"/>
      <c r="K90" s="2">
        <v>200099</v>
      </c>
      <c r="L90" s="2">
        <v>200016</v>
      </c>
      <c r="M90" s="2" t="s">
        <v>140</v>
      </c>
      <c r="N90" s="2" t="s">
        <v>66</v>
      </c>
      <c r="O90" s="49"/>
    </row>
    <row r="91" spans="1:15">
      <c r="A91" s="89">
        <v>14012</v>
      </c>
      <c r="B91" s="2">
        <v>14</v>
      </c>
      <c r="C91" s="2"/>
      <c r="D91" s="2" t="s">
        <v>282</v>
      </c>
      <c r="E91" s="2">
        <v>12</v>
      </c>
      <c r="F91" s="2" t="str">
        <f t="shared" si="7"/>
        <v>200047|200078</v>
      </c>
      <c r="G91" s="2"/>
      <c r="H91" s="2" t="e">
        <v>#N/A</v>
      </c>
      <c r="I91" s="2" t="e">
        <v>#N/A</v>
      </c>
      <c r="J91" s="2"/>
      <c r="K91" s="2">
        <v>200047</v>
      </c>
      <c r="L91" s="2">
        <v>200078</v>
      </c>
      <c r="M91" s="2" t="s">
        <v>97</v>
      </c>
      <c r="N91" s="2" t="s">
        <v>127</v>
      </c>
      <c r="O91" s="10"/>
    </row>
    <row r="92" spans="1:15">
      <c r="A92" s="89">
        <v>14074</v>
      </c>
      <c r="B92" s="2">
        <v>14</v>
      </c>
      <c r="C92" s="2"/>
      <c r="D92" s="2" t="s">
        <v>359</v>
      </c>
      <c r="E92" s="2">
        <v>74</v>
      </c>
      <c r="F92" s="2" t="str">
        <f t="shared" si="7"/>
        <v>200099|200016</v>
      </c>
      <c r="G92" s="2"/>
      <c r="H92" s="2" t="e">
        <v>#N/A</v>
      </c>
      <c r="I92" s="2" t="e">
        <v>#N/A</v>
      </c>
      <c r="J92" s="2"/>
      <c r="K92" s="2">
        <v>200099</v>
      </c>
      <c r="L92" s="2">
        <v>200016</v>
      </c>
      <c r="M92" s="2" t="s">
        <v>140</v>
      </c>
      <c r="N92" s="2" t="s">
        <v>66</v>
      </c>
      <c r="O92" s="10"/>
    </row>
    <row r="93" spans="1:15">
      <c r="A93" s="88">
        <v>15093</v>
      </c>
      <c r="B93" s="18">
        <v>15</v>
      </c>
      <c r="C93" s="18">
        <v>1</v>
      </c>
      <c r="D93" s="18" t="s">
        <v>361</v>
      </c>
      <c r="E93" s="18">
        <v>93</v>
      </c>
      <c r="F93" s="18" t="str">
        <f t="shared" si="7"/>
        <v>200063|200016</v>
      </c>
      <c r="G93" s="18">
        <v>101</v>
      </c>
      <c r="H93" s="18" t="s">
        <v>451</v>
      </c>
      <c r="I93" s="18" t="s">
        <v>123</v>
      </c>
      <c r="J93" s="18"/>
      <c r="K93" s="18">
        <v>200063</v>
      </c>
      <c r="L93" s="18">
        <v>200016</v>
      </c>
      <c r="M93" s="18" t="s">
        <v>113</v>
      </c>
      <c r="N93" s="18" t="s">
        <v>66</v>
      </c>
      <c r="O93" s="10"/>
    </row>
    <row r="94" spans="1:15">
      <c r="A94" s="88">
        <v>15020</v>
      </c>
      <c r="B94" s="18">
        <v>15</v>
      </c>
      <c r="C94" s="18"/>
      <c r="D94" s="18" t="s">
        <v>355</v>
      </c>
      <c r="E94" s="18">
        <v>20</v>
      </c>
      <c r="F94" s="18" t="str">
        <f t="shared" si="7"/>
        <v>200060|200047</v>
      </c>
      <c r="G94" s="18">
        <v>101</v>
      </c>
      <c r="H94" s="18" t="s">
        <v>451</v>
      </c>
      <c r="I94" s="18" t="s">
        <v>123</v>
      </c>
      <c r="J94" s="18"/>
      <c r="K94" s="18">
        <v>200060</v>
      </c>
      <c r="L94" s="18">
        <v>200047</v>
      </c>
      <c r="M94" s="18" t="s">
        <v>110</v>
      </c>
      <c r="N94" s="18" t="s">
        <v>97</v>
      </c>
      <c r="O94" s="10"/>
    </row>
    <row r="95" spans="1:15">
      <c r="A95" s="88">
        <v>15092</v>
      </c>
      <c r="B95" s="18">
        <v>15</v>
      </c>
      <c r="C95" s="18">
        <v>2</v>
      </c>
      <c r="D95" s="18" t="s">
        <v>360</v>
      </c>
      <c r="E95" s="18">
        <v>92</v>
      </c>
      <c r="F95" s="18" t="str">
        <f t="shared" si="7"/>
        <v>200060|200047</v>
      </c>
      <c r="G95" s="18">
        <v>109</v>
      </c>
      <c r="H95" s="18" t="s">
        <v>457</v>
      </c>
      <c r="I95" s="18" t="s">
        <v>58</v>
      </c>
      <c r="J95" s="18"/>
      <c r="K95" s="18">
        <v>200060</v>
      </c>
      <c r="L95" s="18">
        <v>200047</v>
      </c>
      <c r="M95" s="18" t="s">
        <v>110</v>
      </c>
      <c r="N95" s="18" t="s">
        <v>97</v>
      </c>
      <c r="O95" s="10"/>
    </row>
    <row r="96" spans="1:15">
      <c r="A96" s="88">
        <v>150201</v>
      </c>
      <c r="B96" s="18">
        <v>15</v>
      </c>
      <c r="C96" s="18"/>
      <c r="D96" s="18" t="s">
        <v>355</v>
      </c>
      <c r="E96" s="18">
        <v>20</v>
      </c>
      <c r="F96" s="18" t="str">
        <f t="shared" si="7"/>
        <v>200060|200047</v>
      </c>
      <c r="G96" s="18">
        <v>109</v>
      </c>
      <c r="H96" s="18" t="s">
        <v>457</v>
      </c>
      <c r="I96" s="18" t="s">
        <v>58</v>
      </c>
      <c r="J96" s="18"/>
      <c r="K96" s="18">
        <v>200060</v>
      </c>
      <c r="L96" s="18">
        <v>200047</v>
      </c>
      <c r="M96" s="18" t="s">
        <v>110</v>
      </c>
      <c r="N96" s="18" t="s">
        <v>97</v>
      </c>
      <c r="O96" s="10"/>
    </row>
    <row r="97" spans="1:15">
      <c r="A97" s="88">
        <v>15062</v>
      </c>
      <c r="B97" s="18">
        <v>15</v>
      </c>
      <c r="C97" s="18">
        <v>3</v>
      </c>
      <c r="D97" s="18" t="s">
        <v>42</v>
      </c>
      <c r="E97" s="18">
        <v>62</v>
      </c>
      <c r="F97" s="18" t="str">
        <f t="shared" si="7"/>
        <v>200060|200098</v>
      </c>
      <c r="G97" s="18">
        <v>111</v>
      </c>
      <c r="H97" s="18" t="s">
        <v>459</v>
      </c>
      <c r="I97" s="18" t="s">
        <v>115</v>
      </c>
      <c r="J97" s="18"/>
      <c r="K97" s="18">
        <v>200060</v>
      </c>
      <c r="L97" s="18">
        <v>200098</v>
      </c>
      <c r="M97" s="18" t="s">
        <v>110</v>
      </c>
      <c r="N97" s="18" t="s">
        <v>139</v>
      </c>
      <c r="O97" s="10"/>
    </row>
    <row r="98" spans="1:15">
      <c r="A98" s="88">
        <v>15212</v>
      </c>
      <c r="B98" s="18">
        <v>15</v>
      </c>
      <c r="C98" s="18"/>
      <c r="D98" s="18" t="s">
        <v>40</v>
      </c>
      <c r="E98" s="18">
        <v>212</v>
      </c>
      <c r="F98" s="18" t="str">
        <f t="shared" si="7"/>
        <v>200108|200116</v>
      </c>
      <c r="G98" s="18">
        <v>210</v>
      </c>
      <c r="H98" s="18" t="s">
        <v>471</v>
      </c>
      <c r="I98" s="18" t="s">
        <v>148</v>
      </c>
      <c r="J98" s="18"/>
      <c r="K98" s="18">
        <v>200108</v>
      </c>
      <c r="L98" s="18">
        <v>200116</v>
      </c>
      <c r="M98" s="18" t="s">
        <v>434</v>
      </c>
      <c r="N98" s="18" t="s">
        <v>155</v>
      </c>
      <c r="O98" s="10"/>
    </row>
    <row r="99" spans="1:15">
      <c r="A99" s="92">
        <v>16021</v>
      </c>
      <c r="B99" s="2">
        <v>16</v>
      </c>
      <c r="C99" s="2">
        <v>1</v>
      </c>
      <c r="D99" s="2" t="s">
        <v>271</v>
      </c>
      <c r="E99" s="2">
        <v>21</v>
      </c>
      <c r="F99" s="2" t="str">
        <f t="shared" si="7"/>
        <v>200005|200019</v>
      </c>
      <c r="G99" s="2">
        <v>110</v>
      </c>
      <c r="H99" s="2" t="s">
        <v>458</v>
      </c>
      <c r="I99" s="2" t="s">
        <v>130</v>
      </c>
      <c r="J99" s="2"/>
      <c r="K99" s="2">
        <v>200005</v>
      </c>
      <c r="L99" s="2">
        <v>200019</v>
      </c>
      <c r="M99" s="2" t="s">
        <v>357</v>
      </c>
      <c r="N99" s="2" t="s">
        <v>336</v>
      </c>
      <c r="O99" s="10"/>
    </row>
    <row r="100" spans="1:15">
      <c r="A100" s="89">
        <v>16056</v>
      </c>
      <c r="B100" s="2">
        <v>16</v>
      </c>
      <c r="C100" s="2">
        <v>2</v>
      </c>
      <c r="D100" s="2" t="s">
        <v>43</v>
      </c>
      <c r="E100" s="2">
        <v>56</v>
      </c>
      <c r="F100" s="2" t="str">
        <f>K100&amp;"|"&amp;L100</f>
        <v>200041|200015</v>
      </c>
      <c r="G100" s="2">
        <v>106</v>
      </c>
      <c r="H100" s="2" t="s">
        <v>454</v>
      </c>
      <c r="I100" s="2" t="s">
        <v>114</v>
      </c>
      <c r="J100" s="2"/>
      <c r="K100" s="2">
        <v>200041</v>
      </c>
      <c r="L100" s="2">
        <v>200015</v>
      </c>
      <c r="M100" s="2" t="s">
        <v>405</v>
      </c>
      <c r="N100" s="2" t="s">
        <v>396</v>
      </c>
      <c r="O100" s="10"/>
    </row>
    <row r="101" spans="1:15">
      <c r="A101" s="89">
        <v>16019</v>
      </c>
      <c r="B101" s="2">
        <v>16</v>
      </c>
      <c r="C101" s="2"/>
      <c r="D101" s="2" t="s">
        <v>252</v>
      </c>
      <c r="E101" s="2">
        <v>19</v>
      </c>
      <c r="F101" s="2" t="str">
        <f t="shared" ref="F101" si="9">K101&amp;"|"&amp;L101</f>
        <v>200019|200072</v>
      </c>
      <c r="G101" s="2">
        <v>106</v>
      </c>
      <c r="H101" s="2" t="s">
        <v>454</v>
      </c>
      <c r="I101" s="2" t="s">
        <v>114</v>
      </c>
      <c r="J101" s="2"/>
      <c r="K101" s="2">
        <v>200019</v>
      </c>
      <c r="L101" s="2">
        <v>200072</v>
      </c>
      <c r="M101" s="2" t="s">
        <v>69</v>
      </c>
      <c r="N101" s="2" t="s">
        <v>122</v>
      </c>
      <c r="O101" s="10"/>
    </row>
    <row r="102" spans="1:15">
      <c r="A102" s="89">
        <v>16032</v>
      </c>
      <c r="B102" s="2">
        <v>16</v>
      </c>
      <c r="C102" s="2">
        <v>3</v>
      </c>
      <c r="D102" s="2" t="s">
        <v>283</v>
      </c>
      <c r="E102" s="2">
        <v>32</v>
      </c>
      <c r="F102" s="2" t="str">
        <f t="shared" si="7"/>
        <v>200031|200072</v>
      </c>
      <c r="G102" s="2">
        <v>113</v>
      </c>
      <c r="H102" s="2" t="s">
        <v>459</v>
      </c>
      <c r="I102" s="2" t="s">
        <v>115</v>
      </c>
      <c r="J102" s="2"/>
      <c r="K102" s="2">
        <v>200031</v>
      </c>
      <c r="L102" s="2">
        <v>200072</v>
      </c>
      <c r="M102" s="2" t="s">
        <v>356</v>
      </c>
      <c r="N102" s="2" t="s">
        <v>337</v>
      </c>
      <c r="O102" s="10"/>
    </row>
    <row r="103" spans="1:15">
      <c r="A103" s="89">
        <v>16076</v>
      </c>
      <c r="B103" s="2">
        <v>16</v>
      </c>
      <c r="C103" s="2"/>
      <c r="D103" s="2" t="s">
        <v>257</v>
      </c>
      <c r="E103" s="2">
        <v>76</v>
      </c>
      <c r="F103" s="2" t="str">
        <f>K103&amp;"|"&amp;L103</f>
        <v>200041|200068</v>
      </c>
      <c r="G103" s="2">
        <v>113</v>
      </c>
      <c r="H103" s="2" t="s">
        <v>459</v>
      </c>
      <c r="I103" s="2" t="s">
        <v>115</v>
      </c>
      <c r="J103" s="2"/>
      <c r="K103" s="2">
        <v>200041</v>
      </c>
      <c r="L103" s="2">
        <v>200068</v>
      </c>
      <c r="M103" s="2" t="s">
        <v>405</v>
      </c>
      <c r="N103" s="2" t="s">
        <v>118</v>
      </c>
      <c r="O103" s="10"/>
    </row>
    <row r="104" spans="1:15">
      <c r="A104" s="88">
        <v>17091</v>
      </c>
      <c r="B104" s="18">
        <v>17</v>
      </c>
      <c r="C104" s="18">
        <v>1</v>
      </c>
      <c r="D104" s="18" t="s">
        <v>366</v>
      </c>
      <c r="E104" s="18">
        <v>91</v>
      </c>
      <c r="F104" s="18" t="str">
        <f t="shared" ref="F104:F105" si="10">K104&amp;"|"&amp;L104</f>
        <v>200015|200005</v>
      </c>
      <c r="G104" s="18">
        <v>110</v>
      </c>
      <c r="H104" s="18" t="s">
        <v>458</v>
      </c>
      <c r="I104" s="18" t="s">
        <v>130</v>
      </c>
      <c r="J104" s="18"/>
      <c r="K104" s="18">
        <v>200015</v>
      </c>
      <c r="L104" s="18">
        <v>200005</v>
      </c>
      <c r="M104" s="18" t="s">
        <v>396</v>
      </c>
      <c r="N104" s="18" t="s">
        <v>357</v>
      </c>
      <c r="O104" s="10"/>
    </row>
    <row r="105" spans="1:15">
      <c r="A105" s="88">
        <v>17036</v>
      </c>
      <c r="B105" s="18">
        <v>17</v>
      </c>
      <c r="C105" s="18"/>
      <c r="D105" s="18" t="s">
        <v>335</v>
      </c>
      <c r="E105" s="18">
        <v>36</v>
      </c>
      <c r="F105" s="18" t="str">
        <f t="shared" si="10"/>
        <v>200020|200072</v>
      </c>
      <c r="G105" s="18">
        <v>110</v>
      </c>
      <c r="H105" s="18" t="str">
        <f>INDEX('[2]#玺戒参考'!$A:$E,MATCH(G105,'[2]#玺戒参考'!$A:$A,0),2)</f>
        <v>赤金之日</v>
      </c>
      <c r="I105" s="18" t="str">
        <f>INDEX('[2]#玺戒参考'!$A:$E,MATCH(G105,'[2]#玺戒参考'!$A:$A,0),5)</f>
        <v>决意强袭</v>
      </c>
      <c r="J105" s="18"/>
      <c r="K105" s="18">
        <f>INDEX('[2]#技能参考'!$A:$A,MATCH(M105,'[2]#技能参考'!$B:$B,0),1)</f>
        <v>200020</v>
      </c>
      <c r="L105" s="18">
        <f>INDEX('[2]#技能参考'!$A:$A,MATCH(N105,'[2]#技能参考'!$B:$B,0),1)</f>
        <v>200072</v>
      </c>
      <c r="M105" s="18" t="s">
        <v>401</v>
      </c>
      <c r="N105" s="18" t="s">
        <v>337</v>
      </c>
      <c r="O105" s="10"/>
    </row>
    <row r="106" spans="1:15">
      <c r="A106" s="90">
        <v>17077</v>
      </c>
      <c r="B106" s="18">
        <v>17</v>
      </c>
      <c r="C106" s="18">
        <v>2</v>
      </c>
      <c r="D106" s="18" t="s">
        <v>580</v>
      </c>
      <c r="E106" s="18">
        <v>77</v>
      </c>
      <c r="F106" s="18" t="str">
        <f>K106&amp;"|"&amp;L106</f>
        <v>200009|200068</v>
      </c>
      <c r="G106" s="18">
        <v>113</v>
      </c>
      <c r="H106" s="18" t="s">
        <v>461</v>
      </c>
      <c r="I106" s="18" t="s">
        <v>61</v>
      </c>
      <c r="J106" s="18"/>
      <c r="K106" s="18">
        <f>INDEX('[2]#技能参考'!$A:$A,MATCH(M106,'[2]#技能参考'!$B:$B,0),1)</f>
        <v>200009</v>
      </c>
      <c r="L106" s="18">
        <f>INDEX('[2]#技能参考'!$A:$A,MATCH(N106,'[2]#技能参考'!$B:$B,0),1)</f>
        <v>200068</v>
      </c>
      <c r="M106" s="18" t="s">
        <v>409</v>
      </c>
      <c r="N106" s="18" t="s">
        <v>581</v>
      </c>
    </row>
    <row r="107" spans="1:15">
      <c r="A107" s="88">
        <v>17055</v>
      </c>
      <c r="B107" s="18">
        <v>17</v>
      </c>
      <c r="C107" s="18"/>
      <c r="D107" s="18" t="s">
        <v>272</v>
      </c>
      <c r="E107" s="18">
        <v>55</v>
      </c>
      <c r="F107" s="18" t="str">
        <f>K107&amp;"|"&amp;L107</f>
        <v>200061|200009</v>
      </c>
      <c r="G107" s="18">
        <v>113</v>
      </c>
      <c r="H107" s="18" t="s">
        <v>461</v>
      </c>
      <c r="I107" s="18" t="s">
        <v>61</v>
      </c>
      <c r="J107" s="18"/>
      <c r="K107" s="18">
        <v>200061</v>
      </c>
      <c r="L107" s="18">
        <v>200009</v>
      </c>
      <c r="M107" s="18" t="s">
        <v>358</v>
      </c>
      <c r="N107" s="18" t="s">
        <v>409</v>
      </c>
    </row>
    <row r="108" spans="1:15">
      <c r="A108" s="88">
        <v>17056</v>
      </c>
      <c r="B108" s="18">
        <v>17</v>
      </c>
      <c r="C108" s="18"/>
      <c r="D108" s="18" t="s">
        <v>595</v>
      </c>
      <c r="E108" s="18">
        <v>56</v>
      </c>
      <c r="F108" s="18" t="str">
        <f>K108&amp;"|"&amp;L108</f>
        <v>200041|200015</v>
      </c>
      <c r="G108" s="18">
        <v>112</v>
      </c>
      <c r="H108" s="18" t="s">
        <v>460</v>
      </c>
      <c r="I108" s="18" t="s">
        <v>126</v>
      </c>
      <c r="J108" s="18"/>
      <c r="K108" s="18">
        <v>200041</v>
      </c>
      <c r="L108" s="18">
        <v>200015</v>
      </c>
      <c r="M108" s="18" t="s">
        <v>405</v>
      </c>
      <c r="N108" s="18" t="s">
        <v>396</v>
      </c>
      <c r="O108" s="10"/>
    </row>
    <row r="109" spans="1:15">
      <c r="A109" s="88">
        <v>17008</v>
      </c>
      <c r="B109" s="18">
        <v>17</v>
      </c>
      <c r="C109" s="18">
        <v>3</v>
      </c>
      <c r="D109" s="18" t="s">
        <v>378</v>
      </c>
      <c r="E109" s="18">
        <v>8</v>
      </c>
      <c r="F109" s="18" t="str">
        <f t="shared" ref="F109:F148" si="11">K109&amp;"|"&amp;L109</f>
        <v>200042|200010</v>
      </c>
      <c r="G109" s="18">
        <v>106</v>
      </c>
      <c r="H109" s="18" t="str">
        <f>INDEX('[2]#玺戒参考'!$A:$E,MATCH(G109,'[2]#玺戒参考'!$A:$A,0),2)</f>
        <v>天行骑士</v>
      </c>
      <c r="I109" s="18" t="str">
        <f>INDEX('[2]#玺戒参考'!$A:$E,MATCH(G109,'[2]#玺戒参考'!$A:$A,0),5)</f>
        <v>胜利的代价</v>
      </c>
      <c r="J109" s="18"/>
      <c r="K109" s="18">
        <v>200042</v>
      </c>
      <c r="L109" s="18">
        <v>200010</v>
      </c>
      <c r="M109" s="18" t="s">
        <v>380</v>
      </c>
      <c r="N109" s="18" t="s">
        <v>379</v>
      </c>
      <c r="O109" s="10"/>
    </row>
    <row r="110" spans="1:15">
      <c r="A110" s="88">
        <v>17061</v>
      </c>
      <c r="B110" s="18">
        <v>17</v>
      </c>
      <c r="C110" s="18"/>
      <c r="D110" s="18" t="s">
        <v>270</v>
      </c>
      <c r="E110" s="18">
        <v>61</v>
      </c>
      <c r="F110" s="18" t="str">
        <f>K110&amp;"|"&amp;L110</f>
        <v>200061|200015</v>
      </c>
      <c r="G110" s="18">
        <v>111</v>
      </c>
      <c r="H110" s="18" t="s">
        <v>459</v>
      </c>
      <c r="I110" s="18" t="s">
        <v>115</v>
      </c>
      <c r="J110" s="18"/>
      <c r="K110" s="18">
        <v>200061</v>
      </c>
      <c r="L110" s="18">
        <v>200015</v>
      </c>
      <c r="M110" s="18" t="s">
        <v>358</v>
      </c>
      <c r="N110" s="18" t="s">
        <v>396</v>
      </c>
      <c r="O110" s="10"/>
    </row>
    <row r="111" spans="1:15">
      <c r="A111" s="89">
        <v>18009</v>
      </c>
      <c r="B111" s="2">
        <v>18</v>
      </c>
      <c r="C111" s="2">
        <v>1</v>
      </c>
      <c r="D111" s="2" t="s">
        <v>256</v>
      </c>
      <c r="E111" s="2">
        <v>9</v>
      </c>
      <c r="F111" s="2" t="str">
        <f t="shared" si="11"/>
        <v>200072|200031</v>
      </c>
      <c r="G111" s="2">
        <v>108</v>
      </c>
      <c r="H111" s="2" t="s">
        <v>456</v>
      </c>
      <c r="I111" s="2" t="s">
        <v>128</v>
      </c>
      <c r="J111" s="2"/>
      <c r="K111" s="2">
        <v>200072</v>
      </c>
      <c r="L111" s="2">
        <v>200031</v>
      </c>
      <c r="M111" s="2" t="s">
        <v>337</v>
      </c>
      <c r="N111" s="2" t="s">
        <v>356</v>
      </c>
      <c r="O111" s="10"/>
    </row>
    <row r="112" spans="1:15">
      <c r="A112" s="89">
        <v>18036</v>
      </c>
      <c r="B112" s="2">
        <v>18</v>
      </c>
      <c r="C112" s="2"/>
      <c r="D112" s="2" t="s">
        <v>335</v>
      </c>
      <c r="E112" s="2">
        <v>36</v>
      </c>
      <c r="F112" s="2" t="str">
        <f t="shared" si="11"/>
        <v>200072|200034</v>
      </c>
      <c r="G112" s="2">
        <v>108</v>
      </c>
      <c r="H112" s="2" t="s">
        <v>456</v>
      </c>
      <c r="I112" s="2" t="s">
        <v>128</v>
      </c>
      <c r="J112" s="2"/>
      <c r="K112" s="2">
        <v>200072</v>
      </c>
      <c r="L112" s="2">
        <v>200034</v>
      </c>
      <c r="M112" s="2" t="s">
        <v>337</v>
      </c>
      <c r="N112" s="2" t="s">
        <v>423</v>
      </c>
      <c r="O112" s="10"/>
    </row>
    <row r="113" spans="1:15">
      <c r="A113" s="89">
        <v>180361</v>
      </c>
      <c r="B113" s="2">
        <v>18</v>
      </c>
      <c r="C113" s="2">
        <v>2</v>
      </c>
      <c r="D113" s="2" t="s">
        <v>335</v>
      </c>
      <c r="E113" s="2">
        <v>36</v>
      </c>
      <c r="F113" s="2" t="str">
        <f t="shared" si="11"/>
        <v>200072|200034</v>
      </c>
      <c r="G113" s="2">
        <v>113</v>
      </c>
      <c r="H113" s="2" t="s">
        <v>461</v>
      </c>
      <c r="I113" s="2" t="s">
        <v>61</v>
      </c>
      <c r="J113" s="2"/>
      <c r="K113" s="2">
        <v>200072</v>
      </c>
      <c r="L113" s="2">
        <v>200034</v>
      </c>
      <c r="M113" s="2" t="s">
        <v>337</v>
      </c>
      <c r="N113" s="2" t="s">
        <v>423</v>
      </c>
      <c r="O113" s="10"/>
    </row>
    <row r="114" spans="1:15">
      <c r="A114" s="89">
        <v>18055</v>
      </c>
      <c r="B114" s="2">
        <v>18</v>
      </c>
      <c r="C114" s="2"/>
      <c r="D114" s="2" t="s">
        <v>29</v>
      </c>
      <c r="E114" s="2">
        <v>55</v>
      </c>
      <c r="F114" s="2" t="str">
        <f t="shared" si="11"/>
        <v>200061|200009</v>
      </c>
      <c r="G114" s="2">
        <v>113</v>
      </c>
      <c r="H114" s="2" t="s">
        <v>461</v>
      </c>
      <c r="I114" s="2" t="s">
        <v>61</v>
      </c>
      <c r="J114" s="2"/>
      <c r="K114" s="2">
        <v>200061</v>
      </c>
      <c r="L114" s="2">
        <v>200009</v>
      </c>
      <c r="M114" s="2" t="s">
        <v>111</v>
      </c>
      <c r="N114" s="2" t="s">
        <v>409</v>
      </c>
      <c r="O114" s="10"/>
    </row>
    <row r="115" spans="1:15">
      <c r="A115" s="89">
        <v>18032</v>
      </c>
      <c r="B115" s="2">
        <v>18</v>
      </c>
      <c r="C115" s="2">
        <v>3</v>
      </c>
      <c r="D115" s="2" t="s">
        <v>283</v>
      </c>
      <c r="E115" s="2">
        <v>32</v>
      </c>
      <c r="F115" s="2" t="str">
        <f>K115&amp;"|"&amp;L115</f>
        <v>200072|200031</v>
      </c>
      <c r="G115" s="2">
        <v>111</v>
      </c>
      <c r="H115" s="2" t="s">
        <v>459</v>
      </c>
      <c r="I115" s="2" t="s">
        <v>115</v>
      </c>
      <c r="J115" s="2"/>
      <c r="K115" s="2">
        <v>200072</v>
      </c>
      <c r="L115" s="2">
        <v>200031</v>
      </c>
      <c r="M115" s="2" t="s">
        <v>337</v>
      </c>
      <c r="N115" s="2" t="s">
        <v>356</v>
      </c>
      <c r="O115" s="10"/>
    </row>
    <row r="116" spans="1:15">
      <c r="A116" s="89">
        <v>18076</v>
      </c>
      <c r="B116" s="2">
        <v>18</v>
      </c>
      <c r="C116" s="2"/>
      <c r="D116" s="2" t="s">
        <v>257</v>
      </c>
      <c r="E116" s="2">
        <v>76</v>
      </c>
      <c r="F116" s="2" t="str">
        <f>K116&amp;"|"&amp;L116</f>
        <v>200125|200041</v>
      </c>
      <c r="G116" s="2">
        <v>111</v>
      </c>
      <c r="H116" s="2" t="s">
        <v>459</v>
      </c>
      <c r="I116" s="2" t="s">
        <v>115</v>
      </c>
      <c r="J116" s="2"/>
      <c r="K116" s="2">
        <v>200125</v>
      </c>
      <c r="L116" s="2">
        <v>200041</v>
      </c>
      <c r="M116" s="2" t="s">
        <v>440</v>
      </c>
      <c r="N116" s="2" t="s">
        <v>405</v>
      </c>
      <c r="O116" s="10"/>
    </row>
    <row r="117" spans="1:15">
      <c r="A117" s="93">
        <f>19000+E117</f>
        <v>19037</v>
      </c>
      <c r="B117" s="76">
        <v>19</v>
      </c>
      <c r="C117" s="76">
        <v>1</v>
      </c>
      <c r="D117" s="76" t="s">
        <v>621</v>
      </c>
      <c r="E117" s="77">
        <v>37</v>
      </c>
      <c r="F117" s="77" t="str">
        <f t="shared" si="11"/>
        <v>200072|210000</v>
      </c>
      <c r="G117" s="76">
        <v>108</v>
      </c>
      <c r="H117" s="76" t="str">
        <f>VLOOKUP(G117, '[2]#玺戒参考'!A1:E301, 2, FALSE)</f>
        <v>闪耀守卫</v>
      </c>
      <c r="I117" s="76" t="str">
        <f>VLOOKUP(G117, '[2]#玺戒参考'!A1:E301, 5, FALSE)</f>
        <v>波澜攻势</v>
      </c>
      <c r="J117" s="77"/>
      <c r="K117" s="77">
        <f>INDEX('[2]#技能参考'!$A:$A,MATCH(M117,'[2]#技能参考'!$B:$B,0),1)</f>
        <v>200072</v>
      </c>
      <c r="L117" s="77">
        <f>INDEX('[2]#技能参考'!$A:$A,MATCH(N117,'[2]#技能参考'!$B:$B,0),1)</f>
        <v>210000</v>
      </c>
      <c r="M117" s="77" t="s">
        <v>337</v>
      </c>
      <c r="N117" s="77" t="s">
        <v>628</v>
      </c>
      <c r="O117" s="10"/>
    </row>
    <row r="118" spans="1:15">
      <c r="A118" s="93">
        <f t="shared" ref="A118:A119" si="12">19000+E118</f>
        <v>19005</v>
      </c>
      <c r="B118" s="76">
        <v>19</v>
      </c>
      <c r="C118" s="76">
        <v>1</v>
      </c>
      <c r="D118" s="18" t="s">
        <v>592</v>
      </c>
      <c r="E118" s="18">
        <v>5</v>
      </c>
      <c r="F118" s="18" t="str">
        <f t="shared" si="11"/>
        <v>200027|200028</v>
      </c>
      <c r="G118" s="18">
        <v>108</v>
      </c>
      <c r="H118" s="76" t="str">
        <f>VLOOKUP(G118, '[2]#玺戒参考'!A2:E302, 2, FALSE)</f>
        <v>闪耀守卫</v>
      </c>
      <c r="I118" s="76" t="str">
        <f>VLOOKUP(G118, '[2]#玺戒参考'!A2:E302, 5, FALSE)</f>
        <v>波澜攻势</v>
      </c>
      <c r="J118" s="18"/>
      <c r="K118" s="18">
        <v>200027</v>
      </c>
      <c r="L118" s="18">
        <v>200028</v>
      </c>
      <c r="M118" s="18" t="s">
        <v>593</v>
      </c>
      <c r="N118" s="18" t="s">
        <v>594</v>
      </c>
      <c r="O118" s="10"/>
    </row>
    <row r="119" spans="1:15">
      <c r="A119" s="93">
        <f t="shared" si="12"/>
        <v>19019</v>
      </c>
      <c r="B119" s="76">
        <v>19</v>
      </c>
      <c r="C119" s="76">
        <v>1</v>
      </c>
      <c r="D119" s="18" t="s">
        <v>252</v>
      </c>
      <c r="E119" s="18">
        <v>19</v>
      </c>
      <c r="F119" s="18" t="str">
        <f t="shared" si="11"/>
        <v>200019|200072</v>
      </c>
      <c r="G119" s="18">
        <v>108</v>
      </c>
      <c r="H119" s="76" t="str">
        <f>VLOOKUP(G119, '[2]#玺戒参考'!A3:E303, 2, FALSE)</f>
        <v>闪耀守卫</v>
      </c>
      <c r="I119" s="76" t="str">
        <f>VLOOKUP(G119, '[2]#玺戒参考'!A3:E303, 5, FALSE)</f>
        <v>波澜攻势</v>
      </c>
      <c r="J119" s="18"/>
      <c r="K119" s="18">
        <v>200019</v>
      </c>
      <c r="L119" s="18">
        <v>200072</v>
      </c>
      <c r="M119" s="18" t="s">
        <v>336</v>
      </c>
      <c r="N119" s="18" t="s">
        <v>337</v>
      </c>
      <c r="O119" s="10"/>
    </row>
    <row r="120" spans="1:15">
      <c r="A120" s="93">
        <v>190051</v>
      </c>
      <c r="B120" s="76">
        <v>19</v>
      </c>
      <c r="C120" s="76">
        <v>2</v>
      </c>
      <c r="D120" s="76" t="s">
        <v>592</v>
      </c>
      <c r="E120" s="77">
        <v>5</v>
      </c>
      <c r="F120" s="77" t="str">
        <f t="shared" si="11"/>
        <v>200028|200072</v>
      </c>
      <c r="G120" s="76">
        <v>110</v>
      </c>
      <c r="H120" s="76" t="str">
        <f>VLOOKUP(G120, '[2]#玺戒参考'!A4:E304, 2, FALSE)</f>
        <v>赤金之日</v>
      </c>
      <c r="I120" s="76" t="str">
        <f>VLOOKUP(G120, '[2]#玺戒参考'!A4:E304, 5, FALSE)</f>
        <v>决意强袭</v>
      </c>
      <c r="J120" s="77"/>
      <c r="K120" s="77">
        <f>INDEX('[2]#技能参考'!$A:$A,MATCH(M120,'[2]#技能参考'!$B:$B,0),1)</f>
        <v>200028</v>
      </c>
      <c r="L120" s="77">
        <f>INDEX('[2]#技能参考'!$A:$A,MATCH(N120,'[2]#技能参考'!$B:$B,0),1)</f>
        <v>200072</v>
      </c>
      <c r="M120" s="77" t="s">
        <v>78</v>
      </c>
      <c r="N120" s="77" t="s">
        <v>122</v>
      </c>
      <c r="O120" s="10"/>
    </row>
    <row r="121" spans="1:15">
      <c r="A121" s="93">
        <f t="shared" ref="A121:A124" si="13">19000+E121</f>
        <v>19056</v>
      </c>
      <c r="B121" s="76">
        <v>19</v>
      </c>
      <c r="C121" s="76">
        <v>2</v>
      </c>
      <c r="D121" s="76" t="s">
        <v>43</v>
      </c>
      <c r="E121" s="76">
        <v>56</v>
      </c>
      <c r="F121" s="76" t="str">
        <f t="shared" si="11"/>
        <v>200041|200015</v>
      </c>
      <c r="G121" s="76">
        <v>110</v>
      </c>
      <c r="H121" s="76" t="str">
        <f>VLOOKUP(G121, '[2]#玺戒参考'!A5:E305, 2, FALSE)</f>
        <v>赤金之日</v>
      </c>
      <c r="I121" s="76" t="str">
        <f>VLOOKUP(G121, '[2]#玺戒参考'!A5:E305, 5, FALSE)</f>
        <v>决意强袭</v>
      </c>
      <c r="J121" s="76"/>
      <c r="K121" s="76">
        <v>200041</v>
      </c>
      <c r="L121" s="76">
        <v>200015</v>
      </c>
      <c r="M121" s="76" t="s">
        <v>405</v>
      </c>
      <c r="N121" s="76" t="s">
        <v>396</v>
      </c>
      <c r="O121" s="10"/>
    </row>
    <row r="122" spans="1:15">
      <c r="A122" s="93">
        <v>190191</v>
      </c>
      <c r="B122" s="76">
        <v>19</v>
      </c>
      <c r="C122" s="76">
        <v>2</v>
      </c>
      <c r="D122" s="18" t="s">
        <v>252</v>
      </c>
      <c r="E122" s="18">
        <v>19</v>
      </c>
      <c r="F122" s="18" t="str">
        <f t="shared" si="11"/>
        <v>200019|200072</v>
      </c>
      <c r="G122" s="18">
        <v>110</v>
      </c>
      <c r="H122" s="76" t="str">
        <f>VLOOKUP(G122, '[2]#玺戒参考'!A6:E306, 2, FALSE)</f>
        <v>赤金之日</v>
      </c>
      <c r="I122" s="76" t="str">
        <f>VLOOKUP(G122, '[2]#玺戒参考'!A6:E306, 5, FALSE)</f>
        <v>决意强袭</v>
      </c>
      <c r="J122" s="18"/>
      <c r="K122" s="18">
        <v>200019</v>
      </c>
      <c r="L122" s="18">
        <v>200072</v>
      </c>
      <c r="M122" s="18" t="s">
        <v>336</v>
      </c>
      <c r="N122" s="18" t="s">
        <v>337</v>
      </c>
      <c r="O122" s="10"/>
    </row>
    <row r="123" spans="1:15">
      <c r="A123" s="93">
        <f t="shared" si="13"/>
        <v>19032</v>
      </c>
      <c r="B123" s="76">
        <v>19</v>
      </c>
      <c r="C123" s="76">
        <v>3</v>
      </c>
      <c r="D123" s="76" t="s">
        <v>283</v>
      </c>
      <c r="E123" s="77">
        <v>32</v>
      </c>
      <c r="F123" s="77" t="str">
        <f t="shared" si="11"/>
        <v>200125|200036</v>
      </c>
      <c r="G123" s="76">
        <v>113</v>
      </c>
      <c r="H123" s="76" t="str">
        <f>VLOOKUP(G123, '[2]#玺戒参考'!A7:E307, 2, FALSE)</f>
        <v>静谧之水</v>
      </c>
      <c r="I123" s="76" t="str">
        <f>VLOOKUP(G123, '[2]#玺戒参考'!A7:E307, 5, FALSE)</f>
        <v>光明护佑</v>
      </c>
      <c r="J123" s="77"/>
      <c r="K123" s="77">
        <f>INDEX('[2]#技能参考'!$A:$A,MATCH(M123,'[2]#技能参考'!$B:$B,0),1)</f>
        <v>200125</v>
      </c>
      <c r="L123" s="77">
        <f>INDEX('[2]#技能参考'!$A:$A,MATCH(N123,'[2]#技能参考'!$B:$B,0),1)</f>
        <v>200036</v>
      </c>
      <c r="M123" s="77" t="s">
        <v>164</v>
      </c>
      <c r="N123" s="77" t="s">
        <v>596</v>
      </c>
      <c r="O123" s="10"/>
    </row>
    <row r="124" spans="1:15">
      <c r="A124" s="93">
        <f t="shared" si="13"/>
        <v>19076</v>
      </c>
      <c r="B124" s="78">
        <v>19</v>
      </c>
      <c r="C124" s="78">
        <v>3</v>
      </c>
      <c r="D124" s="78" t="s">
        <v>257</v>
      </c>
      <c r="E124" s="77">
        <v>76</v>
      </c>
      <c r="F124" s="77" t="str">
        <f t="shared" si="11"/>
        <v>200125|200068</v>
      </c>
      <c r="G124" s="76">
        <v>113</v>
      </c>
      <c r="H124" s="76" t="str">
        <f>VLOOKUP(G124, '[2]#玺戒参考'!A7:E307, 2, FALSE)</f>
        <v>静谧之水</v>
      </c>
      <c r="I124" s="76" t="str">
        <f>VLOOKUP(G124, '[2]#玺戒参考'!A7:E307, 5, FALSE)</f>
        <v>光明护佑</v>
      </c>
      <c r="J124" s="77"/>
      <c r="K124" s="77">
        <f>INDEX('[2]#技能参考'!$A:$A,MATCH(M124,'[2]#技能参考'!$B:$B,0),1)</f>
        <v>200125</v>
      </c>
      <c r="L124" s="77">
        <f>INDEX('[2]#技能参考'!$A:$A,MATCH(N124,'[2]#技能参考'!$B:$B,0),1)</f>
        <v>200068</v>
      </c>
      <c r="M124" s="77" t="s">
        <v>164</v>
      </c>
      <c r="N124" s="77" t="s">
        <v>118</v>
      </c>
      <c r="O124" s="10"/>
    </row>
    <row r="125" spans="1:15">
      <c r="A125" s="94">
        <f>20000+E125</f>
        <v>20069</v>
      </c>
      <c r="B125" s="79">
        <v>20</v>
      </c>
      <c r="C125" s="79">
        <v>1</v>
      </c>
      <c r="D125" s="79" t="s">
        <v>331</v>
      </c>
      <c r="E125" s="79">
        <v>69</v>
      </c>
      <c r="F125" s="79" t="str">
        <f t="shared" si="11"/>
        <v>210002|210003</v>
      </c>
      <c r="G125" s="79">
        <v>111</v>
      </c>
      <c r="H125" s="79" t="str">
        <f>VLOOKUP(G125, '[2]#玺戒参考'!A5:E305, 2, FALSE)</f>
        <v>不动之山</v>
      </c>
      <c r="I125" s="79" t="str">
        <f>VLOOKUP(G125, '[2]#玺戒参考'!A5:E305, 5, FALSE)</f>
        <v>避芒击惰</v>
      </c>
      <c r="J125" s="79"/>
      <c r="K125" s="79">
        <f>INDEX('[2]#技能参考'!$A:$A,MATCH(M125,'[2]#技能参考'!$B:$B,0),1)</f>
        <v>210002</v>
      </c>
      <c r="L125" s="79">
        <f>INDEX('[2]#技能参考'!$A:$A,MATCH(N125,'[2]#技能参考'!$B:$B,0),1)</f>
        <v>210003</v>
      </c>
      <c r="M125" s="80" t="s">
        <v>623</v>
      </c>
      <c r="N125" s="80" t="s">
        <v>624</v>
      </c>
    </row>
    <row r="126" spans="1:15">
      <c r="A126" s="94">
        <f>20000+E126</f>
        <v>20032</v>
      </c>
      <c r="B126" s="79">
        <v>20</v>
      </c>
      <c r="C126" s="79">
        <v>2</v>
      </c>
      <c r="D126" s="79" t="s">
        <v>283</v>
      </c>
      <c r="E126" s="79">
        <v>32</v>
      </c>
      <c r="F126" s="79" t="str">
        <f>K126&amp;"|"&amp;L126</f>
        <v>200072|200031</v>
      </c>
      <c r="G126" s="79">
        <v>107</v>
      </c>
      <c r="H126" s="79" t="str">
        <f>VLOOKUP(G126, '[2]#玺戒参考'!A8:E308, 2, FALSE)</f>
        <v>东天尊主</v>
      </c>
      <c r="I126" s="79" t="str">
        <f>VLOOKUP(G126, '[2]#玺戒参考'!A8:E308, 5, FALSE)</f>
        <v>胜利军规</v>
      </c>
      <c r="J126" s="79"/>
      <c r="K126" s="79">
        <f>INDEX('[2]#技能参考'!$A:$A,MATCH(M126,'[2]#技能参考'!$B:$B,0),1)</f>
        <v>200072</v>
      </c>
      <c r="L126" s="79">
        <f>INDEX('[2]#技能参考'!$A:$A,MATCH(N126,'[2]#技能参考'!$B:$B,0),1)</f>
        <v>200031</v>
      </c>
      <c r="M126" s="79" t="s">
        <v>122</v>
      </c>
      <c r="N126" s="79" t="s">
        <v>81</v>
      </c>
    </row>
    <row r="127" spans="1:15">
      <c r="A127" s="94">
        <f>20000+E127</f>
        <v>20076</v>
      </c>
      <c r="B127" s="79">
        <v>20</v>
      </c>
      <c r="C127" s="79"/>
      <c r="D127" s="79" t="s">
        <v>257</v>
      </c>
      <c r="E127" s="79">
        <v>76</v>
      </c>
      <c r="F127" s="79" t="str">
        <f>K127&amp;"|"&amp;L127</f>
        <v>200068|200125</v>
      </c>
      <c r="G127" s="79">
        <v>107</v>
      </c>
      <c r="H127" s="79" t="str">
        <f>VLOOKUP(G127, '[2]#玺戒参考'!A9:E309, 2, FALSE)</f>
        <v>东天尊主</v>
      </c>
      <c r="I127" s="79" t="str">
        <f>VLOOKUP(G127, '[2]#玺戒参考'!A9:E309, 5, FALSE)</f>
        <v>胜利军规</v>
      </c>
      <c r="J127" s="79"/>
      <c r="K127" s="79">
        <f>INDEX('[2]#技能参考'!$A:$A,MATCH(M127,'[2]#技能参考'!$B:$B,0),1)</f>
        <v>200068</v>
      </c>
      <c r="L127" s="79">
        <f>INDEX('[2]#技能参考'!$A:$A,MATCH(N127,'[2]#技能参考'!$B:$B,0),1)</f>
        <v>200125</v>
      </c>
      <c r="M127" s="79" t="s">
        <v>118</v>
      </c>
      <c r="N127" s="79" t="s">
        <v>164</v>
      </c>
    </row>
    <row r="128" spans="1:15">
      <c r="A128" s="94">
        <f t="shared" ref="A128:A129" si="14">20000+E128</f>
        <v>20009</v>
      </c>
      <c r="B128" s="79">
        <v>20</v>
      </c>
      <c r="C128" s="79">
        <v>3</v>
      </c>
      <c r="D128" s="79" t="s">
        <v>256</v>
      </c>
      <c r="E128" s="79">
        <v>9</v>
      </c>
      <c r="F128" s="79" t="str">
        <f t="shared" si="11"/>
        <v>200031|200072</v>
      </c>
      <c r="G128" s="79">
        <v>113</v>
      </c>
      <c r="H128" s="79" t="str">
        <f>VLOOKUP(G128, '[2]#玺戒参考'!A6:E306, 2, FALSE)</f>
        <v>静谧之水</v>
      </c>
      <c r="I128" s="79" t="str">
        <f>VLOOKUP(G128, '[2]#玺戒参考'!A6:E306, 5, FALSE)</f>
        <v>光明护佑</v>
      </c>
      <c r="J128" s="79"/>
      <c r="K128" s="79">
        <f>INDEX('[2]#技能参考'!$A:$A,MATCH(M128,'[2]#技能参考'!$B:$B,0),1)</f>
        <v>200031</v>
      </c>
      <c r="L128" s="79">
        <f>INDEX('[2]#技能参考'!$A:$A,MATCH(N128,'[2]#技能参考'!$B:$B,0),1)</f>
        <v>200072</v>
      </c>
      <c r="M128" s="79" t="s">
        <v>356</v>
      </c>
      <c r="N128" s="79" t="s">
        <v>337</v>
      </c>
    </row>
    <row r="129" spans="1:15">
      <c r="A129" s="94">
        <f t="shared" si="14"/>
        <v>20036</v>
      </c>
      <c r="B129" s="79">
        <v>20</v>
      </c>
      <c r="C129" s="79"/>
      <c r="D129" s="79" t="s">
        <v>335</v>
      </c>
      <c r="E129" s="79">
        <v>36</v>
      </c>
      <c r="F129" s="79" t="str">
        <f t="shared" si="11"/>
        <v>200072|200034</v>
      </c>
      <c r="G129" s="79">
        <v>113</v>
      </c>
      <c r="H129" s="79" t="str">
        <f>VLOOKUP(G129, '[2]#玺戒参考'!A7:E307, 2, FALSE)</f>
        <v>静谧之水</v>
      </c>
      <c r="I129" s="79" t="str">
        <f>VLOOKUP(G129, '[2]#玺戒参考'!A7:E307, 5, FALSE)</f>
        <v>光明护佑</v>
      </c>
      <c r="J129" s="79"/>
      <c r="K129" s="79">
        <f>INDEX('[2]#技能参考'!$A:$A,MATCH(M129,'[2]#技能参考'!$B:$B,0),1)</f>
        <v>200072</v>
      </c>
      <c r="L129" s="79">
        <f>INDEX('[2]#技能参考'!$A:$A,MATCH(N129,'[2]#技能参考'!$B:$B,0),1)</f>
        <v>200034</v>
      </c>
      <c r="M129" s="79" t="s">
        <v>122</v>
      </c>
      <c r="N129" s="79" t="s">
        <v>84</v>
      </c>
    </row>
    <row r="130" spans="1:15">
      <c r="A130" s="93">
        <f>21000+E130</f>
        <v>21078</v>
      </c>
      <c r="B130" s="76">
        <v>21</v>
      </c>
      <c r="C130" s="76">
        <v>1</v>
      </c>
      <c r="D130" s="76" t="s">
        <v>627</v>
      </c>
      <c r="E130" s="76">
        <v>78</v>
      </c>
      <c r="F130" s="76" t="str">
        <f t="shared" si="11"/>
        <v>200080|210004</v>
      </c>
      <c r="G130" s="76">
        <v>113</v>
      </c>
      <c r="H130" s="76" t="str">
        <f>VLOOKUP(G130, '[2]#玺戒参考'!A10:E310, 2, FALSE)</f>
        <v>静谧之水</v>
      </c>
      <c r="I130" s="76" t="str">
        <f>VLOOKUP(G130, '[2]#玺戒参考'!A10:E310, 5, FALSE)</f>
        <v>光明护佑</v>
      </c>
      <c r="J130" s="76"/>
      <c r="K130" s="76">
        <f>INDEX('[2]#技能参考'!$A:$A,MATCH(M130,'[2]#技能参考'!$B:$B,0),1)</f>
        <v>200080</v>
      </c>
      <c r="L130" s="76">
        <f>INDEX('[2]#技能参考'!$A:$A,MATCH(N130,'[2]#技能参考'!$B:$B,0),1)</f>
        <v>210004</v>
      </c>
      <c r="M130" s="76" t="s">
        <v>129</v>
      </c>
      <c r="N130" s="76" t="s">
        <v>625</v>
      </c>
      <c r="O130" s="10"/>
    </row>
    <row r="131" spans="1:15">
      <c r="A131" s="93">
        <f>21000+E131</f>
        <v>21034</v>
      </c>
      <c r="B131" s="76">
        <v>21</v>
      </c>
      <c r="C131" s="76">
        <v>2</v>
      </c>
      <c r="D131" s="76" t="s">
        <v>274</v>
      </c>
      <c r="E131" s="76">
        <v>34</v>
      </c>
      <c r="F131" s="76" t="str">
        <f t="shared" si="11"/>
        <v>200121|200013</v>
      </c>
      <c r="G131" s="76">
        <v>102</v>
      </c>
      <c r="H131" s="76" t="str">
        <f>VLOOKUP(G131, '[2]#玺戒参考'!A1:E301, 2, FALSE)</f>
        <v>圣选贤哲</v>
      </c>
      <c r="I131" s="76" t="str">
        <f>VLOOKUP(G131, '[2]#玺戒参考'!A1:E301, 5, FALSE)</f>
        <v>沉默誓言</v>
      </c>
      <c r="J131" s="76"/>
      <c r="K131" s="76">
        <f>INDEX('[2]#技能参考'!$A:$A,MATCH(M131,'[2]#技能参考'!$B:$B,0),1)</f>
        <v>200121</v>
      </c>
      <c r="L131" s="76">
        <f>INDEX('[2]#技能参考'!$A:$A,MATCH(N131,'[2]#技能参考'!$B:$B,0),1)</f>
        <v>200013</v>
      </c>
      <c r="M131" s="76" t="s">
        <v>160</v>
      </c>
      <c r="N131" s="76" t="s">
        <v>63</v>
      </c>
      <c r="O131" s="10"/>
    </row>
    <row r="132" spans="1:15">
      <c r="A132" s="93">
        <f t="shared" ref="A132:A133" si="15">21000+E132</f>
        <v>21003</v>
      </c>
      <c r="B132" s="76">
        <v>21</v>
      </c>
      <c r="C132" s="76"/>
      <c r="D132" s="76" t="s">
        <v>255</v>
      </c>
      <c r="E132" s="76">
        <v>3</v>
      </c>
      <c r="F132" s="76" t="str">
        <f t="shared" si="11"/>
        <v>200080|200068</v>
      </c>
      <c r="G132" s="76">
        <v>102</v>
      </c>
      <c r="H132" s="76" t="s">
        <v>452</v>
      </c>
      <c r="I132" s="76" t="s">
        <v>62</v>
      </c>
      <c r="J132" s="76"/>
      <c r="K132" s="76">
        <v>200080</v>
      </c>
      <c r="L132" s="76">
        <v>200068</v>
      </c>
      <c r="M132" s="76" t="s">
        <v>129</v>
      </c>
      <c r="N132" s="76" t="s">
        <v>118</v>
      </c>
      <c r="O132" s="10"/>
    </row>
    <row r="133" spans="1:15">
      <c r="A133" s="93">
        <f t="shared" si="15"/>
        <v>21064</v>
      </c>
      <c r="B133" s="76">
        <v>21</v>
      </c>
      <c r="C133" s="76">
        <v>3</v>
      </c>
      <c r="D133" s="76" t="s">
        <v>286</v>
      </c>
      <c r="E133" s="76">
        <v>64</v>
      </c>
      <c r="F133" s="76" t="str">
        <f t="shared" si="11"/>
        <v>200042|200010</v>
      </c>
      <c r="G133" s="76">
        <v>111</v>
      </c>
      <c r="H133" s="76" t="str">
        <f>VLOOKUP(G133, '[2]#玺戒参考'!A12:E312, 2, FALSE)</f>
        <v>不动之山</v>
      </c>
      <c r="I133" s="76" t="str">
        <f>VLOOKUP(G133, '[2]#玺戒参考'!A12:E312, 5, FALSE)</f>
        <v>避芒击惰</v>
      </c>
      <c r="J133" s="76"/>
      <c r="K133" s="76">
        <f>INDEX('[2]#技能参考'!$A:$A,MATCH(M133,'[2]#技能参考'!$B:$B,0),1)</f>
        <v>200042</v>
      </c>
      <c r="L133" s="76">
        <f>INDEX('[2]#技能参考'!$A:$A,MATCH(N133,'[2]#技能参考'!$B:$B,0),1)</f>
        <v>200010</v>
      </c>
      <c r="M133" s="76" t="s">
        <v>92</v>
      </c>
      <c r="N133" s="76" t="s">
        <v>60</v>
      </c>
      <c r="O133" s="10"/>
    </row>
    <row r="134" spans="1:15">
      <c r="A134" s="93">
        <v>210031</v>
      </c>
      <c r="B134" s="78">
        <v>21</v>
      </c>
      <c r="C134" s="78"/>
      <c r="D134" s="76" t="s">
        <v>255</v>
      </c>
      <c r="E134" s="76">
        <v>3</v>
      </c>
      <c r="F134" s="76" t="str">
        <f t="shared" si="11"/>
        <v>200080|200068</v>
      </c>
      <c r="G134" s="76">
        <v>111</v>
      </c>
      <c r="H134" s="76" t="s">
        <v>459</v>
      </c>
      <c r="I134" s="76" t="s">
        <v>115</v>
      </c>
      <c r="J134" s="76"/>
      <c r="K134" s="76">
        <v>200080</v>
      </c>
      <c r="L134" s="76">
        <v>200068</v>
      </c>
      <c r="M134" s="76" t="s">
        <v>129</v>
      </c>
      <c r="N134" s="76" t="s">
        <v>118</v>
      </c>
      <c r="O134" s="10"/>
    </row>
    <row r="135" spans="1:15">
      <c r="A135" s="94">
        <f>22000+E135</f>
        <v>22106</v>
      </c>
      <c r="B135" s="79">
        <v>22</v>
      </c>
      <c r="C135" s="79">
        <v>1</v>
      </c>
      <c r="D135" s="79" t="s">
        <v>644</v>
      </c>
      <c r="E135" s="79">
        <v>106</v>
      </c>
      <c r="F135" s="79" t="str">
        <f t="shared" si="11"/>
        <v>210001|200005</v>
      </c>
      <c r="G135" s="79">
        <v>110</v>
      </c>
      <c r="H135" s="79" t="str">
        <f>VLOOKUP(G135, '[2]#玺戒参考'!A1:E313, 2, FALSE)</f>
        <v>赤金之日</v>
      </c>
      <c r="I135" s="79" t="str">
        <f>VLOOKUP(G135, '[2]#玺戒参考'!A1:E313, 5, FALSE)</f>
        <v>决意强袭</v>
      </c>
      <c r="J135" s="79"/>
      <c r="K135" s="79">
        <f>INDEX('[2]#技能参考'!$A:$A,MATCH(M135,'[2]#技能参考'!$B:$B,0),1)</f>
        <v>210001</v>
      </c>
      <c r="L135" s="79">
        <f>INDEX('[2]#技能参考'!$A:$A,MATCH(N135,'[2]#技能参考'!$B:$B,0),1)</f>
        <v>200005</v>
      </c>
      <c r="M135" s="79" t="s">
        <v>645</v>
      </c>
      <c r="N135" s="79" t="s">
        <v>357</v>
      </c>
    </row>
    <row r="136" spans="1:15">
      <c r="A136" s="94">
        <f t="shared" ref="A136:A137" si="16">22000+E136</f>
        <v>22077</v>
      </c>
      <c r="B136" s="79">
        <v>22</v>
      </c>
      <c r="C136" s="79">
        <v>2</v>
      </c>
      <c r="D136" s="79" t="s">
        <v>580</v>
      </c>
      <c r="E136" s="79">
        <v>77</v>
      </c>
      <c r="F136" s="79" t="str">
        <f t="shared" si="11"/>
        <v>200009|200068</v>
      </c>
      <c r="G136" s="79">
        <v>113</v>
      </c>
      <c r="H136" s="79" t="str">
        <f>VLOOKUP(G136, '[2]#玺戒参考'!A4:E304, 2, FALSE)</f>
        <v>静谧之水</v>
      </c>
      <c r="I136" s="79" t="str">
        <f>VLOOKUP(G136, '[2]#玺戒参考'!A4:E304, 5, FALSE)</f>
        <v>光明护佑</v>
      </c>
      <c r="J136" s="79"/>
      <c r="K136" s="79">
        <f>INDEX('[2]#技能参考'!$A:$A,MATCH(M136,'[2]#技能参考'!$B:$B,0),1)</f>
        <v>200009</v>
      </c>
      <c r="L136" s="79">
        <f>INDEX('[2]#技能参考'!$A:$A,MATCH(N136,'[2]#技能参考'!$B:$B,0),1)</f>
        <v>200068</v>
      </c>
      <c r="M136" s="79" t="s">
        <v>409</v>
      </c>
      <c r="N136" s="79" t="s">
        <v>581</v>
      </c>
    </row>
    <row r="137" spans="1:15">
      <c r="A137" s="94">
        <f t="shared" si="16"/>
        <v>22091</v>
      </c>
      <c r="B137" s="79">
        <v>22</v>
      </c>
      <c r="C137" s="79"/>
      <c r="D137" s="79" t="s">
        <v>366</v>
      </c>
      <c r="E137" s="79">
        <v>91</v>
      </c>
      <c r="F137" s="79" t="str">
        <f t="shared" si="11"/>
        <v>200015|200007</v>
      </c>
      <c r="G137" s="79">
        <v>113</v>
      </c>
      <c r="H137" s="79" t="str">
        <f>VLOOKUP(G137, '[2]#玺戒参考'!A5:E305, 2, FALSE)</f>
        <v>静谧之水</v>
      </c>
      <c r="I137" s="79" t="str">
        <f>VLOOKUP(G137, '[2]#玺戒参考'!A5:E305, 5, FALSE)</f>
        <v>光明护佑</v>
      </c>
      <c r="J137" s="79"/>
      <c r="K137" s="79">
        <f>INDEX('[2]#技能参考'!$A:$A,MATCH(M137,'[2]#技能参考'!$B:$B,0),1)</f>
        <v>200015</v>
      </c>
      <c r="L137" s="79">
        <f>INDEX('[2]#技能参考'!$A:$A,MATCH(N137,'[2]#技能参考'!$B:$B,0),1)</f>
        <v>200007</v>
      </c>
      <c r="M137" s="79" t="s">
        <v>396</v>
      </c>
      <c r="N137" s="79" t="s">
        <v>646</v>
      </c>
    </row>
    <row r="138" spans="1:15">
      <c r="A138" s="94">
        <f>22000+E138</f>
        <v>22008</v>
      </c>
      <c r="B138" s="79">
        <v>22</v>
      </c>
      <c r="C138" s="79">
        <v>3</v>
      </c>
      <c r="D138" s="79" t="s">
        <v>378</v>
      </c>
      <c r="E138" s="79">
        <v>8</v>
      </c>
      <c r="F138" s="79" t="str">
        <f t="shared" si="11"/>
        <v>200010|200042</v>
      </c>
      <c r="G138" s="18">
        <v>106</v>
      </c>
      <c r="H138" s="18" t="str">
        <f>INDEX('[2]#玺戒参考'!$A:$E,MATCH(G138,'[2]#玺戒参考'!$A:$A,0),2)</f>
        <v>天行骑士</v>
      </c>
      <c r="I138" s="18" t="str">
        <f>INDEX('[2]#玺戒参考'!$A:$E,MATCH(G138,'[2]#玺戒参考'!$A:$A,0),5)</f>
        <v>胜利的代价</v>
      </c>
      <c r="J138" s="79"/>
      <c r="K138" s="79">
        <f>INDEX('[2]#技能参考'!$A:$A,MATCH(M138,'[2]#技能参考'!$B:$B,0),1)</f>
        <v>200010</v>
      </c>
      <c r="L138" s="79">
        <f>INDEX('[2]#技能参考'!$A:$A,MATCH(N138,'[2]#技能参考'!$B:$B,0),1)</f>
        <v>200042</v>
      </c>
      <c r="M138" s="79" t="s">
        <v>379</v>
      </c>
      <c r="N138" s="79" t="s">
        <v>380</v>
      </c>
    </row>
    <row r="139" spans="1:15">
      <c r="A139" s="94">
        <v>220911</v>
      </c>
      <c r="B139" s="79">
        <v>22</v>
      </c>
      <c r="C139" s="79"/>
      <c r="D139" s="79" t="s">
        <v>366</v>
      </c>
      <c r="E139" s="79">
        <v>91</v>
      </c>
      <c r="F139" s="79" t="str">
        <f t="shared" si="11"/>
        <v>200015|200007</v>
      </c>
      <c r="G139" s="79">
        <v>111</v>
      </c>
      <c r="H139" s="79" t="str">
        <f>VLOOKUP(G139, '[2]#玺戒参考'!A7:E307, 2, FALSE)</f>
        <v>不动之山</v>
      </c>
      <c r="I139" s="79" t="str">
        <f>VLOOKUP(G139, '[2]#玺戒参考'!A7:E307, 5, FALSE)</f>
        <v>避芒击惰</v>
      </c>
      <c r="J139" s="79"/>
      <c r="K139" s="79">
        <f>INDEX('[2]#技能参考'!$A:$A,MATCH(M139,'[2]#技能参考'!$B:$B,0),1)</f>
        <v>200015</v>
      </c>
      <c r="L139" s="79">
        <f>INDEX('[2]#技能参考'!$A:$A,MATCH(N139,'[2]#技能参考'!$B:$B,0),1)</f>
        <v>200007</v>
      </c>
      <c r="M139" s="79" t="s">
        <v>396</v>
      </c>
      <c r="N139" s="79" t="s">
        <v>646</v>
      </c>
    </row>
    <row r="140" spans="1:15">
      <c r="A140" s="94">
        <f>22000+E140</f>
        <v>22061</v>
      </c>
      <c r="B140" s="79">
        <v>22</v>
      </c>
      <c r="C140" s="79"/>
      <c r="D140" s="79" t="s">
        <v>270</v>
      </c>
      <c r="E140" s="79">
        <v>61</v>
      </c>
      <c r="F140" s="79" t="str">
        <f t="shared" si="11"/>
        <v>200061|200015</v>
      </c>
      <c r="G140" s="79">
        <v>111</v>
      </c>
      <c r="H140" s="79" t="str">
        <f>VLOOKUP(G140, '[2]#玺戒参考'!A8:E308, 2, FALSE)</f>
        <v>不动之山</v>
      </c>
      <c r="I140" s="79" t="str">
        <f>VLOOKUP(G140, '[2]#玺戒参考'!A8:E308, 5, FALSE)</f>
        <v>避芒击惰</v>
      </c>
      <c r="J140" s="79"/>
      <c r="K140" s="79">
        <f>INDEX('[2]#技能参考'!$A:$A,MATCH(M140,'[2]#技能参考'!$B:$B,0),1)</f>
        <v>200061</v>
      </c>
      <c r="L140" s="79">
        <f>INDEX('[2]#技能参考'!$A:$A,MATCH(N140,'[2]#技能参考'!$B:$B,0),1)</f>
        <v>200015</v>
      </c>
      <c r="M140" s="79" t="s">
        <v>358</v>
      </c>
      <c r="N140" s="79" t="s">
        <v>396</v>
      </c>
    </row>
    <row r="141" spans="1:15" s="76" customFormat="1">
      <c r="A141" s="93">
        <f>23000+E141</f>
        <v>23104</v>
      </c>
      <c r="B141" s="76">
        <v>23</v>
      </c>
      <c r="C141" s="76">
        <v>1</v>
      </c>
      <c r="D141" s="76" t="s">
        <v>666</v>
      </c>
      <c r="E141" s="76">
        <v>104</v>
      </c>
      <c r="F141" s="76" t="str">
        <f t="shared" si="11"/>
        <v>200005|200015</v>
      </c>
      <c r="G141" s="76">
        <v>110</v>
      </c>
      <c r="H141" s="76" t="str">
        <f>VLOOKUP(G141, '[2]#玺戒参考'!A:E, 2, FALSE)</f>
        <v>赤金之日</v>
      </c>
      <c r="I141" s="76" t="str">
        <f>VLOOKUP(G141, '[2]#玺戒参考'!A:E, 5, FALSE)</f>
        <v>决意强袭</v>
      </c>
      <c r="K141" s="76">
        <f>INDEX('[2]#技能参考'!$A:$A,MATCH(M141,'[2]#技能参考'!$B:$B,0),1)</f>
        <v>200005</v>
      </c>
      <c r="L141" s="76">
        <f>INDEX('[2]#技能参考'!$A:$A,MATCH(N141,'[2]#技能参考'!$B:$B,0),1)</f>
        <v>200015</v>
      </c>
      <c r="M141" s="76" t="s">
        <v>357</v>
      </c>
      <c r="N141" s="76" t="s">
        <v>396</v>
      </c>
    </row>
    <row r="142" spans="1:15" s="76" customFormat="1">
      <c r="A142" s="93">
        <f t="shared" ref="A142:A143" si="17">23000+E142</f>
        <v>23002</v>
      </c>
      <c r="B142" s="76">
        <v>23</v>
      </c>
      <c r="C142" s="76">
        <v>2</v>
      </c>
      <c r="D142" s="76" t="s">
        <v>254</v>
      </c>
      <c r="E142" s="76">
        <v>2</v>
      </c>
      <c r="F142" s="76" t="str">
        <f t="shared" si="11"/>
        <v>200006|200068</v>
      </c>
      <c r="G142" s="76">
        <v>113</v>
      </c>
      <c r="H142" s="76" t="str">
        <f>VLOOKUP(G142, '[2]#玺戒参考'!A:E, 2, FALSE)</f>
        <v>静谧之水</v>
      </c>
      <c r="I142" s="76" t="str">
        <f>VLOOKUP(G142, '[2]#玺戒参考'!A:E, 5, FALSE)</f>
        <v>光明护佑</v>
      </c>
      <c r="K142" s="76">
        <f>INDEX('[2]#技能参考'!$A:$A,MATCH(M142,'[2]#技能参考'!$B:$B,0),1)</f>
        <v>200006</v>
      </c>
      <c r="L142" s="76">
        <f>INDEX('[2]#技能参考'!$A:$A,MATCH(N142,'[2]#技能参考'!$B:$B,0),1)</f>
        <v>200068</v>
      </c>
      <c r="M142" s="76" t="s">
        <v>373</v>
      </c>
      <c r="N142" s="76" t="s">
        <v>581</v>
      </c>
    </row>
    <row r="143" spans="1:15" s="76" customFormat="1">
      <c r="A143" s="93">
        <f t="shared" si="17"/>
        <v>23102</v>
      </c>
      <c r="B143" s="76">
        <v>23</v>
      </c>
      <c r="C143" s="76">
        <v>3</v>
      </c>
      <c r="D143" s="76" t="s">
        <v>667</v>
      </c>
      <c r="E143" s="76">
        <v>102</v>
      </c>
      <c r="F143" s="76" t="str">
        <f t="shared" si="11"/>
        <v>200010|210005</v>
      </c>
      <c r="G143" s="76">
        <v>111</v>
      </c>
      <c r="H143" s="76" t="str">
        <f>VLOOKUP(G143, '[2]#玺戒参考'!A:E, 2, FALSE)</f>
        <v>不动之山</v>
      </c>
      <c r="I143" s="76" t="str">
        <f>VLOOKUP(G143, '[2]#玺戒参考'!A:E, 5, FALSE)</f>
        <v>避芒击惰</v>
      </c>
      <c r="K143" s="76">
        <f>INDEX('[2]#技能参考'!$A:$A,MATCH(M143,'[2]#技能参考'!$B:$B,0),1)</f>
        <v>200010</v>
      </c>
      <c r="L143" s="76">
        <f>INDEX('[2]#技能参考'!$A:$A,MATCH(N143,'[2]#技能参考'!$B:$B,0),1)</f>
        <v>210005</v>
      </c>
      <c r="M143" s="76" t="s">
        <v>379</v>
      </c>
      <c r="N143" s="76" t="s">
        <v>675</v>
      </c>
    </row>
    <row r="144" spans="1:15">
      <c r="A144" s="94">
        <f>24000+E144</f>
        <v>24105</v>
      </c>
      <c r="B144" s="79">
        <v>24</v>
      </c>
      <c r="C144" s="79">
        <v>1</v>
      </c>
      <c r="D144" s="79" t="s">
        <v>676</v>
      </c>
      <c r="E144" s="79">
        <v>105</v>
      </c>
      <c r="F144" s="79" t="str">
        <f t="shared" si="11"/>
        <v>200041|200159</v>
      </c>
      <c r="G144" s="79">
        <v>110</v>
      </c>
      <c r="H144" s="79" t="str">
        <f>VLOOKUP(G144, '[2]#玺戒参考'!A:E, 2, FALSE)</f>
        <v>赤金之日</v>
      </c>
      <c r="I144" s="79" t="str">
        <f>VLOOKUP(G144, '[2]#玺戒参考'!A:E, 5, FALSE)</f>
        <v>决意强袭</v>
      </c>
      <c r="J144" s="79"/>
      <c r="K144" s="79">
        <f>INDEX('[2]#技能参考'!$A:$A,MATCH(M144,'[2]#技能参考'!$B:$B,0),1)</f>
        <v>200041</v>
      </c>
      <c r="L144" s="79">
        <f>INDEX('[2]#技能参考'!$A:$A,MATCH(N144,'[2]#技能参考'!$B:$B,0),1)</f>
        <v>200159</v>
      </c>
      <c r="M144" s="79" t="s">
        <v>405</v>
      </c>
      <c r="N144" s="79" t="s">
        <v>677</v>
      </c>
    </row>
    <row r="145" spans="1:15">
      <c r="A145" s="94">
        <f t="shared" ref="A145" si="18">24000+E145</f>
        <v>24103</v>
      </c>
      <c r="B145" s="79">
        <v>24</v>
      </c>
      <c r="C145" s="79">
        <v>2</v>
      </c>
      <c r="D145" s="79" t="s">
        <v>678</v>
      </c>
      <c r="E145" s="79">
        <v>103</v>
      </c>
      <c r="F145" s="79" t="str">
        <f t="shared" si="11"/>
        <v>200042|200010</v>
      </c>
      <c r="G145" s="79">
        <v>113</v>
      </c>
      <c r="H145" s="79" t="str">
        <f>VLOOKUP(G145, '[2]#玺戒参考'!A:E, 2, FALSE)</f>
        <v>静谧之水</v>
      </c>
      <c r="I145" s="79" t="str">
        <f>VLOOKUP(G145, '[2]#玺戒参考'!A:E, 5, FALSE)</f>
        <v>光明护佑</v>
      </c>
      <c r="J145" s="79"/>
      <c r="K145" s="79">
        <f>INDEX('[2]#技能参考'!$A:$A,MATCH(M145,'[2]#技能参考'!$B:$B,0),1)</f>
        <v>200042</v>
      </c>
      <c r="L145" s="79">
        <f>INDEX('[2]#技能参考'!$A:$A,MATCH(N145,'[2]#技能参考'!$B:$B,0),1)</f>
        <v>200010</v>
      </c>
      <c r="M145" s="79" t="s">
        <v>380</v>
      </c>
      <c r="N145" s="79" t="s">
        <v>379</v>
      </c>
    </row>
    <row r="146" spans="1:15">
      <c r="A146" s="94">
        <f>24000+E146</f>
        <v>24064</v>
      </c>
      <c r="B146" s="79">
        <v>24</v>
      </c>
      <c r="C146" s="79">
        <v>3</v>
      </c>
      <c r="D146" s="79" t="s">
        <v>286</v>
      </c>
      <c r="E146" s="79">
        <v>64</v>
      </c>
      <c r="F146" s="79" t="str">
        <f t="shared" si="11"/>
        <v>200042|200010</v>
      </c>
      <c r="G146" s="79">
        <v>111</v>
      </c>
      <c r="H146" s="79" t="str">
        <f>VLOOKUP(G146, '[2]#玺戒参考'!A:E, 2, FALSE)</f>
        <v>不动之山</v>
      </c>
      <c r="I146" s="79" t="str">
        <f>VLOOKUP(G146, '[2]#玺戒参考'!A:E, 5, FALSE)</f>
        <v>避芒击惰</v>
      </c>
      <c r="J146" s="79"/>
      <c r="K146" s="79">
        <f>INDEX('[2]#技能参考'!$A:$A,MATCH(M146,'[2]#技能参考'!$B:$B,0),1)</f>
        <v>200042</v>
      </c>
      <c r="L146" s="79">
        <f>INDEX('[2]#技能参考'!$A:$A,MATCH(N146,'[2]#技能参考'!$B:$B,0),1)</f>
        <v>200010</v>
      </c>
      <c r="M146" s="79" t="s">
        <v>380</v>
      </c>
      <c r="N146" s="79" t="s">
        <v>379</v>
      </c>
    </row>
    <row r="147" spans="1:15" s="76" customFormat="1">
      <c r="A147" s="93">
        <f>25000+E147</f>
        <v>25042</v>
      </c>
      <c r="B147" s="76">
        <v>25</v>
      </c>
      <c r="C147" s="76">
        <v>1</v>
      </c>
      <c r="D147" s="76" t="s">
        <v>698</v>
      </c>
      <c r="E147" s="76">
        <v>42</v>
      </c>
      <c r="F147" s="76" t="str">
        <f t="shared" si="11"/>
        <v>200037|200006</v>
      </c>
      <c r="G147" s="76">
        <v>105</v>
      </c>
      <c r="H147" s="76" t="s">
        <v>699</v>
      </c>
      <c r="I147" s="76" t="s">
        <v>700</v>
      </c>
      <c r="K147" s="76">
        <v>200037</v>
      </c>
      <c r="L147" s="76">
        <v>200006</v>
      </c>
      <c r="M147" s="76" t="s">
        <v>430</v>
      </c>
      <c r="N147" s="76" t="s">
        <v>373</v>
      </c>
    </row>
    <row r="148" spans="1:15" s="76" customFormat="1">
      <c r="A148" s="93">
        <f>25000+E148</f>
        <v>25013</v>
      </c>
      <c r="B148" s="76">
        <v>25</v>
      </c>
      <c r="D148" s="76" t="s">
        <v>372</v>
      </c>
      <c r="E148" s="76">
        <v>13</v>
      </c>
      <c r="F148" s="76" t="str">
        <f t="shared" si="11"/>
        <v>200100|200006</v>
      </c>
      <c r="G148" s="76">
        <v>105</v>
      </c>
      <c r="H148" s="76" t="s">
        <v>699</v>
      </c>
      <c r="I148" s="76" t="s">
        <v>700</v>
      </c>
      <c r="K148" s="76">
        <v>200100</v>
      </c>
      <c r="L148" s="76">
        <v>200006</v>
      </c>
      <c r="M148" s="76" t="s">
        <v>429</v>
      </c>
      <c r="N148" s="76" t="s">
        <v>373</v>
      </c>
    </row>
    <row r="149" spans="1:15" s="76" customFormat="1">
      <c r="A149" s="93">
        <f t="shared" ref="A149:A155" si="19">25000+E149</f>
        <v>25001</v>
      </c>
      <c r="B149" s="76">
        <v>25</v>
      </c>
      <c r="D149" s="76" t="s">
        <v>332</v>
      </c>
      <c r="E149" s="76">
        <v>1</v>
      </c>
      <c r="F149" s="76" t="str">
        <f>K149&amp;"|"&amp;L149</f>
        <v>200068|200100</v>
      </c>
      <c r="G149" s="76">
        <v>105</v>
      </c>
      <c r="H149" s="76" t="s">
        <v>699</v>
      </c>
      <c r="I149" s="76" t="s">
        <v>700</v>
      </c>
      <c r="K149" s="76">
        <v>200068</v>
      </c>
      <c r="L149" s="76">
        <v>200100</v>
      </c>
      <c r="M149" s="76" t="s">
        <v>581</v>
      </c>
      <c r="N149" s="76" t="s">
        <v>429</v>
      </c>
    </row>
    <row r="150" spans="1:15" s="76" customFormat="1">
      <c r="A150" s="93">
        <v>250131</v>
      </c>
      <c r="B150" s="76">
        <v>25</v>
      </c>
      <c r="C150" s="76">
        <v>2</v>
      </c>
      <c r="D150" s="76" t="s">
        <v>372</v>
      </c>
      <c r="E150" s="76">
        <v>13</v>
      </c>
      <c r="F150" s="76" t="str">
        <f t="shared" ref="F150" si="20">K150&amp;"|"&amp;L150</f>
        <v>200100|200006</v>
      </c>
      <c r="G150" s="76">
        <v>111</v>
      </c>
      <c r="H150" s="76" t="s">
        <v>701</v>
      </c>
      <c r="I150" s="76" t="s">
        <v>702</v>
      </c>
      <c r="K150" s="76">
        <v>200100</v>
      </c>
      <c r="L150" s="76">
        <v>200006</v>
      </c>
      <c r="M150" s="76" t="s">
        <v>429</v>
      </c>
      <c r="N150" s="76" t="s">
        <v>373</v>
      </c>
    </row>
    <row r="151" spans="1:15" s="76" customFormat="1">
      <c r="A151" s="93">
        <v>250011</v>
      </c>
      <c r="B151" s="76">
        <v>25</v>
      </c>
      <c r="D151" s="76" t="s">
        <v>332</v>
      </c>
      <c r="E151" s="76">
        <v>1</v>
      </c>
      <c r="F151" s="76" t="str">
        <f>K151&amp;"|"&amp;L151</f>
        <v>200068|200100</v>
      </c>
      <c r="G151" s="76">
        <v>111</v>
      </c>
      <c r="H151" s="76" t="s">
        <v>701</v>
      </c>
      <c r="I151" s="76" t="s">
        <v>702</v>
      </c>
      <c r="K151" s="76">
        <v>200068</v>
      </c>
      <c r="L151" s="76">
        <v>200100</v>
      </c>
      <c r="M151" s="76" t="s">
        <v>581</v>
      </c>
      <c r="N151" s="76" t="s">
        <v>429</v>
      </c>
    </row>
    <row r="152" spans="1:15" s="76" customFormat="1">
      <c r="A152" s="93">
        <f t="shared" si="19"/>
        <v>25019</v>
      </c>
      <c r="B152" s="76">
        <v>25</v>
      </c>
      <c r="D152" s="76" t="s">
        <v>252</v>
      </c>
      <c r="E152" s="76">
        <v>19</v>
      </c>
      <c r="F152" s="76" t="str">
        <f t="shared" ref="F152:F163" si="21">K152&amp;"|"&amp;L152</f>
        <v>200019|200072</v>
      </c>
      <c r="G152" s="76">
        <v>111</v>
      </c>
      <c r="H152" s="76" t="str">
        <f>INDEX('[2]#玺戒参考'!$A:$E,MATCH(G152,'[2]#玺戒参考'!$A:$A,0),2)</f>
        <v>不动之山</v>
      </c>
      <c r="I152" s="76" t="str">
        <f>INDEX('[2]#玺戒参考'!$A:$E,MATCH(G152,'[2]#玺戒参考'!$A:$A,0),5)</f>
        <v>避芒击惰</v>
      </c>
      <c r="K152" s="76">
        <f>INDEX('[2]#技能参考'!$A:$A,MATCH(M152,'[2]#技能参考'!$B:$B,0),1)</f>
        <v>200019</v>
      </c>
      <c r="L152" s="76">
        <f>INDEX('[2]#技能参考'!$A:$A,MATCH(N152,'[2]#技能参考'!$B:$B,0),1)</f>
        <v>200072</v>
      </c>
      <c r="M152" s="76" t="s">
        <v>336</v>
      </c>
      <c r="N152" s="76" t="s">
        <v>337</v>
      </c>
    </row>
    <row r="153" spans="1:15" s="76" customFormat="1">
      <c r="A153" s="93">
        <f t="shared" si="19"/>
        <v>25017</v>
      </c>
      <c r="B153" s="76">
        <v>25</v>
      </c>
      <c r="C153" s="76">
        <v>3</v>
      </c>
      <c r="D153" s="76" t="s">
        <v>253</v>
      </c>
      <c r="E153" s="76">
        <v>17</v>
      </c>
      <c r="F153" s="76" t="str">
        <f t="shared" si="21"/>
        <v>200010|200042</v>
      </c>
      <c r="G153" s="76">
        <v>113</v>
      </c>
      <c r="H153" s="76" t="s">
        <v>703</v>
      </c>
      <c r="I153" s="76" t="s">
        <v>704</v>
      </c>
      <c r="K153" s="76">
        <v>200010</v>
      </c>
      <c r="L153" s="76">
        <v>200042</v>
      </c>
      <c r="M153" s="76" t="s">
        <v>379</v>
      </c>
      <c r="N153" s="76" t="s">
        <v>380</v>
      </c>
    </row>
    <row r="154" spans="1:15" s="76" customFormat="1">
      <c r="A154" s="93">
        <v>250191</v>
      </c>
      <c r="B154" s="76">
        <v>25</v>
      </c>
      <c r="D154" s="76" t="s">
        <v>252</v>
      </c>
      <c r="E154" s="76">
        <v>19</v>
      </c>
      <c r="F154" s="76" t="str">
        <f t="shared" si="21"/>
        <v>200019|200072</v>
      </c>
      <c r="G154" s="76">
        <v>113</v>
      </c>
      <c r="H154" s="76" t="str">
        <f>INDEX('[2]#玺戒参考'!$A:$E,MATCH(G154,'[2]#玺戒参考'!$A:$A,0),2)</f>
        <v>静谧之水</v>
      </c>
      <c r="I154" s="76" t="str">
        <f>INDEX('[2]#玺戒参考'!$A:$E,MATCH(G154,'[2]#玺戒参考'!$A:$A,0),5)</f>
        <v>光明护佑</v>
      </c>
      <c r="K154" s="76">
        <f>INDEX('[2]#技能参考'!$A:$A,MATCH(M154,'[2]#技能参考'!$B:$B,0),1)</f>
        <v>200019</v>
      </c>
      <c r="L154" s="76">
        <f>INDEX('[2]#技能参考'!$A:$A,MATCH(N154,'[2]#技能参考'!$B:$B,0),1)</f>
        <v>200072</v>
      </c>
      <c r="M154" s="76" t="s">
        <v>336</v>
      </c>
      <c r="N154" s="76" t="s">
        <v>337</v>
      </c>
    </row>
    <row r="155" spans="1:15" s="76" customFormat="1">
      <c r="A155" s="93">
        <f t="shared" si="19"/>
        <v>25207</v>
      </c>
      <c r="B155" s="76">
        <v>25</v>
      </c>
      <c r="D155" s="76" t="s">
        <v>578</v>
      </c>
      <c r="E155" s="76">
        <v>207</v>
      </c>
      <c r="F155" s="76" t="str">
        <f t="shared" si="21"/>
        <v>200040|200120</v>
      </c>
      <c r="G155" s="76">
        <v>213</v>
      </c>
      <c r="H155" s="76" t="s">
        <v>705</v>
      </c>
      <c r="I155" s="76" t="s">
        <v>706</v>
      </c>
      <c r="K155" s="76">
        <v>200040</v>
      </c>
      <c r="L155" s="76">
        <v>200120</v>
      </c>
      <c r="M155" s="76" t="s">
        <v>707</v>
      </c>
      <c r="N155" s="76" t="s">
        <v>708</v>
      </c>
    </row>
    <row r="156" spans="1:15">
      <c r="A156" s="89">
        <f>26000+E156</f>
        <v>26020</v>
      </c>
      <c r="B156" s="2">
        <v>26</v>
      </c>
      <c r="C156" s="2">
        <v>1</v>
      </c>
      <c r="D156" s="2" t="s">
        <v>355</v>
      </c>
      <c r="E156" s="2">
        <v>20</v>
      </c>
      <c r="F156" s="2" t="str">
        <f t="shared" si="21"/>
        <v>200060|200047</v>
      </c>
      <c r="G156" s="2">
        <v>101</v>
      </c>
      <c r="H156" s="2" t="s">
        <v>451</v>
      </c>
      <c r="I156" s="2" t="s">
        <v>123</v>
      </c>
      <c r="J156" s="2"/>
      <c r="K156" s="2">
        <v>200060</v>
      </c>
      <c r="L156" s="2">
        <v>200047</v>
      </c>
      <c r="M156" s="2" t="s">
        <v>110</v>
      </c>
      <c r="N156" s="2" t="s">
        <v>97</v>
      </c>
      <c r="O156" s="10"/>
    </row>
    <row r="157" spans="1:15">
      <c r="A157" s="89">
        <f t="shared" ref="A157:A159" si="22">26000+E157</f>
        <v>26092</v>
      </c>
      <c r="B157" s="2">
        <v>26</v>
      </c>
      <c r="C157" s="2">
        <v>2</v>
      </c>
      <c r="D157" s="2" t="s">
        <v>360</v>
      </c>
      <c r="E157" s="2">
        <v>92</v>
      </c>
      <c r="F157" s="2" t="str">
        <f t="shared" si="21"/>
        <v>200060|200047</v>
      </c>
      <c r="G157" s="2">
        <v>109</v>
      </c>
      <c r="H157" s="2" t="s">
        <v>457</v>
      </c>
      <c r="I157" s="2" t="s">
        <v>58</v>
      </c>
      <c r="J157" s="2"/>
      <c r="K157" s="2">
        <v>200060</v>
      </c>
      <c r="L157" s="2">
        <v>200047</v>
      </c>
      <c r="M157" s="2" t="s">
        <v>110</v>
      </c>
      <c r="N157" s="2" t="s">
        <v>97</v>
      </c>
      <c r="O157" s="10"/>
    </row>
    <row r="158" spans="1:15">
      <c r="A158" s="89">
        <f t="shared" si="22"/>
        <v>26062</v>
      </c>
      <c r="B158" s="2">
        <v>26</v>
      </c>
      <c r="C158" s="2">
        <v>3</v>
      </c>
      <c r="D158" s="2" t="s">
        <v>42</v>
      </c>
      <c r="E158" s="2">
        <v>62</v>
      </c>
      <c r="F158" s="2" t="str">
        <f t="shared" si="21"/>
        <v>200060|200098</v>
      </c>
      <c r="G158" s="2">
        <v>111</v>
      </c>
      <c r="H158" s="2" t="s">
        <v>459</v>
      </c>
      <c r="I158" s="2" t="s">
        <v>115</v>
      </c>
      <c r="J158" s="2"/>
      <c r="K158" s="2">
        <v>200060</v>
      </c>
      <c r="L158" s="2">
        <v>200098</v>
      </c>
      <c r="M158" s="2" t="s">
        <v>110</v>
      </c>
      <c r="N158" s="2" t="s">
        <v>139</v>
      </c>
      <c r="O158" s="10"/>
    </row>
    <row r="159" spans="1:15">
      <c r="A159" s="89">
        <f t="shared" si="22"/>
        <v>26212</v>
      </c>
      <c r="B159" s="2">
        <v>26</v>
      </c>
      <c r="C159" s="2"/>
      <c r="D159" s="2" t="s">
        <v>40</v>
      </c>
      <c r="E159" s="2">
        <v>212</v>
      </c>
      <c r="F159" s="2" t="str">
        <f t="shared" si="21"/>
        <v>200108|200116</v>
      </c>
      <c r="G159" s="2">
        <v>210</v>
      </c>
      <c r="H159" s="2" t="s">
        <v>471</v>
      </c>
      <c r="I159" s="2" t="s">
        <v>148</v>
      </c>
      <c r="J159" s="2"/>
      <c r="K159" s="2">
        <v>200108</v>
      </c>
      <c r="L159" s="2">
        <v>200116</v>
      </c>
      <c r="M159" s="2" t="s">
        <v>434</v>
      </c>
      <c r="N159" s="2" t="s">
        <v>155</v>
      </c>
      <c r="O159" s="10"/>
    </row>
    <row r="160" spans="1:15" s="76" customFormat="1">
      <c r="A160" s="93">
        <f>27000+E160</f>
        <v>27038</v>
      </c>
      <c r="B160" s="76">
        <v>27</v>
      </c>
      <c r="C160" s="76">
        <v>1</v>
      </c>
      <c r="D160" s="76" t="s">
        <v>688</v>
      </c>
      <c r="E160" s="76">
        <v>38</v>
      </c>
      <c r="F160" s="76" t="str">
        <f t="shared" si="21"/>
        <v>200171|200170</v>
      </c>
      <c r="G160" s="76">
        <v>214</v>
      </c>
      <c r="H160" s="18" t="str">
        <f>INDEX('[2]#玺戒参考'!$A:$E,MATCH(G160,'[2]#玺戒参考'!$A:$A,0),2)</f>
        <v>挽马之戒</v>
      </c>
      <c r="I160" s="18" t="str">
        <f>INDEX('[2]#玺戒参考'!$A:$E,MATCH(G160,'[2]#玺戒参考'!$A:$A,0),5)</f>
        <v>负载强化</v>
      </c>
      <c r="K160" s="76">
        <v>200171</v>
      </c>
      <c r="L160" s="76">
        <v>200170</v>
      </c>
      <c r="M160" s="76" t="s">
        <v>417</v>
      </c>
      <c r="N160" s="76" t="s">
        <v>416</v>
      </c>
    </row>
    <row r="161" spans="1:15" s="76" customFormat="1">
      <c r="A161" s="93">
        <f t="shared" ref="A161:A162" si="23">27000+E161</f>
        <v>27004</v>
      </c>
      <c r="B161" s="76">
        <v>27</v>
      </c>
      <c r="C161" s="76">
        <v>2</v>
      </c>
      <c r="D161" s="76" t="s">
        <v>689</v>
      </c>
      <c r="E161" s="76">
        <v>4</v>
      </c>
      <c r="F161" s="76" t="str">
        <f t="shared" si="21"/>
        <v>200169|200170</v>
      </c>
      <c r="G161" s="76">
        <v>310</v>
      </c>
      <c r="H161" s="18" t="str">
        <f>INDEX('[2]#玺戒参考'!$A:$E,MATCH(G161,'[2]#玺戒参考'!$A:$A,0),2)</f>
        <v>向日葵之戒</v>
      </c>
      <c r="I161" s="18" t="str">
        <f>INDEX('[2]#玺戒参考'!$A:$E,MATCH(G161,'[2]#玺戒参考'!$A:$A,0),5)</f>
        <v>丰收预兆</v>
      </c>
      <c r="K161" s="76">
        <v>200169</v>
      </c>
      <c r="L161" s="76">
        <v>200170</v>
      </c>
      <c r="M161" s="76" t="s">
        <v>690</v>
      </c>
      <c r="N161" s="76" t="s">
        <v>416</v>
      </c>
    </row>
    <row r="162" spans="1:15" s="76" customFormat="1">
      <c r="A162" s="93">
        <f t="shared" si="23"/>
        <v>27019</v>
      </c>
      <c r="B162" s="76">
        <v>27</v>
      </c>
      <c r="C162" s="76">
        <v>3</v>
      </c>
      <c r="D162" s="76" t="s">
        <v>252</v>
      </c>
      <c r="E162" s="76">
        <v>19</v>
      </c>
      <c r="F162" s="76" t="str">
        <f t="shared" si="21"/>
        <v>200169|200171</v>
      </c>
      <c r="G162" s="76">
        <v>309</v>
      </c>
      <c r="H162" s="18" t="str">
        <f>INDEX('[2]#玺戒参考'!$A:$E,MATCH(G162,'[2]#玺戒参考'!$A:$A,0),2)</f>
        <v>紫罗兰之戒</v>
      </c>
      <c r="I162" s="18" t="str">
        <f>INDEX('[2]#玺戒参考'!$A:$E,MATCH(G162,'[2]#玺戒参考'!$A:$A,0),5)</f>
        <v>勤劳之手</v>
      </c>
      <c r="K162" s="76">
        <v>200169</v>
      </c>
      <c r="L162" s="76">
        <v>200171</v>
      </c>
      <c r="M162" s="76" t="s">
        <v>690</v>
      </c>
      <c r="N162" s="76" t="s">
        <v>417</v>
      </c>
    </row>
    <row r="163" spans="1:15">
      <c r="A163" s="95">
        <f>28000+E163</f>
        <v>28107</v>
      </c>
      <c r="B163" s="13">
        <v>28</v>
      </c>
      <c r="C163" s="13">
        <v>3</v>
      </c>
      <c r="D163" s="13" t="s">
        <v>709</v>
      </c>
      <c r="E163" s="13">
        <v>107</v>
      </c>
      <c r="F163" s="13" t="str">
        <f t="shared" si="21"/>
        <v>210006|200100</v>
      </c>
      <c r="G163" s="13">
        <v>113</v>
      </c>
      <c r="H163" s="13" t="str">
        <f>INDEX('[2]#玺戒参考'!$A:$E,MATCH(G163,'[2]#玺戒参考'!$A:$A,0),2)</f>
        <v>静谧之水</v>
      </c>
      <c r="I163" s="13" t="str">
        <f>INDEX('[2]#玺戒参考'!$A:$E,MATCH(G163,'[2]#玺戒参考'!$A:$A,0),5)</f>
        <v>光明护佑</v>
      </c>
      <c r="K163" s="13">
        <f>INDEX('[2]#技能参考'!$A:$A,MATCH(M163,'[2]#技能参考'!$B:$B,0),1)</f>
        <v>210006</v>
      </c>
      <c r="L163" s="13">
        <f>INDEX('[2]#技能参考'!$A:$A,MATCH(N163,'[2]#技能参考'!$B:$B,0),1)</f>
        <v>200100</v>
      </c>
      <c r="M163" s="13" t="s">
        <v>732</v>
      </c>
      <c r="N163" s="13" t="s">
        <v>141</v>
      </c>
    </row>
    <row r="164" spans="1:15" s="97" customFormat="1">
      <c r="A164" s="96">
        <v>29115</v>
      </c>
      <c r="B164" s="97">
        <v>29</v>
      </c>
      <c r="C164" s="97">
        <v>3</v>
      </c>
      <c r="D164" s="97" t="s">
        <v>723</v>
      </c>
      <c r="E164" s="97">
        <v>115</v>
      </c>
      <c r="F164" s="97" t="str">
        <f>K164&amp;"|"&amp;L164</f>
        <v>210007|200010</v>
      </c>
      <c r="G164" s="97">
        <v>113</v>
      </c>
      <c r="H164" s="97" t="str">
        <f>INDEX('[2]#玺戒参考'!$A:$E,MATCH(G164,'[2]#玺戒参考'!$A:$A,0),2)</f>
        <v>静谧之水</v>
      </c>
      <c r="I164" s="97" t="str">
        <f>INDEX('[2]#玺戒参考'!$A:$E,MATCH(G164,'[2]#玺戒参考'!$A:$A,0),5)</f>
        <v>光明护佑</v>
      </c>
      <c r="K164" s="97">
        <f>INDEX('[2]#技能参考'!$A:$A,MATCH(M164,'[2]#技能参考'!$B:$B,0),1)</f>
        <v>210007</v>
      </c>
      <c r="L164" s="97">
        <f>INDEX('[2]#技能参考'!$A:$A,MATCH(N164,'[2]#技能参考'!$B:$B,0),1)</f>
        <v>200010</v>
      </c>
      <c r="M164" s="97" t="s">
        <v>733</v>
      </c>
      <c r="N164" s="97" t="s">
        <v>60</v>
      </c>
    </row>
    <row r="165" spans="1:15">
      <c r="A165" s="95">
        <v>30115</v>
      </c>
      <c r="B165" s="13">
        <v>30</v>
      </c>
      <c r="C165" s="13">
        <v>3</v>
      </c>
      <c r="D165" s="13" t="s">
        <v>723</v>
      </c>
      <c r="E165" s="13">
        <v>115</v>
      </c>
      <c r="F165" s="13" t="str">
        <f>K165&amp;"|"&amp;L165</f>
        <v>210007|200010</v>
      </c>
      <c r="G165" s="13">
        <v>106</v>
      </c>
      <c r="H165" s="13" t="str">
        <f>INDEX('[2]#玺戒参考'!$A:$E,MATCH(G165,'[2]#玺戒参考'!$A:$A,0),2)</f>
        <v>天行骑士</v>
      </c>
      <c r="I165" s="13" t="str">
        <f>INDEX('[2]#玺戒参考'!$A:$E,MATCH(G165,'[2]#玺戒参考'!$A:$A,0),5)</f>
        <v>胜利的代价</v>
      </c>
      <c r="K165" s="13">
        <f>INDEX('[2]#技能参考'!$A:$A,MATCH(M165,'[2]#技能参考'!$B:$B,0),1)</f>
        <v>210007</v>
      </c>
      <c r="L165" s="13">
        <f>INDEX('[2]#技能参考'!$A:$A,MATCH(N165,'[2]#技能参考'!$B:$B,0),1)</f>
        <v>200010</v>
      </c>
      <c r="M165" s="13" t="s">
        <v>733</v>
      </c>
      <c r="N165" s="13" t="s">
        <v>60</v>
      </c>
    </row>
    <row r="166" spans="1:15" s="76" customFormat="1">
      <c r="A166" s="93">
        <v>31116</v>
      </c>
      <c r="B166" s="76">
        <v>31</v>
      </c>
      <c r="C166" s="76">
        <v>1</v>
      </c>
      <c r="D166" s="76" t="s">
        <v>729</v>
      </c>
      <c r="E166" s="76">
        <v>116</v>
      </c>
      <c r="F166" s="18" t="str">
        <f t="shared" ref="F166:F167" si="24">K166&amp;"|"&amp;L166</f>
        <v>210008|200015</v>
      </c>
      <c r="G166" s="76">
        <v>109</v>
      </c>
      <c r="H166" s="18" t="str">
        <f>INDEX('[2]#玺戒参考'!$A:$E,MATCH(G166,'[2]#玺戒参考'!$A:$A,0),2)</f>
        <v>苍蓝之月</v>
      </c>
      <c r="I166" s="18" t="str">
        <f>INDEX('[2]#玺戒参考'!$A:$E,MATCH(G166,'[2]#玺戒参考'!$A:$A,0),5)</f>
        <v>毁灭的预示</v>
      </c>
      <c r="K166" s="18">
        <f>INDEX('[2]#技能参考'!$A:$A,MATCH(M166,'[2]#技能参考'!$B:$B,0),1)</f>
        <v>210008</v>
      </c>
      <c r="L166" s="18">
        <f>INDEX('[2]#技能参考'!$A:$A,MATCH(N166,'[2]#技能参考'!$B:$B,0),1)</f>
        <v>200015</v>
      </c>
      <c r="M166" s="18" t="s">
        <v>731</v>
      </c>
      <c r="N166" s="18" t="s">
        <v>396</v>
      </c>
    </row>
    <row r="167" spans="1:15" s="76" customFormat="1">
      <c r="A167" s="93">
        <v>31014</v>
      </c>
      <c r="B167" s="76">
        <v>31</v>
      </c>
      <c r="D167" s="18" t="s">
        <v>32</v>
      </c>
      <c r="E167" s="18">
        <v>14</v>
      </c>
      <c r="F167" s="18" t="str">
        <f t="shared" si="24"/>
        <v>200063|200016</v>
      </c>
      <c r="G167" s="18">
        <v>109</v>
      </c>
      <c r="H167" s="18" t="str">
        <f>INDEX('[2]#玺戒参考'!$A:$E,MATCH(G167,'[2]#玺戒参考'!$A:$A,0),2)</f>
        <v>苍蓝之月</v>
      </c>
      <c r="I167" s="18" t="str">
        <f>INDEX('[2]#玺戒参考'!$A:$E,MATCH(G167,'[2]#玺戒参考'!$A:$A,0),5)</f>
        <v>毁灭的预示</v>
      </c>
      <c r="J167" s="18"/>
      <c r="K167" s="18">
        <f>INDEX('[2]#技能参考'!$A:$A,MATCH(M167,'[2]#技能参考'!$B:$B,0),1)</f>
        <v>200063</v>
      </c>
      <c r="L167" s="18">
        <f>INDEX('[2]#技能参考'!$A:$A,MATCH(N167,'[2]#技能参考'!$B:$B,0),1)</f>
        <v>200016</v>
      </c>
      <c r="M167" s="18" t="s">
        <v>113</v>
      </c>
      <c r="N167" s="18" t="s">
        <v>66</v>
      </c>
    </row>
    <row r="168" spans="1:15" s="76" customFormat="1">
      <c r="A168" s="93">
        <v>31041</v>
      </c>
      <c r="B168" s="76">
        <v>31</v>
      </c>
      <c r="C168" s="76">
        <v>2</v>
      </c>
      <c r="D168" s="76" t="s">
        <v>251</v>
      </c>
      <c r="E168" s="76">
        <v>41</v>
      </c>
      <c r="F168" s="18" t="str">
        <f>K168&amp;"|"&amp;L168</f>
        <v>200047|200060</v>
      </c>
      <c r="G168" s="18">
        <v>106</v>
      </c>
      <c r="H168" s="18" t="str">
        <f>INDEX('[2]#玺戒参考'!$A:$E,MATCH(G168,'[2]#玺戒参考'!$A:$A,0),2)</f>
        <v>天行骑士</v>
      </c>
      <c r="I168" s="18" t="str">
        <f>INDEX('[2]#玺戒参考'!$A:$E,MATCH(G168,'[2]#玺戒参考'!$A:$A,0),5)</f>
        <v>胜利的代价</v>
      </c>
      <c r="K168" s="18">
        <f>INDEX('[2]#技能参考'!$A:$A,MATCH(M168,'[2]#技能参考'!$B:$B,0),1)</f>
        <v>200047</v>
      </c>
      <c r="L168" s="18">
        <f>INDEX('[2]#技能参考'!$A:$A,MATCH(N168,'[2]#技能参考'!$B:$B,0),1)</f>
        <v>200060</v>
      </c>
      <c r="M168" s="18" t="s">
        <v>97</v>
      </c>
      <c r="N168" s="18" t="s">
        <v>110</v>
      </c>
    </row>
    <row r="169" spans="1:15" s="76" customFormat="1">
      <c r="A169" s="93">
        <v>31016</v>
      </c>
      <c r="B169" s="76">
        <v>31</v>
      </c>
      <c r="D169" s="18" t="s">
        <v>262</v>
      </c>
      <c r="E169" s="18">
        <v>16</v>
      </c>
      <c r="F169" s="18" t="str">
        <f t="shared" ref="F169:F170" si="25">K169&amp;"|"&amp;L169</f>
        <v>200047|200016</v>
      </c>
      <c r="G169" s="18">
        <v>106</v>
      </c>
      <c r="H169" s="18" t="str">
        <f>INDEX('[2]#玺戒参考'!$A:$E,MATCH(G169,'[2]#玺戒参考'!$A:$A,0),2)</f>
        <v>天行骑士</v>
      </c>
      <c r="I169" s="18" t="str">
        <f>INDEX('[2]#玺戒参考'!$A:$E,MATCH(G169,'[2]#玺戒参考'!$A:$A,0),5)</f>
        <v>胜利的代价</v>
      </c>
      <c r="J169" s="18"/>
      <c r="K169" s="18">
        <f>INDEX('[2]#技能参考'!$A:$A,MATCH(M169,'[2]#技能参考'!$B:$B,0),1)</f>
        <v>200047</v>
      </c>
      <c r="L169" s="18">
        <f>INDEX('[2]#技能参考'!$A:$A,MATCH(N169,'[2]#技能参考'!$B:$B,0),1)</f>
        <v>200016</v>
      </c>
      <c r="M169" s="18" t="s">
        <v>97</v>
      </c>
      <c r="N169" s="18" t="s">
        <v>66</v>
      </c>
    </row>
    <row r="170" spans="1:15" s="76" customFormat="1">
      <c r="A170" s="93">
        <v>31062</v>
      </c>
      <c r="B170" s="76">
        <v>31</v>
      </c>
      <c r="C170" s="76">
        <v>3</v>
      </c>
      <c r="D170" s="18" t="s">
        <v>42</v>
      </c>
      <c r="E170" s="18">
        <v>62</v>
      </c>
      <c r="F170" s="18" t="str">
        <f t="shared" si="25"/>
        <v>200060|200098</v>
      </c>
      <c r="G170" s="18">
        <v>111</v>
      </c>
      <c r="H170" s="18" t="str">
        <f>INDEX('[2]#玺戒参考'!$A:$E,MATCH(G170,'[2]#玺戒参考'!$A:$A,0),2)</f>
        <v>不动之山</v>
      </c>
      <c r="I170" s="18" t="str">
        <f>INDEX('[2]#玺戒参考'!$A:$E,MATCH(G170,'[2]#玺戒参考'!$A:$A,0),5)</f>
        <v>避芒击惰</v>
      </c>
      <c r="J170" s="18"/>
      <c r="K170" s="18">
        <f>INDEX('[2]#技能参考'!$A:$A,MATCH(M170,'[2]#技能参考'!$B:$B,0),1)</f>
        <v>200060</v>
      </c>
      <c r="L170" s="18">
        <f>INDEX('[2]#技能参考'!$A:$A,MATCH(N170,'[2]#技能参考'!$B:$B,0),1)</f>
        <v>200098</v>
      </c>
      <c r="M170" s="18" t="s">
        <v>110</v>
      </c>
      <c r="N170" s="18" t="s">
        <v>139</v>
      </c>
    </row>
    <row r="171" spans="1:15">
      <c r="A171" s="95">
        <v>32116</v>
      </c>
      <c r="B171" s="13">
        <v>32</v>
      </c>
      <c r="C171" s="13">
        <v>1</v>
      </c>
      <c r="D171" s="13" t="s">
        <v>729</v>
      </c>
      <c r="E171" s="13">
        <v>116</v>
      </c>
      <c r="F171" s="13" t="str">
        <f>K171&amp;"|"&amp;L171</f>
        <v>210008|200015</v>
      </c>
      <c r="G171" s="13">
        <v>109</v>
      </c>
      <c r="H171" s="13" t="str">
        <f>INDEX('[2]#玺戒参考'!$A:$E,MATCH(G171,'[2]#玺戒参考'!$A:$A,0),2)</f>
        <v>苍蓝之月</v>
      </c>
      <c r="I171" s="13" t="str">
        <f>INDEX('[2]#玺戒参考'!$A:$E,MATCH(G171,'[2]#玺戒参考'!$A:$A,0),5)</f>
        <v>毁灭的预示</v>
      </c>
      <c r="K171" s="13">
        <f>INDEX('[2]#技能参考'!$A:$A,MATCH(M171,'[2]#技能参考'!$B:$B,0),1)</f>
        <v>210008</v>
      </c>
      <c r="L171" s="13">
        <f>INDEX('[2]#技能参考'!$A:$A,MATCH(N171,'[2]#技能参考'!$B:$B,0),1)</f>
        <v>200015</v>
      </c>
      <c r="M171" s="13" t="s">
        <v>731</v>
      </c>
      <c r="N171" s="13" t="s">
        <v>396</v>
      </c>
    </row>
    <row r="172" spans="1:15">
      <c r="A172" s="95">
        <v>32093</v>
      </c>
      <c r="B172" s="13">
        <v>32</v>
      </c>
      <c r="D172" s="13" t="s">
        <v>361</v>
      </c>
      <c r="E172" s="13">
        <v>93</v>
      </c>
      <c r="F172" s="13" t="str">
        <f t="shared" ref="F172:F173" si="26">K172&amp;"|"&amp;L172</f>
        <v>200063|200016</v>
      </c>
      <c r="G172" s="13">
        <v>109</v>
      </c>
      <c r="H172" s="13" t="str">
        <f>INDEX('[2]#玺戒参考'!$A:$E,MATCH(G172,'[2]#玺戒参考'!$A:$A,0),2)</f>
        <v>苍蓝之月</v>
      </c>
      <c r="I172" s="13" t="str">
        <f>INDEX('[2]#玺戒参考'!$A:$E,MATCH(G172,'[2]#玺戒参考'!$A:$A,0),5)</f>
        <v>毁灭的预示</v>
      </c>
      <c r="K172" s="13">
        <f>INDEX('[2]#技能参考'!$A:$A,MATCH(M172,'[2]#技能参考'!$B:$B,0),1)</f>
        <v>200063</v>
      </c>
      <c r="L172" s="13">
        <f>INDEX('[2]#技能参考'!$A:$A,MATCH(N172,'[2]#技能参考'!$B:$B,0),1)</f>
        <v>200016</v>
      </c>
      <c r="M172" s="13" t="s">
        <v>113</v>
      </c>
      <c r="N172" s="13" t="s">
        <v>66</v>
      </c>
    </row>
    <row r="173" spans="1:15">
      <c r="A173" s="89">
        <f>32000+E173</f>
        <v>32020</v>
      </c>
      <c r="B173" s="2">
        <v>32</v>
      </c>
      <c r="C173" s="2"/>
      <c r="D173" s="2" t="s">
        <v>355</v>
      </c>
      <c r="E173" s="2">
        <v>20</v>
      </c>
      <c r="F173" s="2" t="str">
        <f t="shared" si="26"/>
        <v>200060|200047</v>
      </c>
      <c r="G173" s="2">
        <v>109</v>
      </c>
      <c r="H173" s="2" t="s">
        <v>451</v>
      </c>
      <c r="I173" s="2" t="s">
        <v>123</v>
      </c>
      <c r="J173" s="2"/>
      <c r="K173" s="2">
        <v>200060</v>
      </c>
      <c r="L173" s="2">
        <v>200047</v>
      </c>
      <c r="M173" s="2" t="s">
        <v>110</v>
      </c>
      <c r="N173" s="2" t="s">
        <v>97</v>
      </c>
      <c r="O173" s="10"/>
    </row>
    <row r="174" spans="1:15">
      <c r="A174" s="95">
        <v>32041</v>
      </c>
      <c r="B174" s="13">
        <v>32</v>
      </c>
      <c r="C174" s="13">
        <v>2</v>
      </c>
      <c r="D174" s="13" t="s">
        <v>251</v>
      </c>
      <c r="E174" s="13">
        <v>41</v>
      </c>
      <c r="F174" s="13" t="str">
        <f>K174&amp;"|"&amp;L174</f>
        <v>200047|200060</v>
      </c>
      <c r="G174" s="13">
        <v>106</v>
      </c>
      <c r="H174" s="13" t="str">
        <f>INDEX('[2]#玺戒参考'!$A:$E,MATCH(G174,'[2]#玺戒参考'!$A:$A,0),2)</f>
        <v>天行骑士</v>
      </c>
      <c r="I174" s="13" t="str">
        <f>INDEX('[2]#玺戒参考'!$A:$E,MATCH(G174,'[2]#玺戒参考'!$A:$A,0),5)</f>
        <v>胜利的代价</v>
      </c>
      <c r="K174" s="13">
        <f>INDEX('[2]#技能参考'!$A:$A,MATCH(M174,'[2]#技能参考'!$B:$B,0),1)</f>
        <v>200047</v>
      </c>
      <c r="L174" s="13">
        <f>INDEX('[2]#技能参考'!$A:$A,MATCH(N174,'[2]#技能参考'!$B:$B,0),1)</f>
        <v>200060</v>
      </c>
      <c r="M174" s="13" t="s">
        <v>97</v>
      </c>
      <c r="N174" s="13" t="s">
        <v>110</v>
      </c>
    </row>
    <row r="175" spans="1:15">
      <c r="A175" s="95">
        <v>32092</v>
      </c>
      <c r="B175" s="13">
        <v>32</v>
      </c>
      <c r="D175" s="13" t="s">
        <v>360</v>
      </c>
      <c r="E175" s="13">
        <v>92</v>
      </c>
      <c r="F175" s="13" t="str">
        <f t="shared" ref="F175:F195" si="27">K175&amp;"|"&amp;L175</f>
        <v>200060|200047</v>
      </c>
      <c r="G175" s="13">
        <v>106</v>
      </c>
      <c r="H175" s="13" t="str">
        <f>INDEX('[2]#玺戒参考'!$A:$E,MATCH(G175,'[2]#玺戒参考'!$A:$A,0),2)</f>
        <v>天行骑士</v>
      </c>
      <c r="I175" s="13" t="str">
        <f>INDEX('[2]#玺戒参考'!$A:$E,MATCH(G175,'[2]#玺戒参考'!$A:$A,0),5)</f>
        <v>胜利的代价</v>
      </c>
      <c r="K175" s="13">
        <f>INDEX('[2]#技能参考'!$A:$A,MATCH(M175,'[2]#技能参考'!$B:$B,0),1)</f>
        <v>200060</v>
      </c>
      <c r="L175" s="13">
        <f>INDEX('[2]#技能参考'!$A:$A,MATCH(N175,'[2]#技能参考'!$B:$B,0),1)</f>
        <v>200047</v>
      </c>
      <c r="M175" s="13" t="s">
        <v>110</v>
      </c>
      <c r="N175" s="13" t="s">
        <v>97</v>
      </c>
    </row>
    <row r="176" spans="1:15">
      <c r="A176" s="95">
        <v>32062</v>
      </c>
      <c r="B176" s="13">
        <v>32</v>
      </c>
      <c r="C176" s="13">
        <v>3</v>
      </c>
      <c r="D176" s="13" t="s">
        <v>42</v>
      </c>
      <c r="E176" s="13">
        <v>62</v>
      </c>
      <c r="F176" s="13" t="str">
        <f t="shared" si="27"/>
        <v>200060|200098</v>
      </c>
      <c r="G176" s="13">
        <v>113</v>
      </c>
      <c r="H176" s="13" t="str">
        <f>INDEX('[2]#玺戒参考'!$A:$E,MATCH(G176,'[2]#玺戒参考'!$A:$A,0),2)</f>
        <v>静谧之水</v>
      </c>
      <c r="I176" s="13" t="str">
        <f>INDEX('[2]#玺戒参考'!$A:$E,MATCH(G176,'[2]#玺戒参考'!$A:$A,0),5)</f>
        <v>光明护佑</v>
      </c>
      <c r="K176" s="13">
        <f>INDEX('[2]#技能参考'!$A:$A,MATCH(M176,'[2]#技能参考'!$B:$B,0),1)</f>
        <v>200060</v>
      </c>
      <c r="L176" s="13">
        <f>INDEX('[2]#技能参考'!$A:$A,MATCH(N176,'[2]#技能参考'!$B:$B,0),1)</f>
        <v>200098</v>
      </c>
      <c r="M176" s="13" t="s">
        <v>110</v>
      </c>
      <c r="N176" s="13" t="s">
        <v>139</v>
      </c>
    </row>
    <row r="177" spans="1:15">
      <c r="A177" s="93">
        <v>33012</v>
      </c>
      <c r="B177" s="76">
        <v>33</v>
      </c>
      <c r="C177" s="76">
        <v>2</v>
      </c>
      <c r="D177" s="76" t="s">
        <v>282</v>
      </c>
      <c r="E177" s="76">
        <v>12</v>
      </c>
      <c r="F177" s="76" t="str">
        <f t="shared" si="27"/>
        <v>200078|200072</v>
      </c>
      <c r="G177" s="76">
        <v>112</v>
      </c>
      <c r="H177" s="76" t="str">
        <f>INDEX('[2]#玺戒参考'!$A:$E,MATCH(G177,'[2]#玺戒参考'!$A:$A,0),2)</f>
        <v>灼热之火</v>
      </c>
      <c r="I177" s="76" t="str">
        <f>INDEX('[2]#玺戒参考'!$A:$E,MATCH(G177,'[2]#玺戒参考'!$A:$A,0),5)</f>
        <v>英勇时刻</v>
      </c>
      <c r="J177" s="76"/>
      <c r="K177" s="76">
        <f>INDEX('[2]#技能参考'!$A:$A,MATCH(M177,'[2]#技能参考'!$B:$B,0),1)</f>
        <v>200078</v>
      </c>
      <c r="L177" s="76">
        <f>INDEX('[2]#技能参考'!$A:$A,MATCH(N177,'[2]#技能参考'!$B:$B,0),1)</f>
        <v>200072</v>
      </c>
      <c r="M177" s="76" t="s">
        <v>402</v>
      </c>
      <c r="N177" s="76" t="s">
        <v>337</v>
      </c>
    </row>
    <row r="178" spans="1:15">
      <c r="A178" s="98">
        <f>34000+E178</f>
        <v>34121</v>
      </c>
      <c r="B178" s="81">
        <v>34</v>
      </c>
      <c r="C178" s="81">
        <v>1</v>
      </c>
      <c r="D178" s="81" t="s">
        <v>761</v>
      </c>
      <c r="E178" s="81">
        <v>121</v>
      </c>
      <c r="F178" s="81" t="str">
        <f t="shared" si="27"/>
        <v>200037|210009</v>
      </c>
      <c r="G178" s="2">
        <v>105</v>
      </c>
      <c r="H178" s="81" t="str">
        <f>INDEX('[2]#玺戒参考'!$A:$E,MATCH(G178,'[2]#玺戒参考'!$A:$A,0),2)</f>
        <v>毁灭信使</v>
      </c>
      <c r="I178" s="81" t="str">
        <f>INDEX('[2]#玺戒参考'!$A:$E,MATCH(G178,'[2]#玺戒参考'!$A:$A,0),5)</f>
        <v>敏锐洞察</v>
      </c>
      <c r="J178" s="81"/>
      <c r="K178" s="81">
        <f>INDEX('[2]#技能参考'!$A:$A,MATCH(M178,'[2]#技能参考'!$B:$B,0),1)</f>
        <v>200037</v>
      </c>
      <c r="L178" s="81">
        <f>INDEX('[2]#技能参考'!$A:$A,MATCH(N178,'[2]#技能参考'!$B:$B,0),1)</f>
        <v>210009</v>
      </c>
      <c r="M178" s="2" t="s">
        <v>87</v>
      </c>
      <c r="N178" s="2" t="s">
        <v>762</v>
      </c>
    </row>
    <row r="179" spans="1:15">
      <c r="A179" s="98">
        <f t="shared" ref="A179:A186" si="28">34000+E179</f>
        <v>34042</v>
      </c>
      <c r="B179" s="81">
        <v>34</v>
      </c>
      <c r="C179" s="81">
        <v>1</v>
      </c>
      <c r="D179" s="2" t="s">
        <v>41</v>
      </c>
      <c r="E179" s="2">
        <v>42</v>
      </c>
      <c r="F179" s="2" t="str">
        <f t="shared" si="27"/>
        <v>200037|200006</v>
      </c>
      <c r="G179" s="2">
        <v>105</v>
      </c>
      <c r="H179" s="2" t="s">
        <v>453</v>
      </c>
      <c r="I179" s="2" t="s">
        <v>96</v>
      </c>
      <c r="J179" s="2"/>
      <c r="K179" s="2">
        <v>200037</v>
      </c>
      <c r="L179" s="2">
        <v>200006</v>
      </c>
      <c r="M179" s="2" t="s">
        <v>87</v>
      </c>
      <c r="N179" s="2" t="s">
        <v>56</v>
      </c>
      <c r="O179" s="10"/>
    </row>
    <row r="180" spans="1:15">
      <c r="A180" s="98">
        <f t="shared" si="28"/>
        <v>34013</v>
      </c>
      <c r="B180" s="81">
        <v>34</v>
      </c>
      <c r="C180" s="81">
        <v>1</v>
      </c>
      <c r="D180" s="2" t="s">
        <v>372</v>
      </c>
      <c r="E180" s="2">
        <v>13</v>
      </c>
      <c r="F180" s="2" t="str">
        <f t="shared" si="27"/>
        <v>200100|200006</v>
      </c>
      <c r="G180" s="2">
        <v>105</v>
      </c>
      <c r="H180" s="2" t="s">
        <v>453</v>
      </c>
      <c r="I180" s="2" t="s">
        <v>96</v>
      </c>
      <c r="J180" s="2"/>
      <c r="K180" s="2">
        <v>200100</v>
      </c>
      <c r="L180" s="2">
        <v>200006</v>
      </c>
      <c r="M180" s="2" t="s">
        <v>429</v>
      </c>
      <c r="N180" s="2" t="s">
        <v>373</v>
      </c>
      <c r="O180" s="10"/>
    </row>
    <row r="181" spans="1:15" s="103" customFormat="1">
      <c r="A181" s="99">
        <f t="shared" si="28"/>
        <v>34011</v>
      </c>
      <c r="B181" s="100">
        <v>34</v>
      </c>
      <c r="C181" s="101">
        <v>2</v>
      </c>
      <c r="D181" s="101" t="s">
        <v>276</v>
      </c>
      <c r="E181" s="101">
        <v>11</v>
      </c>
      <c r="F181" s="101" t="str">
        <f>K181&amp;"|"&amp;L181</f>
        <v>200037|200006</v>
      </c>
      <c r="G181" s="101">
        <v>111</v>
      </c>
      <c r="H181" s="101" t="str">
        <f>INDEX('[2]#玺戒参考'!$A:$E,MATCH(G181,'[2]#玺戒参考'!$A:$A,0),2)</f>
        <v>不动之山</v>
      </c>
      <c r="I181" s="101" t="str">
        <f>INDEX('[2]#玺戒参考'!$A:$E,MATCH(G181,'[2]#玺戒参考'!$A:$A,0),5)</f>
        <v>避芒击惰</v>
      </c>
      <c r="J181" s="101"/>
      <c r="K181" s="101">
        <v>200037</v>
      </c>
      <c r="L181" s="101">
        <v>200006</v>
      </c>
      <c r="M181" s="101" t="s">
        <v>87</v>
      </c>
      <c r="N181" s="101" t="s">
        <v>56</v>
      </c>
      <c r="O181" s="102"/>
    </row>
    <row r="182" spans="1:15" s="103" customFormat="1">
      <c r="A182" s="99">
        <v>340131</v>
      </c>
      <c r="B182" s="100">
        <v>34</v>
      </c>
      <c r="C182" s="101">
        <v>2</v>
      </c>
      <c r="D182" s="101" t="s">
        <v>372</v>
      </c>
      <c r="E182" s="101">
        <v>13</v>
      </c>
      <c r="F182" s="101" t="str">
        <f t="shared" ref="F182" si="29">K182&amp;"|"&amp;L182</f>
        <v>200100|200006</v>
      </c>
      <c r="G182" s="101">
        <v>111</v>
      </c>
      <c r="H182" s="101" t="s">
        <v>459</v>
      </c>
      <c r="I182" s="101" t="s">
        <v>115</v>
      </c>
      <c r="J182" s="101"/>
      <c r="K182" s="101">
        <v>200100</v>
      </c>
      <c r="L182" s="101">
        <v>200006</v>
      </c>
      <c r="M182" s="101" t="s">
        <v>429</v>
      </c>
      <c r="N182" s="101" t="s">
        <v>373</v>
      </c>
      <c r="O182" s="102"/>
    </row>
    <row r="183" spans="1:15" s="103" customFormat="1">
      <c r="A183" s="99">
        <f t="shared" si="28"/>
        <v>34001</v>
      </c>
      <c r="B183" s="100">
        <v>34</v>
      </c>
      <c r="C183" s="101">
        <v>2</v>
      </c>
      <c r="D183" s="101" t="s">
        <v>332</v>
      </c>
      <c r="E183" s="101">
        <v>1</v>
      </c>
      <c r="F183" s="101" t="str">
        <f>K183&amp;"|"&amp;L183</f>
        <v>200068|200100</v>
      </c>
      <c r="G183" s="101">
        <v>111</v>
      </c>
      <c r="H183" s="101" t="s">
        <v>459</v>
      </c>
      <c r="I183" s="101" t="s">
        <v>115</v>
      </c>
      <c r="J183" s="101"/>
      <c r="K183" s="101">
        <v>200068</v>
      </c>
      <c r="L183" s="101">
        <v>200100</v>
      </c>
      <c r="M183" s="101" t="s">
        <v>118</v>
      </c>
      <c r="N183" s="101" t="s">
        <v>429</v>
      </c>
      <c r="O183" s="102"/>
    </row>
    <row r="184" spans="1:15">
      <c r="A184" s="98">
        <f t="shared" si="28"/>
        <v>34107</v>
      </c>
      <c r="B184" s="81">
        <v>34</v>
      </c>
      <c r="C184" s="13">
        <v>3</v>
      </c>
      <c r="D184" s="13" t="s">
        <v>709</v>
      </c>
      <c r="E184" s="13">
        <v>107</v>
      </c>
      <c r="F184" s="13" t="str">
        <f t="shared" ref="F184:F186" si="30">K184&amp;"|"&amp;L184</f>
        <v>210006|200100</v>
      </c>
      <c r="G184" s="13">
        <v>113</v>
      </c>
      <c r="H184" s="13" t="str">
        <f>INDEX('[2]#玺戒参考'!$A:$E,MATCH(G184,'[2]#玺戒参考'!$A:$A,0),2)</f>
        <v>静谧之水</v>
      </c>
      <c r="I184" s="13" t="str">
        <f>INDEX('[2]#玺戒参考'!$A:$E,MATCH(G184,'[2]#玺戒参考'!$A:$A,0),5)</f>
        <v>光明护佑</v>
      </c>
      <c r="K184" s="13">
        <f>INDEX('[2]#技能参考'!$A:$A,MATCH(M184,'[2]#技能参考'!$B:$B,0),1)</f>
        <v>210006</v>
      </c>
      <c r="L184" s="13">
        <f>INDEX('[2]#技能参考'!$A:$A,MATCH(N184,'[2]#技能参考'!$B:$B,0),1)</f>
        <v>200100</v>
      </c>
      <c r="M184" s="13" t="s">
        <v>732</v>
      </c>
      <c r="N184" s="13" t="s">
        <v>141</v>
      </c>
    </row>
    <row r="185" spans="1:15">
      <c r="A185" s="98">
        <f t="shared" si="28"/>
        <v>34017</v>
      </c>
      <c r="B185" s="81">
        <v>34</v>
      </c>
      <c r="C185" s="2">
        <v>3</v>
      </c>
      <c r="D185" s="2" t="s">
        <v>253</v>
      </c>
      <c r="E185" s="2">
        <v>17</v>
      </c>
      <c r="F185" s="2" t="str">
        <f t="shared" si="30"/>
        <v>200010|200042</v>
      </c>
      <c r="G185" s="2">
        <v>113</v>
      </c>
      <c r="H185" s="2" t="s">
        <v>461</v>
      </c>
      <c r="I185" s="2" t="s">
        <v>61</v>
      </c>
      <c r="J185" s="2"/>
      <c r="K185" s="2">
        <v>200010</v>
      </c>
      <c r="L185" s="2">
        <v>200042</v>
      </c>
      <c r="M185" s="71" t="s">
        <v>379</v>
      </c>
      <c r="N185" s="2" t="s">
        <v>92</v>
      </c>
      <c r="O185" s="10"/>
    </row>
    <row r="186" spans="1:15">
      <c r="A186" s="98">
        <f t="shared" si="28"/>
        <v>34019</v>
      </c>
      <c r="B186" s="81">
        <v>34</v>
      </c>
      <c r="C186" s="2">
        <v>3</v>
      </c>
      <c r="D186" s="2" t="s">
        <v>252</v>
      </c>
      <c r="E186" s="2">
        <v>19</v>
      </c>
      <c r="F186" s="2" t="str">
        <f t="shared" si="30"/>
        <v>200019|200072</v>
      </c>
      <c r="G186" s="2">
        <v>113</v>
      </c>
      <c r="H186" s="2" t="str">
        <f>INDEX('[2]#玺戒参考'!$A:$E,MATCH(G186,'[2]#玺戒参考'!$A:$A,0),2)</f>
        <v>静谧之水</v>
      </c>
      <c r="I186" s="2" t="str">
        <f>INDEX('[2]#玺戒参考'!$A:$E,MATCH(G186,'[2]#玺戒参考'!$A:$A,0),5)</f>
        <v>光明护佑</v>
      </c>
      <c r="J186" s="2"/>
      <c r="K186" s="2">
        <f>INDEX('[2]#技能参考'!$A:$A,MATCH(M186,'[2]#技能参考'!$B:$B,0),1)</f>
        <v>200019</v>
      </c>
      <c r="L186" s="2">
        <f>INDEX('[2]#技能参考'!$A:$A,MATCH(N186,'[2]#技能参考'!$B:$B,0),1)</f>
        <v>200072</v>
      </c>
      <c r="M186" s="2" t="s">
        <v>336</v>
      </c>
      <c r="N186" s="2" t="s">
        <v>337</v>
      </c>
      <c r="O186" s="10"/>
    </row>
    <row r="187" spans="1:15" s="78" customFormat="1">
      <c r="A187" s="104">
        <f>35000+E187</f>
        <v>35106</v>
      </c>
      <c r="B187" s="78">
        <v>35</v>
      </c>
      <c r="C187" s="78">
        <v>1</v>
      </c>
      <c r="D187" s="78" t="s">
        <v>644</v>
      </c>
      <c r="E187" s="78">
        <v>106</v>
      </c>
      <c r="F187" s="78" t="str">
        <f t="shared" si="27"/>
        <v>210001|200005</v>
      </c>
      <c r="G187" s="78">
        <v>110</v>
      </c>
      <c r="H187" s="78" t="str">
        <f>INDEX('[2]#玺戒参考'!$A:$E,MATCH(G187,'[2]#玺戒参考'!$A:$A,0),2)</f>
        <v>赤金之日</v>
      </c>
      <c r="I187" s="78" t="str">
        <f>INDEX('[2]#玺戒参考'!$A:$E,MATCH(G187,'[2]#玺戒参考'!$A:$A,0),5)</f>
        <v>决意强袭</v>
      </c>
      <c r="K187" s="78">
        <f>INDEX('[2]#技能参考'!$A:$A,MATCH(M187,'[2]#技能参考'!$B:$B,0),1)</f>
        <v>210001</v>
      </c>
      <c r="L187" s="78">
        <f>INDEX('[2]#技能参考'!$A:$A,MATCH(N187,'[2]#技能参考'!$B:$B,0),1)</f>
        <v>200005</v>
      </c>
      <c r="M187" s="78" t="s">
        <v>645</v>
      </c>
      <c r="N187" s="78" t="s">
        <v>357</v>
      </c>
    </row>
    <row r="188" spans="1:15" s="78" customFormat="1">
      <c r="A188" s="104">
        <f t="shared" ref="A188:A189" si="31">35000+E188</f>
        <v>35008</v>
      </c>
      <c r="B188" s="78">
        <v>35</v>
      </c>
      <c r="C188" s="78">
        <v>2</v>
      </c>
      <c r="D188" s="78" t="s">
        <v>378</v>
      </c>
      <c r="E188" s="78">
        <v>8</v>
      </c>
      <c r="F188" s="78" t="str">
        <f t="shared" si="27"/>
        <v>200010|200042</v>
      </c>
      <c r="G188" s="78">
        <v>106</v>
      </c>
      <c r="H188" s="78" t="str">
        <f>INDEX('[2]#玺戒参考'!$A:$E,MATCH(G188,'[2]#玺戒参考'!$A:$A,0),2)</f>
        <v>天行骑士</v>
      </c>
      <c r="I188" s="78" t="str">
        <f>INDEX('[2]#玺戒参考'!$A:$E,MATCH(G188,'[2]#玺戒参考'!$A:$A,0),5)</f>
        <v>胜利的代价</v>
      </c>
      <c r="K188" s="78">
        <f>INDEX('[2]#技能参考'!$A:$A,MATCH(M188,'[2]#技能参考'!$B:$B,0),1)</f>
        <v>200010</v>
      </c>
      <c r="L188" s="78">
        <f>INDEX('[2]#技能参考'!$A:$A,MATCH(N188,'[2]#技能参考'!$B:$B,0),1)</f>
        <v>200042</v>
      </c>
      <c r="M188" s="78" t="s">
        <v>379</v>
      </c>
      <c r="N188" s="78" t="s">
        <v>380</v>
      </c>
    </row>
    <row r="189" spans="1:15" s="78" customFormat="1">
      <c r="A189" s="104">
        <f t="shared" si="31"/>
        <v>35115</v>
      </c>
      <c r="B189" s="78">
        <v>35</v>
      </c>
      <c r="C189" s="78">
        <v>2</v>
      </c>
      <c r="D189" s="78" t="s">
        <v>723</v>
      </c>
      <c r="E189" s="78">
        <v>115</v>
      </c>
      <c r="F189" s="78" t="str">
        <f>K189&amp;"|"&amp;L189</f>
        <v>210007|200010</v>
      </c>
      <c r="G189" s="78">
        <v>106</v>
      </c>
      <c r="H189" s="78" t="str">
        <f>INDEX('[2]#玺戒参考'!$A:$E,MATCH(G189,'[2]#玺戒参考'!$A:$A,0),2)</f>
        <v>天行骑士</v>
      </c>
      <c r="I189" s="78" t="str">
        <f>INDEX('[2]#玺戒参考'!$A:$E,MATCH(G189,'[2]#玺戒参考'!$A:$A,0),5)</f>
        <v>胜利的代价</v>
      </c>
      <c r="K189" s="78">
        <f>INDEX('[2]#技能参考'!$A:$A,MATCH(M189,'[2]#技能参考'!$B:$B,0),1)</f>
        <v>210007</v>
      </c>
      <c r="L189" s="78">
        <f>INDEX('[2]#技能参考'!$A:$A,MATCH(N189,'[2]#技能参考'!$B:$B,0),1)</f>
        <v>200010</v>
      </c>
      <c r="M189" s="78" t="s">
        <v>763</v>
      </c>
      <c r="N189" s="78" t="s">
        <v>379</v>
      </c>
    </row>
    <row r="190" spans="1:15" s="78" customFormat="1">
      <c r="A190" s="104">
        <v>350911</v>
      </c>
      <c r="B190" s="78">
        <v>35</v>
      </c>
      <c r="C190" s="78">
        <v>2</v>
      </c>
      <c r="D190" s="78" t="s">
        <v>366</v>
      </c>
      <c r="E190" s="78">
        <v>91</v>
      </c>
      <c r="F190" s="78" t="str">
        <f t="shared" si="27"/>
        <v>200015|200007</v>
      </c>
      <c r="G190" s="78">
        <v>106</v>
      </c>
      <c r="H190" s="78" t="str">
        <f>INDEX('[2]#玺戒参考'!$A:$E,MATCH(G190,'[2]#玺戒参考'!$A:$A,0),2)</f>
        <v>天行骑士</v>
      </c>
      <c r="I190" s="78" t="str">
        <f>INDEX('[2]#玺戒参考'!$A:$E,MATCH(G190,'[2]#玺戒参考'!$A:$A,0),5)</f>
        <v>胜利的代价</v>
      </c>
      <c r="K190" s="78">
        <f>INDEX('[2]#技能参考'!$A:$A,MATCH(M190,'[2]#技能参考'!$B:$B,0),1)</f>
        <v>200015</v>
      </c>
      <c r="L190" s="78">
        <f>INDEX('[2]#技能参考'!$A:$A,MATCH(N190,'[2]#技能参考'!$B:$B,0),1)</f>
        <v>200007</v>
      </c>
      <c r="M190" s="78" t="s">
        <v>396</v>
      </c>
      <c r="N190" s="78" t="s">
        <v>646</v>
      </c>
    </row>
    <row r="191" spans="1:15" s="105" customFormat="1" ht="15">
      <c r="A191" s="128">
        <f>35000+E191</f>
        <v>35122</v>
      </c>
      <c r="B191" s="105">
        <v>35</v>
      </c>
      <c r="C191" s="105">
        <v>3</v>
      </c>
      <c r="D191" s="105" t="s">
        <v>764</v>
      </c>
      <c r="E191" s="105">
        <v>122</v>
      </c>
      <c r="F191" s="105" t="str">
        <f>K191&amp;"|"&amp;L191</f>
        <v>210010|200015</v>
      </c>
      <c r="G191" s="105">
        <v>111</v>
      </c>
      <c r="H191" s="105" t="str">
        <f>INDEX('[2]#玺戒参考'!$A:$E,MATCH(G191,'[2]#玺戒参考'!$A:$A,0),2)</f>
        <v>不动之山</v>
      </c>
      <c r="I191" s="105" t="str">
        <f>INDEX('[2]#玺戒参考'!$A:$E,MATCH(G191,'[2]#玺戒参考'!$A:$A,0),5)</f>
        <v>避芒击惰</v>
      </c>
      <c r="K191" s="105">
        <f>INDEX('[2]#技能参考'!$A:$A,MATCH(M191,'[2]#技能参考'!$B:$B,0),1)</f>
        <v>210010</v>
      </c>
      <c r="L191" s="105">
        <f>INDEX('[2]#技能参考'!$A:$A,MATCH(N191,'[2]#技能参考'!$B:$B,0),1)</f>
        <v>200015</v>
      </c>
      <c r="M191" s="105" t="s">
        <v>765</v>
      </c>
      <c r="N191" s="105" t="s">
        <v>396</v>
      </c>
    </row>
    <row r="192" spans="1:15" s="78" customFormat="1">
      <c r="A192" s="104">
        <f>35000+E192</f>
        <v>35077</v>
      </c>
      <c r="B192" s="78">
        <v>35</v>
      </c>
      <c r="C192" s="105">
        <v>3</v>
      </c>
      <c r="D192" s="78" t="s">
        <v>580</v>
      </c>
      <c r="E192" s="78">
        <v>77</v>
      </c>
      <c r="F192" s="78" t="str">
        <f>K192&amp;"|"&amp;L192</f>
        <v>200009|200068</v>
      </c>
      <c r="G192" s="78">
        <v>111</v>
      </c>
      <c r="H192" s="78" t="str">
        <f>INDEX('[2]#玺戒参考'!$A:$E,MATCH(G192,'[2]#玺戒参考'!$A:$A,0),2)</f>
        <v>不动之山</v>
      </c>
      <c r="I192" s="78" t="str">
        <f>INDEX('[2]#玺戒参考'!$A:$E,MATCH(G192,'[2]#玺戒参考'!$A:$A,0),5)</f>
        <v>避芒击惰</v>
      </c>
      <c r="K192" s="78">
        <f>INDEX('[2]#技能参考'!$A:$A,MATCH(M192,'[2]#技能参考'!$B:$B,0),1)</f>
        <v>200009</v>
      </c>
      <c r="L192" s="78">
        <f>INDEX('[2]#技能参考'!$A:$A,MATCH(N192,'[2]#技能参考'!$B:$B,0),1)</f>
        <v>200068</v>
      </c>
      <c r="M192" s="78" t="s">
        <v>409</v>
      </c>
      <c r="N192" s="78" t="s">
        <v>581</v>
      </c>
    </row>
    <row r="193" spans="1:16" s="78" customFormat="1">
      <c r="A193" s="104">
        <f>35000+E193</f>
        <v>35091</v>
      </c>
      <c r="B193" s="78">
        <v>35</v>
      </c>
      <c r="C193" s="105">
        <v>3</v>
      </c>
      <c r="D193" s="78" t="s">
        <v>366</v>
      </c>
      <c r="E193" s="78">
        <v>91</v>
      </c>
      <c r="F193" s="78" t="str">
        <f t="shared" ref="F193" si="32">K193&amp;"|"&amp;L193</f>
        <v>200015|200007</v>
      </c>
      <c r="G193" s="78">
        <v>111</v>
      </c>
      <c r="H193" s="78" t="str">
        <f>INDEX('[2]#玺戒参考'!$A:$E,MATCH(G193,'[2]#玺戒参考'!$A:$A,0),2)</f>
        <v>不动之山</v>
      </c>
      <c r="I193" s="78" t="str">
        <f>INDEX('[2]#玺戒参考'!$A:$E,MATCH(G193,'[2]#玺戒参考'!$A:$A,0),5)</f>
        <v>避芒击惰</v>
      </c>
      <c r="K193" s="78">
        <f>INDEX('[2]#技能参考'!$A:$A,MATCH(M193,'[2]#技能参考'!$B:$B,0),1)</f>
        <v>200015</v>
      </c>
      <c r="L193" s="78">
        <f>INDEX('[2]#技能参考'!$A:$A,MATCH(N193,'[2]#技能参考'!$B:$B,0),1)</f>
        <v>200007</v>
      </c>
      <c r="M193" s="78" t="s">
        <v>396</v>
      </c>
      <c r="N193" s="78" t="s">
        <v>646</v>
      </c>
    </row>
    <row r="194" spans="1:16">
      <c r="A194" s="92">
        <f>36000+E194</f>
        <v>36021</v>
      </c>
      <c r="B194" s="2">
        <v>36</v>
      </c>
      <c r="C194" s="2">
        <v>1</v>
      </c>
      <c r="D194" s="2" t="s">
        <v>271</v>
      </c>
      <c r="E194" s="2">
        <v>21</v>
      </c>
      <c r="F194" s="2" t="str">
        <f t="shared" si="27"/>
        <v>200015|200005</v>
      </c>
      <c r="G194" s="2">
        <v>110</v>
      </c>
      <c r="H194" s="2" t="s">
        <v>458</v>
      </c>
      <c r="I194" s="2" t="s">
        <v>130</v>
      </c>
      <c r="J194" s="2"/>
      <c r="K194" s="2">
        <v>200015</v>
      </c>
      <c r="L194" s="2">
        <v>200005</v>
      </c>
      <c r="M194" s="2" t="s">
        <v>396</v>
      </c>
      <c r="N194" s="2" t="s">
        <v>55</v>
      </c>
      <c r="O194" s="10"/>
    </row>
    <row r="195" spans="1:16">
      <c r="A195" s="92">
        <f t="shared" ref="A195:A196" si="33">36000+E195</f>
        <v>36008</v>
      </c>
      <c r="B195" s="2">
        <v>36</v>
      </c>
      <c r="C195" s="2">
        <v>2</v>
      </c>
      <c r="D195" s="2" t="s">
        <v>378</v>
      </c>
      <c r="E195" s="2">
        <v>8</v>
      </c>
      <c r="F195" s="2" t="str">
        <f t="shared" si="27"/>
        <v>200042|200010</v>
      </c>
      <c r="G195" s="2">
        <v>106</v>
      </c>
      <c r="H195" s="2" t="s">
        <v>454</v>
      </c>
      <c r="I195" s="2" t="s">
        <v>114</v>
      </c>
      <c r="J195" s="2"/>
      <c r="K195" s="2">
        <v>200042</v>
      </c>
      <c r="L195" s="2">
        <v>200010</v>
      </c>
      <c r="M195" s="2" t="s">
        <v>380</v>
      </c>
      <c r="N195" s="2" t="s">
        <v>379</v>
      </c>
      <c r="O195" s="10"/>
    </row>
    <row r="196" spans="1:16" s="79" customFormat="1">
      <c r="A196" s="92">
        <f t="shared" si="33"/>
        <v>36115</v>
      </c>
      <c r="B196" s="79">
        <v>36</v>
      </c>
      <c r="C196" s="79">
        <v>2</v>
      </c>
      <c r="D196" s="79" t="s">
        <v>723</v>
      </c>
      <c r="E196" s="79">
        <v>115</v>
      </c>
      <c r="F196" s="79" t="str">
        <f>K196&amp;"|"&amp;L196</f>
        <v>210007|200010</v>
      </c>
      <c r="G196" s="79">
        <v>106</v>
      </c>
      <c r="H196" s="79" t="str">
        <f>INDEX('[2]#玺戒参考'!$A:$E,MATCH(G196,'[2]#玺戒参考'!$A:$A,0),2)</f>
        <v>天行骑士</v>
      </c>
      <c r="I196" s="79" t="str">
        <f>INDEX('[2]#玺戒参考'!$A:$E,MATCH(G196,'[2]#玺戒参考'!$A:$A,0),5)</f>
        <v>胜利的代价</v>
      </c>
      <c r="K196" s="79">
        <f>INDEX('[2]#技能参考'!$A:$A,MATCH(M196,'[2]#技能参考'!$B:$B,0),1)</f>
        <v>210007</v>
      </c>
      <c r="L196" s="79">
        <f>INDEX('[2]#技能参考'!$A:$A,MATCH(N196,'[2]#技能参考'!$B:$B,0),1)</f>
        <v>200010</v>
      </c>
      <c r="M196" s="79" t="s">
        <v>763</v>
      </c>
      <c r="N196" s="79" t="s">
        <v>379</v>
      </c>
    </row>
    <row r="197" spans="1:16" s="79" customFormat="1">
      <c r="A197" s="94">
        <v>360911</v>
      </c>
      <c r="B197" s="79">
        <v>36</v>
      </c>
      <c r="C197" s="79">
        <v>2</v>
      </c>
      <c r="D197" s="79" t="s">
        <v>366</v>
      </c>
      <c r="E197" s="79">
        <v>91</v>
      </c>
      <c r="F197" s="79" t="str">
        <f t="shared" ref="F197" si="34">K197&amp;"|"&amp;L197</f>
        <v>200015|200007</v>
      </c>
      <c r="G197" s="79">
        <v>106</v>
      </c>
      <c r="H197" s="79" t="str">
        <f>INDEX('[2]#玺戒参考'!$A:$E,MATCH(G197,'[2]#玺戒参考'!$A:$A,0),2)</f>
        <v>天行骑士</v>
      </c>
      <c r="I197" s="79" t="str">
        <f>INDEX('[2]#玺戒参考'!$A:$E,MATCH(G197,'[2]#玺戒参考'!$A:$A,0),5)</f>
        <v>胜利的代价</v>
      </c>
      <c r="K197" s="79">
        <f>INDEX('[2]#技能参考'!$A:$A,MATCH(M197,'[2]#技能参考'!$B:$B,0),1)</f>
        <v>200015</v>
      </c>
      <c r="L197" s="79">
        <f>INDEX('[2]#技能参考'!$A:$A,MATCH(N197,'[2]#技能参考'!$B:$B,0),1)</f>
        <v>200007</v>
      </c>
      <c r="M197" s="79" t="s">
        <v>396</v>
      </c>
      <c r="N197" s="79" t="s">
        <v>646</v>
      </c>
      <c r="P197" s="13"/>
    </row>
    <row r="198" spans="1:16" s="132" customFormat="1" ht="15">
      <c r="A198" s="129">
        <f t="shared" ref="A198:A200" si="35">36000+E198</f>
        <v>36122</v>
      </c>
      <c r="B198" s="130">
        <v>36</v>
      </c>
      <c r="C198" s="130">
        <v>3</v>
      </c>
      <c r="D198" s="131" t="s">
        <v>764</v>
      </c>
      <c r="E198" s="131">
        <v>122</v>
      </c>
      <c r="F198" s="131" t="str">
        <f>K198&amp;"|"&amp;L198</f>
        <v>210010|200015</v>
      </c>
      <c r="G198" s="131">
        <v>111</v>
      </c>
      <c r="H198" s="131" t="str">
        <f>INDEX('[2]#玺戒参考'!$A:$E,MATCH(G198,'[2]#玺戒参考'!$A:$A,0),2)</f>
        <v>不动之山</v>
      </c>
      <c r="I198" s="131" t="str">
        <f>INDEX('[2]#玺戒参考'!$A:$E,MATCH(G198,'[2]#玺戒参考'!$A:$A,0),5)</f>
        <v>避芒击惰</v>
      </c>
      <c r="J198" s="131"/>
      <c r="K198" s="131">
        <f>INDEX('[2]#技能参考'!$A:$A,MATCH(M198,'[2]#技能参考'!$B:$B,0),1)</f>
        <v>210010</v>
      </c>
      <c r="L198" s="131">
        <f>INDEX('[2]#技能参考'!$A:$A,MATCH(N198,'[2]#技能参考'!$B:$B,0),1)</f>
        <v>200015</v>
      </c>
      <c r="M198" s="132" t="s">
        <v>765</v>
      </c>
      <c r="N198" s="132" t="s">
        <v>396</v>
      </c>
      <c r="O198" s="133"/>
    </row>
    <row r="199" spans="1:16">
      <c r="A199" s="92">
        <f t="shared" si="35"/>
        <v>36077</v>
      </c>
      <c r="B199" s="2">
        <v>36</v>
      </c>
      <c r="C199" s="2">
        <v>3</v>
      </c>
      <c r="D199" s="2" t="s">
        <v>580</v>
      </c>
      <c r="E199" s="2">
        <v>77</v>
      </c>
      <c r="F199" s="2" t="str">
        <f t="shared" ref="F199:F208" si="36">K199&amp;"|"&amp;L199</f>
        <v>200009|200068</v>
      </c>
      <c r="G199" s="2">
        <v>111</v>
      </c>
      <c r="H199" s="79" t="str">
        <f>INDEX('[2]#玺戒参考'!$A:$E,MATCH(G199,'[2]#玺戒参考'!$A:$A,0),2)</f>
        <v>不动之山</v>
      </c>
      <c r="I199" s="79" t="str">
        <f>INDEX('[2]#玺戒参考'!$A:$E,MATCH(G199,'[2]#玺戒参考'!$A:$A,0),5)</f>
        <v>避芒击惰</v>
      </c>
      <c r="J199" s="2"/>
      <c r="K199" s="2">
        <f>INDEX('[2]#技能参考'!$A:$A,MATCH(M199,'[2]#技能参考'!$B:$B,0),1)</f>
        <v>200009</v>
      </c>
      <c r="L199" s="2">
        <f>INDEX('[2]#技能参考'!$A:$A,MATCH(N199,'[2]#技能参考'!$B:$B,0),1)</f>
        <v>200068</v>
      </c>
      <c r="M199" s="2" t="s">
        <v>409</v>
      </c>
      <c r="N199" s="2" t="s">
        <v>581</v>
      </c>
      <c r="O199" s="10"/>
    </row>
    <row r="200" spans="1:16">
      <c r="A200" s="92">
        <f t="shared" si="35"/>
        <v>36091</v>
      </c>
      <c r="B200" s="2">
        <v>36</v>
      </c>
      <c r="C200" s="2">
        <v>3</v>
      </c>
      <c r="D200" s="2" t="s">
        <v>366</v>
      </c>
      <c r="E200" s="2">
        <v>91</v>
      </c>
      <c r="F200" s="2" t="str">
        <f t="shared" si="36"/>
        <v>200061|200005</v>
      </c>
      <c r="G200" s="2">
        <v>111</v>
      </c>
      <c r="H200" s="79" t="str">
        <f>INDEX('[2]#玺戒参考'!$A:$E,MATCH(G200,'[2]#玺戒参考'!$A:$A,0),2)</f>
        <v>不动之山</v>
      </c>
      <c r="I200" s="79" t="str">
        <f>INDEX('[2]#玺戒参考'!$A:$E,MATCH(G200,'[2]#玺戒参考'!$A:$A,0),5)</f>
        <v>避芒击惰</v>
      </c>
      <c r="J200" s="2"/>
      <c r="K200" s="2">
        <v>200061</v>
      </c>
      <c r="L200" s="2">
        <v>200005</v>
      </c>
      <c r="M200" s="79" t="s">
        <v>396</v>
      </c>
      <c r="N200" s="79" t="s">
        <v>646</v>
      </c>
      <c r="O200" s="10"/>
    </row>
    <row r="201" spans="1:16" s="105" customFormat="1" ht="15">
      <c r="A201" s="128">
        <f t="shared" ref="A201:A205" si="37">37000+E201</f>
        <v>37122</v>
      </c>
      <c r="B201" s="105">
        <v>37</v>
      </c>
      <c r="C201" s="105">
        <v>1</v>
      </c>
      <c r="D201" s="105" t="s">
        <v>764</v>
      </c>
      <c r="E201" s="105">
        <v>122</v>
      </c>
      <c r="F201" s="105" t="str">
        <f t="shared" si="36"/>
        <v>210010|200015</v>
      </c>
      <c r="G201" s="105">
        <v>111</v>
      </c>
      <c r="H201" s="105" t="str">
        <f>INDEX('[2]#玺戒参考'!$A:$E,MATCH(G201,'[2]#玺戒参考'!$A:$A,0),2)</f>
        <v>不动之山</v>
      </c>
      <c r="I201" s="105" t="str">
        <f>INDEX('[2]#玺戒参考'!$A:$E,MATCH(G201,'[2]#玺戒参考'!$A:$A,0),5)</f>
        <v>避芒击惰</v>
      </c>
      <c r="K201" s="105">
        <f>INDEX('[2]#技能参考'!$A:$A,MATCH(M201,'[2]#技能参考'!$B:$B,0),1)</f>
        <v>210010</v>
      </c>
      <c r="L201" s="105">
        <f>INDEX('[2]#技能参考'!$A:$A,MATCH(N201,'[2]#技能参考'!$B:$B,0),1)</f>
        <v>200015</v>
      </c>
      <c r="M201" s="105" t="s">
        <v>765</v>
      </c>
      <c r="N201" s="105" t="s">
        <v>396</v>
      </c>
    </row>
    <row r="202" spans="1:16">
      <c r="A202" s="104">
        <f t="shared" si="37"/>
        <v>37021</v>
      </c>
      <c r="B202" s="78">
        <v>37</v>
      </c>
      <c r="C202" s="78">
        <v>2</v>
      </c>
      <c r="D202" s="78" t="s">
        <v>271</v>
      </c>
      <c r="E202" s="78">
        <v>21</v>
      </c>
      <c r="F202" s="78" t="str">
        <f t="shared" si="36"/>
        <v>200005|200019</v>
      </c>
      <c r="G202" s="78">
        <v>110</v>
      </c>
      <c r="H202" s="78" t="s">
        <v>766</v>
      </c>
      <c r="I202" s="78" t="s">
        <v>767</v>
      </c>
      <c r="J202" s="78"/>
      <c r="K202" s="78">
        <v>200005</v>
      </c>
      <c r="L202" s="78">
        <v>200019</v>
      </c>
      <c r="M202" s="78" t="s">
        <v>357</v>
      </c>
      <c r="N202" s="78" t="s">
        <v>336</v>
      </c>
      <c r="O202" s="10"/>
    </row>
    <row r="203" spans="1:16" s="78" customFormat="1">
      <c r="A203" s="104">
        <f t="shared" si="37"/>
        <v>37106</v>
      </c>
      <c r="B203" s="78">
        <v>37</v>
      </c>
      <c r="C203" s="78">
        <v>2</v>
      </c>
      <c r="D203" s="78" t="s">
        <v>644</v>
      </c>
      <c r="E203" s="78">
        <v>106</v>
      </c>
      <c r="F203" s="78" t="str">
        <f t="shared" si="36"/>
        <v>210001|200005</v>
      </c>
      <c r="G203" s="78">
        <v>110</v>
      </c>
      <c r="H203" s="78" t="str">
        <f>INDEX('[2]#玺戒参考'!$A:$E,MATCH(G203,'[2]#玺戒参考'!$A:$A,0),2)</f>
        <v>赤金之日</v>
      </c>
      <c r="I203" s="78" t="str">
        <f>INDEX('[2]#玺戒参考'!$A:$E,MATCH(G203,'[2]#玺戒参考'!$A:$A,0),5)</f>
        <v>决意强袭</v>
      </c>
      <c r="K203" s="78">
        <f>INDEX('[2]#技能参考'!$A:$A,MATCH(M203,'[2]#技能参考'!$B:$B,0),1)</f>
        <v>210001</v>
      </c>
      <c r="L203" s="78">
        <f>INDEX('[2]#技能参考'!$A:$A,MATCH(N203,'[2]#技能参考'!$B:$B,0),1)</f>
        <v>200005</v>
      </c>
      <c r="M203" s="78" t="s">
        <v>645</v>
      </c>
      <c r="N203" s="78" t="s">
        <v>357</v>
      </c>
    </row>
    <row r="204" spans="1:16" s="78" customFormat="1">
      <c r="A204" s="104">
        <f t="shared" si="37"/>
        <v>37077</v>
      </c>
      <c r="B204" s="78">
        <v>37</v>
      </c>
      <c r="C204" s="78">
        <v>2</v>
      </c>
      <c r="D204" s="78" t="s">
        <v>580</v>
      </c>
      <c r="E204" s="78">
        <v>77</v>
      </c>
      <c r="F204" s="78" t="str">
        <f t="shared" si="36"/>
        <v>200009|200068</v>
      </c>
      <c r="G204" s="78">
        <v>113</v>
      </c>
      <c r="H204" s="78" t="str">
        <f>INDEX('[2]#玺戒参考'!$A:$E,MATCH(G204,'[2]#玺戒参考'!$A:$A,0),2)</f>
        <v>静谧之水</v>
      </c>
      <c r="I204" s="78" t="str">
        <f>INDEX('[2]#玺戒参考'!$A:$E,MATCH(G204,'[2]#玺戒参考'!$A:$A,0),5)</f>
        <v>光明护佑</v>
      </c>
      <c r="K204" s="78">
        <f>INDEX('[2]#技能参考'!$A:$A,MATCH(M204,'[2]#技能参考'!$B:$B,0),1)</f>
        <v>200009</v>
      </c>
      <c r="L204" s="78">
        <f>INDEX('[2]#技能参考'!$A:$A,MATCH(N204,'[2]#技能参考'!$B:$B,0),1)</f>
        <v>200068</v>
      </c>
      <c r="M204" s="78" t="s">
        <v>409</v>
      </c>
      <c r="N204" s="78" t="s">
        <v>581</v>
      </c>
    </row>
    <row r="205" spans="1:16" s="78" customFormat="1">
      <c r="A205" s="104">
        <f t="shared" si="37"/>
        <v>37008</v>
      </c>
      <c r="B205" s="78">
        <v>37</v>
      </c>
      <c r="C205" s="78">
        <v>3</v>
      </c>
      <c r="D205" s="78" t="s">
        <v>378</v>
      </c>
      <c r="E205" s="78">
        <v>8</v>
      </c>
      <c r="F205" s="78" t="str">
        <f t="shared" si="36"/>
        <v>200010|200042</v>
      </c>
      <c r="G205" s="78">
        <v>106</v>
      </c>
      <c r="H205" s="78" t="str">
        <f>INDEX('[2]#玺戒参考'!$A:$E,MATCH(G205,'[2]#玺戒参考'!$A:$A,0),2)</f>
        <v>天行骑士</v>
      </c>
      <c r="I205" s="78" t="str">
        <f>INDEX('[2]#玺戒参考'!$A:$E,MATCH(G205,'[2]#玺戒参考'!$A:$A,0),5)</f>
        <v>胜利的代价</v>
      </c>
      <c r="K205" s="78">
        <f>INDEX('[2]#技能参考'!$A:$A,MATCH(M205,'[2]#技能参考'!$B:$B,0),1)</f>
        <v>200010</v>
      </c>
      <c r="L205" s="78">
        <f>INDEX('[2]#技能参考'!$A:$A,MATCH(N205,'[2]#技能参考'!$B:$B,0),1)</f>
        <v>200042</v>
      </c>
      <c r="M205" s="78" t="s">
        <v>379</v>
      </c>
      <c r="N205" s="78" t="s">
        <v>380</v>
      </c>
    </row>
    <row r="206" spans="1:16" s="78" customFormat="1">
      <c r="A206" s="104">
        <f>37000+E206</f>
        <v>37115</v>
      </c>
      <c r="B206" s="78">
        <v>37</v>
      </c>
      <c r="C206" s="78">
        <v>3</v>
      </c>
      <c r="D206" s="78" t="s">
        <v>723</v>
      </c>
      <c r="E206" s="78">
        <v>115</v>
      </c>
      <c r="F206" s="78" t="str">
        <f t="shared" si="36"/>
        <v>210007|200010</v>
      </c>
      <c r="G206" s="78">
        <v>106</v>
      </c>
      <c r="H206" s="78" t="str">
        <f>INDEX('[2]#玺戒参考'!$A:$E,MATCH(G206,'[2]#玺戒参考'!$A:$A,0),2)</f>
        <v>天行骑士</v>
      </c>
      <c r="I206" s="78" t="str">
        <f>INDEX('[2]#玺戒参考'!$A:$E,MATCH(G206,'[2]#玺戒参考'!$A:$A,0),5)</f>
        <v>胜利的代价</v>
      </c>
      <c r="K206" s="78">
        <f>INDEX('[2]#技能参考'!$A:$A,MATCH(M206,'[2]#技能参考'!$B:$B,0),1)</f>
        <v>210007</v>
      </c>
      <c r="L206" s="78">
        <f>INDEX('[2]#技能参考'!$A:$A,MATCH(N206,'[2]#技能参考'!$B:$B,0),1)</f>
        <v>200010</v>
      </c>
      <c r="M206" s="78" t="s">
        <v>763</v>
      </c>
      <c r="N206" s="78" t="s">
        <v>379</v>
      </c>
    </row>
    <row r="207" spans="1:16" s="78" customFormat="1">
      <c r="A207" s="104">
        <v>370771</v>
      </c>
      <c r="B207" s="78">
        <v>37</v>
      </c>
      <c r="C207" s="78">
        <v>3</v>
      </c>
      <c r="D207" s="78" t="s">
        <v>580</v>
      </c>
      <c r="E207" s="78">
        <v>77</v>
      </c>
      <c r="F207" s="78" t="str">
        <f t="shared" si="36"/>
        <v>200009|200068</v>
      </c>
      <c r="G207" s="78">
        <v>106</v>
      </c>
      <c r="H207" s="78" t="str">
        <f>INDEX('[2]#玺戒参考'!$A:$E,MATCH(G207,'[2]#玺戒参考'!$A:$A,0),2)</f>
        <v>天行骑士</v>
      </c>
      <c r="I207" s="78" t="str">
        <f>INDEX('[2]#玺戒参考'!$A:$E,MATCH(G207,'[2]#玺戒参考'!$A:$A,0),5)</f>
        <v>胜利的代价</v>
      </c>
      <c r="K207" s="78">
        <f>INDEX('[2]#技能参考'!$A:$A,MATCH(M207,'[2]#技能参考'!$B:$B,0),1)</f>
        <v>200009</v>
      </c>
      <c r="L207" s="78">
        <f>INDEX('[2]#技能参考'!$A:$A,MATCH(N207,'[2]#技能参考'!$B:$B,0),1)</f>
        <v>200068</v>
      </c>
      <c r="M207" s="78" t="s">
        <v>409</v>
      </c>
      <c r="N207" s="78" t="s">
        <v>581</v>
      </c>
    </row>
    <row r="208" spans="1:16">
      <c r="A208" s="94">
        <f>38000+E208</f>
        <v>38069</v>
      </c>
      <c r="B208" s="79">
        <v>38</v>
      </c>
      <c r="C208" s="79">
        <v>1</v>
      </c>
      <c r="D208" s="79" t="s">
        <v>331</v>
      </c>
      <c r="E208" s="79">
        <v>69</v>
      </c>
      <c r="F208" s="79" t="str">
        <f t="shared" si="36"/>
        <v>210002|210003</v>
      </c>
      <c r="G208" s="79">
        <v>111</v>
      </c>
      <c r="H208" s="79" t="str">
        <f>INDEX('[2]#玺戒参考'!$A:$E,MATCH(G208,'[2]#玺戒参考'!$A:$A,0),2)</f>
        <v>不动之山</v>
      </c>
      <c r="I208" s="79" t="str">
        <f>INDEX('[2]#玺戒参考'!$A:$E,MATCH(G208,'[2]#玺戒参考'!$A:$A,0),5)</f>
        <v>避芒击惰</v>
      </c>
      <c r="J208" s="79"/>
      <c r="K208" s="79">
        <f>INDEX('[2]#技能参考'!$A:$A,MATCH(M208,'[2]#技能参考'!$B:$B,0),1)</f>
        <v>210002</v>
      </c>
      <c r="L208" s="79">
        <f>INDEX('[2]#技能参考'!$A:$A,MATCH(N208,'[2]#技能参考'!$B:$B,0),1)</f>
        <v>210003</v>
      </c>
      <c r="M208" s="79" t="s">
        <v>823</v>
      </c>
      <c r="N208" s="79" t="s">
        <v>770</v>
      </c>
    </row>
    <row r="209" spans="1:17">
      <c r="A209" s="94">
        <f t="shared" ref="A209:A211" si="38">38000+E209</f>
        <v>38115</v>
      </c>
      <c r="B209" s="13">
        <v>38</v>
      </c>
      <c r="C209" s="13">
        <v>2</v>
      </c>
      <c r="D209" s="13" t="s">
        <v>723</v>
      </c>
      <c r="E209" s="13">
        <v>115</v>
      </c>
      <c r="F209" s="13" t="str">
        <f>K209&amp;"|"&amp;L209</f>
        <v>210007|200010</v>
      </c>
      <c r="G209" s="13">
        <v>113</v>
      </c>
      <c r="H209" s="79" t="str">
        <f>INDEX('[2]#玺戒参考'!$A:$E,MATCH(G209,'[2]#玺戒参考'!$A:$A,0),2)</f>
        <v>静谧之水</v>
      </c>
      <c r="I209" s="79" t="str">
        <f>INDEX('[2]#玺戒参考'!$A:$E,MATCH(G209,'[2]#玺戒参考'!$A:$A,0),5)</f>
        <v>光明护佑</v>
      </c>
      <c r="K209" s="13">
        <f>INDEX('[2]#技能参考'!$A:$A,MATCH(M209,'[2]#技能参考'!$B:$B,0),1)</f>
        <v>210007</v>
      </c>
      <c r="L209" s="13">
        <f>INDEX('[2]#技能参考'!$A:$A,MATCH(N209,'[2]#技能参考'!$B:$B,0),1)</f>
        <v>200010</v>
      </c>
      <c r="M209" s="13" t="s">
        <v>733</v>
      </c>
      <c r="N209" s="13" t="s">
        <v>60</v>
      </c>
    </row>
    <row r="210" spans="1:17">
      <c r="A210" s="94">
        <f t="shared" si="38"/>
        <v>38009</v>
      </c>
      <c r="B210" s="79">
        <v>38</v>
      </c>
      <c r="C210" s="79">
        <v>2</v>
      </c>
      <c r="D210" s="79" t="s">
        <v>256</v>
      </c>
      <c r="E210" s="79">
        <v>9</v>
      </c>
      <c r="F210" s="79" t="str">
        <f t="shared" ref="F210:F212" si="39">K210&amp;"|"&amp;L210</f>
        <v>200031|200072</v>
      </c>
      <c r="G210" s="79">
        <v>113</v>
      </c>
      <c r="H210" s="79" t="str">
        <f>INDEX('[2]#玺戒参考'!$A:$E,MATCH(G210,'[2]#玺戒参考'!$A:$A,0),2)</f>
        <v>静谧之水</v>
      </c>
      <c r="I210" s="79" t="str">
        <f>INDEX('[2]#玺戒参考'!$A:$E,MATCH(G210,'[2]#玺戒参考'!$A:$A,0),5)</f>
        <v>光明护佑</v>
      </c>
      <c r="J210" s="79"/>
      <c r="K210" s="79">
        <f>INDEX('[2]#技能参考'!$A:$A,MATCH(M210,'[2]#技能参考'!$B:$B,0),1)</f>
        <v>200031</v>
      </c>
      <c r="L210" s="79">
        <f>INDEX('[2]#技能参考'!$A:$A,MATCH(N210,'[2]#技能参考'!$B:$B,0),1)</f>
        <v>200072</v>
      </c>
      <c r="M210" s="79" t="s">
        <v>356</v>
      </c>
      <c r="N210" s="79" t="s">
        <v>337</v>
      </c>
    </row>
    <row r="211" spans="1:17">
      <c r="A211" s="94">
        <f t="shared" si="38"/>
        <v>38036</v>
      </c>
      <c r="B211" s="79">
        <v>38</v>
      </c>
      <c r="C211" s="79">
        <v>2</v>
      </c>
      <c r="D211" s="79" t="s">
        <v>335</v>
      </c>
      <c r="E211" s="79">
        <v>36</v>
      </c>
      <c r="F211" s="79" t="str">
        <f t="shared" si="39"/>
        <v>200072|200034</v>
      </c>
      <c r="G211" s="79">
        <v>113</v>
      </c>
      <c r="H211" s="79" t="str">
        <f>INDEX('[2]#玺戒参考'!$A:$E,MATCH(G211,'[2]#玺戒参考'!$A:$A,0),2)</f>
        <v>静谧之水</v>
      </c>
      <c r="I211" s="79" t="str">
        <f>INDEX('[2]#玺戒参考'!$A:$E,MATCH(G211,'[2]#玺戒参考'!$A:$A,0),5)</f>
        <v>光明护佑</v>
      </c>
      <c r="J211" s="79"/>
      <c r="K211" s="79">
        <f>INDEX('[2]#技能参考'!$A:$A,MATCH(M211,'[2]#技能参考'!$B:$B,0),1)</f>
        <v>200072</v>
      </c>
      <c r="L211" s="79">
        <f>INDEX('[2]#技能参考'!$A:$A,MATCH(N211,'[2]#技能参考'!$B:$B,0),1)</f>
        <v>200034</v>
      </c>
      <c r="M211" s="79" t="s">
        <v>122</v>
      </c>
      <c r="N211" s="79" t="s">
        <v>84</v>
      </c>
      <c r="Q211" s="79"/>
    </row>
    <row r="212" spans="1:17" s="132" customFormat="1" ht="15">
      <c r="A212" s="134">
        <f>38000+E212</f>
        <v>38123</v>
      </c>
      <c r="B212" s="131">
        <v>38</v>
      </c>
      <c r="C212" s="131">
        <v>3</v>
      </c>
      <c r="D212" s="131" t="s">
        <v>768</v>
      </c>
      <c r="E212" s="131">
        <v>123</v>
      </c>
      <c r="F212" s="131" t="str">
        <f t="shared" si="39"/>
        <v>210011|200019</v>
      </c>
      <c r="G212" s="131">
        <v>107</v>
      </c>
      <c r="H212" s="131" t="str">
        <f>INDEX('[2]#玺戒参考'!$A:$E,MATCH(G212,'[2]#玺戒参考'!$A:$A,0),2)</f>
        <v>东天尊主</v>
      </c>
      <c r="I212" s="131" t="str">
        <f>INDEX('[2]#玺戒参考'!$A:$E,MATCH(G212,'[2]#玺戒参考'!$A:$A,0),5)</f>
        <v>胜利军规</v>
      </c>
      <c r="J212" s="131"/>
      <c r="K212" s="131">
        <f>INDEX('[2]#技能参考'!$A:$A,MATCH(M212,'[2]#技能参考'!$B:$B,0),1)</f>
        <v>210011</v>
      </c>
      <c r="L212" s="131">
        <f>INDEX('[2]#技能参考'!$A:$A,MATCH(N212,'[2]#技能参考'!$B:$B,0),1)</f>
        <v>200019</v>
      </c>
      <c r="M212" s="131" t="s">
        <v>769</v>
      </c>
      <c r="N212" s="131" t="s">
        <v>336</v>
      </c>
    </row>
    <row r="213" spans="1:17">
      <c r="A213" s="94">
        <f>38000+E213</f>
        <v>38032</v>
      </c>
      <c r="B213" s="79">
        <v>38</v>
      </c>
      <c r="C213" s="13">
        <v>3</v>
      </c>
      <c r="D213" s="79" t="s">
        <v>283</v>
      </c>
      <c r="E213" s="79">
        <v>32</v>
      </c>
      <c r="F213" s="79" t="str">
        <f>K213&amp;"|"&amp;L213</f>
        <v>200072|200031</v>
      </c>
      <c r="G213" s="79">
        <v>107</v>
      </c>
      <c r="H213" s="79" t="str">
        <f>INDEX('[2]#玺戒参考'!$A:$E,MATCH(G213,'[2]#玺戒参考'!$A:$A,0),2)</f>
        <v>东天尊主</v>
      </c>
      <c r="I213" s="79" t="str">
        <f>INDEX('[2]#玺戒参考'!$A:$E,MATCH(G213,'[2]#玺戒参考'!$A:$A,0),5)</f>
        <v>胜利军规</v>
      </c>
      <c r="J213" s="79"/>
      <c r="K213" s="79">
        <f>INDEX('[2]#技能参考'!$A:$A,MATCH(M213,'[2]#技能参考'!$B:$B,0),1)</f>
        <v>200072</v>
      </c>
      <c r="L213" s="79">
        <f>INDEX('[2]#技能参考'!$A:$A,MATCH(N213,'[2]#技能参考'!$B:$B,0),1)</f>
        <v>200031</v>
      </c>
      <c r="M213" s="79" t="s">
        <v>122</v>
      </c>
      <c r="N213" s="79" t="s">
        <v>81</v>
      </c>
    </row>
    <row r="214" spans="1:17">
      <c r="A214" s="94">
        <f>38000+E214</f>
        <v>38076</v>
      </c>
      <c r="B214" s="79">
        <v>38</v>
      </c>
      <c r="C214" s="79">
        <v>3</v>
      </c>
      <c r="D214" s="79" t="s">
        <v>257</v>
      </c>
      <c r="E214" s="79">
        <v>76</v>
      </c>
      <c r="F214" s="79" t="str">
        <f>K214&amp;"|"&amp;L214</f>
        <v>200068|200125</v>
      </c>
      <c r="G214" s="79">
        <v>107</v>
      </c>
      <c r="H214" s="79" t="str">
        <f>INDEX('[2]#玺戒参考'!$A:$E,MATCH(G214,'[2]#玺戒参考'!$A:$A,0),2)</f>
        <v>东天尊主</v>
      </c>
      <c r="I214" s="79" t="str">
        <f>INDEX('[2]#玺戒参考'!$A:$E,MATCH(G214,'[2]#玺戒参考'!$A:$A,0),5)</f>
        <v>胜利军规</v>
      </c>
      <c r="J214" s="79"/>
      <c r="K214" s="79">
        <f>INDEX('[2]#技能参考'!$A:$A,MATCH(M214,'[2]#技能参考'!$B:$B,0),1)</f>
        <v>200068</v>
      </c>
      <c r="L214" s="79">
        <f>INDEX('[2]#技能参考'!$A:$A,MATCH(N214,'[2]#技能参考'!$B:$B,0),1)</f>
        <v>200125</v>
      </c>
      <c r="M214" s="79" t="s">
        <v>118</v>
      </c>
      <c r="N214" s="79" t="s">
        <v>164</v>
      </c>
    </row>
    <row r="215" spans="1:17" s="97" customFormat="1">
      <c r="A215" s="93">
        <f>39000+E215</f>
        <v>39037</v>
      </c>
      <c r="B215" s="76">
        <v>39</v>
      </c>
      <c r="C215" s="76">
        <v>1</v>
      </c>
      <c r="D215" s="76" t="s">
        <v>621</v>
      </c>
      <c r="E215" s="77">
        <v>37</v>
      </c>
      <c r="F215" s="77" t="str">
        <f t="shared" ref="F215:F227" si="40">K215&amp;"|"&amp;L215</f>
        <v>200072|210000</v>
      </c>
      <c r="G215" s="76">
        <v>108</v>
      </c>
      <c r="H215" s="78" t="str">
        <f>INDEX('[2]#玺戒参考'!$A:$E,MATCH(G215,'[2]#玺戒参考'!$A:$A,0),2)</f>
        <v>闪耀守卫</v>
      </c>
      <c r="I215" s="78" t="str">
        <f>INDEX('[2]#玺戒参考'!$A:$E,MATCH(G215,'[2]#玺戒参考'!$A:$A,0),5)</f>
        <v>波澜攻势</v>
      </c>
      <c r="J215" s="77"/>
      <c r="K215" s="77">
        <f>INDEX('[2]#技能参考'!$A:$A,MATCH(M215,'[2]#技能参考'!$B:$B,0),1)</f>
        <v>200072</v>
      </c>
      <c r="L215" s="77">
        <f>INDEX('[2]#技能参考'!$A:$A,MATCH(N215,'[2]#技能参考'!$B:$B,0),1)</f>
        <v>210000</v>
      </c>
      <c r="M215" s="77" t="s">
        <v>337</v>
      </c>
      <c r="N215" s="77" t="s">
        <v>628</v>
      </c>
      <c r="O215" s="106"/>
    </row>
    <row r="216" spans="1:17" s="97" customFormat="1">
      <c r="A216" s="93">
        <f t="shared" ref="A216:A221" si="41">39000+E216</f>
        <v>39005</v>
      </c>
      <c r="B216" s="76">
        <v>39</v>
      </c>
      <c r="C216" s="76">
        <v>1</v>
      </c>
      <c r="D216" s="76" t="s">
        <v>592</v>
      </c>
      <c r="E216" s="77">
        <v>5</v>
      </c>
      <c r="F216" s="77" t="str">
        <f t="shared" si="40"/>
        <v>200028|200072</v>
      </c>
      <c r="G216" s="76">
        <v>108</v>
      </c>
      <c r="H216" s="78" t="str">
        <f>INDEX('[2]#玺戒参考'!$A:$E,MATCH(G216,'[2]#玺戒参考'!$A:$A,0),2)</f>
        <v>闪耀守卫</v>
      </c>
      <c r="I216" s="78" t="str">
        <f>INDEX('[2]#玺戒参考'!$A:$E,MATCH(G216,'[2]#玺戒参考'!$A:$A,0),5)</f>
        <v>波澜攻势</v>
      </c>
      <c r="J216" s="77"/>
      <c r="K216" s="77">
        <f>INDEX('[2]#技能参考'!$A:$A,MATCH(M216,'[2]#技能参考'!$B:$B,0),1)</f>
        <v>200028</v>
      </c>
      <c r="L216" s="77">
        <f>INDEX('[2]#技能参考'!$A:$A,MATCH(N216,'[2]#技能参考'!$B:$B,0),1)</f>
        <v>200072</v>
      </c>
      <c r="M216" s="77" t="s">
        <v>78</v>
      </c>
      <c r="N216" s="77" t="s">
        <v>122</v>
      </c>
      <c r="O216" s="106"/>
    </row>
    <row r="217" spans="1:17" s="138" customFormat="1" ht="15">
      <c r="A217" s="135">
        <f t="shared" si="41"/>
        <v>39123</v>
      </c>
      <c r="B217" s="136">
        <v>39</v>
      </c>
      <c r="C217" s="105">
        <v>2</v>
      </c>
      <c r="D217" s="105" t="s">
        <v>768</v>
      </c>
      <c r="E217" s="105">
        <v>123</v>
      </c>
      <c r="F217" s="105" t="str">
        <f t="shared" si="40"/>
        <v>200028|210011</v>
      </c>
      <c r="G217" s="105">
        <v>110</v>
      </c>
      <c r="H217" s="105" t="str">
        <f>INDEX('[2]#玺戒参考'!$A:$E,MATCH(G217,'[2]#玺戒参考'!$A:$A,0),2)</f>
        <v>赤金之日</v>
      </c>
      <c r="I217" s="105" t="str">
        <f>INDEX('[2]#玺戒参考'!$A:$E,MATCH(G217,'[2]#玺戒参考'!$A:$A,0),5)</f>
        <v>决意强袭</v>
      </c>
      <c r="J217" s="105"/>
      <c r="K217" s="105">
        <f>INDEX('[2]#技能参考'!$A:$A,MATCH(M217,'[2]#技能参考'!$B:$B,0),1)</f>
        <v>200028</v>
      </c>
      <c r="L217" s="105">
        <f>INDEX('[2]#技能参考'!$A:$A,MATCH(N217,'[2]#技能参考'!$B:$B,0),1)</f>
        <v>210011</v>
      </c>
      <c r="M217" s="137" t="s">
        <v>594</v>
      </c>
      <c r="N217" s="137" t="s">
        <v>769</v>
      </c>
    </row>
    <row r="218" spans="1:17" s="97" customFormat="1">
      <c r="A218" s="93">
        <v>390051</v>
      </c>
      <c r="B218" s="76">
        <v>39</v>
      </c>
      <c r="C218" s="76">
        <v>2</v>
      </c>
      <c r="D218" s="76" t="s">
        <v>592</v>
      </c>
      <c r="E218" s="77">
        <v>5</v>
      </c>
      <c r="F218" s="77" t="str">
        <f t="shared" si="40"/>
        <v>200028|200072</v>
      </c>
      <c r="G218" s="76">
        <v>110</v>
      </c>
      <c r="H218" s="78" t="str">
        <f>INDEX('[2]#玺戒参考'!$A:$E,MATCH(G218,'[2]#玺戒参考'!$A:$A,0),2)</f>
        <v>赤金之日</v>
      </c>
      <c r="I218" s="78" t="str">
        <f>INDEX('[2]#玺戒参考'!$A:$E,MATCH(G218,'[2]#玺戒参考'!$A:$A,0),5)</f>
        <v>决意强袭</v>
      </c>
      <c r="J218" s="77"/>
      <c r="K218" s="77">
        <f>INDEX('[2]#技能参考'!$A:$A,MATCH(M218,'[2]#技能参考'!$B:$B,0),1)</f>
        <v>200028</v>
      </c>
      <c r="L218" s="77">
        <f>INDEX('[2]#技能参考'!$A:$A,MATCH(N218,'[2]#技能参考'!$B:$B,0),1)</f>
        <v>200072</v>
      </c>
      <c r="M218" s="77" t="s">
        <v>78</v>
      </c>
      <c r="N218" s="77" t="s">
        <v>122</v>
      </c>
      <c r="O218" s="106"/>
    </row>
    <row r="219" spans="1:17" s="97" customFormat="1">
      <c r="A219" s="93">
        <f t="shared" si="41"/>
        <v>39056</v>
      </c>
      <c r="B219" s="76">
        <v>39</v>
      </c>
      <c r="C219" s="76">
        <v>2</v>
      </c>
      <c r="D219" s="76" t="s">
        <v>43</v>
      </c>
      <c r="E219" s="76">
        <v>56</v>
      </c>
      <c r="F219" s="76" t="str">
        <f t="shared" si="40"/>
        <v>200041|200015</v>
      </c>
      <c r="G219" s="76">
        <v>110</v>
      </c>
      <c r="H219" s="78" t="str">
        <f>INDEX('[2]#玺戒参考'!$A:$E,MATCH(G219,'[2]#玺戒参考'!$A:$A,0),2)</f>
        <v>赤金之日</v>
      </c>
      <c r="I219" s="78" t="str">
        <f>INDEX('[2]#玺戒参考'!$A:$E,MATCH(G219,'[2]#玺戒参考'!$A:$A,0),5)</f>
        <v>决意强袭</v>
      </c>
      <c r="J219" s="76"/>
      <c r="K219" s="76">
        <v>200041</v>
      </c>
      <c r="L219" s="76">
        <v>200015</v>
      </c>
      <c r="M219" s="76" t="s">
        <v>405</v>
      </c>
      <c r="N219" s="76" t="s">
        <v>396</v>
      </c>
      <c r="O219" s="106"/>
    </row>
    <row r="220" spans="1:17" s="97" customFormat="1">
      <c r="A220" s="93">
        <f t="shared" si="41"/>
        <v>39032</v>
      </c>
      <c r="B220" s="76">
        <v>39</v>
      </c>
      <c r="C220" s="76">
        <v>3</v>
      </c>
      <c r="D220" s="76" t="s">
        <v>283</v>
      </c>
      <c r="E220" s="77">
        <v>32</v>
      </c>
      <c r="F220" s="77" t="str">
        <f t="shared" si="40"/>
        <v>200125|200036</v>
      </c>
      <c r="G220" s="76">
        <v>113</v>
      </c>
      <c r="H220" s="78" t="str">
        <f>INDEX('[2]#玺戒参考'!$A:$E,MATCH(G220,'[2]#玺戒参考'!$A:$A,0),2)</f>
        <v>静谧之水</v>
      </c>
      <c r="I220" s="78" t="str">
        <f>INDEX('[2]#玺戒参考'!$A:$E,MATCH(G220,'[2]#玺戒参考'!$A:$A,0),5)</f>
        <v>光明护佑</v>
      </c>
      <c r="J220" s="77"/>
      <c r="K220" s="77">
        <f>INDEX('[2]#技能参考'!$A:$A,MATCH(M220,'[2]#技能参考'!$B:$B,0),1)</f>
        <v>200125</v>
      </c>
      <c r="L220" s="77">
        <f>INDEX('[2]#技能参考'!$A:$A,MATCH(N220,'[2]#技能参考'!$B:$B,0),1)</f>
        <v>200036</v>
      </c>
      <c r="M220" s="77" t="s">
        <v>440</v>
      </c>
      <c r="N220" s="77" t="s">
        <v>596</v>
      </c>
      <c r="O220" s="106"/>
    </row>
    <row r="221" spans="1:17" s="97" customFormat="1">
      <c r="A221" s="93">
        <f t="shared" si="41"/>
        <v>39076</v>
      </c>
      <c r="B221" s="76">
        <v>39</v>
      </c>
      <c r="C221" s="78">
        <v>3</v>
      </c>
      <c r="D221" s="78" t="s">
        <v>257</v>
      </c>
      <c r="E221" s="77">
        <v>76</v>
      </c>
      <c r="F221" s="77" t="str">
        <f>K221&amp;"|"&amp;L221</f>
        <v>200125|200068</v>
      </c>
      <c r="G221" s="76">
        <v>113</v>
      </c>
      <c r="H221" s="78" t="str">
        <f>INDEX('[2]#玺戒参考'!$A:$E,MATCH(G221,'[2]#玺戒参考'!$A:$A,0),2)</f>
        <v>静谧之水</v>
      </c>
      <c r="I221" s="78" t="str">
        <f>INDEX('[2]#玺戒参考'!$A:$E,MATCH(G221,'[2]#玺戒参考'!$A:$A,0),5)</f>
        <v>光明护佑</v>
      </c>
      <c r="J221" s="77"/>
      <c r="K221" s="77">
        <f>INDEX('[2]#技能参考'!$A:$A,MATCH(M221,'[2]#技能参考'!$B:$B,0),1)</f>
        <v>200125</v>
      </c>
      <c r="L221" s="77">
        <f>INDEX('[2]#技能参考'!$A:$A,MATCH(N221,'[2]#技能参考'!$B:$B,0),1)</f>
        <v>200068</v>
      </c>
      <c r="M221" s="77" t="s">
        <v>164</v>
      </c>
      <c r="N221" s="77" t="s">
        <v>118</v>
      </c>
      <c r="O221" s="106"/>
    </row>
    <row r="222" spans="1:17" s="132" customFormat="1" ht="15">
      <c r="A222" s="139">
        <f>40000+E222</f>
        <v>40124</v>
      </c>
      <c r="B222" s="140">
        <v>40</v>
      </c>
      <c r="C222" s="131">
        <v>1</v>
      </c>
      <c r="D222" s="131" t="s">
        <v>771</v>
      </c>
      <c r="E222" s="141" t="s">
        <v>772</v>
      </c>
      <c r="F222" s="141" t="str">
        <f>K222&amp;"|"&amp;L222</f>
        <v>210012|200020</v>
      </c>
      <c r="G222" s="140">
        <v>108</v>
      </c>
      <c r="H222" s="131" t="str">
        <f>INDEX('[2]#玺戒参考'!$A:$E,MATCH(G222,'[2]#玺戒参考'!$A:$A,0),2)</f>
        <v>闪耀守卫</v>
      </c>
      <c r="I222" s="131" t="str">
        <f>INDEX('[2]#玺戒参考'!$A:$E,MATCH(G222,'[2]#玺戒参考'!$A:$A,0),5)</f>
        <v>波澜攻势</v>
      </c>
      <c r="J222" s="141"/>
      <c r="K222" s="141">
        <f>INDEX('[2]#技能参考'!$A:$A,MATCH(M222,'[2]#技能参考'!$B:$B,0),1)</f>
        <v>210012</v>
      </c>
      <c r="L222" s="141">
        <f>INDEX('[2]#技能参考'!$A:$A,MATCH(N222,'[2]#技能参考'!$B:$B,0),1)</f>
        <v>200020</v>
      </c>
      <c r="M222" s="141" t="s">
        <v>773</v>
      </c>
      <c r="N222" s="141" t="s">
        <v>401</v>
      </c>
      <c r="O222" s="133"/>
    </row>
    <row r="223" spans="1:17">
      <c r="A223" s="98">
        <f t="shared" ref="A223:A227" si="42">40000+E223</f>
        <v>40023</v>
      </c>
      <c r="B223" s="2">
        <v>40</v>
      </c>
      <c r="C223" s="81">
        <v>2</v>
      </c>
      <c r="D223" s="108" t="s">
        <v>279</v>
      </c>
      <c r="E223" s="108">
        <v>23</v>
      </c>
      <c r="F223" s="81" t="str">
        <f t="shared" si="40"/>
        <v>200020|200074</v>
      </c>
      <c r="G223" s="81">
        <v>109</v>
      </c>
      <c r="H223" s="79" t="str">
        <f>INDEX('[2]#玺戒参考'!$A:$E,MATCH(G223,'[2]#玺戒参考'!$A:$A,0),2)</f>
        <v>苍蓝之月</v>
      </c>
      <c r="I223" s="79" t="str">
        <f>INDEX('[2]#玺戒参考'!$A:$E,MATCH(G223,'[2]#玺戒参考'!$A:$A,0),5)</f>
        <v>毁灭的预示</v>
      </c>
      <c r="J223" s="2"/>
      <c r="K223" s="107">
        <f>INDEX('[2]#技能参考'!$A:$A,MATCH(M223,'[2]#技能参考'!$B:$B,0),1)</f>
        <v>200020</v>
      </c>
      <c r="L223" s="107">
        <f>INDEX('[2]#技能参考'!$A:$A,MATCH(N223,'[2]#技能参考'!$B:$B,0),1)</f>
        <v>200074</v>
      </c>
      <c r="M223" s="2" t="s">
        <v>401</v>
      </c>
      <c r="N223" s="2" t="s">
        <v>124</v>
      </c>
      <c r="O223" s="10"/>
    </row>
    <row r="224" spans="1:17">
      <c r="A224" s="98">
        <f t="shared" si="42"/>
        <v>40010</v>
      </c>
      <c r="B224" s="2">
        <v>40</v>
      </c>
      <c r="C224" s="81">
        <v>2</v>
      </c>
      <c r="D224" s="81" t="s">
        <v>277</v>
      </c>
      <c r="E224" s="81">
        <v>10</v>
      </c>
      <c r="F224" s="81" t="str">
        <f>K224&amp;"|"&amp;L224</f>
        <v>200047|200010</v>
      </c>
      <c r="G224" s="81">
        <v>109</v>
      </c>
      <c r="H224" s="79" t="s">
        <v>459</v>
      </c>
      <c r="I224" s="79" t="s">
        <v>115</v>
      </c>
      <c r="J224" s="2"/>
      <c r="K224" s="107">
        <v>200047</v>
      </c>
      <c r="L224" s="107">
        <v>200010</v>
      </c>
      <c r="M224" s="2" t="s">
        <v>589</v>
      </c>
      <c r="N224" s="2" t="s">
        <v>379</v>
      </c>
      <c r="O224" s="10"/>
    </row>
    <row r="225" spans="1:15">
      <c r="A225" s="98">
        <f t="shared" si="42"/>
        <v>40004</v>
      </c>
      <c r="B225" s="2">
        <v>40</v>
      </c>
      <c r="C225" s="81">
        <v>2</v>
      </c>
      <c r="D225" s="81" t="s">
        <v>263</v>
      </c>
      <c r="E225" s="81">
        <v>4</v>
      </c>
      <c r="F225" s="81" t="str">
        <f t="shared" si="40"/>
        <v>200020|200074</v>
      </c>
      <c r="G225" s="81">
        <v>109</v>
      </c>
      <c r="H225" s="79" t="str">
        <f>INDEX('[2]#玺戒参考'!$A:$E,MATCH(G225,'[2]#玺戒参考'!$A:$A,0),2)</f>
        <v>苍蓝之月</v>
      </c>
      <c r="I225" s="79" t="str">
        <f>INDEX('[2]#玺戒参考'!$A:$E,MATCH(G225,'[2]#玺戒参考'!$A:$A,0),5)</f>
        <v>毁灭的预示</v>
      </c>
      <c r="J225" s="2"/>
      <c r="K225" s="107">
        <f>INDEX('[2]#技能参考'!$A:$A,MATCH(M225,'[2]#技能参考'!$B:$B,0),1)</f>
        <v>200020</v>
      </c>
      <c r="L225" s="107">
        <f>INDEX('[2]#技能参考'!$A:$A,MATCH(N225,'[2]#技能参考'!$B:$B,0),1)</f>
        <v>200074</v>
      </c>
      <c r="M225" s="2" t="s">
        <v>401</v>
      </c>
      <c r="N225" s="2" t="s">
        <v>124</v>
      </c>
      <c r="O225" s="10"/>
    </row>
    <row r="226" spans="1:15" s="74" customFormat="1">
      <c r="A226" s="98">
        <f t="shared" si="42"/>
        <v>40075</v>
      </c>
      <c r="B226" s="81">
        <v>40</v>
      </c>
      <c r="C226" s="81">
        <v>3</v>
      </c>
      <c r="D226" s="81" t="s">
        <v>278</v>
      </c>
      <c r="E226" s="81">
        <v>75</v>
      </c>
      <c r="F226" s="81" t="str">
        <f t="shared" si="40"/>
        <v>200072|200031</v>
      </c>
      <c r="G226" s="81">
        <v>111</v>
      </c>
      <c r="H226" s="79" t="str">
        <f>INDEX('[2]#玺戒参考'!$A:$E,MATCH(G226,'[2]#玺戒参考'!$A:$A,0),2)</f>
        <v>不动之山</v>
      </c>
      <c r="I226" s="79" t="str">
        <f>INDEX('[2]#玺戒参考'!$A:$E,MATCH(G226,'[2]#玺戒参考'!$A:$A,0),5)</f>
        <v>避芒击惰</v>
      </c>
      <c r="J226" s="71"/>
      <c r="K226" s="107">
        <f>INDEX('[2]#技能参考'!$A:$A,MATCH(M226,'[2]#技能参考'!$B:$B,0),1)</f>
        <v>200072</v>
      </c>
      <c r="L226" s="107">
        <f>INDEX('[2]#技能参考'!$A:$A,MATCH(N226,'[2]#技能参考'!$B:$B,0),1)</f>
        <v>200031</v>
      </c>
      <c r="M226" s="2" t="s">
        <v>337</v>
      </c>
      <c r="N226" s="2" t="s">
        <v>356</v>
      </c>
      <c r="O226" s="73"/>
    </row>
    <row r="227" spans="1:15">
      <c r="A227" s="98">
        <f t="shared" si="42"/>
        <v>40032</v>
      </c>
      <c r="B227" s="2">
        <v>40</v>
      </c>
      <c r="C227" s="81">
        <v>3</v>
      </c>
      <c r="D227" s="81" t="s">
        <v>283</v>
      </c>
      <c r="E227" s="81">
        <v>32</v>
      </c>
      <c r="F227" s="81" t="str">
        <f t="shared" si="40"/>
        <v>200072|200031</v>
      </c>
      <c r="G227" s="81">
        <v>111</v>
      </c>
      <c r="H227" s="79" t="str">
        <f>INDEX('[2]#玺戒参考'!$A:$E,MATCH(G227,'[2]#玺戒参考'!$A:$A,0),2)</f>
        <v>不动之山</v>
      </c>
      <c r="I227" s="79" t="str">
        <f>INDEX('[2]#玺戒参考'!$A:$E,MATCH(G227,'[2]#玺戒参考'!$A:$A,0),5)</f>
        <v>避芒击惰</v>
      </c>
      <c r="J227" s="2"/>
      <c r="K227" s="107">
        <f>INDEX('[2]#技能参考'!$A:$A,MATCH(M227,'[2]#技能参考'!$B:$B,0),1)</f>
        <v>200072</v>
      </c>
      <c r="L227" s="107">
        <f>INDEX('[2]#技能参考'!$A:$A,MATCH(N227,'[2]#技能参考'!$B:$B,0),1)</f>
        <v>200031</v>
      </c>
      <c r="M227" s="2" t="s">
        <v>337</v>
      </c>
      <c r="N227" s="2" t="s">
        <v>356</v>
      </c>
      <c r="O227" s="10"/>
    </row>
    <row r="228" spans="1:15">
      <c r="A228" s="98">
        <v>400101</v>
      </c>
      <c r="B228" s="2">
        <v>40</v>
      </c>
      <c r="C228" s="81">
        <v>3</v>
      </c>
      <c r="D228" s="81" t="s">
        <v>277</v>
      </c>
      <c r="E228" s="81">
        <v>10</v>
      </c>
      <c r="F228" s="81" t="str">
        <f>K228&amp;"|"&amp;L228</f>
        <v>200047|200010</v>
      </c>
      <c r="G228" s="81">
        <v>111</v>
      </c>
      <c r="H228" s="79" t="s">
        <v>459</v>
      </c>
      <c r="I228" s="79" t="s">
        <v>115</v>
      </c>
      <c r="J228" s="2"/>
      <c r="K228" s="107">
        <v>200047</v>
      </c>
      <c r="L228" s="107">
        <v>200010</v>
      </c>
      <c r="M228" s="2" t="s">
        <v>589</v>
      </c>
      <c r="N228" s="2" t="s">
        <v>379</v>
      </c>
      <c r="O228" s="10"/>
    </row>
    <row r="229" spans="1:15" s="138" customFormat="1" ht="15">
      <c r="A229" s="137">
        <f>41000+E229</f>
        <v>41124</v>
      </c>
      <c r="B229" s="136">
        <v>41</v>
      </c>
      <c r="C229" s="105">
        <v>1</v>
      </c>
      <c r="D229" s="105" t="s">
        <v>771</v>
      </c>
      <c r="E229" s="137" t="s">
        <v>772</v>
      </c>
      <c r="F229" s="137" t="str">
        <f>K229&amp;"|"&amp;L229</f>
        <v>210012|200020</v>
      </c>
      <c r="G229" s="136">
        <v>108</v>
      </c>
      <c r="H229" s="105" t="str">
        <f>INDEX('[2]#玺戒参考'!$A:$E,MATCH(G229,'[2]#玺戒参考'!$A:$A,0),2)</f>
        <v>闪耀守卫</v>
      </c>
      <c r="I229" s="105" t="str">
        <f>INDEX('[2]#玺戒参考'!$A:$E,MATCH(G229,'[2]#玺戒参考'!$A:$A,0),5)</f>
        <v>波澜攻势</v>
      </c>
      <c r="J229" s="137"/>
      <c r="K229" s="137">
        <f>INDEX('[2]#技能参考'!$A:$A,MATCH(M229,'[2]#技能参考'!$B:$B,0),1)</f>
        <v>210012</v>
      </c>
      <c r="L229" s="137">
        <f>INDEX('[2]#技能参考'!$A:$A,MATCH(N229,'[2]#技能参考'!$B:$B,0),1)</f>
        <v>200020</v>
      </c>
      <c r="M229" s="137" t="s">
        <v>773</v>
      </c>
      <c r="N229" s="137" t="s">
        <v>401</v>
      </c>
      <c r="O229" s="142"/>
    </row>
    <row r="230" spans="1:15" s="138" customFormat="1" ht="15">
      <c r="A230" s="137">
        <f t="shared" ref="A230:A231" si="43">41000+E230</f>
        <v>41125</v>
      </c>
      <c r="B230" s="143">
        <v>41</v>
      </c>
      <c r="C230" s="136">
        <v>2</v>
      </c>
      <c r="D230" s="144" t="s">
        <v>774</v>
      </c>
      <c r="E230" s="144">
        <v>125</v>
      </c>
      <c r="F230" s="136" t="str">
        <f t="shared" ref="F230:F238" si="44">K230&amp;"|"&amp;L230</f>
        <v>210013|200074</v>
      </c>
      <c r="G230" s="136">
        <v>113</v>
      </c>
      <c r="H230" s="105" t="str">
        <f>INDEX('[2]#玺戒参考'!$A:$E,MATCH(G230,'[2]#玺戒参考'!$A:$A,0),2)</f>
        <v>静谧之水</v>
      </c>
      <c r="I230" s="105" t="str">
        <f>INDEX('[2]#玺戒参考'!$A:$E,MATCH(G230,'[2]#玺戒参考'!$A:$A,0),5)</f>
        <v>光明护佑</v>
      </c>
      <c r="J230" s="143"/>
      <c r="K230" s="137">
        <f>INDEX('[2]#技能参考'!$A:$A,MATCH(M230,'[2]#技能参考'!$B:$B,0),1)</f>
        <v>210013</v>
      </c>
      <c r="L230" s="137">
        <f>INDEX('[2]#技能参考'!$A:$A,MATCH(N230,'[2]#技能参考'!$B:$B,0),1)</f>
        <v>200074</v>
      </c>
      <c r="M230" s="143" t="s">
        <v>824</v>
      </c>
      <c r="N230" s="143" t="s">
        <v>124</v>
      </c>
      <c r="O230" s="142"/>
    </row>
    <row r="231" spans="1:15" s="111" customFormat="1">
      <c r="A231" s="77">
        <f t="shared" si="43"/>
        <v>41075</v>
      </c>
      <c r="B231" s="76">
        <v>41</v>
      </c>
      <c r="C231" s="76">
        <v>3</v>
      </c>
      <c r="D231" s="76" t="s">
        <v>278</v>
      </c>
      <c r="E231" s="76">
        <v>75</v>
      </c>
      <c r="F231" s="76" t="str">
        <f t="shared" si="44"/>
        <v>200072|200031</v>
      </c>
      <c r="G231" s="76">
        <v>111</v>
      </c>
      <c r="H231" s="78" t="str">
        <f>INDEX('[2]#玺戒参考'!$A:$E,MATCH(G231,'[2]#玺戒参考'!$A:$A,0),2)</f>
        <v>不动之山</v>
      </c>
      <c r="I231" s="78" t="str">
        <f>INDEX('[2]#玺戒参考'!$A:$E,MATCH(G231,'[2]#玺戒参考'!$A:$A,0),5)</f>
        <v>避芒击惰</v>
      </c>
      <c r="J231" s="53"/>
      <c r="K231" s="77">
        <f>INDEX('[2]#技能参考'!$A:$A,MATCH(M231,'[2]#技能参考'!$B:$B,0),1)</f>
        <v>200072</v>
      </c>
      <c r="L231" s="77">
        <f>INDEX('[2]#技能参考'!$A:$A,MATCH(N231,'[2]#技能参考'!$B:$B,0),1)</f>
        <v>200031</v>
      </c>
      <c r="M231" s="109" t="s">
        <v>122</v>
      </c>
      <c r="N231" s="109" t="s">
        <v>81</v>
      </c>
      <c r="O231" s="110"/>
    </row>
    <row r="232" spans="1:15">
      <c r="A232" s="98">
        <f>42000+E232</f>
        <v>42037</v>
      </c>
      <c r="B232" s="81">
        <v>42</v>
      </c>
      <c r="C232" s="81">
        <v>1</v>
      </c>
      <c r="D232" s="81" t="s">
        <v>621</v>
      </c>
      <c r="E232" s="107">
        <v>37</v>
      </c>
      <c r="F232" s="107" t="str">
        <f t="shared" si="44"/>
        <v>200072|210000</v>
      </c>
      <c r="G232" s="81">
        <v>108</v>
      </c>
      <c r="H232" s="2" t="str">
        <f>INDEX('[2]#玺戒参考'!$A:$E,MATCH(G232,'[2]#玺戒参考'!$A:$A,0),2)</f>
        <v>闪耀守卫</v>
      </c>
      <c r="I232" s="2" t="str">
        <f>INDEX('[2]#玺戒参考'!$A:$E,MATCH(G232,'[2]#玺戒参考'!$A:$A,0),5)</f>
        <v>波澜攻势</v>
      </c>
      <c r="J232" s="107"/>
      <c r="K232" s="107">
        <f>INDEX('[2]#技能参考'!$A:$A,MATCH(M232,'[2]#技能参考'!$B:$B,0),1)</f>
        <v>200072</v>
      </c>
      <c r="L232" s="107">
        <f>INDEX('[2]#技能参考'!$A:$A,MATCH(N232,'[2]#技能参考'!$B:$B,0),1)</f>
        <v>210000</v>
      </c>
      <c r="M232" s="107" t="s">
        <v>337</v>
      </c>
      <c r="N232" s="107" t="s">
        <v>628</v>
      </c>
      <c r="O232" s="10"/>
    </row>
    <row r="233" spans="1:15">
      <c r="A233" s="98">
        <f t="shared" ref="A233:A238" si="45">42000+E233</f>
        <v>42005</v>
      </c>
      <c r="B233" s="81">
        <v>42</v>
      </c>
      <c r="C233" s="13">
        <v>1</v>
      </c>
      <c r="D233" s="81" t="s">
        <v>592</v>
      </c>
      <c r="E233" s="107">
        <v>5</v>
      </c>
      <c r="F233" s="107" t="str">
        <f t="shared" si="44"/>
        <v>200028|200072</v>
      </c>
      <c r="G233" s="81">
        <v>108</v>
      </c>
      <c r="H233" s="2" t="str">
        <f>INDEX('[2]#玺戒参考'!$A:$E,MATCH(G233,'[2]#玺戒参考'!$A:$A,0),2)</f>
        <v>闪耀守卫</v>
      </c>
      <c r="I233" s="2" t="str">
        <f>INDEX('[2]#玺戒参考'!$A:$E,MATCH(G233,'[2]#玺戒参考'!$A:$A,0),5)</f>
        <v>波澜攻势</v>
      </c>
      <c r="J233" s="107"/>
      <c r="K233" s="107">
        <f>INDEX('[2]#技能参考'!$A:$A,MATCH(M233,'[2]#技能参考'!$B:$B,0),1)</f>
        <v>200028</v>
      </c>
      <c r="L233" s="107">
        <f>INDEX('[2]#技能参考'!$A:$A,MATCH(N233,'[2]#技能参考'!$B:$B,0),1)</f>
        <v>200072</v>
      </c>
      <c r="M233" s="107" t="s">
        <v>78</v>
      </c>
      <c r="N233" s="107" t="s">
        <v>122</v>
      </c>
      <c r="O233" s="10"/>
    </row>
    <row r="234" spans="1:15">
      <c r="A234" s="98">
        <f t="shared" si="45"/>
        <v>42021</v>
      </c>
      <c r="B234" s="81">
        <v>42</v>
      </c>
      <c r="C234" s="81">
        <v>2</v>
      </c>
      <c r="D234" s="2" t="s">
        <v>271</v>
      </c>
      <c r="E234" s="2">
        <v>21</v>
      </c>
      <c r="F234" s="2" t="str">
        <f t="shared" si="44"/>
        <v>200015|200005</v>
      </c>
      <c r="G234" s="2">
        <v>110</v>
      </c>
      <c r="H234" s="2" t="s">
        <v>458</v>
      </c>
      <c r="I234" s="2" t="s">
        <v>130</v>
      </c>
      <c r="J234" s="2"/>
      <c r="K234" s="2">
        <v>200015</v>
      </c>
      <c r="L234" s="2">
        <v>200005</v>
      </c>
      <c r="M234" s="2" t="s">
        <v>396</v>
      </c>
      <c r="N234" s="2" t="s">
        <v>55</v>
      </c>
      <c r="O234" s="10"/>
    </row>
    <row r="235" spans="1:15">
      <c r="A235" s="98">
        <v>420051</v>
      </c>
      <c r="B235" s="81">
        <v>42</v>
      </c>
      <c r="C235" s="13">
        <v>2</v>
      </c>
      <c r="D235" s="81" t="s">
        <v>592</v>
      </c>
      <c r="E235" s="107">
        <v>5</v>
      </c>
      <c r="F235" s="107" t="str">
        <f t="shared" si="44"/>
        <v>200028|200072</v>
      </c>
      <c r="G235" s="2">
        <v>110</v>
      </c>
      <c r="H235" s="2" t="str">
        <f>INDEX('[2]#玺戒参考'!$A:$E,MATCH(G235,'[2]#玺戒参考'!$A:$A,0),2)</f>
        <v>赤金之日</v>
      </c>
      <c r="I235" s="2" t="str">
        <f>INDEX('[2]#玺戒参考'!$A:$E,MATCH(G235,'[2]#玺戒参考'!$A:$A,0),5)</f>
        <v>决意强袭</v>
      </c>
      <c r="J235" s="107"/>
      <c r="K235" s="107">
        <f>INDEX('[2]#技能参考'!$A:$A,MATCH(M235,'[2]#技能参考'!$B:$B,0),1)</f>
        <v>200028</v>
      </c>
      <c r="L235" s="107">
        <f>INDEX('[2]#技能参考'!$A:$A,MATCH(N235,'[2]#技能参考'!$B:$B,0),1)</f>
        <v>200072</v>
      </c>
      <c r="M235" s="107" t="s">
        <v>78</v>
      </c>
      <c r="N235" s="107" t="s">
        <v>122</v>
      </c>
      <c r="O235" s="10"/>
    </row>
    <row r="236" spans="1:15">
      <c r="A236" s="98">
        <f t="shared" si="45"/>
        <v>42056</v>
      </c>
      <c r="B236" s="81">
        <v>42</v>
      </c>
      <c r="C236" s="81">
        <v>2</v>
      </c>
      <c r="D236" s="81" t="s">
        <v>43</v>
      </c>
      <c r="E236" s="81">
        <v>56</v>
      </c>
      <c r="F236" s="81" t="str">
        <f t="shared" si="44"/>
        <v>200041|200015</v>
      </c>
      <c r="G236" s="2">
        <v>110</v>
      </c>
      <c r="H236" s="2" t="str">
        <f>INDEX('[2]#玺戒参考'!$A:$E,MATCH(G236,'[2]#玺戒参考'!$A:$A,0),2)</f>
        <v>赤金之日</v>
      </c>
      <c r="I236" s="2" t="str">
        <f>INDEX('[2]#玺戒参考'!$A:$E,MATCH(G236,'[2]#玺戒参考'!$A:$A,0),5)</f>
        <v>决意强袭</v>
      </c>
      <c r="J236" s="81"/>
      <c r="K236" s="81">
        <v>200041</v>
      </c>
      <c r="L236" s="81">
        <v>200015</v>
      </c>
      <c r="M236" s="81" t="s">
        <v>405</v>
      </c>
      <c r="N236" s="81" t="s">
        <v>396</v>
      </c>
      <c r="O236" s="10"/>
    </row>
    <row r="237" spans="1:15">
      <c r="A237" s="98">
        <f t="shared" si="45"/>
        <v>42032</v>
      </c>
      <c r="B237" s="81">
        <v>42</v>
      </c>
      <c r="C237" s="81">
        <v>3</v>
      </c>
      <c r="D237" s="81" t="s">
        <v>283</v>
      </c>
      <c r="E237" s="107">
        <v>32</v>
      </c>
      <c r="F237" s="107" t="str">
        <f t="shared" si="44"/>
        <v>200125|200036</v>
      </c>
      <c r="G237" s="81">
        <v>113</v>
      </c>
      <c r="H237" s="2" t="str">
        <f>INDEX('[2]#玺戒参考'!$A:$E,MATCH(G237,'[2]#玺戒参考'!$A:$A,0),2)</f>
        <v>静谧之水</v>
      </c>
      <c r="I237" s="2" t="str">
        <f>INDEX('[2]#玺戒参考'!$A:$E,MATCH(G237,'[2]#玺戒参考'!$A:$A,0),5)</f>
        <v>光明护佑</v>
      </c>
      <c r="J237" s="107"/>
      <c r="K237" s="107">
        <f>INDEX('[2]#技能参考'!$A:$A,MATCH(M237,'[2]#技能参考'!$B:$B,0),1)</f>
        <v>200125</v>
      </c>
      <c r="L237" s="107">
        <f>INDEX('[2]#技能参考'!$A:$A,MATCH(N237,'[2]#技能参考'!$B:$B,0),1)</f>
        <v>200036</v>
      </c>
      <c r="M237" s="107" t="s">
        <v>164</v>
      </c>
      <c r="N237" s="107" t="s">
        <v>596</v>
      </c>
      <c r="O237" s="10"/>
    </row>
    <row r="238" spans="1:15">
      <c r="A238" s="98">
        <f t="shared" si="45"/>
        <v>42076</v>
      </c>
      <c r="B238" s="79">
        <v>42</v>
      </c>
      <c r="C238" s="79">
        <v>3</v>
      </c>
      <c r="D238" s="79" t="s">
        <v>257</v>
      </c>
      <c r="E238" s="107">
        <v>76</v>
      </c>
      <c r="F238" s="107" t="str">
        <f t="shared" si="44"/>
        <v>200125|200068</v>
      </c>
      <c r="G238" s="81">
        <v>113</v>
      </c>
      <c r="H238" s="2" t="str">
        <f>INDEX('[2]#玺戒参考'!$A:$E,MATCH(G238,'[2]#玺戒参考'!$A:$A,0),2)</f>
        <v>静谧之水</v>
      </c>
      <c r="I238" s="2" t="str">
        <f>INDEX('[2]#玺戒参考'!$A:$E,MATCH(G238,'[2]#玺戒参考'!$A:$A,0),5)</f>
        <v>光明护佑</v>
      </c>
      <c r="J238" s="107"/>
      <c r="K238" s="107">
        <f>INDEX('[2]#技能参考'!$A:$A,MATCH(M238,'[2]#技能参考'!$B:$B,0),1)</f>
        <v>200125</v>
      </c>
      <c r="L238" s="107">
        <f>INDEX('[2]#技能参考'!$A:$A,MATCH(N238,'[2]#技能参考'!$B:$B,0),1)</f>
        <v>200068</v>
      </c>
      <c r="M238" s="107" t="s">
        <v>164</v>
      </c>
      <c r="N238" s="107" t="s">
        <v>118</v>
      </c>
      <c r="O238" s="10"/>
    </row>
  </sheetData>
  <autoFilter ref="A3:E3" xr:uid="{3253C52A-05CE-4764-BA49-D230947556B6}">
    <sortState xmlns:xlrd2="http://schemas.microsoft.com/office/spreadsheetml/2017/richdata2" ref="A3:E4">
      <sortCondition ref="A3"/>
    </sortState>
  </autoFilter>
  <sortState xmlns:xlrd2="http://schemas.microsoft.com/office/spreadsheetml/2017/richdata2" ref="A85:E87">
    <sortCondition ref="A84:A87"/>
  </sortState>
  <phoneticPr fontId="4" type="noConversion"/>
  <conditionalFormatting sqref="A4:A8">
    <cfRule type="duplicateValues" dxfId="68" priority="4"/>
  </conditionalFormatting>
  <conditionalFormatting sqref="A20">
    <cfRule type="duplicateValues" dxfId="67" priority="8"/>
  </conditionalFormatting>
  <conditionalFormatting sqref="A71">
    <cfRule type="duplicateValues" dxfId="66" priority="6"/>
  </conditionalFormatting>
  <conditionalFormatting sqref="A93:A103 D72 A73 A78:A82 A1:A3 A21:A40 A43:A54 A9:A19 A56 A59:A69">
    <cfRule type="duplicateValues" dxfId="65" priority="10"/>
  </conditionalFormatting>
  <conditionalFormatting sqref="A106">
    <cfRule type="duplicateValues" dxfId="64" priority="5"/>
  </conditionalFormatting>
  <conditionalFormatting sqref="A239:A1048576 A125:A129 A208:A214">
    <cfRule type="duplicateValues" dxfId="63" priority="9"/>
  </conditionalFormatting>
  <conditionalFormatting sqref="D70">
    <cfRule type="duplicateValues" dxfId="62" priority="7"/>
  </conditionalFormatting>
  <conditionalFormatting sqref="A156:A159">
    <cfRule type="duplicateValues" dxfId="61" priority="11"/>
  </conditionalFormatting>
  <conditionalFormatting sqref="D223">
    <cfRule type="duplicateValues" dxfId="60" priority="3"/>
  </conditionalFormatting>
  <conditionalFormatting sqref="D230">
    <cfRule type="duplicateValues" dxfId="59" priority="12"/>
  </conditionalFormatting>
  <conditionalFormatting sqref="A198:A200">
    <cfRule type="duplicateValues" dxfId="58" priority="2"/>
  </conditionalFormatting>
  <conditionalFormatting sqref="A194:A196">
    <cfRule type="duplicateValues" dxfId="57" priority="13"/>
  </conditionalFormatting>
  <conditionalFormatting sqref="A173">
    <cfRule type="duplicateValues" dxfId="56" priority="1"/>
  </conditionalFormatting>
  <dataValidations disablePrompts="1" count="1">
    <dataValidation allowBlank="1" errorTitle="范围错误" error="1 ~ 65535" promptTitle="范围" prompt="1 ~ 65535" sqref="A1:D1" xr:uid="{5D47ADA9-5112-4039-93D7-24514EA0816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150B-119D-4C66-8A54-0F789100B990}">
  <dimension ref="A1:N20"/>
  <sheetViews>
    <sheetView zoomScaleNormal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E11" sqref="E11"/>
    </sheetView>
  </sheetViews>
  <sheetFormatPr defaultColWidth="9" defaultRowHeight="16.5"/>
  <cols>
    <col min="1" max="1" width="9" style="13"/>
    <col min="2" max="2" width="16.875" style="13" customWidth="1"/>
    <col min="3" max="4" width="22.375" style="13" customWidth="1"/>
    <col min="5" max="5" width="128.375" style="12" customWidth="1"/>
    <col min="6" max="6" width="22.375" style="13" customWidth="1"/>
    <col min="7" max="7" width="128.375" style="12" customWidth="1"/>
    <col min="8" max="10" width="19.5" style="13" customWidth="1"/>
    <col min="11" max="12" width="13.75" style="13" customWidth="1"/>
    <col min="13" max="13" width="16.375" style="13" bestFit="1" customWidth="1"/>
    <col min="14" max="16384" width="9" style="13"/>
  </cols>
  <sheetData>
    <row r="1" spans="1:14">
      <c r="A1" s="34" t="s">
        <v>21</v>
      </c>
      <c r="B1" s="2"/>
      <c r="C1" s="2"/>
      <c r="D1" s="2"/>
      <c r="E1" s="8"/>
      <c r="F1" s="2"/>
      <c r="G1" s="8"/>
      <c r="H1" s="2"/>
      <c r="I1" s="2"/>
      <c r="J1" s="2"/>
      <c r="K1" s="2"/>
      <c r="L1" s="2"/>
      <c r="M1" s="2"/>
      <c r="N1" s="2"/>
    </row>
    <row r="2" spans="1:14">
      <c r="A2" s="2" t="s">
        <v>0</v>
      </c>
      <c r="B2" s="2" t="s">
        <v>304</v>
      </c>
      <c r="C2" s="2" t="s">
        <v>15</v>
      </c>
      <c r="D2" s="2" t="s">
        <v>297</v>
      </c>
      <c r="E2" s="8" t="s">
        <v>298</v>
      </c>
      <c r="F2" s="2" t="s">
        <v>438</v>
      </c>
      <c r="G2" s="8" t="s">
        <v>439</v>
      </c>
      <c r="H2" s="2" t="s">
        <v>10</v>
      </c>
      <c r="I2" s="2" t="s">
        <v>11</v>
      </c>
      <c r="J2" s="2" t="s">
        <v>12</v>
      </c>
      <c r="K2" s="2" t="s">
        <v>23</v>
      </c>
      <c r="L2" s="2" t="s">
        <v>24</v>
      </c>
      <c r="M2" s="2" t="s">
        <v>226</v>
      </c>
      <c r="N2" s="2" t="s">
        <v>229</v>
      </c>
    </row>
    <row r="3" spans="1:14">
      <c r="A3" s="2" t="s">
        <v>0</v>
      </c>
      <c r="B3" s="2"/>
      <c r="C3" s="2" t="s">
        <v>1</v>
      </c>
      <c r="D3" s="8" t="s">
        <v>16</v>
      </c>
      <c r="E3" s="8"/>
      <c r="F3" s="8" t="s">
        <v>435</v>
      </c>
      <c r="G3" s="8"/>
      <c r="H3" s="2" t="s">
        <v>18</v>
      </c>
      <c r="I3" s="2" t="s">
        <v>19</v>
      </c>
      <c r="J3" s="2" t="s">
        <v>20</v>
      </c>
      <c r="K3" s="2" t="s">
        <v>228</v>
      </c>
      <c r="L3" s="2" t="s">
        <v>44</v>
      </c>
      <c r="M3" s="2" t="s">
        <v>227</v>
      </c>
      <c r="N3" s="2" t="s">
        <v>230</v>
      </c>
    </row>
    <row r="4" spans="1:14" s="6" customFormat="1" ht="49.5">
      <c r="A4" s="8">
        <v>1</v>
      </c>
      <c r="B4" s="7" t="s">
        <v>300</v>
      </c>
      <c r="C4" s="38" t="s">
        <v>306</v>
      </c>
      <c r="D4" s="38" t="s">
        <v>305</v>
      </c>
      <c r="E4" s="14" t="s">
        <v>450</v>
      </c>
      <c r="F4" s="38" t="s">
        <v>305</v>
      </c>
      <c r="G4" s="14" t="s">
        <v>450</v>
      </c>
      <c r="H4" s="8">
        <v>1036</v>
      </c>
      <c r="I4" s="8" t="s">
        <v>410</v>
      </c>
      <c r="J4" s="8" t="s">
        <v>411</v>
      </c>
      <c r="K4" s="5" t="s">
        <v>233</v>
      </c>
      <c r="L4" s="8" t="s">
        <v>234</v>
      </c>
      <c r="M4" s="8" t="s">
        <v>232</v>
      </c>
      <c r="N4" s="4" t="s">
        <v>231</v>
      </c>
    </row>
    <row r="5" spans="1:14" s="6" customFormat="1" ht="49.5">
      <c r="A5" s="8">
        <v>2</v>
      </c>
      <c r="B5" s="7" t="s">
        <v>249</v>
      </c>
      <c r="C5" s="38" t="s">
        <v>307</v>
      </c>
      <c r="D5" s="38" t="s">
        <v>330</v>
      </c>
      <c r="E5" s="14" t="s">
        <v>334</v>
      </c>
      <c r="F5" s="38" t="s">
        <v>330</v>
      </c>
      <c r="G5" s="14" t="s">
        <v>334</v>
      </c>
      <c r="H5" s="8" t="s">
        <v>329</v>
      </c>
      <c r="I5" s="8" t="s">
        <v>328</v>
      </c>
      <c r="J5" s="8" t="s">
        <v>248</v>
      </c>
      <c r="K5" s="7" t="s">
        <v>26</v>
      </c>
      <c r="L5" s="8" t="s">
        <v>234</v>
      </c>
      <c r="M5" s="8" t="s">
        <v>232</v>
      </c>
      <c r="N5" s="4" t="s">
        <v>231</v>
      </c>
    </row>
    <row r="6" spans="1:14" s="6" customFormat="1" ht="49.5">
      <c r="A6" s="8">
        <v>3</v>
      </c>
      <c r="B6" s="7" t="s">
        <v>299</v>
      </c>
      <c r="C6" s="38" t="s">
        <v>308</v>
      </c>
      <c r="D6" s="38" t="s">
        <v>327</v>
      </c>
      <c r="E6" s="11" t="s">
        <v>375</v>
      </c>
      <c r="F6" s="38" t="s">
        <v>327</v>
      </c>
      <c r="G6" s="11" t="s">
        <v>375</v>
      </c>
      <c r="H6" s="8" t="s">
        <v>374</v>
      </c>
      <c r="I6" s="8" t="s">
        <v>347</v>
      </c>
      <c r="J6" s="8" t="s">
        <v>260</v>
      </c>
      <c r="K6" s="7" t="s">
        <v>236</v>
      </c>
      <c r="L6" s="8" t="s">
        <v>234</v>
      </c>
      <c r="M6" s="8" t="s">
        <v>232</v>
      </c>
      <c r="N6" s="8" t="s">
        <v>234</v>
      </c>
    </row>
    <row r="7" spans="1:14" s="6" customFormat="1" ht="49.5">
      <c r="A7" s="8">
        <v>4</v>
      </c>
      <c r="B7" s="7" t="s">
        <v>301</v>
      </c>
      <c r="C7" s="38" t="s">
        <v>309</v>
      </c>
      <c r="D7" s="38" t="s">
        <v>318</v>
      </c>
      <c r="E7" s="14" t="s">
        <v>302</v>
      </c>
      <c r="F7" s="38" t="s">
        <v>318</v>
      </c>
      <c r="G7" s="14" t="s">
        <v>302</v>
      </c>
      <c r="H7" s="8" t="s">
        <v>261</v>
      </c>
      <c r="I7" s="8" t="s">
        <v>376</v>
      </c>
      <c r="J7" s="8" t="s">
        <v>377</v>
      </c>
      <c r="K7" s="7" t="s">
        <v>246</v>
      </c>
      <c r="L7" s="8" t="s">
        <v>234</v>
      </c>
      <c r="M7" s="8" t="s">
        <v>232</v>
      </c>
      <c r="N7" s="8" t="s">
        <v>231</v>
      </c>
    </row>
    <row r="8" spans="1:14" s="6" customFormat="1" ht="49.5">
      <c r="A8" s="8">
        <v>5</v>
      </c>
      <c r="B8" s="9" t="s">
        <v>267</v>
      </c>
      <c r="C8" s="38" t="s">
        <v>310</v>
      </c>
      <c r="D8" s="38" t="s">
        <v>351</v>
      </c>
      <c r="E8" s="11" t="s">
        <v>353</v>
      </c>
      <c r="F8" s="38" t="s">
        <v>351</v>
      </c>
      <c r="G8" s="11" t="s">
        <v>353</v>
      </c>
      <c r="H8" s="8" t="s">
        <v>268</v>
      </c>
      <c r="I8" s="8" t="s">
        <v>352</v>
      </c>
      <c r="J8" s="8" t="s">
        <v>269</v>
      </c>
      <c r="K8" s="9" t="s">
        <v>233</v>
      </c>
      <c r="L8" s="8" t="s">
        <v>45</v>
      </c>
      <c r="M8" s="8" t="s">
        <v>232</v>
      </c>
      <c r="N8" s="8" t="s">
        <v>45</v>
      </c>
    </row>
    <row r="9" spans="1:14" s="6" customFormat="1" ht="49.5">
      <c r="A9" s="8">
        <v>6</v>
      </c>
      <c r="B9" s="5" t="s">
        <v>339</v>
      </c>
      <c r="C9" s="38" t="s">
        <v>340</v>
      </c>
      <c r="D9" s="38" t="s">
        <v>342</v>
      </c>
      <c r="E9" s="39" t="s">
        <v>341</v>
      </c>
      <c r="F9" s="38" t="s">
        <v>342</v>
      </c>
      <c r="G9" s="39" t="s">
        <v>341</v>
      </c>
      <c r="H9" s="8">
        <v>6003</v>
      </c>
      <c r="I9" s="8" t="s">
        <v>343</v>
      </c>
      <c r="J9" s="8" t="s">
        <v>344</v>
      </c>
      <c r="K9" s="5" t="s">
        <v>233</v>
      </c>
      <c r="L9" s="20" t="s">
        <v>25</v>
      </c>
      <c r="M9" s="8" t="s">
        <v>232</v>
      </c>
      <c r="N9" s="8" t="s">
        <v>231</v>
      </c>
    </row>
    <row r="10" spans="1:14" ht="66">
      <c r="A10" s="8">
        <v>7</v>
      </c>
      <c r="B10" s="5" t="s">
        <v>259</v>
      </c>
      <c r="C10" s="38" t="s">
        <v>311</v>
      </c>
      <c r="D10" s="38" t="s">
        <v>354</v>
      </c>
      <c r="E10" s="39" t="s">
        <v>384</v>
      </c>
      <c r="F10" s="38" t="s">
        <v>354</v>
      </c>
      <c r="G10" s="39" t="s">
        <v>583</v>
      </c>
      <c r="H10" s="4">
        <v>7021</v>
      </c>
      <c r="I10" s="4" t="s">
        <v>582</v>
      </c>
      <c r="J10" s="2" t="s">
        <v>381</v>
      </c>
      <c r="K10" s="7" t="s">
        <v>233</v>
      </c>
      <c r="L10" s="8" t="s">
        <v>234</v>
      </c>
      <c r="M10" s="8" t="s">
        <v>232</v>
      </c>
      <c r="N10" s="2" t="s">
        <v>240</v>
      </c>
    </row>
    <row r="11" spans="1:14" s="6" customFormat="1" ht="49.5">
      <c r="A11" s="8">
        <v>8</v>
      </c>
      <c r="B11" s="7" t="s">
        <v>273</v>
      </c>
      <c r="C11" s="38" t="s">
        <v>312</v>
      </c>
      <c r="D11" s="38" t="s">
        <v>319</v>
      </c>
      <c r="E11" s="40" t="s">
        <v>303</v>
      </c>
      <c r="F11" s="38" t="s">
        <v>319</v>
      </c>
      <c r="G11" s="40" t="s">
        <v>303</v>
      </c>
      <c r="H11" s="8">
        <v>8036</v>
      </c>
      <c r="I11" s="8">
        <v>8061</v>
      </c>
      <c r="J11" s="8">
        <v>8055</v>
      </c>
      <c r="K11" s="7" t="s">
        <v>233</v>
      </c>
      <c r="L11" s="8" t="s">
        <v>234</v>
      </c>
      <c r="M11" s="8" t="s">
        <v>232</v>
      </c>
      <c r="N11" s="8" t="s">
        <v>234</v>
      </c>
    </row>
    <row r="12" spans="1:14" s="6" customFormat="1" ht="49.5">
      <c r="A12" s="8">
        <v>9</v>
      </c>
      <c r="B12" s="5" t="s">
        <v>239</v>
      </c>
      <c r="C12" s="38" t="s">
        <v>346</v>
      </c>
      <c r="D12" s="38" t="s">
        <v>345</v>
      </c>
      <c r="E12" s="39" t="s">
        <v>449</v>
      </c>
      <c r="F12" s="38" t="s">
        <v>345</v>
      </c>
      <c r="G12" s="39" t="s">
        <v>449</v>
      </c>
      <c r="H12" s="8">
        <v>9003</v>
      </c>
      <c r="I12" s="8" t="s">
        <v>447</v>
      </c>
      <c r="J12" s="8" t="s">
        <v>448</v>
      </c>
      <c r="K12" s="5" t="s">
        <v>236</v>
      </c>
      <c r="L12" s="8" t="s">
        <v>25</v>
      </c>
      <c r="M12" s="8" t="s">
        <v>232</v>
      </c>
      <c r="N12" s="8" t="s">
        <v>25</v>
      </c>
    </row>
    <row r="13" spans="1:14" s="6" customFormat="1" ht="66">
      <c r="A13" s="8">
        <v>10</v>
      </c>
      <c r="B13" s="7" t="s">
        <v>275</v>
      </c>
      <c r="C13" s="38" t="s">
        <v>313</v>
      </c>
      <c r="D13" s="38" t="s">
        <v>349</v>
      </c>
      <c r="E13" s="40" t="s">
        <v>386</v>
      </c>
      <c r="F13" s="38" t="s">
        <v>349</v>
      </c>
      <c r="G13" s="40" t="s">
        <v>386</v>
      </c>
      <c r="H13" s="8" t="s">
        <v>385</v>
      </c>
      <c r="I13" s="8" t="s">
        <v>374</v>
      </c>
      <c r="J13" s="8" t="s">
        <v>348</v>
      </c>
      <c r="K13" s="7" t="s">
        <v>236</v>
      </c>
      <c r="L13" s="8" t="s">
        <v>234</v>
      </c>
      <c r="M13" s="8" t="s">
        <v>232</v>
      </c>
      <c r="N13" s="8" t="s">
        <v>234</v>
      </c>
    </row>
    <row r="14" spans="1:14" s="6" customFormat="1" ht="82.5">
      <c r="A14" s="8">
        <v>11</v>
      </c>
      <c r="B14" s="9" t="s">
        <v>242</v>
      </c>
      <c r="C14" s="38" t="s">
        <v>314</v>
      </c>
      <c r="D14" s="38" t="s">
        <v>350</v>
      </c>
      <c r="E14" s="40" t="s">
        <v>403</v>
      </c>
      <c r="F14" s="38" t="s">
        <v>350</v>
      </c>
      <c r="G14" s="40" t="s">
        <v>403</v>
      </c>
      <c r="H14" s="8" t="s">
        <v>280</v>
      </c>
      <c r="I14" s="8" t="s">
        <v>397</v>
      </c>
      <c r="J14" s="8" t="s">
        <v>398</v>
      </c>
      <c r="K14" s="7" t="s">
        <v>235</v>
      </c>
      <c r="L14" s="8" t="s">
        <v>45</v>
      </c>
      <c r="M14" s="8" t="s">
        <v>232</v>
      </c>
      <c r="N14" s="8" t="s">
        <v>45</v>
      </c>
    </row>
    <row r="15" spans="1:14" s="6" customFormat="1" ht="82.5">
      <c r="A15" s="8">
        <v>12</v>
      </c>
      <c r="B15" s="5" t="s">
        <v>243</v>
      </c>
      <c r="C15" s="38" t="s">
        <v>315</v>
      </c>
      <c r="D15" s="38" t="s">
        <v>338</v>
      </c>
      <c r="E15" s="39" t="s">
        <v>404</v>
      </c>
      <c r="F15" s="38" t="s">
        <v>338</v>
      </c>
      <c r="G15" s="39" t="s">
        <v>404</v>
      </c>
      <c r="H15" s="8">
        <v>11047</v>
      </c>
      <c r="I15" s="8" t="s">
        <v>399</v>
      </c>
      <c r="J15" s="8" t="s">
        <v>400</v>
      </c>
      <c r="K15" s="7" t="s">
        <v>235</v>
      </c>
      <c r="L15" s="8" t="s">
        <v>25</v>
      </c>
      <c r="M15" s="8" t="s">
        <v>232</v>
      </c>
      <c r="N15" s="8" t="s">
        <v>25</v>
      </c>
    </row>
    <row r="16" spans="1:14" s="6" customFormat="1" ht="66">
      <c r="A16" s="8">
        <v>13</v>
      </c>
      <c r="B16" s="7" t="s">
        <v>238</v>
      </c>
      <c r="C16" s="38" t="s">
        <v>316</v>
      </c>
      <c r="D16" s="38" t="s">
        <v>390</v>
      </c>
      <c r="E16" s="40" t="s">
        <v>389</v>
      </c>
      <c r="F16" s="38" t="s">
        <v>390</v>
      </c>
      <c r="G16" s="40" t="s">
        <v>389</v>
      </c>
      <c r="H16" s="8" t="s">
        <v>387</v>
      </c>
      <c r="I16" s="8" t="s">
        <v>388</v>
      </c>
      <c r="J16" s="8" t="s">
        <v>285</v>
      </c>
      <c r="K16" s="7" t="s">
        <v>235</v>
      </c>
      <c r="L16" s="8" t="s">
        <v>234</v>
      </c>
      <c r="M16" s="8" t="s">
        <v>232</v>
      </c>
      <c r="N16" s="8" t="s">
        <v>234</v>
      </c>
    </row>
    <row r="17" spans="1:14" s="6" customFormat="1" ht="66">
      <c r="A17" s="8">
        <v>15</v>
      </c>
      <c r="B17" s="9" t="s">
        <v>237</v>
      </c>
      <c r="C17" s="38" t="s">
        <v>317</v>
      </c>
      <c r="D17" s="38" t="s">
        <v>364</v>
      </c>
      <c r="E17" s="39" t="s">
        <v>365</v>
      </c>
      <c r="F17" s="38" t="s">
        <v>364</v>
      </c>
      <c r="G17" s="39" t="s">
        <v>365</v>
      </c>
      <c r="H17" s="8" t="s">
        <v>371</v>
      </c>
      <c r="I17" s="8" t="s">
        <v>362</v>
      </c>
      <c r="J17" s="8" t="s">
        <v>363</v>
      </c>
      <c r="K17" s="9" t="s">
        <v>26</v>
      </c>
      <c r="L17" s="8" t="s">
        <v>45</v>
      </c>
      <c r="M17" s="8" t="s">
        <v>232</v>
      </c>
      <c r="N17" s="8" t="s">
        <v>45</v>
      </c>
    </row>
    <row r="18" spans="1:14" s="6" customFormat="1" ht="49.5">
      <c r="A18" s="8">
        <v>16</v>
      </c>
      <c r="B18" s="9" t="s">
        <v>288</v>
      </c>
      <c r="C18" s="38" t="s">
        <v>368</v>
      </c>
      <c r="D18" s="38" t="s">
        <v>408</v>
      </c>
      <c r="E18" s="11" t="s">
        <v>407</v>
      </c>
      <c r="F18" s="38" t="s">
        <v>408</v>
      </c>
      <c r="G18" s="11" t="s">
        <v>407</v>
      </c>
      <c r="H18" s="8">
        <v>14021</v>
      </c>
      <c r="I18" s="8" t="s">
        <v>406</v>
      </c>
      <c r="J18" s="8" t="s">
        <v>289</v>
      </c>
      <c r="K18" s="7" t="s">
        <v>235</v>
      </c>
      <c r="L18" s="8" t="s">
        <v>234</v>
      </c>
      <c r="M18" s="8" t="s">
        <v>232</v>
      </c>
      <c r="N18" s="8" t="s">
        <v>234</v>
      </c>
    </row>
    <row r="19" spans="1:14" s="6" customFormat="1" ht="66">
      <c r="A19" s="8">
        <v>17</v>
      </c>
      <c r="B19" s="7" t="s">
        <v>369</v>
      </c>
      <c r="C19" s="38" t="s">
        <v>367</v>
      </c>
      <c r="D19" s="38" t="s">
        <v>370</v>
      </c>
      <c r="E19" s="11" t="s">
        <v>382</v>
      </c>
      <c r="F19" s="38" t="s">
        <v>370</v>
      </c>
      <c r="G19" s="11" t="s">
        <v>585</v>
      </c>
      <c r="H19" s="8" t="s">
        <v>383</v>
      </c>
      <c r="I19" s="8" t="s">
        <v>584</v>
      </c>
      <c r="J19" s="8" t="s">
        <v>381</v>
      </c>
      <c r="K19" s="7" t="s">
        <v>244</v>
      </c>
      <c r="L19" s="8" t="s">
        <v>234</v>
      </c>
      <c r="M19" s="8" t="s">
        <v>232</v>
      </c>
      <c r="N19" s="8" t="s">
        <v>234</v>
      </c>
    </row>
    <row r="20" spans="1:14" s="6" customFormat="1" ht="49.5">
      <c r="A20" s="8">
        <v>18</v>
      </c>
      <c r="B20" s="7" t="s">
        <v>421</v>
      </c>
      <c r="C20" s="38" t="s">
        <v>422</v>
      </c>
      <c r="D20" s="38" t="s">
        <v>424</v>
      </c>
      <c r="E20" s="11" t="s">
        <v>428</v>
      </c>
      <c r="F20" s="38" t="s">
        <v>424</v>
      </c>
      <c r="G20" s="11" t="s">
        <v>428</v>
      </c>
      <c r="H20" s="8" t="s">
        <v>425</v>
      </c>
      <c r="I20" s="8" t="s">
        <v>426</v>
      </c>
      <c r="J20" s="8" t="s">
        <v>427</v>
      </c>
      <c r="K20" s="7" t="s">
        <v>26</v>
      </c>
      <c r="L20" s="8" t="s">
        <v>234</v>
      </c>
      <c r="M20" s="8" t="s">
        <v>232</v>
      </c>
      <c r="N20" s="8" t="s">
        <v>234</v>
      </c>
    </row>
  </sheetData>
  <autoFilter ref="A3:N17" xr:uid="{AA696895-083C-464B-BA65-229EFCADC076}">
    <sortState xmlns:xlrd2="http://schemas.microsoft.com/office/spreadsheetml/2017/richdata2" ref="A4:N17">
      <sortCondition ref="A3:A17"/>
    </sortState>
  </autoFilter>
  <phoneticPr fontId="4" type="noConversion"/>
  <dataValidations count="1">
    <dataValidation allowBlank="1" errorTitle="范围错误" error="1 ~ 65535" promptTitle="范围" prompt="1 ~ 65535" sqref="A1" xr:uid="{DDED90F6-D51B-4C0D-B50B-7F9E708D16C0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DD19-5B9A-426B-AD4F-B418A5132F1E}">
  <dimension ref="A1:N85"/>
  <sheetViews>
    <sheetView zoomScaleNormal="100"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H92" sqref="H92"/>
    </sheetView>
  </sheetViews>
  <sheetFormatPr defaultColWidth="9" defaultRowHeight="16.5"/>
  <cols>
    <col min="1" max="2" width="9" style="13"/>
    <col min="3" max="3" width="13.625" style="13" customWidth="1"/>
    <col min="4" max="4" width="9" style="13"/>
    <col min="5" max="5" width="28" style="13" customWidth="1"/>
    <col min="6" max="8" width="19.375" style="13" customWidth="1"/>
    <col min="9" max="9" width="22" style="13" customWidth="1"/>
    <col min="10" max="13" width="15" style="13" customWidth="1"/>
    <col min="14" max="14" width="9" style="10"/>
    <col min="15" max="16384" width="9" style="13"/>
  </cols>
  <sheetData>
    <row r="1" spans="1:14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35"/>
      <c r="K1" s="36"/>
      <c r="L1" s="36"/>
      <c r="M1" s="37"/>
    </row>
    <row r="2" spans="1:14">
      <c r="A2" s="17" t="s">
        <v>0</v>
      </c>
      <c r="B2" s="17" t="s">
        <v>27</v>
      </c>
      <c r="C2" s="17" t="s">
        <v>28</v>
      </c>
      <c r="D2" s="17" t="s">
        <v>9</v>
      </c>
      <c r="E2" s="17" t="s">
        <v>14</v>
      </c>
      <c r="F2" s="17" t="s">
        <v>436</v>
      </c>
      <c r="G2" s="17" t="s">
        <v>576</v>
      </c>
      <c r="H2" s="17" t="s">
        <v>574</v>
      </c>
      <c r="I2" s="17" t="s">
        <v>264</v>
      </c>
      <c r="J2" s="17" t="s">
        <v>290</v>
      </c>
      <c r="K2" s="17" t="s">
        <v>291</v>
      </c>
      <c r="L2" s="17" t="s">
        <v>292</v>
      </c>
      <c r="M2" s="17" t="s">
        <v>293</v>
      </c>
      <c r="N2" s="10" t="s">
        <v>391</v>
      </c>
    </row>
    <row r="3" spans="1:14">
      <c r="A3" s="17" t="s">
        <v>0</v>
      </c>
      <c r="B3" s="17"/>
      <c r="C3" s="17"/>
      <c r="D3" s="17" t="s">
        <v>13</v>
      </c>
      <c r="E3" s="17" t="s">
        <v>4</v>
      </c>
      <c r="F3" s="17" t="s">
        <v>437</v>
      </c>
      <c r="G3" s="17"/>
      <c r="H3" s="17"/>
      <c r="I3" s="17"/>
      <c r="J3" s="17"/>
      <c r="K3" s="17"/>
      <c r="L3" s="17"/>
      <c r="M3" s="17"/>
    </row>
    <row r="4" spans="1:14">
      <c r="A4" s="18">
        <v>1036</v>
      </c>
      <c r="B4" s="18">
        <v>1</v>
      </c>
      <c r="C4" s="18" t="s">
        <v>335</v>
      </c>
      <c r="D4" s="18">
        <v>36</v>
      </c>
      <c r="E4" s="18" t="str">
        <f t="shared" ref="E4:E73" si="0">J4&amp;"|"&amp;K4</f>
        <v>200020|200072</v>
      </c>
      <c r="F4" s="18">
        <v>302</v>
      </c>
      <c r="G4" s="18" t="str">
        <f>INDEX('#玺戒参考'!$A:$E,MATCH(F4,'#玺戒参考'!$A:$A,0),2)</f>
        <v>雏菊之戒</v>
      </c>
      <c r="H4" s="18" t="str">
        <f>INDEX('#玺戒参考'!$A:$E,MATCH(F4,'#玺戒参考'!$A:$A,0),5)</f>
        <v>二连斩</v>
      </c>
      <c r="I4" s="18"/>
      <c r="J4" s="18">
        <f>INDEX('#技能参考'!$A:$A,MATCH(L4,'#技能参考'!$B:$B,0),1)</f>
        <v>200020</v>
      </c>
      <c r="K4" s="18">
        <f>INDEX('#技能参考'!$A:$A,MATCH(M4,'#技能参考'!$B:$B,0),1)</f>
        <v>200072</v>
      </c>
      <c r="L4" s="18" t="s">
        <v>401</v>
      </c>
      <c r="M4" s="18" t="s">
        <v>337</v>
      </c>
    </row>
    <row r="5" spans="1:14">
      <c r="A5" s="18">
        <v>1055</v>
      </c>
      <c r="B5" s="18">
        <v>1</v>
      </c>
      <c r="C5" s="18" t="s">
        <v>29</v>
      </c>
      <c r="D5" s="18">
        <v>55</v>
      </c>
      <c r="E5" s="18" t="str">
        <f t="shared" si="0"/>
        <v>200061|200009</v>
      </c>
      <c r="F5" s="18">
        <v>201</v>
      </c>
      <c r="G5" s="18" t="str">
        <f>INDEX('#玺戒参考'!$A:$E,MATCH(F5,'#玺戒参考'!$A:$A,0),2)</f>
        <v>暴熊之戒</v>
      </c>
      <c r="H5" s="18" t="str">
        <f>INDEX('#玺戒参考'!$A:$E,MATCH(F5,'#玺戒参考'!$A:$A,0),5)</f>
        <v>裸衣</v>
      </c>
      <c r="I5" s="18"/>
      <c r="J5" s="18">
        <f>INDEX('#技能参考'!$A:$A,MATCH(L5,'#技能参考'!$B:$B,0),1)</f>
        <v>200061</v>
      </c>
      <c r="K5" s="18">
        <f>INDEX('#技能参考'!$A:$A,MATCH(M5,'#技能参考'!$B:$B,0),1)</f>
        <v>200009</v>
      </c>
      <c r="L5" s="18" t="s">
        <v>111</v>
      </c>
      <c r="M5" s="18" t="s">
        <v>409</v>
      </c>
    </row>
    <row r="6" spans="1:14">
      <c r="A6" s="18">
        <v>1056</v>
      </c>
      <c r="B6" s="18">
        <v>1</v>
      </c>
      <c r="C6" s="18" t="s">
        <v>43</v>
      </c>
      <c r="D6" s="18">
        <v>56</v>
      </c>
      <c r="E6" s="18" t="str">
        <f t="shared" si="0"/>
        <v>200041|200015</v>
      </c>
      <c r="F6" s="18">
        <v>212</v>
      </c>
      <c r="G6" s="18" t="str">
        <f>INDEX('#玺戒参考'!$A:$E,MATCH(F6,'#玺戒参考'!$A:$A,0),2)</f>
        <v>夜狼之戒</v>
      </c>
      <c r="H6" s="18" t="str">
        <f>INDEX('#玺戒参考'!$A:$E,MATCH(F6,'#玺戒参考'!$A:$A,0),5)</f>
        <v>燃身战意</v>
      </c>
      <c r="I6" s="18"/>
      <c r="J6" s="18">
        <f>INDEX('#技能参考'!$A:$A,MATCH(L6,'#技能参考'!$B:$B,0),1)</f>
        <v>200041</v>
      </c>
      <c r="K6" s="18">
        <f>INDEX('#技能参考'!$A:$A,MATCH(M6,'#技能参考'!$B:$B,0),1)</f>
        <v>200015</v>
      </c>
      <c r="L6" s="18" t="s">
        <v>91</v>
      </c>
      <c r="M6" s="18" t="s">
        <v>396</v>
      </c>
    </row>
    <row r="7" spans="1:14">
      <c r="A7" s="18">
        <v>1211</v>
      </c>
      <c r="B7" s="18">
        <v>1</v>
      </c>
      <c r="C7" s="18" t="s">
        <v>39</v>
      </c>
      <c r="D7" s="18">
        <v>211</v>
      </c>
      <c r="E7" s="18" t="str">
        <f t="shared" si="0"/>
        <v>200043|200117</v>
      </c>
      <c r="F7" s="18">
        <v>212</v>
      </c>
      <c r="G7" s="18" t="str">
        <f>INDEX('#玺戒参考'!$A:$E,MATCH(F7,'#玺戒参考'!$A:$A,0),2)</f>
        <v>夜狼之戒</v>
      </c>
      <c r="H7" s="18" t="str">
        <f>INDEX('#玺戒参考'!$A:$E,MATCH(F7,'#玺戒参考'!$A:$A,0),5)</f>
        <v>燃身战意</v>
      </c>
      <c r="I7" s="18"/>
      <c r="J7" s="18">
        <f>INDEX('#技能参考'!$A:$A,MATCH(L7,'#技能参考'!$B:$B,0),1)</f>
        <v>200043</v>
      </c>
      <c r="K7" s="18">
        <f>INDEX('#技能参考'!$A:$A,MATCH(M7,'#技能参考'!$B:$B,0),1)</f>
        <v>200117</v>
      </c>
      <c r="L7" s="18" t="s">
        <v>93</v>
      </c>
      <c r="M7" s="18" t="s">
        <v>431</v>
      </c>
    </row>
    <row r="8" spans="1:14">
      <c r="A8" s="2">
        <v>2009</v>
      </c>
      <c r="B8" s="2">
        <v>2</v>
      </c>
      <c r="C8" s="2" t="s">
        <v>256</v>
      </c>
      <c r="D8" s="2">
        <v>9</v>
      </c>
      <c r="E8" s="2" t="str">
        <f t="shared" si="0"/>
        <v>200072|200031</v>
      </c>
      <c r="F8" s="2">
        <v>302</v>
      </c>
      <c r="G8" s="18" t="str">
        <f>INDEX('#玺戒参考'!$A:$E,MATCH(F8,'#玺戒参考'!$A:$A,0),2)</f>
        <v>雏菊之戒</v>
      </c>
      <c r="H8" s="18" t="str">
        <f>INDEX('#玺戒参考'!$A:$E,MATCH(F8,'#玺戒参考'!$A:$A,0),5)</f>
        <v>二连斩</v>
      </c>
      <c r="I8" s="2"/>
      <c r="J8" s="18">
        <f>INDEX('#技能参考'!$A:$A,MATCH(L8,'#技能参考'!$B:$B,0),1)</f>
        <v>200072</v>
      </c>
      <c r="K8" s="18">
        <f>INDEX('#技能参考'!$A:$A,MATCH(M8,'#技能参考'!$B:$B,0),1)</f>
        <v>200031</v>
      </c>
      <c r="L8" s="18" t="s">
        <v>337</v>
      </c>
      <c r="M8" s="18" t="s">
        <v>356</v>
      </c>
    </row>
    <row r="9" spans="1:14">
      <c r="A9" s="2">
        <v>2032</v>
      </c>
      <c r="B9" s="2">
        <v>2</v>
      </c>
      <c r="C9" s="2" t="s">
        <v>283</v>
      </c>
      <c r="D9" s="2">
        <v>32</v>
      </c>
      <c r="E9" s="2" t="str">
        <f t="shared" si="0"/>
        <v>200072|200031</v>
      </c>
      <c r="F9" s="2">
        <v>212</v>
      </c>
      <c r="G9" s="18" t="str">
        <f>INDEX('#玺戒参考'!$A:$E,MATCH(F9,'#玺戒参考'!$A:$A,0),2)</f>
        <v>夜狼之戒</v>
      </c>
      <c r="H9" s="18" t="str">
        <f>INDEX('#玺戒参考'!$A:$E,MATCH(F9,'#玺戒参考'!$A:$A,0),5)</f>
        <v>燃身战意</v>
      </c>
      <c r="I9" s="2"/>
      <c r="J9" s="18">
        <f>INDEX('#技能参考'!$A:$A,MATCH(L9,'#技能参考'!$B:$B,0),1)</f>
        <v>200072</v>
      </c>
      <c r="K9" s="18">
        <f>INDEX('#技能参考'!$A:$A,MATCH(M9,'#技能参考'!$B:$B,0),1)</f>
        <v>200031</v>
      </c>
      <c r="L9" s="18" t="s">
        <v>337</v>
      </c>
      <c r="M9" s="18" t="s">
        <v>356</v>
      </c>
    </row>
    <row r="10" spans="1:14">
      <c r="A10" s="2">
        <v>2036</v>
      </c>
      <c r="B10" s="2">
        <v>2</v>
      </c>
      <c r="C10" s="2" t="s">
        <v>335</v>
      </c>
      <c r="D10" s="2">
        <v>36</v>
      </c>
      <c r="E10" s="2" t="str">
        <f t="shared" si="0"/>
        <v>200020|200072</v>
      </c>
      <c r="F10" s="2">
        <v>210</v>
      </c>
      <c r="G10" s="18" t="str">
        <f>INDEX('#玺戒参考'!$A:$E,MATCH(F10,'#玺戒参考'!$A:$A,0),2)</f>
        <v>迅鹿之戒</v>
      </c>
      <c r="H10" s="18" t="str">
        <f>INDEX('#玺戒参考'!$A:$E,MATCH(F10,'#玺戒参考'!$A:$A,0),5)</f>
        <v>借势威吓</v>
      </c>
      <c r="I10" s="2"/>
      <c r="J10" s="18">
        <f>INDEX('#技能参考'!$A:$A,MATCH(L10,'#技能参考'!$B:$B,0),1)</f>
        <v>200020</v>
      </c>
      <c r="K10" s="18">
        <f>INDEX('#技能参考'!$A:$A,MATCH(M10,'#技能参考'!$B:$B,0),1)</f>
        <v>200072</v>
      </c>
      <c r="L10" s="18" t="s">
        <v>70</v>
      </c>
      <c r="M10" s="18" t="s">
        <v>337</v>
      </c>
    </row>
    <row r="11" spans="1:14">
      <c r="A11" s="2">
        <v>20361</v>
      </c>
      <c r="B11" s="2">
        <v>2</v>
      </c>
      <c r="C11" s="2" t="s">
        <v>335</v>
      </c>
      <c r="D11" s="2">
        <v>36</v>
      </c>
      <c r="E11" s="2" t="str">
        <f t="shared" si="0"/>
        <v>200072|200034</v>
      </c>
      <c r="F11" s="13">
        <v>302</v>
      </c>
      <c r="G11" s="18" t="str">
        <f>INDEX('#玺戒参考'!$A:$E,MATCH(F11,'#玺戒参考'!$A:$A,0),2)</f>
        <v>雏菊之戒</v>
      </c>
      <c r="H11" s="18" t="str">
        <f>INDEX('#玺戒参考'!$A:$E,MATCH(F11,'#玺戒参考'!$A:$A,0),5)</f>
        <v>二连斩</v>
      </c>
      <c r="I11" s="2"/>
      <c r="J11" s="18">
        <f>INDEX('#技能参考'!$A:$A,MATCH(L11,'#技能参考'!$B:$B,0),1)</f>
        <v>200072</v>
      </c>
      <c r="K11" s="18">
        <f>INDEX('#技能参考'!$A:$A,MATCH(M11,'#技能参考'!$B:$B,0),1)</f>
        <v>200034</v>
      </c>
      <c r="L11" s="18" t="s">
        <v>337</v>
      </c>
      <c r="M11" s="18" t="s">
        <v>423</v>
      </c>
    </row>
    <row r="12" spans="1:14">
      <c r="A12" s="2">
        <v>2055</v>
      </c>
      <c r="B12" s="2">
        <v>2</v>
      </c>
      <c r="C12" s="2" t="s">
        <v>29</v>
      </c>
      <c r="D12" s="2">
        <v>55</v>
      </c>
      <c r="E12" s="2" t="str">
        <f t="shared" si="0"/>
        <v>200061|200009</v>
      </c>
      <c r="F12" s="2">
        <v>201</v>
      </c>
      <c r="G12" s="18" t="str">
        <f>INDEX('#玺戒参考'!$A:$E,MATCH(F12,'#玺戒参考'!$A:$A,0),2)</f>
        <v>暴熊之戒</v>
      </c>
      <c r="H12" s="18" t="str">
        <f>INDEX('#玺戒参考'!$A:$E,MATCH(F12,'#玺戒参考'!$A:$A,0),5)</f>
        <v>裸衣</v>
      </c>
      <c r="I12" s="2"/>
      <c r="J12" s="18">
        <f>INDEX('#技能参考'!$A:$A,MATCH(L12,'#技能参考'!$B:$B,0),1)</f>
        <v>200061</v>
      </c>
      <c r="K12" s="18">
        <f>INDEX('#技能参考'!$A:$A,MATCH(M12,'#技能参考'!$B:$B,0),1)</f>
        <v>200009</v>
      </c>
      <c r="L12" s="18" t="s">
        <v>111</v>
      </c>
      <c r="M12" s="18" t="s">
        <v>409</v>
      </c>
    </row>
    <row r="13" spans="1:14">
      <c r="A13" s="2">
        <v>2076</v>
      </c>
      <c r="B13" s="2">
        <v>2</v>
      </c>
      <c r="C13" s="2" t="s">
        <v>257</v>
      </c>
      <c r="D13" s="2">
        <v>76</v>
      </c>
      <c r="E13" s="2" t="str">
        <f t="shared" si="0"/>
        <v>200125|200041</v>
      </c>
      <c r="F13" s="2">
        <v>212</v>
      </c>
      <c r="G13" s="18" t="str">
        <f>INDEX('#玺戒参考'!$A:$E,MATCH(F13,'#玺戒参考'!$A:$A,0),2)</f>
        <v>夜狼之戒</v>
      </c>
      <c r="H13" s="18" t="str">
        <f>INDEX('#玺戒参考'!$A:$E,MATCH(F13,'#玺戒参考'!$A:$A,0),5)</f>
        <v>燃身战意</v>
      </c>
      <c r="I13" s="2"/>
      <c r="J13" s="18">
        <f>INDEX('#技能参考'!$A:$A,MATCH(L13,'#技能参考'!$B:$B,0),1)</f>
        <v>200125</v>
      </c>
      <c r="K13" s="18">
        <f>INDEX('#技能参考'!$A:$A,MATCH(M13,'#技能参考'!$B:$B,0),1)</f>
        <v>200041</v>
      </c>
      <c r="L13" s="18" t="s">
        <v>440</v>
      </c>
      <c r="M13" s="18" t="s">
        <v>405</v>
      </c>
    </row>
    <row r="14" spans="1:14">
      <c r="A14" s="2">
        <v>2208</v>
      </c>
      <c r="B14" s="2">
        <v>2</v>
      </c>
      <c r="C14" s="2" t="s">
        <v>36</v>
      </c>
      <c r="D14" s="2">
        <v>208</v>
      </c>
      <c r="E14" s="2" t="str">
        <f t="shared" si="0"/>
        <v>200030|200032</v>
      </c>
      <c r="F14" s="2">
        <v>212</v>
      </c>
      <c r="G14" s="18" t="str">
        <f>INDEX('#玺戒参考'!$A:$E,MATCH(F14,'#玺戒参考'!$A:$A,0),2)</f>
        <v>夜狼之戒</v>
      </c>
      <c r="H14" s="18" t="str">
        <f>INDEX('#玺戒参考'!$A:$E,MATCH(F14,'#玺戒参考'!$A:$A,0),5)</f>
        <v>燃身战意</v>
      </c>
      <c r="I14" s="2"/>
      <c r="J14" s="18">
        <f>INDEX('#技能参考'!$A:$A,MATCH(L14,'#技能参考'!$B:$B,0),1)</f>
        <v>200030</v>
      </c>
      <c r="K14" s="18">
        <f>INDEX('#技能参考'!$A:$A,MATCH(M14,'#技能参考'!$B:$B,0),1)</f>
        <v>200032</v>
      </c>
      <c r="L14" s="18" t="s">
        <v>80</v>
      </c>
      <c r="M14" s="18" t="s">
        <v>433</v>
      </c>
    </row>
    <row r="15" spans="1:14">
      <c r="A15" s="18">
        <v>3001</v>
      </c>
      <c r="B15" s="18">
        <v>3</v>
      </c>
      <c r="C15" s="18" t="s">
        <v>332</v>
      </c>
      <c r="D15" s="18">
        <v>1</v>
      </c>
      <c r="E15" s="18" t="str">
        <f t="shared" si="0"/>
        <v>200068|200100</v>
      </c>
      <c r="F15" s="18">
        <v>211</v>
      </c>
      <c r="G15" s="18" t="str">
        <f>INDEX('#玺戒参考'!$A:$E,MATCH(F15,'#玺戒参考'!$A:$A,0),2)</f>
        <v>天鹰之戒</v>
      </c>
      <c r="H15" s="18" t="str">
        <f>INDEX('#玺戒参考'!$A:$E,MATCH(F15,'#玺戒参考'!$A:$A,0),5)</f>
        <v>绿洲之佑</v>
      </c>
      <c r="I15" s="18"/>
      <c r="J15" s="18">
        <f>INDEX('#技能参考'!$A:$A,MATCH(L15,'#技能参考'!$B:$B,0),1)</f>
        <v>200068</v>
      </c>
      <c r="K15" s="18">
        <f>INDEX('#技能参考'!$A:$A,MATCH(M15,'#技能参考'!$B:$B,0),1)</f>
        <v>200100</v>
      </c>
      <c r="L15" s="18" t="s">
        <v>118</v>
      </c>
      <c r="M15" s="18" t="s">
        <v>429</v>
      </c>
    </row>
    <row r="16" spans="1:14">
      <c r="A16" s="18">
        <v>3011</v>
      </c>
      <c r="B16" s="18">
        <v>3</v>
      </c>
      <c r="C16" s="18" t="s">
        <v>276</v>
      </c>
      <c r="D16" s="18">
        <v>11</v>
      </c>
      <c r="E16" s="18" t="str">
        <f t="shared" si="0"/>
        <v>200037|200006</v>
      </c>
      <c r="F16" s="18">
        <v>206</v>
      </c>
      <c r="G16" s="18" t="str">
        <f>INDEX('#玺戒参考'!$A:$E,MATCH(F16,'#玺戒参考'!$A:$A,0),2)</f>
        <v>灵獾之戒</v>
      </c>
      <c r="H16" s="18" t="str">
        <f>INDEX('#玺戒参考'!$A:$E,MATCH(F16,'#玺戒参考'!$A:$A,0),5)</f>
        <v>钢铁之躯</v>
      </c>
      <c r="I16" s="18"/>
      <c r="J16" s="18">
        <f>INDEX('#技能参考'!$A:$A,MATCH(L16,'#技能参考'!$B:$B,0),1)</f>
        <v>200037</v>
      </c>
      <c r="K16" s="18">
        <f>INDEX('#技能参考'!$A:$A,MATCH(M16,'#技能参考'!$B:$B,0),1)</f>
        <v>200006</v>
      </c>
      <c r="L16" s="18" t="s">
        <v>430</v>
      </c>
      <c r="M16" s="18" t="s">
        <v>373</v>
      </c>
    </row>
    <row r="17" spans="1:14">
      <c r="A17" s="18">
        <v>3013</v>
      </c>
      <c r="B17" s="18">
        <v>3</v>
      </c>
      <c r="C17" s="18" t="s">
        <v>372</v>
      </c>
      <c r="D17" s="18">
        <v>13</v>
      </c>
      <c r="E17" s="18" t="str">
        <f t="shared" si="0"/>
        <v>200100|200006</v>
      </c>
      <c r="F17" s="18">
        <v>213</v>
      </c>
      <c r="G17" s="18" t="str">
        <f>INDEX('#玺戒参考'!$A:$E,MATCH(F17,'#玺戒参考'!$A:$A,0),2)</f>
        <v>野猪之戒</v>
      </c>
      <c r="H17" s="18" t="str">
        <f>INDEX('#玺戒参考'!$A:$E,MATCH(F17,'#玺戒参考'!$A:$A,0),5)</f>
        <v>余烬之灼</v>
      </c>
      <c r="I17" s="18"/>
      <c r="J17" s="18">
        <f>INDEX('#技能参考'!$A:$A,MATCH(L17,'#技能参考'!$B:$B,0),1)</f>
        <v>200100</v>
      </c>
      <c r="K17" s="18">
        <f>INDEX('#技能参考'!$A:$A,MATCH(M17,'#技能参考'!$B:$B,0),1)</f>
        <v>200006</v>
      </c>
      <c r="L17" s="18" t="s">
        <v>429</v>
      </c>
      <c r="M17" s="18" t="s">
        <v>373</v>
      </c>
    </row>
    <row r="18" spans="1:14">
      <c r="A18" s="18">
        <v>3017</v>
      </c>
      <c r="B18" s="18">
        <v>3</v>
      </c>
      <c r="C18" s="18" t="s">
        <v>253</v>
      </c>
      <c r="D18" s="18">
        <v>17</v>
      </c>
      <c r="E18" s="18" t="str">
        <f t="shared" si="0"/>
        <v>200117|200042</v>
      </c>
      <c r="F18" s="18">
        <v>305</v>
      </c>
      <c r="G18" s="18" t="str">
        <f>INDEX('#玺戒参考'!$A:$E,MATCH(F18,'#玺戒参考'!$A:$A,0),2)</f>
        <v>三叶草之戒</v>
      </c>
      <c r="H18" s="18" t="str">
        <f>INDEX('#玺戒参考'!$A:$E,MATCH(F18,'#玺戒参考'!$A:$A,0),5)</f>
        <v>甲胄维护</v>
      </c>
      <c r="I18" s="18"/>
      <c r="J18" s="18">
        <f>INDEX('#技能参考'!$A:$A,MATCH(L18,'#技能参考'!$B:$B,0),1)</f>
        <v>200117</v>
      </c>
      <c r="K18" s="18">
        <f>INDEX('#技能参考'!$A:$A,MATCH(M18,'#技能参考'!$B:$B,0),1)</f>
        <v>200042</v>
      </c>
      <c r="L18" s="18" t="s">
        <v>156</v>
      </c>
      <c r="M18" s="18" t="s">
        <v>92</v>
      </c>
    </row>
    <row r="19" spans="1:14">
      <c r="A19" s="18">
        <v>3019</v>
      </c>
      <c r="B19" s="18">
        <v>3</v>
      </c>
      <c r="C19" s="18" t="s">
        <v>252</v>
      </c>
      <c r="D19" s="18">
        <v>19</v>
      </c>
      <c r="E19" s="18" t="str">
        <f t="shared" si="0"/>
        <v>200019|200072</v>
      </c>
      <c r="F19" s="18">
        <v>210</v>
      </c>
      <c r="G19" s="18" t="str">
        <f>INDEX('#玺戒参考'!$A:$E,MATCH(F19,'#玺戒参考'!$A:$A,0),2)</f>
        <v>迅鹿之戒</v>
      </c>
      <c r="H19" s="18" t="str">
        <f>INDEX('#玺戒参考'!$A:$E,MATCH(F19,'#玺戒参考'!$A:$A,0),5)</f>
        <v>借势威吓</v>
      </c>
      <c r="I19" s="18"/>
      <c r="J19" s="18">
        <f>INDEX('#技能参考'!$A:$A,MATCH(L19,'#技能参考'!$B:$B,0),1)</f>
        <v>200019</v>
      </c>
      <c r="K19" s="18">
        <f>INDEX('#技能参考'!$A:$A,MATCH(M19,'#技能参考'!$B:$B,0),1)</f>
        <v>200072</v>
      </c>
      <c r="L19" s="18" t="s">
        <v>336</v>
      </c>
      <c r="M19" s="18" t="s">
        <v>337</v>
      </c>
    </row>
    <row r="20" spans="1:14">
      <c r="A20" s="18">
        <v>3042</v>
      </c>
      <c r="B20" s="18">
        <v>3</v>
      </c>
      <c r="C20" s="18" t="s">
        <v>41</v>
      </c>
      <c r="D20" s="18">
        <v>42</v>
      </c>
      <c r="E20" s="18" t="str">
        <f t="shared" si="0"/>
        <v>200037|200006</v>
      </c>
      <c r="F20" s="18">
        <v>213</v>
      </c>
      <c r="G20" s="18" t="str">
        <f>INDEX('#玺戒参考'!$A:$E,MATCH(F20,'#玺戒参考'!$A:$A,0),2)</f>
        <v>野猪之戒</v>
      </c>
      <c r="H20" s="18" t="str">
        <f>INDEX('#玺戒参考'!$A:$E,MATCH(F20,'#玺戒参考'!$A:$A,0),5)</f>
        <v>余烬之灼</v>
      </c>
      <c r="I20" s="18"/>
      <c r="J20" s="18">
        <f>INDEX('#技能参考'!$A:$A,MATCH(L20,'#技能参考'!$B:$B,0),1)</f>
        <v>200037</v>
      </c>
      <c r="K20" s="18">
        <f>INDEX('#技能参考'!$A:$A,MATCH(M20,'#技能参考'!$B:$B,0),1)</f>
        <v>200006</v>
      </c>
      <c r="L20" s="18" t="s">
        <v>87</v>
      </c>
      <c r="M20" s="18" t="s">
        <v>56</v>
      </c>
    </row>
    <row r="21" spans="1:14">
      <c r="A21" s="18">
        <v>3069</v>
      </c>
      <c r="B21" s="18">
        <v>3</v>
      </c>
      <c r="C21" s="18" t="s">
        <v>331</v>
      </c>
      <c r="D21" s="18">
        <v>69</v>
      </c>
      <c r="E21" s="18" t="str">
        <f t="shared" si="0"/>
        <v>200068|200040</v>
      </c>
      <c r="F21" s="18">
        <v>211</v>
      </c>
      <c r="G21" s="18" t="str">
        <f>INDEX('#玺戒参考'!$A:$E,MATCH(F21,'#玺戒参考'!$A:$A,0),2)</f>
        <v>天鹰之戒</v>
      </c>
      <c r="H21" s="18" t="str">
        <f>INDEX('#玺戒参考'!$A:$E,MATCH(F21,'#玺戒参考'!$A:$A,0),5)</f>
        <v>绿洲之佑</v>
      </c>
      <c r="I21" s="18"/>
      <c r="J21" s="18">
        <f>INDEX('#技能参考'!$A:$A,MATCH(L21,'#技能参考'!$B:$B,0),1)</f>
        <v>200068</v>
      </c>
      <c r="K21" s="18">
        <f>INDEX('#技能参考'!$A:$A,MATCH(M21,'#技能参考'!$B:$B,0),1)</f>
        <v>200040</v>
      </c>
      <c r="L21" s="18" t="s">
        <v>118</v>
      </c>
      <c r="M21" s="18" t="s">
        <v>90</v>
      </c>
    </row>
    <row r="22" spans="1:14">
      <c r="A22" s="18">
        <v>3207</v>
      </c>
      <c r="B22" s="18">
        <v>3</v>
      </c>
      <c r="C22" s="18" t="s">
        <v>578</v>
      </c>
      <c r="D22" s="18">
        <v>207</v>
      </c>
      <c r="E22" s="18" t="str">
        <f t="shared" si="0"/>
        <v>200040|200120</v>
      </c>
      <c r="F22" s="18">
        <v>206</v>
      </c>
      <c r="G22" s="18" t="str">
        <f>INDEX('#玺戒参考'!$A:$E,MATCH(F22,'#玺戒参考'!$A:$A,0),2)</f>
        <v>灵獾之戒</v>
      </c>
      <c r="H22" s="18" t="str">
        <f>INDEX('#玺戒参考'!$A:$E,MATCH(F22,'#玺戒参考'!$A:$A,0),5)</f>
        <v>钢铁之躯</v>
      </c>
      <c r="I22" s="18"/>
      <c r="J22" s="18">
        <f>INDEX('#技能参考'!$A:$A,MATCH(L22,'#技能参考'!$B:$B,0),1)</f>
        <v>200040</v>
      </c>
      <c r="K22" s="18">
        <f>INDEX('#技能参考'!$A:$A,MATCH(M22,'#技能参考'!$B:$B,0),1)</f>
        <v>200120</v>
      </c>
      <c r="L22" s="18" t="s">
        <v>90</v>
      </c>
      <c r="M22" s="18" t="s">
        <v>159</v>
      </c>
    </row>
    <row r="23" spans="1:14">
      <c r="A23" s="2">
        <v>4005</v>
      </c>
      <c r="B23" s="2">
        <v>4</v>
      </c>
      <c r="C23" s="2" t="s">
        <v>31</v>
      </c>
      <c r="D23" s="2">
        <v>5</v>
      </c>
      <c r="E23" s="2" t="str">
        <f t="shared" si="0"/>
        <v>200027|200028</v>
      </c>
      <c r="F23" s="2">
        <v>303</v>
      </c>
      <c r="G23" s="18" t="str">
        <f>INDEX('#玺戒参考'!$A:$E,MATCH(F23,'#玺戒参考'!$A:$A,0),2)</f>
        <v>鸢尾花之戒</v>
      </c>
      <c r="H23" s="18" t="str">
        <f>INDEX('#玺戒参考'!$A:$E,MATCH(F23,'#玺戒参考'!$A:$A,0),5)</f>
        <v>锐锋</v>
      </c>
      <c r="I23" s="2"/>
      <c r="J23" s="18">
        <f>INDEX('#技能参考'!$A:$A,MATCH(L23,'#技能参考'!$B:$B,0),1)</f>
        <v>200027</v>
      </c>
      <c r="K23" s="18">
        <f>INDEX('#技能参考'!$A:$A,MATCH(M23,'#技能参考'!$B:$B,0),1)</f>
        <v>200028</v>
      </c>
      <c r="L23" s="18" t="s">
        <v>77</v>
      </c>
      <c r="M23" s="18" t="s">
        <v>78</v>
      </c>
    </row>
    <row r="24" spans="1:14">
      <c r="A24" s="2">
        <v>4019</v>
      </c>
      <c r="B24" s="2">
        <v>4</v>
      </c>
      <c r="C24" s="2" t="s">
        <v>252</v>
      </c>
      <c r="D24" s="2">
        <v>19</v>
      </c>
      <c r="E24" s="2" t="str">
        <f t="shared" si="0"/>
        <v>200019|200072</v>
      </c>
      <c r="F24" s="2">
        <v>303</v>
      </c>
      <c r="G24" s="18" t="str">
        <f>INDEX('#玺戒参考'!$A:$E,MATCH(F24,'#玺戒参考'!$A:$A,0),2)</f>
        <v>鸢尾花之戒</v>
      </c>
      <c r="H24" s="18" t="str">
        <f>INDEX('#玺戒参考'!$A:$E,MATCH(F24,'#玺戒参考'!$A:$A,0),5)</f>
        <v>锐锋</v>
      </c>
      <c r="I24" s="2"/>
      <c r="J24" s="18">
        <f>INDEX('#技能参考'!$A:$A,MATCH(L24,'#技能参考'!$B:$B,0),1)</f>
        <v>200019</v>
      </c>
      <c r="K24" s="18">
        <f>INDEX('#技能参考'!$A:$A,MATCH(M24,'#技能参考'!$B:$B,0),1)</f>
        <v>200072</v>
      </c>
      <c r="L24" s="18" t="s">
        <v>69</v>
      </c>
      <c r="M24" s="18" t="s">
        <v>122</v>
      </c>
    </row>
    <row r="25" spans="1:14">
      <c r="A25" s="2">
        <v>4032</v>
      </c>
      <c r="B25" s="2">
        <v>4</v>
      </c>
      <c r="C25" s="2" t="s">
        <v>283</v>
      </c>
      <c r="D25" s="2">
        <v>32</v>
      </c>
      <c r="E25" s="2" t="str">
        <f t="shared" si="0"/>
        <v>200072|200036</v>
      </c>
      <c r="F25" s="2">
        <v>212</v>
      </c>
      <c r="G25" s="18" t="str">
        <f>INDEX('#玺戒参考'!$A:$E,MATCH(F25,'#玺戒参考'!$A:$A,0),2)</f>
        <v>夜狼之戒</v>
      </c>
      <c r="H25" s="18" t="str">
        <f>INDEX('#玺戒参考'!$A:$E,MATCH(F25,'#玺戒参考'!$A:$A,0),5)</f>
        <v>燃身战意</v>
      </c>
      <c r="I25" s="2"/>
      <c r="J25" s="18">
        <f>INDEX('#技能参考'!$A:$A,MATCH(L25,'#技能参考'!$B:$B,0),1)</f>
        <v>200072</v>
      </c>
      <c r="K25" s="18">
        <f>INDEX('#技能参考'!$A:$A,MATCH(M25,'#技能参考'!$B:$B,0),1)</f>
        <v>200036</v>
      </c>
      <c r="L25" s="18" t="s">
        <v>337</v>
      </c>
      <c r="M25" s="18" t="s">
        <v>86</v>
      </c>
      <c r="N25" s="10" t="s">
        <v>392</v>
      </c>
    </row>
    <row r="26" spans="1:14">
      <c r="A26" s="2">
        <v>40321</v>
      </c>
      <c r="B26" s="2">
        <v>4</v>
      </c>
      <c r="C26" s="2" t="s">
        <v>283</v>
      </c>
      <c r="D26" s="2">
        <v>32</v>
      </c>
      <c r="E26" s="2" t="str">
        <f t="shared" si="0"/>
        <v>200072|200031</v>
      </c>
      <c r="F26" s="2">
        <v>212</v>
      </c>
      <c r="G26" s="18" t="str">
        <f>INDEX('#玺戒参考'!$A:$E,MATCH(F26,'#玺戒参考'!$A:$A,0),2)</f>
        <v>夜狼之戒</v>
      </c>
      <c r="H26" s="18" t="str">
        <f>INDEX('#玺戒参考'!$A:$E,MATCH(F26,'#玺戒参考'!$A:$A,0),5)</f>
        <v>燃身战意</v>
      </c>
      <c r="I26" s="2"/>
      <c r="J26" s="18">
        <f>INDEX('#技能参考'!$A:$A,MATCH(L26,'#技能参考'!$B:$B,0),1)</f>
        <v>200072</v>
      </c>
      <c r="K26" s="18">
        <f>INDEX('#技能参考'!$A:$A,MATCH(M26,'#技能参考'!$B:$B,0),1)</f>
        <v>200031</v>
      </c>
      <c r="L26" s="18" t="s">
        <v>337</v>
      </c>
      <c r="M26" s="18" t="s">
        <v>356</v>
      </c>
      <c r="N26" s="10" t="s">
        <v>393</v>
      </c>
    </row>
    <row r="27" spans="1:14">
      <c r="A27" s="2">
        <v>4056</v>
      </c>
      <c r="B27" s="2">
        <v>4</v>
      </c>
      <c r="C27" s="2" t="s">
        <v>43</v>
      </c>
      <c r="D27" s="2">
        <v>56</v>
      </c>
      <c r="E27" s="2" t="str">
        <f t="shared" si="0"/>
        <v>200041|200015</v>
      </c>
      <c r="F27" s="2">
        <v>211</v>
      </c>
      <c r="G27" s="18" t="str">
        <f>INDEX('#玺戒参考'!$A:$E,MATCH(F27,'#玺戒参考'!$A:$A,0),2)</f>
        <v>天鹰之戒</v>
      </c>
      <c r="H27" s="18" t="str">
        <f>INDEX('#玺戒参考'!$A:$E,MATCH(F27,'#玺戒参考'!$A:$A,0),5)</f>
        <v>绿洲之佑</v>
      </c>
      <c r="I27" s="2"/>
      <c r="J27" s="18">
        <f>INDEX('#技能参考'!$A:$A,MATCH(L27,'#技能参考'!$B:$B,0),1)</f>
        <v>200041</v>
      </c>
      <c r="K27" s="18">
        <f>INDEX('#技能参考'!$A:$A,MATCH(M27,'#技能参考'!$B:$B,0),1)</f>
        <v>200015</v>
      </c>
      <c r="L27" s="18" t="s">
        <v>91</v>
      </c>
      <c r="M27" s="18" t="s">
        <v>396</v>
      </c>
    </row>
    <row r="28" spans="1:14">
      <c r="A28" s="2">
        <v>4076</v>
      </c>
      <c r="B28" s="2">
        <v>4</v>
      </c>
      <c r="C28" s="2" t="s">
        <v>257</v>
      </c>
      <c r="D28" s="2">
        <v>76</v>
      </c>
      <c r="E28" s="2" t="str">
        <f t="shared" si="0"/>
        <v>200125|200041</v>
      </c>
      <c r="F28" s="2">
        <v>212</v>
      </c>
      <c r="G28" s="18" t="str">
        <f>INDEX('#玺戒参考'!$A:$E,MATCH(F28,'#玺戒参考'!$A:$A,0),2)</f>
        <v>夜狼之戒</v>
      </c>
      <c r="H28" s="18" t="str">
        <f>INDEX('#玺戒参考'!$A:$E,MATCH(F28,'#玺戒参考'!$A:$A,0),5)</f>
        <v>燃身战意</v>
      </c>
      <c r="I28" s="2"/>
      <c r="J28" s="18">
        <f>INDEX('#技能参考'!$A:$A,MATCH(L28,'#技能参考'!$B:$B,0),1)</f>
        <v>200125</v>
      </c>
      <c r="K28" s="18">
        <f>INDEX('#技能参考'!$A:$A,MATCH(M28,'#技能参考'!$B:$B,0),1)</f>
        <v>200041</v>
      </c>
      <c r="L28" s="18" t="s">
        <v>164</v>
      </c>
      <c r="M28" s="18" t="s">
        <v>91</v>
      </c>
    </row>
    <row r="29" spans="1:14">
      <c r="A29" s="2">
        <v>4202</v>
      </c>
      <c r="B29" s="2">
        <v>4</v>
      </c>
      <c r="C29" s="2" t="s">
        <v>33</v>
      </c>
      <c r="D29" s="2">
        <v>202</v>
      </c>
      <c r="E29" s="2" t="str">
        <f t="shared" si="0"/>
        <v>200026|200113</v>
      </c>
      <c r="F29" s="2">
        <v>302</v>
      </c>
      <c r="G29" s="18" t="str">
        <f>INDEX('#玺戒参考'!$A:$E,MATCH(F29,'#玺戒参考'!$A:$A,0),2)</f>
        <v>雏菊之戒</v>
      </c>
      <c r="H29" s="18" t="str">
        <f>INDEX('#玺戒参考'!$A:$E,MATCH(F29,'#玺戒参考'!$A:$A,0),5)</f>
        <v>二连斩</v>
      </c>
      <c r="I29" s="2" t="s">
        <v>295</v>
      </c>
      <c r="J29" s="18">
        <f>INDEX('#技能参考'!$A:$A,MATCH(L29,'#技能参考'!$B:$B,0),1)</f>
        <v>200026</v>
      </c>
      <c r="K29" s="18">
        <f>INDEX('#技能参考'!$A:$A,MATCH(M29,'#技能参考'!$B:$B,0),1)</f>
        <v>200113</v>
      </c>
      <c r="L29" s="18" t="s">
        <v>76</v>
      </c>
      <c r="M29" s="18" t="s">
        <v>441</v>
      </c>
    </row>
    <row r="30" spans="1:14">
      <c r="A30" s="2">
        <v>4215</v>
      </c>
      <c r="B30" s="2">
        <v>4</v>
      </c>
      <c r="C30" s="2" t="s">
        <v>258</v>
      </c>
      <c r="D30" s="2">
        <v>215</v>
      </c>
      <c r="E30" s="2" t="str">
        <f t="shared" si="0"/>
        <v>200030|200032</v>
      </c>
      <c r="F30" s="2">
        <v>212</v>
      </c>
      <c r="G30" s="18" t="str">
        <f>INDEX('#玺戒参考'!$A:$E,MATCH(F30,'#玺戒参考'!$A:$A,0),2)</f>
        <v>夜狼之戒</v>
      </c>
      <c r="H30" s="18" t="str">
        <f>INDEX('#玺戒参考'!$A:$E,MATCH(F30,'#玺戒参考'!$A:$A,0),5)</f>
        <v>燃身战意</v>
      </c>
      <c r="I30" s="2" t="s">
        <v>294</v>
      </c>
      <c r="J30" s="18">
        <f>INDEX('#技能参考'!$A:$A,MATCH(L30,'#技能参考'!$B:$B,0),1)</f>
        <v>200030</v>
      </c>
      <c r="K30" s="18">
        <f>INDEX('#技能参考'!$A:$A,MATCH(M30,'#技能参考'!$B:$B,0),1)</f>
        <v>200032</v>
      </c>
      <c r="L30" s="18" t="s">
        <v>432</v>
      </c>
      <c r="M30" s="18" t="s">
        <v>433</v>
      </c>
    </row>
    <row r="31" spans="1:14">
      <c r="A31" s="18">
        <v>5004</v>
      </c>
      <c r="B31" s="18">
        <v>5</v>
      </c>
      <c r="C31" s="18" t="s">
        <v>263</v>
      </c>
      <c r="D31" s="18">
        <v>4</v>
      </c>
      <c r="E31" s="18" t="str">
        <f t="shared" si="0"/>
        <v>200115|200074</v>
      </c>
      <c r="F31" s="18">
        <v>109</v>
      </c>
      <c r="G31" s="18" t="str">
        <f>INDEX('#玺戒参考'!$A:$E,MATCH(F31,'#玺戒参考'!$A:$A,0),2)</f>
        <v>苍蓝之月</v>
      </c>
      <c r="H31" s="18" t="str">
        <f>INDEX('#玺戒参考'!$A:$E,MATCH(F31,'#玺戒参考'!$A:$A,0),5)</f>
        <v>毁灭的预示</v>
      </c>
      <c r="I31" s="18"/>
      <c r="J31" s="18">
        <f>INDEX('#技能参考'!$A:$A,MATCH(L31,'#技能参考'!$B:$B,0),1)</f>
        <v>200115</v>
      </c>
      <c r="K31" s="18">
        <f>INDEX('#技能参考'!$A:$A,MATCH(M31,'#技能参考'!$B:$B,0),1)</f>
        <v>200074</v>
      </c>
      <c r="L31" s="18" t="s">
        <v>154</v>
      </c>
      <c r="M31" s="18" t="s">
        <v>124</v>
      </c>
    </row>
    <row r="32" spans="1:14">
      <c r="A32" s="18">
        <v>5014</v>
      </c>
      <c r="B32" s="18">
        <v>5</v>
      </c>
      <c r="C32" s="18" t="s">
        <v>32</v>
      </c>
      <c r="D32" s="18">
        <v>14</v>
      </c>
      <c r="E32" s="18" t="str">
        <f t="shared" si="0"/>
        <v>200063|200016</v>
      </c>
      <c r="F32" s="18">
        <v>109</v>
      </c>
      <c r="G32" s="18" t="str">
        <f>INDEX('#玺戒参考'!$A:$E,MATCH(F32,'#玺戒参考'!$A:$A,0),2)</f>
        <v>苍蓝之月</v>
      </c>
      <c r="H32" s="18" t="str">
        <f>INDEX('#玺戒参考'!$A:$E,MATCH(F32,'#玺戒参考'!$A:$A,0),5)</f>
        <v>毁灭的预示</v>
      </c>
      <c r="I32" s="18"/>
      <c r="J32" s="18">
        <f>INDEX('#技能参考'!$A:$A,MATCH(L32,'#技能参考'!$B:$B,0),1)</f>
        <v>200063</v>
      </c>
      <c r="K32" s="18">
        <f>INDEX('#技能参考'!$A:$A,MATCH(M32,'#技能参考'!$B:$B,0),1)</f>
        <v>200016</v>
      </c>
      <c r="L32" s="18" t="s">
        <v>113</v>
      </c>
      <c r="M32" s="18" t="s">
        <v>66</v>
      </c>
    </row>
    <row r="33" spans="1:13">
      <c r="A33" s="18">
        <v>5016</v>
      </c>
      <c r="B33" s="18">
        <v>5</v>
      </c>
      <c r="C33" s="18" t="s">
        <v>262</v>
      </c>
      <c r="D33" s="18">
        <v>16</v>
      </c>
      <c r="E33" s="18" t="str">
        <f t="shared" si="0"/>
        <v>200047|200016</v>
      </c>
      <c r="F33" s="18">
        <v>106</v>
      </c>
      <c r="G33" s="18" t="str">
        <f>INDEX('#玺戒参考'!$A:$E,MATCH(F33,'#玺戒参考'!$A:$A,0),2)</f>
        <v>天行骑士</v>
      </c>
      <c r="H33" s="18" t="str">
        <f>INDEX('#玺戒参考'!$A:$E,MATCH(F33,'#玺戒参考'!$A:$A,0),5)</f>
        <v>胜利的代价</v>
      </c>
      <c r="I33" s="18"/>
      <c r="J33" s="18">
        <f>INDEX('#技能参考'!$A:$A,MATCH(L33,'#技能参考'!$B:$B,0),1)</f>
        <v>200047</v>
      </c>
      <c r="K33" s="18">
        <f>INDEX('#技能参考'!$A:$A,MATCH(M33,'#技能参考'!$B:$B,0),1)</f>
        <v>200016</v>
      </c>
      <c r="L33" s="18" t="s">
        <v>97</v>
      </c>
      <c r="M33" s="18" t="s">
        <v>66</v>
      </c>
    </row>
    <row r="34" spans="1:13">
      <c r="A34" s="18">
        <v>5041</v>
      </c>
      <c r="B34" s="18">
        <v>5</v>
      </c>
      <c r="C34" s="18" t="s">
        <v>251</v>
      </c>
      <c r="D34" s="18">
        <v>41</v>
      </c>
      <c r="E34" s="18" t="str">
        <f t="shared" si="0"/>
        <v>200047|200098</v>
      </c>
      <c r="F34" s="18">
        <v>111</v>
      </c>
      <c r="G34" s="18" t="str">
        <f>INDEX('#玺戒参考'!$A:$E,MATCH(F34,'#玺戒参考'!$A:$A,0),2)</f>
        <v>不动之山</v>
      </c>
      <c r="H34" s="18" t="str">
        <f>INDEX('#玺戒参考'!$A:$E,MATCH(F34,'#玺戒参考'!$A:$A,0),5)</f>
        <v>避芒击惰</v>
      </c>
      <c r="I34" s="18"/>
      <c r="J34" s="18">
        <f>INDEX('#技能参考'!$A:$A,MATCH(L34,'#技能参考'!$B:$B,0),1)</f>
        <v>200047</v>
      </c>
      <c r="K34" s="18">
        <f>INDEX('#技能参考'!$A:$A,MATCH(M34,'#技能参考'!$B:$B,0),1)</f>
        <v>200098</v>
      </c>
      <c r="L34" s="18" t="s">
        <v>97</v>
      </c>
      <c r="M34" s="18" t="s">
        <v>139</v>
      </c>
    </row>
    <row r="35" spans="1:13">
      <c r="A35" s="18">
        <v>5062</v>
      </c>
      <c r="B35" s="18">
        <v>5</v>
      </c>
      <c r="C35" s="18" t="s">
        <v>42</v>
      </c>
      <c r="D35" s="18">
        <v>62</v>
      </c>
      <c r="E35" s="18" t="str">
        <f t="shared" si="0"/>
        <v>200047|200098</v>
      </c>
      <c r="F35" s="18">
        <v>111</v>
      </c>
      <c r="G35" s="18" t="str">
        <f>INDEX('#玺戒参考'!$A:$E,MATCH(F35,'#玺戒参考'!$A:$A,0),2)</f>
        <v>不动之山</v>
      </c>
      <c r="H35" s="18" t="str">
        <f>INDEX('#玺戒参考'!$A:$E,MATCH(F35,'#玺戒参考'!$A:$A,0),5)</f>
        <v>避芒击惰</v>
      </c>
      <c r="I35" s="18"/>
      <c r="J35" s="18">
        <f>INDEX('#技能参考'!$A:$A,MATCH(L35,'#技能参考'!$B:$B,0),1)</f>
        <v>200047</v>
      </c>
      <c r="K35" s="18">
        <f>INDEX('#技能参考'!$A:$A,MATCH(M35,'#技能参考'!$B:$B,0),1)</f>
        <v>200098</v>
      </c>
      <c r="L35" s="18" t="s">
        <v>97</v>
      </c>
      <c r="M35" s="18" t="s">
        <v>139</v>
      </c>
    </row>
    <row r="36" spans="1:13">
      <c r="A36" s="18">
        <v>5205</v>
      </c>
      <c r="B36" s="18">
        <v>5</v>
      </c>
      <c r="C36" s="18" t="s">
        <v>34</v>
      </c>
      <c r="D36" s="18">
        <v>205</v>
      </c>
      <c r="E36" s="18" t="str">
        <f t="shared" si="0"/>
        <v>200124|200116</v>
      </c>
      <c r="F36" s="18">
        <v>106</v>
      </c>
      <c r="G36" s="18" t="str">
        <f>INDEX('#玺戒参考'!$A:$E,MATCH(F36,'#玺戒参考'!$A:$A,0),2)</f>
        <v>天行骑士</v>
      </c>
      <c r="H36" s="18" t="str">
        <f>INDEX('#玺戒参考'!$A:$E,MATCH(F36,'#玺戒参考'!$A:$A,0),5)</f>
        <v>胜利的代价</v>
      </c>
      <c r="I36" s="18" t="s">
        <v>265</v>
      </c>
      <c r="J36" s="18">
        <f>INDEX('#技能参考'!$A:$A,MATCH(L36,'#技能参考'!$B:$B,0),1)</f>
        <v>200124</v>
      </c>
      <c r="K36" s="18">
        <f>INDEX('#技能参考'!$A:$A,MATCH(M36,'#技能参考'!$B:$B,0),1)</f>
        <v>200116</v>
      </c>
      <c r="L36" s="18" t="s">
        <v>163</v>
      </c>
      <c r="M36" s="18" t="s">
        <v>155</v>
      </c>
    </row>
    <row r="37" spans="1:13">
      <c r="A37" s="18">
        <v>5209</v>
      </c>
      <c r="B37" s="18">
        <v>5</v>
      </c>
      <c r="C37" s="18" t="s">
        <v>37</v>
      </c>
      <c r="D37" s="18">
        <v>209</v>
      </c>
      <c r="E37" s="18" t="str">
        <f t="shared" si="0"/>
        <v>200114|200116</v>
      </c>
      <c r="F37" s="18">
        <v>304</v>
      </c>
      <c r="G37" s="18" t="str">
        <f>INDEX('#玺戒参考'!$A:$E,MATCH(F37,'#玺戒参考'!$A:$A,0),2)</f>
        <v>玫瑰之戒</v>
      </c>
      <c r="H37" s="18" t="str">
        <f>INDEX('#玺戒参考'!$A:$E,MATCH(F37,'#玺戒参考'!$A:$A,0),5)</f>
        <v>奇袭</v>
      </c>
      <c r="I37" s="18" t="s">
        <v>266</v>
      </c>
      <c r="J37" s="18">
        <f>INDEX('#技能参考'!$A:$A,MATCH(L37,'#技能参考'!$B:$B,0),1)</f>
        <v>200114</v>
      </c>
      <c r="K37" s="18">
        <f>INDEX('#技能参考'!$A:$A,MATCH(M37,'#技能参考'!$B:$B,0),1)</f>
        <v>200116</v>
      </c>
      <c r="L37" s="18" t="s">
        <v>153</v>
      </c>
      <c r="M37" s="18" t="s">
        <v>155</v>
      </c>
    </row>
    <row r="38" spans="1:13">
      <c r="A38" s="2">
        <v>6002</v>
      </c>
      <c r="B38" s="2">
        <v>6</v>
      </c>
      <c r="C38" s="2" t="s">
        <v>254</v>
      </c>
      <c r="D38" s="2">
        <v>2</v>
      </c>
      <c r="E38" s="2" t="str">
        <f t="shared" si="0"/>
        <v>200080|200068</v>
      </c>
      <c r="F38" s="2">
        <v>102</v>
      </c>
      <c r="G38" s="18" t="str">
        <f>INDEX('#玺戒参考'!$A:$E,MATCH(F38,'#玺戒参考'!$A:$A,0),2)</f>
        <v>圣选贤哲</v>
      </c>
      <c r="H38" s="18" t="str">
        <f>INDEX('#玺戒参考'!$A:$E,MATCH(F38,'#玺戒参考'!$A:$A,0),5)</f>
        <v>沉默誓言</v>
      </c>
      <c r="I38" s="2"/>
      <c r="J38" s="18">
        <f>INDEX('#技能参考'!$A:$A,MATCH(L38,'#技能参考'!$B:$B,0),1)</f>
        <v>200080</v>
      </c>
      <c r="K38" s="18">
        <f>INDEX('#技能参考'!$A:$A,MATCH(M38,'#技能参考'!$B:$B,0),1)</f>
        <v>200068</v>
      </c>
      <c r="L38" s="18" t="s">
        <v>129</v>
      </c>
      <c r="M38" s="18" t="s">
        <v>118</v>
      </c>
    </row>
    <row r="39" spans="1:13">
      <c r="A39" s="2">
        <v>6003</v>
      </c>
      <c r="B39" s="2">
        <v>6</v>
      </c>
      <c r="C39" s="2" t="s">
        <v>255</v>
      </c>
      <c r="D39" s="2">
        <v>3</v>
      </c>
      <c r="E39" s="2" t="str">
        <f t="shared" si="0"/>
        <v>200080|200068</v>
      </c>
      <c r="F39" s="2">
        <v>102</v>
      </c>
      <c r="G39" s="18" t="str">
        <f>INDEX('#玺戒参考'!$A:$E,MATCH(F39,'#玺戒参考'!$A:$A,0),2)</f>
        <v>圣选贤哲</v>
      </c>
      <c r="H39" s="18" t="str">
        <f>INDEX('#玺戒参考'!$A:$E,MATCH(F39,'#玺戒参考'!$A:$A,0),5)</f>
        <v>沉默誓言</v>
      </c>
      <c r="I39" s="2"/>
      <c r="J39" s="18">
        <f>INDEX('#技能参考'!$A:$A,MATCH(L39,'#技能参考'!$B:$B,0),1)</f>
        <v>200080</v>
      </c>
      <c r="K39" s="18">
        <f>INDEX('#技能参考'!$A:$A,MATCH(M39,'#技能参考'!$B:$B,0),1)</f>
        <v>200068</v>
      </c>
      <c r="L39" s="18" t="s">
        <v>129</v>
      </c>
      <c r="M39" s="18" t="s">
        <v>118</v>
      </c>
    </row>
    <row r="40" spans="1:13">
      <c r="A40" s="2">
        <v>6018</v>
      </c>
      <c r="B40" s="2">
        <v>6</v>
      </c>
      <c r="C40" s="2" t="s">
        <v>250</v>
      </c>
      <c r="D40" s="2">
        <v>18</v>
      </c>
      <c r="E40" s="2" t="str">
        <f t="shared" si="0"/>
        <v>200041|200005</v>
      </c>
      <c r="F40" s="2"/>
      <c r="G40" s="18" t="e">
        <f>INDEX('#玺戒参考'!$A:$E,MATCH(F40,'#玺戒参考'!$A:$A,0),2)</f>
        <v>#N/A</v>
      </c>
      <c r="H40" s="18" t="e">
        <f>INDEX('#玺戒参考'!$A:$E,MATCH(F40,'#玺戒参考'!$A:$A,0),5)</f>
        <v>#N/A</v>
      </c>
      <c r="I40" s="2"/>
      <c r="J40" s="18">
        <f>INDEX('#技能参考'!$A:$A,MATCH(L40,'#技能参考'!$B:$B,0),1)</f>
        <v>200041</v>
      </c>
      <c r="K40" s="18">
        <f>INDEX('#技能参考'!$A:$A,MATCH(M40,'#技能参考'!$B:$B,0),1)</f>
        <v>200005</v>
      </c>
      <c r="L40" s="18" t="s">
        <v>91</v>
      </c>
      <c r="M40" s="18" t="s">
        <v>55</v>
      </c>
    </row>
    <row r="41" spans="1:13">
      <c r="A41" s="2">
        <v>6022</v>
      </c>
      <c r="B41" s="2">
        <v>6</v>
      </c>
      <c r="C41" s="2" t="s">
        <v>241</v>
      </c>
      <c r="D41" s="2">
        <v>22</v>
      </c>
      <c r="E41" s="2" t="str">
        <f t="shared" si="0"/>
        <v>200013|200010</v>
      </c>
      <c r="F41" s="2">
        <v>113</v>
      </c>
      <c r="G41" s="18" t="str">
        <f>INDEX('#玺戒参考'!$A:$E,MATCH(F41,'#玺戒参考'!$A:$A,0),2)</f>
        <v>静谧之水</v>
      </c>
      <c r="H41" s="18" t="str">
        <f>INDEX('#玺戒参考'!$A:$E,MATCH(F41,'#玺戒参考'!$A:$A,0),5)</f>
        <v>光明护佑</v>
      </c>
      <c r="I41" s="2"/>
      <c r="J41" s="18">
        <f>INDEX('#技能参考'!$A:$A,MATCH(L41,'#技能参考'!$B:$B,0),1)</f>
        <v>200013</v>
      </c>
      <c r="K41" s="18">
        <f>INDEX('#技能参考'!$A:$A,MATCH(M41,'#技能参考'!$B:$B,0),1)</f>
        <v>200010</v>
      </c>
      <c r="L41" s="18" t="s">
        <v>63</v>
      </c>
      <c r="M41" s="18" t="s">
        <v>60</v>
      </c>
    </row>
    <row r="42" spans="1:13">
      <c r="A42" s="2">
        <v>6201</v>
      </c>
      <c r="B42" s="2">
        <v>6</v>
      </c>
      <c r="C42" s="2" t="s">
        <v>30</v>
      </c>
      <c r="D42" s="2">
        <v>201</v>
      </c>
      <c r="E42" s="2" t="str">
        <f t="shared" si="0"/>
        <v>200069|200122</v>
      </c>
      <c r="F42" s="2">
        <v>210</v>
      </c>
      <c r="G42" s="18" t="str">
        <f>INDEX('#玺戒参考'!$A:$E,MATCH(F42,'#玺戒参考'!$A:$A,0),2)</f>
        <v>迅鹿之戒</v>
      </c>
      <c r="H42" s="18" t="str">
        <f>INDEX('#玺戒参考'!$A:$E,MATCH(F42,'#玺戒参考'!$A:$A,0),5)</f>
        <v>借势威吓</v>
      </c>
      <c r="I42" s="2" t="s">
        <v>296</v>
      </c>
      <c r="J42" s="18">
        <f>INDEX('#技能参考'!$A:$A,MATCH(L42,'#技能参考'!$B:$B,0),1)</f>
        <v>200069</v>
      </c>
      <c r="K42" s="18">
        <f>INDEX('#技能参考'!$A:$A,MATCH(M42,'#技能参考'!$B:$B,0),1)</f>
        <v>200122</v>
      </c>
      <c r="L42" s="18" t="s">
        <v>119</v>
      </c>
      <c r="M42" s="18" t="s">
        <v>161</v>
      </c>
    </row>
    <row r="43" spans="1:13">
      <c r="A43" s="19">
        <v>7008</v>
      </c>
      <c r="B43" s="18">
        <v>8</v>
      </c>
      <c r="C43" s="18" t="s">
        <v>378</v>
      </c>
      <c r="D43" s="18">
        <v>8</v>
      </c>
      <c r="E43" s="18" t="str">
        <f t="shared" si="0"/>
        <v>200042|200010</v>
      </c>
      <c r="F43" s="18">
        <v>113</v>
      </c>
      <c r="G43" s="18" t="str">
        <f>INDEX('#玺戒参考'!$A:$E,MATCH(F43,'#玺戒参考'!$A:$A,0),2)</f>
        <v>静谧之水</v>
      </c>
      <c r="H43" s="18" t="str">
        <f>INDEX('#玺戒参考'!$A:$E,MATCH(F43,'#玺戒参考'!$A:$A,0),5)</f>
        <v>光明护佑</v>
      </c>
      <c r="I43" s="18"/>
      <c r="J43" s="18">
        <f>INDEX('#技能参考'!$A:$A,MATCH(L43,'#技能参考'!$B:$B,0),1)</f>
        <v>200042</v>
      </c>
      <c r="K43" s="18">
        <f>INDEX('#技能参考'!$A:$A,MATCH(M43,'#技能参考'!$B:$B,0),1)</f>
        <v>200010</v>
      </c>
      <c r="L43" s="18" t="s">
        <v>380</v>
      </c>
      <c r="M43" s="18" t="s">
        <v>379</v>
      </c>
    </row>
    <row r="44" spans="1:13">
      <c r="A44" s="19">
        <v>7021</v>
      </c>
      <c r="B44" s="18">
        <v>7</v>
      </c>
      <c r="C44" s="18" t="s">
        <v>271</v>
      </c>
      <c r="D44" s="18">
        <v>21</v>
      </c>
      <c r="E44" s="18" t="str">
        <f t="shared" si="0"/>
        <v>200015|200005</v>
      </c>
      <c r="F44" s="18">
        <v>110</v>
      </c>
      <c r="G44" s="18" t="str">
        <f>INDEX('#玺戒参考'!$A:$E,MATCH(F44,'#玺戒参考'!$A:$A,0),2)</f>
        <v>赤金之日</v>
      </c>
      <c r="H44" s="18" t="str">
        <f>INDEX('#玺戒参考'!$A:$E,MATCH(F44,'#玺戒参考'!$A:$A,0),5)</f>
        <v>决意强袭</v>
      </c>
      <c r="I44" s="18"/>
      <c r="J44" s="18">
        <f>INDEX('#技能参考'!$A:$A,MATCH(L44,'#技能参考'!$B:$B,0),1)</f>
        <v>200015</v>
      </c>
      <c r="K44" s="18">
        <f>INDEX('#技能参考'!$A:$A,MATCH(M44,'#技能参考'!$B:$B,0),1)</f>
        <v>200005</v>
      </c>
      <c r="L44" s="18" t="s">
        <v>396</v>
      </c>
      <c r="M44" s="18" t="s">
        <v>55</v>
      </c>
    </row>
    <row r="45" spans="1:13">
      <c r="A45" s="18">
        <v>7022</v>
      </c>
      <c r="B45" s="18">
        <v>7</v>
      </c>
      <c r="C45" s="18" t="s">
        <v>241</v>
      </c>
      <c r="D45" s="18">
        <v>22</v>
      </c>
      <c r="E45" s="18" t="str">
        <f t="shared" si="0"/>
        <v>200013|200010</v>
      </c>
      <c r="F45" s="18">
        <v>113</v>
      </c>
      <c r="G45" s="18" t="str">
        <f>INDEX('#玺戒参考'!$A:$E,MATCH(F45,'#玺戒参考'!$A:$A,0),2)</f>
        <v>静谧之水</v>
      </c>
      <c r="H45" s="18" t="str">
        <f>INDEX('#玺戒参考'!$A:$E,MATCH(F45,'#玺戒参考'!$A:$A,0),5)</f>
        <v>光明护佑</v>
      </c>
      <c r="I45" s="18"/>
      <c r="J45" s="18">
        <f>INDEX('#技能参考'!$A:$A,MATCH(L45,'#技能参考'!$B:$B,0),1)</f>
        <v>200013</v>
      </c>
      <c r="K45" s="18">
        <f>INDEX('#技能参考'!$A:$A,MATCH(M45,'#技能参考'!$B:$B,0),1)</f>
        <v>200010</v>
      </c>
      <c r="L45" s="18" t="s">
        <v>63</v>
      </c>
      <c r="M45" s="18" t="s">
        <v>60</v>
      </c>
    </row>
    <row r="46" spans="1:13">
      <c r="A46" s="19">
        <v>7041</v>
      </c>
      <c r="B46" s="18">
        <v>7</v>
      </c>
      <c r="C46" s="18" t="s">
        <v>251</v>
      </c>
      <c r="D46" s="18">
        <v>41</v>
      </c>
      <c r="E46" s="18" t="str">
        <f t="shared" si="0"/>
        <v>200047|200098</v>
      </c>
      <c r="F46" s="18">
        <v>201</v>
      </c>
      <c r="G46" s="18" t="str">
        <f>INDEX('#玺戒参考'!$A:$E,MATCH(F46,'#玺戒参考'!$A:$A,0),2)</f>
        <v>暴熊之戒</v>
      </c>
      <c r="H46" s="18" t="str">
        <f>INDEX('#玺戒参考'!$A:$E,MATCH(F46,'#玺戒参考'!$A:$A,0),5)</f>
        <v>裸衣</v>
      </c>
      <c r="I46" s="18"/>
      <c r="J46" s="18">
        <f>INDEX('#技能参考'!$A:$A,MATCH(L46,'#技能参考'!$B:$B,0),1)</f>
        <v>200047</v>
      </c>
      <c r="K46" s="18">
        <f>INDEX('#技能参考'!$A:$A,MATCH(M46,'#技能参考'!$B:$B,0),1)</f>
        <v>200098</v>
      </c>
      <c r="L46" s="18" t="s">
        <v>97</v>
      </c>
      <c r="M46" s="18" t="s">
        <v>139</v>
      </c>
    </row>
    <row r="47" spans="1:13">
      <c r="A47" s="18">
        <v>7055</v>
      </c>
      <c r="B47" s="18">
        <v>7</v>
      </c>
      <c r="C47" s="18" t="s">
        <v>29</v>
      </c>
      <c r="D47" s="18">
        <v>55</v>
      </c>
      <c r="E47" s="18" t="str">
        <f t="shared" si="0"/>
        <v>200061|200009</v>
      </c>
      <c r="F47" s="18">
        <v>201</v>
      </c>
      <c r="G47" s="18" t="str">
        <f>INDEX('#玺戒参考'!$A:$E,MATCH(F47,'#玺戒参考'!$A:$A,0),2)</f>
        <v>暴熊之戒</v>
      </c>
      <c r="H47" s="18" t="str">
        <f>INDEX('#玺戒参考'!$A:$E,MATCH(F47,'#玺戒参考'!$A:$A,0),5)</f>
        <v>裸衣</v>
      </c>
      <c r="I47" s="18"/>
      <c r="J47" s="18">
        <f>INDEX('#技能参考'!$A:$A,MATCH(L47,'#技能参考'!$B:$B,0),1)</f>
        <v>200061</v>
      </c>
      <c r="K47" s="18">
        <f>INDEX('#技能参考'!$A:$A,MATCH(M47,'#技能参考'!$B:$B,0),1)</f>
        <v>200009</v>
      </c>
      <c r="L47" s="18" t="s">
        <v>111</v>
      </c>
      <c r="M47" s="18" t="s">
        <v>409</v>
      </c>
    </row>
    <row r="48" spans="1:13">
      <c r="A48" s="18">
        <v>7056</v>
      </c>
      <c r="B48" s="18">
        <v>7</v>
      </c>
      <c r="C48" s="18" t="s">
        <v>43</v>
      </c>
      <c r="D48" s="18">
        <v>56</v>
      </c>
      <c r="E48" s="18" t="str">
        <f t="shared" si="0"/>
        <v>200041|200015</v>
      </c>
      <c r="F48" s="18">
        <v>106</v>
      </c>
      <c r="G48" s="18" t="str">
        <f>INDEX('#玺戒参考'!$A:$E,MATCH(F48,'#玺戒参考'!$A:$A,0),2)</f>
        <v>天行骑士</v>
      </c>
      <c r="H48" s="18" t="str">
        <f>INDEX('#玺戒参考'!$A:$E,MATCH(F48,'#玺戒参考'!$A:$A,0),5)</f>
        <v>胜利的代价</v>
      </c>
      <c r="I48" s="18"/>
      <c r="J48" s="18">
        <f>INDEX('#技能参考'!$A:$A,MATCH(L48,'#技能参考'!$B:$B,0),1)</f>
        <v>200041</v>
      </c>
      <c r="K48" s="18">
        <f>INDEX('#技能参考'!$A:$A,MATCH(M48,'#技能参考'!$B:$B,0),1)</f>
        <v>200015</v>
      </c>
      <c r="L48" s="18" t="s">
        <v>405</v>
      </c>
      <c r="M48" s="18" t="s">
        <v>396</v>
      </c>
    </row>
    <row r="49" spans="1:14">
      <c r="A49" s="18">
        <v>7061</v>
      </c>
      <c r="B49" s="18">
        <v>7</v>
      </c>
      <c r="C49" s="18" t="s">
        <v>270</v>
      </c>
      <c r="D49" s="18">
        <v>61</v>
      </c>
      <c r="E49" s="18" t="str">
        <f t="shared" si="0"/>
        <v>200061|200015</v>
      </c>
      <c r="F49" s="18">
        <v>106</v>
      </c>
      <c r="G49" s="18" t="str">
        <f>INDEX('#玺戒参考'!$A:$E,MATCH(F49,'#玺戒参考'!$A:$A,0),2)</f>
        <v>天行骑士</v>
      </c>
      <c r="H49" s="18" t="str">
        <f>INDEX('#玺戒参考'!$A:$E,MATCH(F49,'#玺戒参考'!$A:$A,0),5)</f>
        <v>胜利的代价</v>
      </c>
      <c r="I49" s="18"/>
      <c r="J49" s="18">
        <f>INDEX('#技能参考'!$A:$A,MATCH(L49,'#技能参考'!$B:$B,0),1)</f>
        <v>200061</v>
      </c>
      <c r="K49" s="18">
        <f>INDEX('#技能参考'!$A:$A,MATCH(M49,'#技能参考'!$B:$B,0),1)</f>
        <v>200015</v>
      </c>
      <c r="L49" s="18" t="s">
        <v>358</v>
      </c>
      <c r="M49" s="18" t="s">
        <v>396</v>
      </c>
    </row>
    <row r="50" spans="1:14">
      <c r="A50" s="18">
        <v>7077</v>
      </c>
      <c r="B50" s="18">
        <v>7</v>
      </c>
      <c r="C50" s="18" t="s">
        <v>580</v>
      </c>
      <c r="D50" s="18">
        <v>77</v>
      </c>
      <c r="E50" s="18" t="str">
        <f t="shared" si="0"/>
        <v>200009|200068</v>
      </c>
      <c r="F50" s="18">
        <v>106</v>
      </c>
      <c r="G50" s="18" t="str">
        <f>INDEX('#玺戒参考'!$A:$E,MATCH(F50,'#玺戒参考'!$A:$A,0),2)</f>
        <v>天行骑士</v>
      </c>
      <c r="H50" s="18" t="str">
        <f>INDEX('#玺戒参考'!$A:$E,MATCH(F50,'#玺戒参考'!$A:$A,0),5)</f>
        <v>胜利的代价</v>
      </c>
      <c r="I50" s="18"/>
      <c r="J50" s="18">
        <f>INDEX('#技能参考'!$A:$A,MATCH(L50,'#技能参考'!$B:$B,0),1)</f>
        <v>200009</v>
      </c>
      <c r="K50" s="18">
        <f>INDEX('#技能参考'!$A:$A,MATCH(M50,'#技能参考'!$B:$B,0),1)</f>
        <v>200068</v>
      </c>
      <c r="L50" s="18" t="s">
        <v>409</v>
      </c>
      <c r="M50" s="18" t="s">
        <v>581</v>
      </c>
    </row>
    <row r="51" spans="1:14">
      <c r="A51" s="18">
        <v>7091</v>
      </c>
      <c r="B51" s="18">
        <v>7</v>
      </c>
      <c r="C51" s="18" t="s">
        <v>366</v>
      </c>
      <c r="D51" s="18">
        <v>91</v>
      </c>
      <c r="E51" s="18" t="str">
        <f t="shared" si="0"/>
        <v>200061|200005</v>
      </c>
      <c r="F51" s="18">
        <v>106</v>
      </c>
      <c r="G51" s="18" t="str">
        <f>INDEX('#玺戒参考'!$A:$E,MATCH(F51,'#玺戒参考'!$A:$A,0),2)</f>
        <v>天行骑士</v>
      </c>
      <c r="H51" s="18" t="str">
        <f>INDEX('#玺戒参考'!$A:$E,MATCH(F51,'#玺戒参考'!$A:$A,0),5)</f>
        <v>胜利的代价</v>
      </c>
      <c r="I51" s="18"/>
      <c r="J51" s="18">
        <f>INDEX('#技能参考'!$A:$A,MATCH(L51,'#技能参考'!$B:$B,0),1)</f>
        <v>200061</v>
      </c>
      <c r="K51" s="18">
        <f>INDEX('#技能参考'!$A:$A,MATCH(M51,'#技能参考'!$B:$B,0),1)</f>
        <v>200005</v>
      </c>
      <c r="L51" s="18" t="s">
        <v>358</v>
      </c>
      <c r="M51" s="18" t="s">
        <v>357</v>
      </c>
      <c r="N51" s="10" t="s">
        <v>394</v>
      </c>
    </row>
    <row r="52" spans="1:14">
      <c r="A52" s="18">
        <v>70911</v>
      </c>
      <c r="B52" s="18">
        <v>7</v>
      </c>
      <c r="C52" s="18" t="s">
        <v>366</v>
      </c>
      <c r="D52" s="18">
        <v>91</v>
      </c>
      <c r="E52" s="18" t="str">
        <f t="shared" si="0"/>
        <v>200015|200005</v>
      </c>
      <c r="F52" s="18">
        <v>110</v>
      </c>
      <c r="G52" s="18" t="str">
        <f>INDEX('#玺戒参考'!$A:$E,MATCH(F52,'#玺戒参考'!$A:$A,0),2)</f>
        <v>赤金之日</v>
      </c>
      <c r="H52" s="18" t="str">
        <f>INDEX('#玺戒参考'!$A:$E,MATCH(F52,'#玺戒参考'!$A:$A,0),5)</f>
        <v>决意强袭</v>
      </c>
      <c r="I52" s="18"/>
      <c r="J52" s="18">
        <f>INDEX('#技能参考'!$A:$A,MATCH(L52,'#技能参考'!$B:$B,0),1)</f>
        <v>200015</v>
      </c>
      <c r="K52" s="18">
        <f>INDEX('#技能参考'!$A:$A,MATCH(M52,'#技能参考'!$B:$B,0),1)</f>
        <v>200005</v>
      </c>
      <c r="L52" s="18" t="s">
        <v>396</v>
      </c>
      <c r="M52" s="18" t="s">
        <v>357</v>
      </c>
      <c r="N52" s="10" t="s">
        <v>395</v>
      </c>
    </row>
    <row r="53" spans="1:14">
      <c r="A53" s="2">
        <v>8036</v>
      </c>
      <c r="B53" s="2">
        <v>8</v>
      </c>
      <c r="C53" s="2" t="s">
        <v>335</v>
      </c>
      <c r="D53" s="2">
        <v>36</v>
      </c>
      <c r="E53" s="2" t="str">
        <f t="shared" si="0"/>
        <v>200168|200020</v>
      </c>
      <c r="F53" s="2">
        <v>202</v>
      </c>
      <c r="G53" s="18" t="str">
        <f>INDEX('#玺戒参考'!$A:$E,MATCH(F53,'#玺戒参考'!$A:$A,0),2)</f>
        <v>石犀之戒</v>
      </c>
      <c r="H53" s="18" t="str">
        <f>INDEX('#玺戒参考'!$A:$E,MATCH(F53,'#玺戒参考'!$A:$A,0),5)</f>
        <v>迸裂</v>
      </c>
      <c r="I53" s="2"/>
      <c r="J53" s="18">
        <f>INDEX('#技能参考'!$A:$A,MATCH(L53,'#技能参考'!$B:$B,0),1)</f>
        <v>200168</v>
      </c>
      <c r="K53" s="18">
        <f>INDEX('#技能参考'!$A:$A,MATCH(M53,'#技能参考'!$B:$B,0),1)</f>
        <v>200020</v>
      </c>
      <c r="L53" s="18" t="s">
        <v>413</v>
      </c>
      <c r="M53" s="18" t="s">
        <v>401</v>
      </c>
    </row>
    <row r="54" spans="1:14">
      <c r="A54" s="2">
        <v>8061</v>
      </c>
      <c r="B54" s="2">
        <v>8</v>
      </c>
      <c r="C54" s="2" t="s">
        <v>270</v>
      </c>
      <c r="D54" s="2">
        <v>61</v>
      </c>
      <c r="E54" s="2" t="str">
        <f t="shared" si="0"/>
        <v>200166|200061</v>
      </c>
      <c r="F54" s="2">
        <v>308</v>
      </c>
      <c r="G54" s="18" t="str">
        <f>INDEX('#玺戒参考'!$A:$E,MATCH(F54,'#玺戒参考'!$A:$A,0),2)</f>
        <v>月桂之戒</v>
      </c>
      <c r="H54" s="18" t="str">
        <f>INDEX('#玺戒参考'!$A:$E,MATCH(F54,'#玺戒参考'!$A:$A,0),5)</f>
        <v>攻城战术</v>
      </c>
      <c r="I54" s="2"/>
      <c r="J54" s="18">
        <f>INDEX('#技能参考'!$A:$A,MATCH(L54,'#技能参考'!$B:$B,0),1)</f>
        <v>200166</v>
      </c>
      <c r="K54" s="18">
        <f>INDEX('#技能参考'!$A:$A,MATCH(M54,'#技能参考'!$B:$B,0),1)</f>
        <v>200061</v>
      </c>
      <c r="L54" s="18" t="s">
        <v>419</v>
      </c>
      <c r="M54" s="18" t="s">
        <v>358</v>
      </c>
    </row>
    <row r="55" spans="1:14">
      <c r="A55" s="2">
        <v>8055</v>
      </c>
      <c r="B55" s="2">
        <v>8</v>
      </c>
      <c r="C55" s="2" t="s">
        <v>272</v>
      </c>
      <c r="D55" s="2">
        <v>55</v>
      </c>
      <c r="E55" s="2" t="str">
        <f t="shared" si="0"/>
        <v>200167|200061</v>
      </c>
      <c r="F55" s="2">
        <v>207</v>
      </c>
      <c r="G55" s="18" t="str">
        <f>INDEX('#玺戒参考'!$A:$E,MATCH(F55,'#玺戒参考'!$A:$A,0),2)</f>
        <v>巨象之戒</v>
      </c>
      <c r="H55" s="18" t="str">
        <f>INDEX('#玺戒参考'!$A:$E,MATCH(F55,'#玺戒参考'!$A:$A,0),5)</f>
        <v>攻城大师</v>
      </c>
      <c r="I55" s="2"/>
      <c r="J55" s="18">
        <f>INDEX('#技能参考'!$A:$A,MATCH(L55,'#技能参考'!$B:$B,0),1)</f>
        <v>200167</v>
      </c>
      <c r="K55" s="18">
        <f>INDEX('#技能参考'!$A:$A,MATCH(M55,'#技能参考'!$B:$B,0),1)</f>
        <v>200061</v>
      </c>
      <c r="L55" s="18" t="s">
        <v>420</v>
      </c>
      <c r="M55" s="18" t="s">
        <v>358</v>
      </c>
    </row>
    <row r="56" spans="1:14">
      <c r="A56" s="18">
        <v>9003</v>
      </c>
      <c r="B56" s="18">
        <v>9</v>
      </c>
      <c r="C56" s="18" t="s">
        <v>255</v>
      </c>
      <c r="D56" s="18">
        <v>3</v>
      </c>
      <c r="E56" s="18" t="str">
        <f t="shared" si="0"/>
        <v>200080|200068</v>
      </c>
      <c r="F56" s="18">
        <v>105</v>
      </c>
      <c r="G56" s="18" t="str">
        <f>INDEX('#玺戒参考'!$A:$E,MATCH(F56,'#玺戒参考'!$A:$A,0),2)</f>
        <v>毁灭信使</v>
      </c>
      <c r="H56" s="18" t="str">
        <f>INDEX('#玺戒参考'!$A:$E,MATCH(F56,'#玺戒参考'!$A:$A,0),5)</f>
        <v>敏锐洞察</v>
      </c>
      <c r="I56" s="18"/>
      <c r="J56" s="18">
        <f>INDEX('#技能参考'!$A:$A,MATCH(L56,'#技能参考'!$B:$B,0),1)</f>
        <v>200080</v>
      </c>
      <c r="K56" s="18">
        <f>INDEX('#技能参考'!$A:$A,MATCH(M56,'#技能参考'!$B:$B,0),1)</f>
        <v>200068</v>
      </c>
      <c r="L56" s="18" t="s">
        <v>129</v>
      </c>
      <c r="M56" s="18" t="s">
        <v>118</v>
      </c>
    </row>
    <row r="57" spans="1:14">
      <c r="A57" s="18">
        <v>9022</v>
      </c>
      <c r="B57" s="18">
        <v>9</v>
      </c>
      <c r="C57" s="18" t="s">
        <v>241</v>
      </c>
      <c r="D57" s="18">
        <v>22</v>
      </c>
      <c r="E57" s="18" t="str">
        <f t="shared" si="0"/>
        <v>200013|200010</v>
      </c>
      <c r="F57" s="18">
        <v>113</v>
      </c>
      <c r="G57" s="18" t="str">
        <f>INDEX('#玺戒参考'!$A:$E,MATCH(F57,'#玺戒参考'!$A:$A,0),2)</f>
        <v>静谧之水</v>
      </c>
      <c r="H57" s="18" t="str">
        <f>INDEX('#玺戒参考'!$A:$E,MATCH(F57,'#玺戒参考'!$A:$A,0),5)</f>
        <v>光明护佑</v>
      </c>
      <c r="I57" s="18"/>
      <c r="J57" s="18">
        <f>INDEX('#技能参考'!$A:$A,MATCH(L57,'#技能参考'!$B:$B,0),1)</f>
        <v>200013</v>
      </c>
      <c r="K57" s="18">
        <f>INDEX('#技能参考'!$A:$A,MATCH(M57,'#技能参考'!$B:$B,0),1)</f>
        <v>200010</v>
      </c>
      <c r="L57" s="18" t="s">
        <v>63</v>
      </c>
      <c r="M57" s="18" t="s">
        <v>60</v>
      </c>
    </row>
    <row r="58" spans="1:14">
      <c r="A58" s="18">
        <v>9034</v>
      </c>
      <c r="B58" s="18">
        <v>9</v>
      </c>
      <c r="C58" s="18" t="s">
        <v>274</v>
      </c>
      <c r="D58" s="18">
        <v>34</v>
      </c>
      <c r="E58" s="18" t="str">
        <f t="shared" si="0"/>
        <v>200068|200006</v>
      </c>
      <c r="F58" s="18">
        <v>102</v>
      </c>
      <c r="G58" s="18" t="str">
        <f>INDEX('#玺戒参考'!$A:$E,MATCH(F58,'#玺戒参考'!$A:$A,0),2)</f>
        <v>圣选贤哲</v>
      </c>
      <c r="H58" s="18" t="str">
        <f>INDEX('#玺戒参考'!$A:$E,MATCH(F58,'#玺戒参考'!$A:$A,0),5)</f>
        <v>沉默誓言</v>
      </c>
      <c r="I58" s="18"/>
      <c r="J58" s="18">
        <f>INDEX('#技能参考'!$A:$A,MATCH(L58,'#技能参考'!$B:$B,0),1)</f>
        <v>200068</v>
      </c>
      <c r="K58" s="18">
        <f>INDEX('#技能参考'!$A:$A,MATCH(M58,'#技能参考'!$B:$B,0),1)</f>
        <v>200006</v>
      </c>
      <c r="L58" s="18" t="s">
        <v>118</v>
      </c>
      <c r="M58" s="18" t="s">
        <v>56</v>
      </c>
    </row>
    <row r="59" spans="1:14">
      <c r="A59" s="18">
        <v>9064</v>
      </c>
      <c r="B59" s="18">
        <v>9</v>
      </c>
      <c r="C59" s="18" t="s">
        <v>286</v>
      </c>
      <c r="D59" s="18">
        <v>64</v>
      </c>
      <c r="E59" s="18" t="str">
        <f t="shared" si="0"/>
        <v>200042|200010</v>
      </c>
      <c r="F59" s="18">
        <v>211</v>
      </c>
      <c r="G59" s="18" t="str">
        <f>INDEX('#玺戒参考'!$A:$E,MATCH(F59,'#玺戒参考'!$A:$A,0),2)</f>
        <v>天鹰之戒</v>
      </c>
      <c r="H59" s="18" t="str">
        <f>INDEX('#玺戒参考'!$A:$E,MATCH(F59,'#玺戒参考'!$A:$A,0),5)</f>
        <v>绿洲之佑</v>
      </c>
      <c r="I59" s="18"/>
      <c r="J59" s="18">
        <f>INDEX('#技能参考'!$A:$A,MATCH(L59,'#技能参考'!$B:$B,0),1)</f>
        <v>200042</v>
      </c>
      <c r="K59" s="18">
        <f>INDEX('#技能参考'!$A:$A,MATCH(M59,'#技能参考'!$B:$B,0),1)</f>
        <v>200010</v>
      </c>
      <c r="L59" s="18" t="s">
        <v>380</v>
      </c>
      <c r="M59" s="18" t="s">
        <v>379</v>
      </c>
    </row>
    <row r="60" spans="1:14">
      <c r="A60" s="18">
        <v>9203</v>
      </c>
      <c r="B60" s="18">
        <v>9</v>
      </c>
      <c r="C60" s="18" t="s">
        <v>442</v>
      </c>
      <c r="D60" s="18">
        <v>203</v>
      </c>
      <c r="E60" s="18" t="str">
        <f t="shared" si="0"/>
        <v>200126|200117</v>
      </c>
      <c r="F60" s="18">
        <v>211</v>
      </c>
      <c r="G60" s="18" t="str">
        <f>INDEX('#玺戒参考'!$A:$E,MATCH(F60,'#玺戒参考'!$A:$A,0),2)</f>
        <v>天鹰之戒</v>
      </c>
      <c r="H60" s="18" t="str">
        <f>INDEX('#玺戒参考'!$A:$E,MATCH(F60,'#玺戒参考'!$A:$A,0),5)</f>
        <v>绿洲之佑</v>
      </c>
      <c r="I60" s="18"/>
      <c r="J60" s="18">
        <f>INDEX('#技能参考'!$A:$A,MATCH(L60,'#技能参考'!$B:$B,0),1)</f>
        <v>200126</v>
      </c>
      <c r="K60" s="18">
        <f>INDEX('#技能参考'!$A:$A,MATCH(M60,'#技能参考'!$B:$B,0),1)</f>
        <v>200117</v>
      </c>
      <c r="L60" s="18" t="s">
        <v>443</v>
      </c>
      <c r="M60" s="18" t="s">
        <v>431</v>
      </c>
    </row>
    <row r="61" spans="1:14">
      <c r="A61" s="18">
        <v>9213</v>
      </c>
      <c r="B61" s="18">
        <v>9</v>
      </c>
      <c r="C61" s="18" t="s">
        <v>444</v>
      </c>
      <c r="D61" s="18">
        <v>213</v>
      </c>
      <c r="E61" s="18" t="str">
        <f t="shared" si="0"/>
        <v>200069|200122</v>
      </c>
      <c r="F61" s="18">
        <v>102</v>
      </c>
      <c r="G61" s="18" t="str">
        <f>INDEX('#玺戒参考'!$A:$E,MATCH(F61,'#玺戒参考'!$A:$A,0),2)</f>
        <v>圣选贤哲</v>
      </c>
      <c r="H61" s="18" t="str">
        <f>INDEX('#玺戒参考'!$A:$E,MATCH(F61,'#玺戒参考'!$A:$A,0),5)</f>
        <v>沉默誓言</v>
      </c>
      <c r="I61" s="18"/>
      <c r="J61" s="18">
        <f>INDEX('#技能参考'!$A:$A,MATCH(L61,'#技能参考'!$B:$B,0),1)</f>
        <v>200069</v>
      </c>
      <c r="K61" s="18">
        <f>INDEX('#技能参考'!$A:$A,MATCH(M61,'#技能参考'!$B:$B,0),1)</f>
        <v>200122</v>
      </c>
      <c r="L61" s="18" t="s">
        <v>445</v>
      </c>
      <c r="M61" s="18" t="s">
        <v>446</v>
      </c>
    </row>
    <row r="62" spans="1:14">
      <c r="A62" s="2">
        <v>10004</v>
      </c>
      <c r="B62" s="2">
        <v>10</v>
      </c>
      <c r="C62" s="2" t="s">
        <v>263</v>
      </c>
      <c r="D62" s="2">
        <v>4</v>
      </c>
      <c r="E62" s="2" t="str">
        <f t="shared" si="0"/>
        <v>200115|200074</v>
      </c>
      <c r="F62" s="2">
        <v>112</v>
      </c>
      <c r="G62" s="18" t="str">
        <f>INDEX('#玺戒参考'!$A:$E,MATCH(F62,'#玺戒参考'!$A:$A,0),2)</f>
        <v>灼热之火</v>
      </c>
      <c r="H62" s="18" t="str">
        <f>INDEX('#玺戒参考'!$A:$E,MATCH(F62,'#玺戒参考'!$A:$A,0),5)</f>
        <v>英勇时刻</v>
      </c>
      <c r="I62" s="2"/>
      <c r="J62" s="18">
        <f>INDEX('#技能参考'!$A:$A,MATCH(L62,'#技能参考'!$B:$B,0),1)</f>
        <v>200115</v>
      </c>
      <c r="K62" s="18">
        <f>INDEX('#技能参考'!$A:$A,MATCH(M62,'#技能参考'!$B:$B,0),1)</f>
        <v>200074</v>
      </c>
      <c r="L62" s="18" t="s">
        <v>154</v>
      </c>
      <c r="M62" s="18" t="s">
        <v>124</v>
      </c>
    </row>
    <row r="63" spans="1:14">
      <c r="A63" s="2">
        <v>10010</v>
      </c>
      <c r="B63" s="2">
        <v>10</v>
      </c>
      <c r="C63" s="2" t="s">
        <v>277</v>
      </c>
      <c r="D63" s="2">
        <v>10</v>
      </c>
      <c r="E63" s="2" t="str">
        <f t="shared" si="0"/>
        <v>200047|200010</v>
      </c>
      <c r="F63" s="2">
        <v>112</v>
      </c>
      <c r="G63" s="18" t="str">
        <f>INDEX('#玺戒参考'!$A:$E,MATCH(F63,'#玺戒参考'!$A:$A,0),2)</f>
        <v>灼热之火</v>
      </c>
      <c r="H63" s="18" t="str">
        <f>INDEX('#玺戒参考'!$A:$E,MATCH(F63,'#玺戒参考'!$A:$A,0),5)</f>
        <v>英勇时刻</v>
      </c>
      <c r="I63" s="2"/>
      <c r="J63" s="18">
        <f>INDEX('#技能参考'!$A:$A,MATCH(L63,'#技能参考'!$B:$B,0),1)</f>
        <v>200047</v>
      </c>
      <c r="K63" s="18">
        <f>INDEX('#技能参考'!$A:$A,MATCH(M63,'#技能参考'!$B:$B,0),1)</f>
        <v>200010</v>
      </c>
      <c r="L63" s="18" t="s">
        <v>97</v>
      </c>
      <c r="M63" s="18" t="s">
        <v>60</v>
      </c>
    </row>
    <row r="64" spans="1:14">
      <c r="A64" s="2">
        <v>10023</v>
      </c>
      <c r="B64" s="2">
        <v>10</v>
      </c>
      <c r="C64" s="15" t="s">
        <v>279</v>
      </c>
      <c r="D64" s="16">
        <v>23</v>
      </c>
      <c r="E64" s="2" t="str">
        <f t="shared" si="0"/>
        <v>200020|200074</v>
      </c>
      <c r="F64" s="2">
        <v>101</v>
      </c>
      <c r="G64" s="18" t="str">
        <f>INDEX('#玺戒参考'!$A:$E,MATCH(F64,'#玺戒参考'!$A:$A,0),2)</f>
        <v>永燃之翼</v>
      </c>
      <c r="H64" s="18" t="str">
        <f>INDEX('#玺戒参考'!$A:$E,MATCH(F64,'#玺戒参考'!$A:$A,0),5)</f>
        <v>侵蚀之焰</v>
      </c>
      <c r="I64" s="2"/>
      <c r="J64" s="18">
        <f>INDEX('#技能参考'!$A:$A,MATCH(L64,'#技能参考'!$B:$B,0),1)</f>
        <v>200020</v>
      </c>
      <c r="K64" s="18">
        <f>INDEX('#技能参考'!$A:$A,MATCH(M64,'#技能参考'!$B:$B,0),1)</f>
        <v>200074</v>
      </c>
      <c r="L64" s="18" t="s">
        <v>401</v>
      </c>
      <c r="M64" s="18" t="s">
        <v>124</v>
      </c>
    </row>
    <row r="65" spans="1:13">
      <c r="A65" s="2">
        <v>10075</v>
      </c>
      <c r="B65" s="2">
        <v>10</v>
      </c>
      <c r="C65" s="2" t="s">
        <v>278</v>
      </c>
      <c r="D65" s="2">
        <v>75</v>
      </c>
      <c r="E65" s="2" t="str">
        <f t="shared" si="0"/>
        <v>200031|200072</v>
      </c>
      <c r="F65" s="2">
        <v>203</v>
      </c>
      <c r="G65" s="18" t="str">
        <f>INDEX('#玺戒参考'!$A:$E,MATCH(F65,'#玺戒参考'!$A:$A,0),2)</f>
        <v>乌鸦之戒</v>
      </c>
      <c r="H65" s="18" t="str">
        <f>INDEX('#玺戒参考'!$A:$E,MATCH(F65,'#玺戒参考'!$A:$A,0),5)</f>
        <v>命运操弄</v>
      </c>
      <c r="I65" s="2"/>
      <c r="J65" s="18">
        <f>INDEX('#技能参考'!$A:$A,MATCH(L65,'#技能参考'!$B:$B,0),1)</f>
        <v>200031</v>
      </c>
      <c r="K65" s="18">
        <f>INDEX('#技能参考'!$A:$A,MATCH(M65,'#技能参考'!$B:$B,0),1)</f>
        <v>200072</v>
      </c>
      <c r="L65" s="18" t="s">
        <v>81</v>
      </c>
      <c r="M65" s="18" t="s">
        <v>122</v>
      </c>
    </row>
    <row r="66" spans="1:13">
      <c r="A66" s="2">
        <v>10210</v>
      </c>
      <c r="B66" s="2">
        <v>10</v>
      </c>
      <c r="C66" s="2" t="s">
        <v>38</v>
      </c>
      <c r="D66" s="2">
        <v>210</v>
      </c>
      <c r="E66" s="2" t="str">
        <f t="shared" si="0"/>
        <v>200115|200108</v>
      </c>
      <c r="F66" s="2">
        <v>109</v>
      </c>
      <c r="G66" s="18" t="str">
        <f>INDEX('#玺戒参考'!$A:$E,MATCH(F66,'#玺戒参考'!$A:$A,0),2)</f>
        <v>苍蓝之月</v>
      </c>
      <c r="H66" s="18" t="str">
        <f>INDEX('#玺戒参考'!$A:$E,MATCH(F66,'#玺戒参考'!$A:$A,0),5)</f>
        <v>毁灭的预示</v>
      </c>
      <c r="I66" s="2"/>
      <c r="J66" s="18">
        <f>INDEX('#技能参考'!$A:$A,MATCH(L66,'#技能参考'!$B:$B,0),1)</f>
        <v>200115</v>
      </c>
      <c r="K66" s="18">
        <f>INDEX('#技能参考'!$A:$A,MATCH(M66,'#技能参考'!$B:$B,0),1)</f>
        <v>200108</v>
      </c>
      <c r="L66" s="18" t="s">
        <v>154</v>
      </c>
      <c r="M66" s="18" t="s">
        <v>434</v>
      </c>
    </row>
    <row r="67" spans="1:13">
      <c r="A67" s="18">
        <v>11012</v>
      </c>
      <c r="B67" s="18">
        <v>11</v>
      </c>
      <c r="C67" s="18" t="s">
        <v>282</v>
      </c>
      <c r="D67" s="18">
        <v>12</v>
      </c>
      <c r="E67" s="18" t="str">
        <f t="shared" si="0"/>
        <v>200078|200072</v>
      </c>
      <c r="F67" s="18">
        <v>108</v>
      </c>
      <c r="G67" s="18" t="str">
        <f>INDEX('#玺戒参考'!$A:$E,MATCH(F67,'#玺戒参考'!$A:$A,0),2)</f>
        <v>闪耀守卫</v>
      </c>
      <c r="H67" s="18" t="str">
        <f>INDEX('#玺戒参考'!$A:$E,MATCH(F67,'#玺戒参考'!$A:$A,0),5)</f>
        <v>波澜攻势</v>
      </c>
      <c r="I67" s="18"/>
      <c r="J67" s="18">
        <f>INDEX('#技能参考'!$A:$A,MATCH(L67,'#技能参考'!$B:$B,0),1)</f>
        <v>200078</v>
      </c>
      <c r="K67" s="18">
        <f>INDEX('#技能参考'!$A:$A,MATCH(M67,'#技能参考'!$B:$B,0),1)</f>
        <v>200072</v>
      </c>
      <c r="L67" s="18" t="s">
        <v>127</v>
      </c>
      <c r="M67" s="18" t="s">
        <v>122</v>
      </c>
    </row>
    <row r="68" spans="1:13">
      <c r="A68" s="18">
        <v>11047</v>
      </c>
      <c r="B68" s="18">
        <v>11</v>
      </c>
      <c r="C68" s="18" t="s">
        <v>281</v>
      </c>
      <c r="D68" s="18">
        <v>47</v>
      </c>
      <c r="E68" s="18" t="str">
        <f t="shared" si="0"/>
        <v>200020|200078</v>
      </c>
      <c r="F68" s="18">
        <v>108</v>
      </c>
      <c r="G68" s="18" t="str">
        <f>INDEX('#玺戒参考'!$A:$E,MATCH(F68,'#玺戒参考'!$A:$A,0),2)</f>
        <v>闪耀守卫</v>
      </c>
      <c r="H68" s="18" t="str">
        <f>INDEX('#玺戒参考'!$A:$E,MATCH(F68,'#玺戒参考'!$A:$A,0),5)</f>
        <v>波澜攻势</v>
      </c>
      <c r="I68" s="18"/>
      <c r="J68" s="18">
        <f>INDEX('#技能参考'!$A:$A,MATCH(L68,'#技能参考'!$B:$B,0),1)</f>
        <v>200020</v>
      </c>
      <c r="K68" s="18">
        <f>INDEX('#技能参考'!$A:$A,MATCH(M68,'#技能参考'!$B:$B,0),1)</f>
        <v>200078</v>
      </c>
      <c r="L68" s="18" t="s">
        <v>401</v>
      </c>
      <c r="M68" s="18" t="s">
        <v>402</v>
      </c>
    </row>
    <row r="69" spans="1:13">
      <c r="A69" s="18">
        <v>11063</v>
      </c>
      <c r="B69" s="18">
        <v>11</v>
      </c>
      <c r="C69" s="18" t="s">
        <v>284</v>
      </c>
      <c r="D69" s="18">
        <v>63</v>
      </c>
      <c r="E69" s="18" t="str">
        <f t="shared" si="0"/>
        <v>200019|200078</v>
      </c>
      <c r="F69" s="18">
        <v>112</v>
      </c>
      <c r="G69" s="18" t="str">
        <f>INDEX('#玺戒参考'!$A:$E,MATCH(F69,'#玺戒参考'!$A:$A,0),2)</f>
        <v>灼热之火</v>
      </c>
      <c r="H69" s="18" t="str">
        <f>INDEX('#玺戒参考'!$A:$E,MATCH(F69,'#玺戒参考'!$A:$A,0),5)</f>
        <v>英勇时刻</v>
      </c>
      <c r="I69" s="18"/>
      <c r="J69" s="18">
        <f>INDEX('#技能参考'!$A:$A,MATCH(L69,'#技能参考'!$B:$B,0),1)</f>
        <v>200019</v>
      </c>
      <c r="K69" s="18">
        <f>INDEX('#技能参考'!$A:$A,MATCH(M69,'#技能参考'!$B:$B,0),1)</f>
        <v>200078</v>
      </c>
      <c r="L69" s="18" t="s">
        <v>69</v>
      </c>
      <c r="M69" s="18" t="s">
        <v>127</v>
      </c>
    </row>
    <row r="70" spans="1:13">
      <c r="A70" s="18">
        <v>11206</v>
      </c>
      <c r="B70" s="18">
        <v>11</v>
      </c>
      <c r="C70" s="18" t="s">
        <v>35</v>
      </c>
      <c r="D70" s="18">
        <v>206</v>
      </c>
      <c r="E70" s="18" t="str">
        <f t="shared" si="0"/>
        <v>200026|200113</v>
      </c>
      <c r="F70" s="18">
        <v>212</v>
      </c>
      <c r="G70" s="18" t="str">
        <f>INDEX('#玺戒参考'!$A:$E,MATCH(F70,'#玺戒参考'!$A:$A,0),2)</f>
        <v>夜狼之戒</v>
      </c>
      <c r="H70" s="18" t="str">
        <f>INDEX('#玺戒参考'!$A:$E,MATCH(F70,'#玺戒参考'!$A:$A,0),5)</f>
        <v>燃身战意</v>
      </c>
      <c r="I70" s="18"/>
      <c r="J70" s="18">
        <f>INDEX('#技能参考'!$A:$A,MATCH(L70,'#技能参考'!$B:$B,0),1)</f>
        <v>200026</v>
      </c>
      <c r="K70" s="18">
        <f>INDEX('#技能参考'!$A:$A,MATCH(M70,'#技能参考'!$B:$B,0),1)</f>
        <v>200113</v>
      </c>
      <c r="L70" s="18" t="s">
        <v>76</v>
      </c>
      <c r="M70" s="18" t="s">
        <v>152</v>
      </c>
    </row>
    <row r="71" spans="1:13">
      <c r="A71" s="2">
        <v>12006</v>
      </c>
      <c r="B71" s="2">
        <v>12</v>
      </c>
      <c r="C71" s="2" t="s">
        <v>287</v>
      </c>
      <c r="D71" s="2">
        <v>6</v>
      </c>
      <c r="E71" s="2" t="str">
        <f t="shared" si="0"/>
        <v>200099|200016</v>
      </c>
      <c r="F71" s="2"/>
      <c r="G71" s="18" t="e">
        <f>INDEX('#玺戒参考'!$A:$E,MATCH(F71,'#玺戒参考'!$A:$A,0),2)</f>
        <v>#N/A</v>
      </c>
      <c r="H71" s="18" t="e">
        <f>INDEX('#玺戒参考'!$A:$E,MATCH(F71,'#玺戒参考'!$A:$A,0),5)</f>
        <v>#N/A</v>
      </c>
      <c r="I71" s="2"/>
      <c r="J71" s="18">
        <f>INDEX('#技能参考'!$A:$A,MATCH(L71,'#技能参考'!$B:$B,0),1)</f>
        <v>200099</v>
      </c>
      <c r="K71" s="18">
        <f>INDEX('#技能参考'!$A:$A,MATCH(M71,'#技能参考'!$B:$B,0),1)</f>
        <v>200016</v>
      </c>
      <c r="L71" s="18" t="s">
        <v>140</v>
      </c>
      <c r="M71" s="18" t="s">
        <v>66</v>
      </c>
    </row>
    <row r="72" spans="1:13">
      <c r="A72" s="2">
        <v>12012</v>
      </c>
      <c r="B72" s="2">
        <v>12</v>
      </c>
      <c r="C72" s="2" t="s">
        <v>282</v>
      </c>
      <c r="D72" s="2">
        <v>12</v>
      </c>
      <c r="E72" s="2" t="str">
        <f t="shared" si="0"/>
        <v>200047|200078</v>
      </c>
      <c r="F72" s="2"/>
      <c r="G72" s="18" t="e">
        <f>INDEX('#玺戒参考'!$A:$E,MATCH(F72,'#玺戒参考'!$A:$A,0),2)</f>
        <v>#N/A</v>
      </c>
      <c r="H72" s="18" t="e">
        <f>INDEX('#玺戒参考'!$A:$E,MATCH(F72,'#玺戒参考'!$A:$A,0),5)</f>
        <v>#N/A</v>
      </c>
      <c r="I72" s="2"/>
      <c r="J72" s="18">
        <f>INDEX('#技能参考'!$A:$A,MATCH(L72,'#技能参考'!$B:$B,0),1)</f>
        <v>200047</v>
      </c>
      <c r="K72" s="18">
        <f>INDEX('#技能参考'!$A:$A,MATCH(M72,'#技能参考'!$B:$B,0),1)</f>
        <v>200078</v>
      </c>
      <c r="L72" s="18" t="s">
        <v>97</v>
      </c>
      <c r="M72" s="18" t="s">
        <v>127</v>
      </c>
    </row>
    <row r="73" spans="1:13">
      <c r="A73" s="2">
        <v>12074</v>
      </c>
      <c r="B73" s="2">
        <v>12</v>
      </c>
      <c r="C73" s="2" t="s">
        <v>359</v>
      </c>
      <c r="D73" s="2">
        <v>74</v>
      </c>
      <c r="E73" s="2" t="str">
        <f t="shared" si="0"/>
        <v>200099|200016</v>
      </c>
      <c r="F73" s="2"/>
      <c r="G73" s="18" t="e">
        <f>INDEX('#玺戒参考'!$A:$E,MATCH(F73,'#玺戒参考'!$A:$A,0),2)</f>
        <v>#N/A</v>
      </c>
      <c r="H73" s="18" t="e">
        <f>INDEX('#玺戒参考'!$A:$E,MATCH(F73,'#玺戒参考'!$A:$A,0),5)</f>
        <v>#N/A</v>
      </c>
      <c r="I73" s="2"/>
      <c r="J73" s="18">
        <f>INDEX('#技能参考'!$A:$A,MATCH(L73,'#技能参考'!$B:$B,0),1)</f>
        <v>200099</v>
      </c>
      <c r="K73" s="18">
        <f>INDEX('#技能参考'!$A:$A,MATCH(M73,'#技能参考'!$B:$B,0),1)</f>
        <v>200016</v>
      </c>
      <c r="L73" s="18" t="s">
        <v>140</v>
      </c>
      <c r="M73" s="18" t="s">
        <v>66</v>
      </c>
    </row>
    <row r="74" spans="1:13">
      <c r="A74" s="18">
        <v>13020</v>
      </c>
      <c r="B74" s="18">
        <v>13</v>
      </c>
      <c r="C74" s="18" t="s">
        <v>355</v>
      </c>
      <c r="D74" s="18">
        <v>20</v>
      </c>
      <c r="E74" s="18" t="str">
        <f t="shared" ref="E74:E84" si="1">J74&amp;"|"&amp;K74</f>
        <v>200060|200047</v>
      </c>
      <c r="F74" s="18">
        <v>101</v>
      </c>
      <c r="G74" s="18" t="str">
        <f>INDEX('#玺戒参考'!$A:$E,MATCH(F74,'#玺戒参考'!$A:$A,0),2)</f>
        <v>永燃之翼</v>
      </c>
      <c r="H74" s="18" t="str">
        <f>INDEX('#玺戒参考'!$A:$E,MATCH(F74,'#玺戒参考'!$A:$A,0),5)</f>
        <v>侵蚀之焰</v>
      </c>
      <c r="I74" s="18"/>
      <c r="J74" s="18">
        <f>INDEX('#技能参考'!$A:$A,MATCH(L74,'#技能参考'!$B:$B,0),1)</f>
        <v>200060</v>
      </c>
      <c r="K74" s="18">
        <f>INDEX('#技能参考'!$A:$A,MATCH(M74,'#技能参考'!$B:$B,0),1)</f>
        <v>200047</v>
      </c>
      <c r="L74" s="18" t="s">
        <v>110</v>
      </c>
      <c r="M74" s="18" t="s">
        <v>97</v>
      </c>
    </row>
    <row r="75" spans="1:13">
      <c r="A75" s="18">
        <v>13041</v>
      </c>
      <c r="B75" s="18">
        <v>13</v>
      </c>
      <c r="C75" s="18" t="s">
        <v>251</v>
      </c>
      <c r="D75" s="18">
        <v>41</v>
      </c>
      <c r="E75" s="18" t="str">
        <f t="shared" si="1"/>
        <v>200060|200098</v>
      </c>
      <c r="F75" s="18">
        <v>101</v>
      </c>
      <c r="G75" s="18" t="str">
        <f>INDEX('#玺戒参考'!$A:$E,MATCH(F75,'#玺戒参考'!$A:$A,0),2)</f>
        <v>永燃之翼</v>
      </c>
      <c r="H75" s="18" t="str">
        <f>INDEX('#玺戒参考'!$A:$E,MATCH(F75,'#玺戒参考'!$A:$A,0),5)</f>
        <v>侵蚀之焰</v>
      </c>
      <c r="I75" s="18"/>
      <c r="J75" s="18">
        <f>INDEX('#技能参考'!$A:$A,MATCH(L75,'#技能参考'!$B:$B,0),1)</f>
        <v>200060</v>
      </c>
      <c r="K75" s="18">
        <f>INDEX('#技能参考'!$A:$A,MATCH(M75,'#技能参考'!$B:$B,0),1)</f>
        <v>200098</v>
      </c>
      <c r="L75" s="18" t="s">
        <v>110</v>
      </c>
      <c r="M75" s="18" t="s">
        <v>139</v>
      </c>
    </row>
    <row r="76" spans="1:13">
      <c r="A76" s="18">
        <v>13062</v>
      </c>
      <c r="B76" s="18">
        <v>13</v>
      </c>
      <c r="C76" s="18" t="s">
        <v>42</v>
      </c>
      <c r="D76" s="18">
        <v>62</v>
      </c>
      <c r="E76" s="18" t="str">
        <f t="shared" si="1"/>
        <v>200060|200098</v>
      </c>
      <c r="F76" s="18">
        <v>106</v>
      </c>
      <c r="G76" s="18" t="str">
        <f>INDEX('#玺戒参考'!$A:$E,MATCH(F76,'#玺戒参考'!$A:$A,0),2)</f>
        <v>天行骑士</v>
      </c>
      <c r="H76" s="18" t="str">
        <f>INDEX('#玺戒参考'!$A:$E,MATCH(F76,'#玺戒参考'!$A:$A,0),5)</f>
        <v>胜利的代价</v>
      </c>
      <c r="I76" s="18"/>
      <c r="J76" s="18">
        <f>INDEX('#技能参考'!$A:$A,MATCH(L76,'#技能参考'!$B:$B,0),1)</f>
        <v>200060</v>
      </c>
      <c r="K76" s="18">
        <f>INDEX('#技能参考'!$A:$A,MATCH(M76,'#技能参考'!$B:$B,0),1)</f>
        <v>200098</v>
      </c>
      <c r="L76" s="18" t="s">
        <v>110</v>
      </c>
      <c r="M76" s="18" t="s">
        <v>139</v>
      </c>
    </row>
    <row r="77" spans="1:13">
      <c r="A77" s="18">
        <v>13092</v>
      </c>
      <c r="B77" s="18">
        <v>13</v>
      </c>
      <c r="C77" s="18" t="s">
        <v>360</v>
      </c>
      <c r="D77" s="18">
        <v>92</v>
      </c>
      <c r="E77" s="18" t="str">
        <f t="shared" si="1"/>
        <v>200060|200047</v>
      </c>
      <c r="F77" s="13">
        <v>109</v>
      </c>
      <c r="G77" s="18" t="str">
        <f>INDEX('#玺戒参考'!$A:$E,MATCH(F77,'#玺戒参考'!$A:$A,0),2)</f>
        <v>苍蓝之月</v>
      </c>
      <c r="H77" s="18" t="str">
        <f>INDEX('#玺戒参考'!$A:$E,MATCH(F77,'#玺戒参考'!$A:$A,0),5)</f>
        <v>毁灭的预示</v>
      </c>
      <c r="I77" s="18"/>
      <c r="J77" s="18">
        <f>INDEX('#技能参考'!$A:$A,MATCH(L77,'#技能参考'!$B:$B,0),1)</f>
        <v>200060</v>
      </c>
      <c r="K77" s="18">
        <f>INDEX('#技能参考'!$A:$A,MATCH(M77,'#技能参考'!$B:$B,0),1)</f>
        <v>200047</v>
      </c>
      <c r="L77" s="18" t="s">
        <v>110</v>
      </c>
      <c r="M77" s="18" t="s">
        <v>97</v>
      </c>
    </row>
    <row r="78" spans="1:13">
      <c r="A78" s="18">
        <v>13093</v>
      </c>
      <c r="B78" s="18">
        <v>13</v>
      </c>
      <c r="C78" s="18" t="s">
        <v>361</v>
      </c>
      <c r="D78" s="18">
        <v>93</v>
      </c>
      <c r="E78" s="18" t="str">
        <f t="shared" si="1"/>
        <v>200063|200016</v>
      </c>
      <c r="F78" s="18">
        <v>101</v>
      </c>
      <c r="G78" s="18" t="str">
        <f>INDEX('#玺戒参考'!$A:$E,MATCH(F78,'#玺戒参考'!$A:$A,0),2)</f>
        <v>永燃之翼</v>
      </c>
      <c r="H78" s="18" t="str">
        <f>INDEX('#玺戒参考'!$A:$E,MATCH(F78,'#玺戒参考'!$A:$A,0),5)</f>
        <v>侵蚀之焰</v>
      </c>
      <c r="I78" s="18"/>
      <c r="J78" s="18">
        <f>INDEX('#技能参考'!$A:$A,MATCH(L78,'#技能参考'!$B:$B,0),1)</f>
        <v>200063</v>
      </c>
      <c r="K78" s="18">
        <f>INDEX('#技能参考'!$A:$A,MATCH(M78,'#技能参考'!$B:$B,0),1)</f>
        <v>200016</v>
      </c>
      <c r="L78" s="18" t="s">
        <v>113</v>
      </c>
      <c r="M78" s="18" t="s">
        <v>66</v>
      </c>
    </row>
    <row r="79" spans="1:13">
      <c r="A79" s="18">
        <v>13212</v>
      </c>
      <c r="B79" s="18">
        <v>13</v>
      </c>
      <c r="C79" s="18" t="s">
        <v>40</v>
      </c>
      <c r="D79" s="18">
        <v>212</v>
      </c>
      <c r="E79" s="18" t="str">
        <f t="shared" si="1"/>
        <v>200108|200116</v>
      </c>
      <c r="F79" s="18">
        <v>106</v>
      </c>
      <c r="G79" s="18" t="str">
        <f>INDEX('#玺戒参考'!$A:$E,MATCH(F79,'#玺戒参考'!$A:$A,0),2)</f>
        <v>天行骑士</v>
      </c>
      <c r="H79" s="18" t="str">
        <f>INDEX('#玺戒参考'!$A:$E,MATCH(F79,'#玺戒参考'!$A:$A,0),5)</f>
        <v>胜利的代价</v>
      </c>
      <c r="I79" s="18"/>
      <c r="J79" s="18">
        <f>INDEX('#技能参考'!$A:$A,MATCH(L79,'#技能参考'!$B:$B,0),1)</f>
        <v>200108</v>
      </c>
      <c r="K79" s="18">
        <f>INDEX('#技能参考'!$A:$A,MATCH(M79,'#技能参考'!$B:$B,0),1)</f>
        <v>200116</v>
      </c>
      <c r="L79" s="18" t="s">
        <v>434</v>
      </c>
      <c r="M79" s="18" t="s">
        <v>155</v>
      </c>
    </row>
    <row r="80" spans="1:13">
      <c r="A80" s="2">
        <v>14019</v>
      </c>
      <c r="B80" s="2">
        <v>14</v>
      </c>
      <c r="C80" s="2" t="s">
        <v>252</v>
      </c>
      <c r="D80" s="2">
        <v>19</v>
      </c>
      <c r="E80" s="2" t="str">
        <f t="shared" si="1"/>
        <v>200019|200072</v>
      </c>
      <c r="F80" s="2">
        <v>106</v>
      </c>
      <c r="G80" s="18" t="str">
        <f>INDEX('#玺戒参考'!$A:$E,MATCH(F80,'#玺戒参考'!$A:$A,0),2)</f>
        <v>天行骑士</v>
      </c>
      <c r="H80" s="18" t="str">
        <f>INDEX('#玺戒参考'!$A:$E,MATCH(F80,'#玺戒参考'!$A:$A,0),5)</f>
        <v>胜利的代价</v>
      </c>
      <c r="I80" s="2"/>
      <c r="J80" s="18">
        <f>INDEX('#技能参考'!$A:$A,MATCH(L80,'#技能参考'!$B:$B,0),1)</f>
        <v>200019</v>
      </c>
      <c r="K80" s="18">
        <f>INDEX('#技能参考'!$A:$A,MATCH(M80,'#技能参考'!$B:$B,0),1)</f>
        <v>200072</v>
      </c>
      <c r="L80" s="18" t="s">
        <v>69</v>
      </c>
      <c r="M80" s="18" t="s">
        <v>122</v>
      </c>
    </row>
    <row r="81" spans="1:13">
      <c r="A81" s="4">
        <v>14021</v>
      </c>
      <c r="B81" s="2">
        <v>14</v>
      </c>
      <c r="C81" s="2" t="s">
        <v>271</v>
      </c>
      <c r="D81" s="2">
        <v>21</v>
      </c>
      <c r="E81" s="2" t="str">
        <f t="shared" si="1"/>
        <v>200005|200019</v>
      </c>
      <c r="F81" s="2">
        <v>108</v>
      </c>
      <c r="G81" s="18" t="str">
        <f>INDEX('#玺戒参考'!$A:$E,MATCH(F81,'#玺戒参考'!$A:$A,0),2)</f>
        <v>闪耀守卫</v>
      </c>
      <c r="H81" s="18" t="str">
        <f>INDEX('#玺戒参考'!$A:$E,MATCH(F81,'#玺戒参考'!$A:$A,0),5)</f>
        <v>波澜攻势</v>
      </c>
      <c r="I81" s="2"/>
      <c r="J81" s="18">
        <f>INDEX('#技能参考'!$A:$A,MATCH(L81,'#技能参考'!$B:$B,0),1)</f>
        <v>200005</v>
      </c>
      <c r="K81" s="18">
        <f>INDEX('#技能参考'!$A:$A,MATCH(M81,'#技能参考'!$B:$B,0),1)</f>
        <v>200019</v>
      </c>
      <c r="L81" s="18" t="s">
        <v>357</v>
      </c>
      <c r="M81" s="18" t="s">
        <v>336</v>
      </c>
    </row>
    <row r="82" spans="1:13">
      <c r="A82" s="2">
        <v>14032</v>
      </c>
      <c r="B82" s="2">
        <v>14</v>
      </c>
      <c r="C82" s="2" t="s">
        <v>283</v>
      </c>
      <c r="D82" s="2">
        <v>32</v>
      </c>
      <c r="E82" s="2" t="str">
        <f t="shared" si="1"/>
        <v>200031|200072</v>
      </c>
      <c r="F82" s="2">
        <v>212</v>
      </c>
      <c r="G82" s="18" t="str">
        <f>INDEX('#玺戒参考'!$A:$E,MATCH(F82,'#玺戒参考'!$A:$A,0),2)</f>
        <v>夜狼之戒</v>
      </c>
      <c r="H82" s="18" t="str">
        <f>INDEX('#玺戒参考'!$A:$E,MATCH(F82,'#玺戒参考'!$A:$A,0),5)</f>
        <v>燃身战意</v>
      </c>
      <c r="I82" s="2"/>
      <c r="J82" s="18">
        <f>INDEX('#技能参考'!$A:$A,MATCH(L82,'#技能参考'!$B:$B,0),1)</f>
        <v>200031</v>
      </c>
      <c r="K82" s="18">
        <f>INDEX('#技能参考'!$A:$A,MATCH(M82,'#技能参考'!$B:$B,0),1)</f>
        <v>200072</v>
      </c>
      <c r="L82" s="18" t="s">
        <v>356</v>
      </c>
      <c r="M82" s="18" t="s">
        <v>337</v>
      </c>
    </row>
    <row r="83" spans="1:13">
      <c r="A83" s="2">
        <v>14056</v>
      </c>
      <c r="B83" s="2">
        <v>14</v>
      </c>
      <c r="C83" s="2" t="s">
        <v>43</v>
      </c>
      <c r="D83" s="2">
        <v>56</v>
      </c>
      <c r="E83" s="2" t="str">
        <f t="shared" si="1"/>
        <v>200041|200015</v>
      </c>
      <c r="F83" s="2">
        <v>106</v>
      </c>
      <c r="G83" s="18" t="str">
        <f>INDEX('#玺戒参考'!$A:$E,MATCH(F83,'#玺戒参考'!$A:$A,0),2)</f>
        <v>天行骑士</v>
      </c>
      <c r="H83" s="18" t="str">
        <f>INDEX('#玺戒参考'!$A:$E,MATCH(F83,'#玺戒参考'!$A:$A,0),5)</f>
        <v>胜利的代价</v>
      </c>
      <c r="I83" s="2"/>
      <c r="J83" s="18">
        <f>INDEX('#技能参考'!$A:$A,MATCH(L83,'#技能参考'!$B:$B,0),1)</f>
        <v>200041</v>
      </c>
      <c r="K83" s="18">
        <f>INDEX('#技能参考'!$A:$A,MATCH(M83,'#技能参考'!$B:$B,0),1)</f>
        <v>200015</v>
      </c>
      <c r="L83" s="18" t="s">
        <v>405</v>
      </c>
      <c r="M83" s="18" t="s">
        <v>396</v>
      </c>
    </row>
    <row r="84" spans="1:13">
      <c r="A84" s="2">
        <v>14076</v>
      </c>
      <c r="B84" s="2">
        <v>14</v>
      </c>
      <c r="C84" s="2" t="s">
        <v>257</v>
      </c>
      <c r="D84" s="2">
        <v>76</v>
      </c>
      <c r="E84" s="2" t="str">
        <f t="shared" si="1"/>
        <v>200041|200068</v>
      </c>
      <c r="F84" s="2">
        <v>212</v>
      </c>
      <c r="G84" s="18" t="str">
        <f>INDEX('#玺戒参考'!$A:$E,MATCH(F84,'#玺戒参考'!$A:$A,0),2)</f>
        <v>夜狼之戒</v>
      </c>
      <c r="H84" s="18" t="str">
        <f>INDEX('#玺戒参考'!$A:$E,MATCH(F84,'#玺戒参考'!$A:$A,0),5)</f>
        <v>燃身战意</v>
      </c>
      <c r="I84" s="2"/>
      <c r="J84" s="18">
        <f>INDEX('#技能参考'!$A:$A,MATCH(L84,'#技能参考'!$B:$B,0),1)</f>
        <v>200041</v>
      </c>
      <c r="K84" s="18">
        <f>INDEX('#技能参考'!$A:$A,MATCH(M84,'#技能参考'!$B:$B,0),1)</f>
        <v>200068</v>
      </c>
      <c r="L84" s="18" t="s">
        <v>405</v>
      </c>
      <c r="M84" s="18" t="s">
        <v>118</v>
      </c>
    </row>
    <row r="85" spans="1:13">
      <c r="K85" s="13" t="s">
        <v>333</v>
      </c>
    </row>
  </sheetData>
  <autoFilter ref="A3:E3" xr:uid="{3253C52A-05CE-4764-BA49-D230947556B6}">
    <sortState xmlns:xlrd2="http://schemas.microsoft.com/office/spreadsheetml/2017/richdata2" ref="A3:E4">
      <sortCondition ref="A3"/>
    </sortState>
  </autoFilter>
  <phoneticPr fontId="4" type="noConversion"/>
  <conditionalFormatting sqref="A22">
    <cfRule type="duplicateValues" dxfId="55" priority="1"/>
  </conditionalFormatting>
  <conditionalFormatting sqref="C62:C66 A67:A1048576 A1:A21 A23:A61">
    <cfRule type="duplicateValues" dxfId="54" priority="2"/>
  </conditionalFormatting>
  <dataValidations count="1">
    <dataValidation allowBlank="1" errorTitle="范围错误" error="1 ~ 65535" promptTitle="范围" prompt="1 ~ 65535" sqref="A1:C1" xr:uid="{05853C79-A024-44F3-AF13-5D49E5B3D0A7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CD31-141C-4DBB-A55D-832C0F4B012E}">
  <dimension ref="A1:G188"/>
  <sheetViews>
    <sheetView workbookViewId="0">
      <pane xSplit="2" ySplit="1" topLeftCell="C146" activePane="bottomRight" state="frozen"/>
      <selection pane="topRight" activeCell="C1" sqref="C1"/>
      <selection pane="bottomLeft" activeCell="A2" sqref="A2"/>
      <selection pane="bottomRight" activeCell="E192" sqref="E192"/>
    </sheetView>
  </sheetViews>
  <sheetFormatPr defaultRowHeight="14.25"/>
  <cols>
    <col min="1" max="1" width="10.75" customWidth="1"/>
    <col min="2" max="2" width="10.75" style="70" customWidth="1"/>
    <col min="3" max="3" width="10.75" customWidth="1"/>
    <col min="4" max="4" width="17.25" bestFit="1" customWidth="1"/>
    <col min="5" max="5" width="9.125" bestFit="1" customWidth="1"/>
    <col min="6" max="6" width="15.25" bestFit="1" customWidth="1"/>
    <col min="7" max="7" width="7.25" customWidth="1"/>
  </cols>
  <sheetData>
    <row r="1" spans="1:7" ht="16.5">
      <c r="A1" s="21" t="s">
        <v>46</v>
      </c>
      <c r="B1" s="54" t="s">
        <v>47</v>
      </c>
      <c r="C1" s="21" t="s">
        <v>46</v>
      </c>
      <c r="D1" s="21" t="s">
        <v>48</v>
      </c>
      <c r="E1" s="21" t="s">
        <v>49</v>
      </c>
      <c r="F1" s="21" t="s">
        <v>50</v>
      </c>
      <c r="G1" s="22" t="s">
        <v>225</v>
      </c>
    </row>
    <row r="2" spans="1:7" ht="16.5">
      <c r="A2" s="21">
        <v>200001</v>
      </c>
      <c r="B2" s="55" t="s">
        <v>51</v>
      </c>
      <c r="C2" s="21">
        <v>200001</v>
      </c>
      <c r="D2" s="21">
        <v>1</v>
      </c>
      <c r="E2" s="21">
        <v>1</v>
      </c>
      <c r="F2" s="21">
        <v>1</v>
      </c>
      <c r="G2" s="21" t="s">
        <v>221</v>
      </c>
    </row>
    <row r="3" spans="1:7" ht="16.5">
      <c r="A3" s="21">
        <v>200002</v>
      </c>
      <c r="B3" s="55" t="s">
        <v>52</v>
      </c>
      <c r="C3" s="21">
        <v>200002</v>
      </c>
      <c r="D3" s="21">
        <v>1</v>
      </c>
      <c r="E3" s="21">
        <v>1</v>
      </c>
      <c r="F3" s="21">
        <v>1</v>
      </c>
      <c r="G3" s="21" t="s">
        <v>221</v>
      </c>
    </row>
    <row r="4" spans="1:7" ht="16.5">
      <c r="A4" s="21">
        <v>200003</v>
      </c>
      <c r="B4" s="55" t="s">
        <v>53</v>
      </c>
      <c r="C4" s="21">
        <v>200003</v>
      </c>
      <c r="D4" s="21">
        <v>1</v>
      </c>
      <c r="E4" s="21">
        <v>1</v>
      </c>
      <c r="F4" s="21">
        <v>1</v>
      </c>
      <c r="G4" s="21" t="s">
        <v>221</v>
      </c>
    </row>
    <row r="5" spans="1:7" ht="16.5">
      <c r="A5" s="21">
        <v>200004</v>
      </c>
      <c r="B5" s="55" t="s">
        <v>54</v>
      </c>
      <c r="C5" s="21">
        <v>200004</v>
      </c>
      <c r="D5" s="21">
        <v>1</v>
      </c>
      <c r="E5" s="21">
        <v>1</v>
      </c>
      <c r="F5" s="21">
        <v>1</v>
      </c>
      <c r="G5" s="21" t="s">
        <v>221</v>
      </c>
    </row>
    <row r="6" spans="1:7" ht="16.5">
      <c r="A6" s="21">
        <v>200005</v>
      </c>
      <c r="B6" s="55" t="s">
        <v>55</v>
      </c>
      <c r="C6" s="21">
        <v>200005</v>
      </c>
      <c r="D6" s="21">
        <v>1</v>
      </c>
      <c r="E6" s="21">
        <v>1</v>
      </c>
      <c r="F6" s="21">
        <v>1</v>
      </c>
      <c r="G6" s="21" t="s">
        <v>222</v>
      </c>
    </row>
    <row r="7" spans="1:7" ht="16.5">
      <c r="A7" s="21">
        <v>200006</v>
      </c>
      <c r="B7" s="55" t="s">
        <v>56</v>
      </c>
      <c r="C7" s="21">
        <v>200006</v>
      </c>
      <c r="D7" s="21">
        <v>1</v>
      </c>
      <c r="E7" s="21">
        <v>1</v>
      </c>
      <c r="F7" s="21">
        <v>1</v>
      </c>
      <c r="G7" s="21" t="s">
        <v>222</v>
      </c>
    </row>
    <row r="8" spans="1:7" ht="16.5">
      <c r="A8" s="21">
        <v>200007</v>
      </c>
      <c r="B8" s="55" t="s">
        <v>57</v>
      </c>
      <c r="C8" s="21">
        <v>200007</v>
      </c>
      <c r="D8" s="21">
        <v>1</v>
      </c>
      <c r="E8" s="21">
        <v>1</v>
      </c>
      <c r="F8" s="21">
        <v>1</v>
      </c>
      <c r="G8" s="21" t="s">
        <v>222</v>
      </c>
    </row>
    <row r="9" spans="1:7" ht="16.5">
      <c r="A9" s="21">
        <v>200008</v>
      </c>
      <c r="B9" s="56" t="s">
        <v>58</v>
      </c>
      <c r="C9" s="21">
        <v>200008</v>
      </c>
      <c r="D9" s="21">
        <v>1</v>
      </c>
      <c r="E9" s="21">
        <v>1</v>
      </c>
      <c r="F9" s="21">
        <v>1</v>
      </c>
      <c r="G9" s="21" t="s">
        <v>222</v>
      </c>
    </row>
    <row r="10" spans="1:7" ht="16.5">
      <c r="A10" s="21">
        <v>200009</v>
      </c>
      <c r="B10" s="54" t="s">
        <v>59</v>
      </c>
      <c r="C10" s="21">
        <v>200009</v>
      </c>
      <c r="D10" s="21">
        <v>1</v>
      </c>
      <c r="E10" s="21">
        <v>1</v>
      </c>
      <c r="F10" s="21">
        <v>1</v>
      </c>
      <c r="G10" s="21" t="s">
        <v>222</v>
      </c>
    </row>
    <row r="11" spans="1:7" ht="16.5">
      <c r="A11" s="3">
        <v>200010</v>
      </c>
      <c r="B11" s="57" t="s">
        <v>60</v>
      </c>
      <c r="C11" s="3">
        <v>200010</v>
      </c>
      <c r="D11" s="3">
        <v>1</v>
      </c>
      <c r="E11" s="3">
        <v>1</v>
      </c>
      <c r="F11" s="3">
        <v>1</v>
      </c>
      <c r="G11" s="3" t="s">
        <v>222</v>
      </c>
    </row>
    <row r="12" spans="1:7" ht="16.5">
      <c r="A12" s="21">
        <v>200011</v>
      </c>
      <c r="B12" s="55" t="s">
        <v>61</v>
      </c>
      <c r="C12" s="21">
        <v>200011</v>
      </c>
      <c r="D12" s="21">
        <v>1</v>
      </c>
      <c r="E12" s="21">
        <v>1</v>
      </c>
      <c r="F12" s="21">
        <v>1</v>
      </c>
      <c r="G12" s="21" t="s">
        <v>222</v>
      </c>
    </row>
    <row r="13" spans="1:7" ht="16.5">
      <c r="A13" s="21">
        <v>200012</v>
      </c>
      <c r="B13" s="55" t="s">
        <v>62</v>
      </c>
      <c r="C13" s="21">
        <v>200012</v>
      </c>
      <c r="D13" s="21">
        <v>1</v>
      </c>
      <c r="E13" s="21">
        <v>1</v>
      </c>
      <c r="F13" s="21">
        <v>1</v>
      </c>
      <c r="G13" s="21" t="s">
        <v>222</v>
      </c>
    </row>
    <row r="14" spans="1:7" ht="16.5">
      <c r="A14" s="21">
        <v>200013</v>
      </c>
      <c r="B14" s="55" t="s">
        <v>63</v>
      </c>
      <c r="C14" s="21">
        <v>200013</v>
      </c>
      <c r="D14" s="21">
        <v>1</v>
      </c>
      <c r="E14" s="21">
        <v>1</v>
      </c>
      <c r="F14" s="21">
        <v>1</v>
      </c>
      <c r="G14" s="21" t="s">
        <v>222</v>
      </c>
    </row>
    <row r="15" spans="1:7" ht="16.5">
      <c r="A15" s="21">
        <v>200014</v>
      </c>
      <c r="B15" s="58" t="s">
        <v>64</v>
      </c>
      <c r="C15" s="21">
        <v>200014</v>
      </c>
      <c r="D15" s="21">
        <v>1</v>
      </c>
      <c r="E15" s="21">
        <v>1</v>
      </c>
      <c r="F15" s="21">
        <v>1</v>
      </c>
      <c r="G15" s="23" t="s">
        <v>221</v>
      </c>
    </row>
    <row r="16" spans="1:7" ht="16.5">
      <c r="A16" s="21">
        <v>200015</v>
      </c>
      <c r="B16" s="59" t="s">
        <v>65</v>
      </c>
      <c r="C16" s="21">
        <v>200015</v>
      </c>
      <c r="D16" s="21">
        <v>1</v>
      </c>
      <c r="E16" s="21">
        <v>1</v>
      </c>
      <c r="F16" s="21">
        <v>1</v>
      </c>
      <c r="G16" s="23" t="s">
        <v>221</v>
      </c>
    </row>
    <row r="17" spans="1:7" ht="16.5">
      <c r="A17" s="21">
        <v>200016</v>
      </c>
      <c r="B17" s="59" t="s">
        <v>66</v>
      </c>
      <c r="C17" s="21">
        <v>200016</v>
      </c>
      <c r="D17" s="21">
        <v>1</v>
      </c>
      <c r="E17" s="21">
        <v>1</v>
      </c>
      <c r="F17" s="21">
        <v>1</v>
      </c>
      <c r="G17" s="23" t="s">
        <v>222</v>
      </c>
    </row>
    <row r="18" spans="1:7" ht="16.5">
      <c r="A18" s="21">
        <v>200017</v>
      </c>
      <c r="B18" s="59" t="s">
        <v>67</v>
      </c>
      <c r="C18" s="21">
        <v>200017</v>
      </c>
      <c r="D18" s="21">
        <v>1</v>
      </c>
      <c r="E18" s="21">
        <v>1</v>
      </c>
      <c r="F18" s="21">
        <v>1</v>
      </c>
      <c r="G18" s="23" t="s">
        <v>221</v>
      </c>
    </row>
    <row r="19" spans="1:7" ht="16.5">
      <c r="A19" s="21">
        <v>200018</v>
      </c>
      <c r="B19" s="59" t="s">
        <v>68</v>
      </c>
      <c r="C19" s="21">
        <v>200018</v>
      </c>
      <c r="D19" s="21">
        <v>1</v>
      </c>
      <c r="E19" s="21">
        <v>1</v>
      </c>
      <c r="F19" s="21">
        <v>1</v>
      </c>
      <c r="G19" s="23" t="s">
        <v>222</v>
      </c>
    </row>
    <row r="20" spans="1:7" ht="16.5">
      <c r="A20" s="21">
        <v>200019</v>
      </c>
      <c r="B20" s="59" t="s">
        <v>69</v>
      </c>
      <c r="C20" s="21">
        <v>200019</v>
      </c>
      <c r="D20" s="21">
        <v>1</v>
      </c>
      <c r="E20" s="21">
        <v>1</v>
      </c>
      <c r="F20" s="21">
        <v>1</v>
      </c>
      <c r="G20" s="23" t="s">
        <v>222</v>
      </c>
    </row>
    <row r="21" spans="1:7" ht="16.5">
      <c r="A21" s="21">
        <v>200020</v>
      </c>
      <c r="B21" s="59" t="s">
        <v>70</v>
      </c>
      <c r="C21" s="21">
        <v>200020</v>
      </c>
      <c r="D21" s="21">
        <v>1</v>
      </c>
      <c r="E21" s="21">
        <v>1</v>
      </c>
      <c r="F21" s="21">
        <v>1</v>
      </c>
      <c r="G21" s="23" t="s">
        <v>221</v>
      </c>
    </row>
    <row r="22" spans="1:7" ht="16.5">
      <c r="A22" s="21">
        <v>200021</v>
      </c>
      <c r="B22" s="60" t="s">
        <v>71</v>
      </c>
      <c r="C22" s="21">
        <v>200021</v>
      </c>
      <c r="D22" s="21">
        <v>1</v>
      </c>
      <c r="E22" s="21">
        <v>1</v>
      </c>
      <c r="F22" s="21">
        <v>1</v>
      </c>
      <c r="G22" s="23" t="s">
        <v>221</v>
      </c>
    </row>
    <row r="23" spans="1:7" ht="16.5">
      <c r="A23" s="21">
        <v>200022</v>
      </c>
      <c r="B23" s="60" t="s">
        <v>72</v>
      </c>
      <c r="C23" s="21">
        <v>200022</v>
      </c>
      <c r="D23" s="21">
        <v>1</v>
      </c>
      <c r="E23" s="21">
        <v>1</v>
      </c>
      <c r="F23" s="21">
        <v>1</v>
      </c>
      <c r="G23" s="23" t="s">
        <v>222</v>
      </c>
    </row>
    <row r="24" spans="1:7" ht="16.5">
      <c r="A24" s="21">
        <v>200023</v>
      </c>
      <c r="B24" s="60" t="s">
        <v>73</v>
      </c>
      <c r="C24" s="21">
        <v>200023</v>
      </c>
      <c r="D24" s="21">
        <v>1</v>
      </c>
      <c r="E24" s="21">
        <v>1</v>
      </c>
      <c r="F24" s="21">
        <v>1</v>
      </c>
      <c r="G24" s="23" t="s">
        <v>222</v>
      </c>
    </row>
    <row r="25" spans="1:7" ht="16.5">
      <c r="A25" s="21">
        <v>200024</v>
      </c>
      <c r="B25" s="59" t="s">
        <v>74</v>
      </c>
      <c r="C25" s="21">
        <v>200024</v>
      </c>
      <c r="D25" s="21">
        <v>1</v>
      </c>
      <c r="E25" s="21">
        <v>1</v>
      </c>
      <c r="F25" s="21">
        <v>1</v>
      </c>
      <c r="G25" s="23" t="s">
        <v>221</v>
      </c>
    </row>
    <row r="26" spans="1:7" ht="16.5">
      <c r="A26" s="21">
        <v>200025</v>
      </c>
      <c r="B26" s="59" t="s">
        <v>75</v>
      </c>
      <c r="C26" s="21">
        <v>200025</v>
      </c>
      <c r="D26" s="21">
        <v>1</v>
      </c>
      <c r="E26" s="21">
        <v>1</v>
      </c>
      <c r="F26" s="21">
        <v>1</v>
      </c>
      <c r="G26" s="23" t="s">
        <v>221</v>
      </c>
    </row>
    <row r="27" spans="1:7" ht="16.5">
      <c r="A27" s="21">
        <v>200026</v>
      </c>
      <c r="B27" s="60" t="s">
        <v>76</v>
      </c>
      <c r="C27" s="21">
        <v>200026</v>
      </c>
      <c r="D27" s="21">
        <v>1</v>
      </c>
      <c r="E27" s="21">
        <v>1</v>
      </c>
      <c r="F27" s="21">
        <v>1</v>
      </c>
      <c r="G27" s="23" t="s">
        <v>221</v>
      </c>
    </row>
    <row r="28" spans="1:7" ht="16.5">
      <c r="A28" s="21">
        <v>200027</v>
      </c>
      <c r="B28" s="59" t="s">
        <v>77</v>
      </c>
      <c r="C28" s="21">
        <v>200027</v>
      </c>
      <c r="D28" s="21">
        <v>1</v>
      </c>
      <c r="E28" s="21">
        <v>1</v>
      </c>
      <c r="F28" s="21">
        <v>1</v>
      </c>
      <c r="G28" s="23" t="s">
        <v>221</v>
      </c>
    </row>
    <row r="29" spans="1:7" ht="16.5">
      <c r="A29" s="21">
        <v>200028</v>
      </c>
      <c r="B29" s="59" t="s">
        <v>78</v>
      </c>
      <c r="C29" s="21">
        <v>200028</v>
      </c>
      <c r="D29" s="21">
        <v>1</v>
      </c>
      <c r="E29" s="21">
        <v>1</v>
      </c>
      <c r="F29" s="21">
        <v>1</v>
      </c>
      <c r="G29" s="23" t="s">
        <v>222</v>
      </c>
    </row>
    <row r="30" spans="1:7" ht="16.5">
      <c r="A30" s="21">
        <v>200029</v>
      </c>
      <c r="B30" s="59" t="s">
        <v>79</v>
      </c>
      <c r="C30" s="21">
        <v>200029</v>
      </c>
      <c r="D30" s="21">
        <v>1</v>
      </c>
      <c r="E30" s="21">
        <v>1</v>
      </c>
      <c r="F30" s="21">
        <v>1</v>
      </c>
      <c r="G30" s="23" t="s">
        <v>222</v>
      </c>
    </row>
    <row r="31" spans="1:7" ht="16.5">
      <c r="A31" s="21">
        <v>200030</v>
      </c>
      <c r="B31" s="59" t="s">
        <v>80</v>
      </c>
      <c r="C31" s="21">
        <v>200030</v>
      </c>
      <c r="D31" s="21">
        <v>1</v>
      </c>
      <c r="E31" s="21">
        <v>1</v>
      </c>
      <c r="F31" s="21">
        <v>1</v>
      </c>
      <c r="G31" s="23" t="s">
        <v>221</v>
      </c>
    </row>
    <row r="32" spans="1:7" ht="16.5">
      <c r="A32" s="21">
        <v>200031</v>
      </c>
      <c r="B32" s="59" t="s">
        <v>81</v>
      </c>
      <c r="C32" s="21">
        <v>200031</v>
      </c>
      <c r="D32" s="21">
        <v>1</v>
      </c>
      <c r="E32" s="21">
        <v>1</v>
      </c>
      <c r="F32" s="21">
        <v>1</v>
      </c>
      <c r="G32" s="23" t="s">
        <v>222</v>
      </c>
    </row>
    <row r="33" spans="1:7" ht="16.5">
      <c r="A33" s="21">
        <v>200032</v>
      </c>
      <c r="B33" s="59" t="s">
        <v>82</v>
      </c>
      <c r="C33" s="21">
        <v>200032</v>
      </c>
      <c r="D33" s="21">
        <v>1</v>
      </c>
      <c r="E33" s="21">
        <v>1</v>
      </c>
      <c r="F33" s="21">
        <v>1</v>
      </c>
      <c r="G33" s="23" t="s">
        <v>221</v>
      </c>
    </row>
    <row r="34" spans="1:7" ht="16.5">
      <c r="A34" s="21">
        <v>200033</v>
      </c>
      <c r="B34" s="59" t="s">
        <v>83</v>
      </c>
      <c r="C34" s="21">
        <v>200033</v>
      </c>
      <c r="D34" s="21">
        <v>1</v>
      </c>
      <c r="E34" s="21"/>
      <c r="F34" s="21">
        <v>0</v>
      </c>
      <c r="G34" s="23" t="s">
        <v>222</v>
      </c>
    </row>
    <row r="35" spans="1:7" ht="16.5">
      <c r="A35" s="21">
        <v>200034</v>
      </c>
      <c r="B35" s="60" t="s">
        <v>84</v>
      </c>
      <c r="C35" s="21">
        <v>200034</v>
      </c>
      <c r="D35" s="21">
        <v>1</v>
      </c>
      <c r="E35" s="21">
        <v>1</v>
      </c>
      <c r="F35" s="21">
        <v>1</v>
      </c>
      <c r="G35" s="23" t="s">
        <v>221</v>
      </c>
    </row>
    <row r="36" spans="1:7" ht="16.5">
      <c r="A36" s="21">
        <v>200035</v>
      </c>
      <c r="B36" s="60" t="s">
        <v>85</v>
      </c>
      <c r="C36" s="21">
        <v>200035</v>
      </c>
      <c r="D36" s="21">
        <v>1</v>
      </c>
      <c r="E36" s="21">
        <v>1</v>
      </c>
      <c r="F36" s="21">
        <v>1</v>
      </c>
      <c r="G36" s="23" t="s">
        <v>221</v>
      </c>
    </row>
    <row r="37" spans="1:7" ht="16.5">
      <c r="A37" s="21">
        <v>200036</v>
      </c>
      <c r="B37" s="59" t="s">
        <v>86</v>
      </c>
      <c r="C37" s="21">
        <v>200036</v>
      </c>
      <c r="D37" s="21">
        <v>1</v>
      </c>
      <c r="E37" s="21">
        <v>1</v>
      </c>
      <c r="F37" s="21">
        <v>1</v>
      </c>
      <c r="G37" s="23" t="s">
        <v>222</v>
      </c>
    </row>
    <row r="38" spans="1:7" ht="16.5">
      <c r="A38" s="21">
        <v>200037</v>
      </c>
      <c r="B38" s="59" t="s">
        <v>87</v>
      </c>
      <c r="C38" s="21">
        <v>200037</v>
      </c>
      <c r="D38" s="21">
        <v>1</v>
      </c>
      <c r="E38" s="21">
        <v>1</v>
      </c>
      <c r="F38" s="21">
        <v>1</v>
      </c>
      <c r="G38" s="23" t="s">
        <v>222</v>
      </c>
    </row>
    <row r="39" spans="1:7" ht="16.5">
      <c r="A39" s="21">
        <v>200038</v>
      </c>
      <c r="B39" s="59" t="s">
        <v>88</v>
      </c>
      <c r="C39" s="21">
        <v>200038</v>
      </c>
      <c r="D39" s="21">
        <v>1</v>
      </c>
      <c r="E39" s="21"/>
      <c r="F39" s="21">
        <v>0</v>
      </c>
      <c r="G39" s="23" t="s">
        <v>222</v>
      </c>
    </row>
    <row r="40" spans="1:7" ht="16.5">
      <c r="A40" s="21">
        <v>200039</v>
      </c>
      <c r="B40" s="59" t="s">
        <v>89</v>
      </c>
      <c r="C40" s="21">
        <v>200039</v>
      </c>
      <c r="D40" s="21">
        <v>1</v>
      </c>
      <c r="E40" s="21">
        <v>1</v>
      </c>
      <c r="F40" s="21">
        <v>1</v>
      </c>
      <c r="G40" s="23" t="s">
        <v>221</v>
      </c>
    </row>
    <row r="41" spans="1:7" ht="16.5">
      <c r="A41" s="21">
        <v>200040</v>
      </c>
      <c r="B41" s="60" t="s">
        <v>90</v>
      </c>
      <c r="C41" s="21">
        <v>200040</v>
      </c>
      <c r="D41" s="21">
        <v>1</v>
      </c>
      <c r="E41" s="21">
        <v>1</v>
      </c>
      <c r="F41" s="21">
        <v>1</v>
      </c>
      <c r="G41" s="23" t="s">
        <v>221</v>
      </c>
    </row>
    <row r="42" spans="1:7" ht="16.5">
      <c r="A42" s="21">
        <v>200041</v>
      </c>
      <c r="B42" s="61" t="s">
        <v>91</v>
      </c>
      <c r="C42" s="21">
        <v>200041</v>
      </c>
      <c r="D42" s="21">
        <v>1</v>
      </c>
      <c r="E42" s="21">
        <v>1</v>
      </c>
      <c r="F42" s="21">
        <v>1</v>
      </c>
      <c r="G42" s="23" t="s">
        <v>222</v>
      </c>
    </row>
    <row r="43" spans="1:7" ht="16.5">
      <c r="A43" s="21">
        <v>200042</v>
      </c>
      <c r="B43" s="62" t="s">
        <v>92</v>
      </c>
      <c r="C43" s="21">
        <v>200042</v>
      </c>
      <c r="D43" s="21">
        <v>1</v>
      </c>
      <c r="E43" s="21">
        <v>1</v>
      </c>
      <c r="F43" s="21">
        <v>1</v>
      </c>
      <c r="G43" s="23" t="s">
        <v>222</v>
      </c>
    </row>
    <row r="44" spans="1:7" ht="16.5">
      <c r="A44" s="21">
        <v>200043</v>
      </c>
      <c r="B44" s="62" t="s">
        <v>93</v>
      </c>
      <c r="C44" s="21">
        <v>200043</v>
      </c>
      <c r="D44" s="21">
        <v>1</v>
      </c>
      <c r="E44" s="21">
        <v>1</v>
      </c>
      <c r="F44" s="21">
        <v>1</v>
      </c>
      <c r="G44" s="23" t="s">
        <v>221</v>
      </c>
    </row>
    <row r="45" spans="1:7" ht="16.5">
      <c r="A45" s="21">
        <v>200044</v>
      </c>
      <c r="B45" s="62" t="s">
        <v>94</v>
      </c>
      <c r="C45" s="21">
        <v>200044</v>
      </c>
      <c r="D45" s="21">
        <v>1</v>
      </c>
      <c r="E45" s="21">
        <v>1</v>
      </c>
      <c r="F45" s="21">
        <v>1</v>
      </c>
      <c r="G45" s="23" t="s">
        <v>221</v>
      </c>
    </row>
    <row r="46" spans="1:7" ht="16.5">
      <c r="A46" s="21">
        <v>200045</v>
      </c>
      <c r="B46" s="62" t="s">
        <v>95</v>
      </c>
      <c r="C46" s="21">
        <v>200045</v>
      </c>
      <c r="D46" s="21">
        <v>1</v>
      </c>
      <c r="E46" s="21">
        <v>1</v>
      </c>
      <c r="F46" s="21">
        <v>1</v>
      </c>
      <c r="G46" s="23" t="s">
        <v>221</v>
      </c>
    </row>
    <row r="47" spans="1:7" ht="16.5">
      <c r="A47" s="21">
        <v>200046</v>
      </c>
      <c r="B47" s="62" t="s">
        <v>96</v>
      </c>
      <c r="C47" s="21">
        <v>200046</v>
      </c>
      <c r="D47" s="21">
        <v>1</v>
      </c>
      <c r="E47" s="21">
        <v>1</v>
      </c>
      <c r="F47" s="21">
        <v>1</v>
      </c>
      <c r="G47" s="23" t="s">
        <v>222</v>
      </c>
    </row>
    <row r="48" spans="1:7" ht="16.5">
      <c r="A48" s="4">
        <v>200047</v>
      </c>
      <c r="B48" s="62" t="s">
        <v>97</v>
      </c>
      <c r="C48" s="4">
        <v>200047</v>
      </c>
      <c r="D48" s="21">
        <v>1</v>
      </c>
      <c r="E48" s="21">
        <v>1</v>
      </c>
      <c r="F48" s="21">
        <v>1</v>
      </c>
      <c r="G48" s="23" t="s">
        <v>222</v>
      </c>
    </row>
    <row r="49" spans="1:7" ht="16.5">
      <c r="A49" s="4">
        <v>200048</v>
      </c>
      <c r="B49" s="62" t="s">
        <v>98</v>
      </c>
      <c r="C49" s="4">
        <v>200048</v>
      </c>
      <c r="D49" s="21">
        <v>1</v>
      </c>
      <c r="E49" s="21">
        <v>1</v>
      </c>
      <c r="F49" s="21">
        <v>1</v>
      </c>
      <c r="G49" s="23" t="s">
        <v>223</v>
      </c>
    </row>
    <row r="50" spans="1:7" ht="16.5">
      <c r="A50" s="4">
        <v>200049</v>
      </c>
      <c r="B50" s="59" t="s">
        <v>99</v>
      </c>
      <c r="C50" s="4">
        <v>200049</v>
      </c>
      <c r="D50" s="21">
        <v>1</v>
      </c>
      <c r="E50" s="21">
        <v>1</v>
      </c>
      <c r="F50" s="21">
        <v>1</v>
      </c>
      <c r="G50" s="23" t="s">
        <v>223</v>
      </c>
    </row>
    <row r="51" spans="1:7" ht="16.5">
      <c r="A51" s="26">
        <v>200050</v>
      </c>
      <c r="B51" s="62" t="s">
        <v>100</v>
      </c>
      <c r="C51" s="26">
        <v>200050</v>
      </c>
      <c r="D51" s="21">
        <v>1</v>
      </c>
      <c r="E51" s="21">
        <v>1</v>
      </c>
      <c r="F51" s="21">
        <v>1</v>
      </c>
      <c r="G51" s="25" t="s">
        <v>223</v>
      </c>
    </row>
    <row r="52" spans="1:7" ht="16.5">
      <c r="A52" s="27">
        <v>200051</v>
      </c>
      <c r="B52" s="62" t="s">
        <v>101</v>
      </c>
      <c r="C52" s="27">
        <v>200051</v>
      </c>
      <c r="D52" s="21">
        <v>1</v>
      </c>
      <c r="E52" s="21">
        <v>1</v>
      </c>
      <c r="F52" s="21">
        <v>1</v>
      </c>
      <c r="G52" s="25" t="s">
        <v>223</v>
      </c>
    </row>
    <row r="53" spans="1:7" ht="16.5">
      <c r="A53" s="27">
        <v>200052</v>
      </c>
      <c r="B53" s="62" t="s">
        <v>102</v>
      </c>
      <c r="C53" s="27">
        <v>200052</v>
      </c>
      <c r="D53" s="21">
        <v>1</v>
      </c>
      <c r="E53" s="21">
        <v>1</v>
      </c>
      <c r="F53" s="21">
        <v>1</v>
      </c>
      <c r="G53" s="25" t="s">
        <v>223</v>
      </c>
    </row>
    <row r="54" spans="1:7" ht="16.5">
      <c r="A54" s="27">
        <v>200053</v>
      </c>
      <c r="B54" s="62" t="s">
        <v>103</v>
      </c>
      <c r="C54" s="27">
        <v>200053</v>
      </c>
      <c r="D54" s="21">
        <v>1</v>
      </c>
      <c r="E54" s="21">
        <v>1</v>
      </c>
      <c r="F54" s="21">
        <v>1</v>
      </c>
      <c r="G54" s="25" t="s">
        <v>223</v>
      </c>
    </row>
    <row r="55" spans="1:7" ht="16.5">
      <c r="A55" s="26">
        <v>200054</v>
      </c>
      <c r="B55" s="62" t="s">
        <v>104</v>
      </c>
      <c r="C55" s="26">
        <v>200054</v>
      </c>
      <c r="D55" s="21">
        <v>1</v>
      </c>
      <c r="E55" s="21">
        <v>1</v>
      </c>
      <c r="F55" s="21">
        <v>1</v>
      </c>
      <c r="G55" s="25" t="s">
        <v>224</v>
      </c>
    </row>
    <row r="56" spans="1:7" ht="16.5">
      <c r="A56" s="26">
        <v>200055</v>
      </c>
      <c r="B56" s="62" t="s">
        <v>105</v>
      </c>
      <c r="C56" s="26">
        <v>200055</v>
      </c>
      <c r="D56" s="21">
        <v>1</v>
      </c>
      <c r="E56" s="21">
        <v>1</v>
      </c>
      <c r="F56" s="21">
        <v>1</v>
      </c>
      <c r="G56" s="25" t="s">
        <v>224</v>
      </c>
    </row>
    <row r="57" spans="1:7" ht="16.5">
      <c r="A57" s="26">
        <v>200056</v>
      </c>
      <c r="B57" s="63" t="s">
        <v>106</v>
      </c>
      <c r="C57" s="26">
        <v>200056</v>
      </c>
      <c r="D57" s="21">
        <v>1</v>
      </c>
      <c r="E57" s="21">
        <v>1</v>
      </c>
      <c r="F57" s="21">
        <v>1</v>
      </c>
      <c r="G57" s="25" t="s">
        <v>224</v>
      </c>
    </row>
    <row r="58" spans="1:7" ht="16.5">
      <c r="A58" s="27">
        <v>200057</v>
      </c>
      <c r="B58" s="62" t="s">
        <v>107</v>
      </c>
      <c r="C58" s="27">
        <v>200057</v>
      </c>
      <c r="D58" s="21">
        <v>1</v>
      </c>
      <c r="E58" s="21">
        <v>1</v>
      </c>
      <c r="F58" s="21">
        <v>1</v>
      </c>
      <c r="G58" s="25" t="s">
        <v>224</v>
      </c>
    </row>
    <row r="59" spans="1:7" ht="16.5">
      <c r="A59" s="26">
        <v>200058</v>
      </c>
      <c r="B59" s="62" t="s">
        <v>108</v>
      </c>
      <c r="C59" s="26">
        <v>200058</v>
      </c>
      <c r="D59" s="21">
        <v>1</v>
      </c>
      <c r="E59" s="21">
        <v>1</v>
      </c>
      <c r="F59" s="21">
        <v>1</v>
      </c>
      <c r="G59" s="25" t="s">
        <v>224</v>
      </c>
    </row>
    <row r="60" spans="1:7" ht="16.5">
      <c r="A60" s="27">
        <v>200059</v>
      </c>
      <c r="B60" s="62" t="s">
        <v>109</v>
      </c>
      <c r="C60" s="27">
        <v>200059</v>
      </c>
      <c r="D60" s="21">
        <v>1</v>
      </c>
      <c r="E60" s="21">
        <v>1</v>
      </c>
      <c r="F60" s="21">
        <v>1</v>
      </c>
      <c r="G60" s="25" t="s">
        <v>224</v>
      </c>
    </row>
    <row r="61" spans="1:7" ht="16.5">
      <c r="A61" s="26">
        <v>200060</v>
      </c>
      <c r="B61" s="64" t="s">
        <v>110</v>
      </c>
      <c r="C61" s="26">
        <v>200060</v>
      </c>
      <c r="D61" s="21">
        <v>1</v>
      </c>
      <c r="E61" s="21">
        <v>1</v>
      </c>
      <c r="F61" s="21">
        <v>1</v>
      </c>
      <c r="G61" s="26" t="s">
        <v>222</v>
      </c>
    </row>
    <row r="62" spans="1:7" ht="16.5">
      <c r="A62" s="28">
        <v>200061</v>
      </c>
      <c r="B62" s="65" t="s">
        <v>111</v>
      </c>
      <c r="C62" s="28">
        <v>200061</v>
      </c>
      <c r="D62" s="29">
        <v>1</v>
      </c>
      <c r="E62" s="29">
        <v>1</v>
      </c>
      <c r="F62" s="29">
        <v>1</v>
      </c>
      <c r="G62" s="28" t="s">
        <v>222</v>
      </c>
    </row>
    <row r="63" spans="1:7" ht="16.5">
      <c r="A63" s="4">
        <v>200062</v>
      </c>
      <c r="B63" s="66" t="s">
        <v>112</v>
      </c>
      <c r="C63" s="4">
        <v>200062</v>
      </c>
      <c r="D63" s="21">
        <v>1</v>
      </c>
      <c r="E63" s="21">
        <v>1</v>
      </c>
      <c r="F63" s="21">
        <v>1</v>
      </c>
      <c r="G63" s="4" t="s">
        <v>221</v>
      </c>
    </row>
    <row r="64" spans="1:7" ht="16.5">
      <c r="A64" s="4">
        <v>200063</v>
      </c>
      <c r="B64" s="66" t="s">
        <v>113</v>
      </c>
      <c r="C64" s="4">
        <v>200063</v>
      </c>
      <c r="D64" s="21">
        <v>1</v>
      </c>
      <c r="E64" s="21">
        <v>1</v>
      </c>
      <c r="F64" s="21">
        <v>1</v>
      </c>
      <c r="G64" s="4" t="s">
        <v>222</v>
      </c>
    </row>
    <row r="65" spans="1:7" ht="16.5">
      <c r="A65" s="27">
        <v>200064</v>
      </c>
      <c r="B65" s="64" t="s">
        <v>114</v>
      </c>
      <c r="C65" s="27">
        <v>200064</v>
      </c>
      <c r="D65" s="21">
        <v>1</v>
      </c>
      <c r="E65" s="21">
        <v>1</v>
      </c>
      <c r="F65" s="21">
        <v>1</v>
      </c>
      <c r="G65" s="26" t="s">
        <v>222</v>
      </c>
    </row>
    <row r="66" spans="1:7" ht="16.5">
      <c r="A66" s="30">
        <v>200065</v>
      </c>
      <c r="B66" s="67" t="s">
        <v>115</v>
      </c>
      <c r="C66" s="30">
        <v>200065</v>
      </c>
      <c r="D66" s="21">
        <v>1</v>
      </c>
      <c r="E66" s="21">
        <v>1</v>
      </c>
      <c r="F66" s="21">
        <v>1</v>
      </c>
      <c r="G66" s="31" t="s">
        <v>222</v>
      </c>
    </row>
    <row r="67" spans="1:7" ht="16.5">
      <c r="A67" s="27">
        <v>200066</v>
      </c>
      <c r="B67" s="66" t="s">
        <v>116</v>
      </c>
      <c r="C67" s="27">
        <v>200066</v>
      </c>
      <c r="D67" s="21">
        <v>1</v>
      </c>
      <c r="E67" s="21"/>
      <c r="F67" s="21">
        <v>0</v>
      </c>
      <c r="G67" s="26" t="s">
        <v>222</v>
      </c>
    </row>
    <row r="68" spans="1:7" ht="16.5">
      <c r="A68" s="32">
        <v>200067</v>
      </c>
      <c r="B68" s="66" t="s">
        <v>117</v>
      </c>
      <c r="C68" s="32">
        <v>200067</v>
      </c>
      <c r="D68" s="21">
        <v>1</v>
      </c>
      <c r="E68" s="21"/>
      <c r="F68" s="21">
        <v>0</v>
      </c>
      <c r="G68" s="26" t="s">
        <v>222</v>
      </c>
    </row>
    <row r="69" spans="1:7" ht="16.5">
      <c r="A69" s="27">
        <v>200068</v>
      </c>
      <c r="B69" s="67" t="s">
        <v>118</v>
      </c>
      <c r="C69" s="27">
        <v>200068</v>
      </c>
      <c r="D69" s="21">
        <v>1</v>
      </c>
      <c r="E69" s="21">
        <v>1</v>
      </c>
      <c r="F69" s="21">
        <v>1</v>
      </c>
      <c r="G69" s="26" t="s">
        <v>222</v>
      </c>
    </row>
    <row r="70" spans="1:7" ht="16.5">
      <c r="A70" s="27">
        <v>200069</v>
      </c>
      <c r="B70" s="67" t="s">
        <v>119</v>
      </c>
      <c r="C70" s="27">
        <v>200069</v>
      </c>
      <c r="D70" s="21">
        <v>1</v>
      </c>
      <c r="E70" s="21">
        <v>1</v>
      </c>
      <c r="F70" s="21">
        <v>1</v>
      </c>
      <c r="G70" s="26" t="s">
        <v>221</v>
      </c>
    </row>
    <row r="71" spans="1:7" ht="16.5">
      <c r="A71" s="27">
        <v>200070</v>
      </c>
      <c r="B71" s="67" t="s">
        <v>120</v>
      </c>
      <c r="C71" s="27">
        <v>200070</v>
      </c>
      <c r="D71" s="21">
        <v>1</v>
      </c>
      <c r="E71" s="21">
        <v>1</v>
      </c>
      <c r="F71" s="21">
        <v>1</v>
      </c>
      <c r="G71" s="26" t="s">
        <v>221</v>
      </c>
    </row>
    <row r="72" spans="1:7" ht="16.5">
      <c r="A72" s="27">
        <v>200071</v>
      </c>
      <c r="B72" s="67" t="s">
        <v>121</v>
      </c>
      <c r="C72" s="27">
        <v>200071</v>
      </c>
      <c r="D72" s="21">
        <v>1</v>
      </c>
      <c r="E72" s="21"/>
      <c r="F72" s="21">
        <v>0</v>
      </c>
      <c r="G72" s="26" t="s">
        <v>222</v>
      </c>
    </row>
    <row r="73" spans="1:7" ht="16.5">
      <c r="A73" s="4">
        <v>200072</v>
      </c>
      <c r="B73" s="67" t="s">
        <v>122</v>
      </c>
      <c r="C73" s="4">
        <v>200072</v>
      </c>
      <c r="D73" s="21">
        <v>1</v>
      </c>
      <c r="E73" s="21">
        <v>1</v>
      </c>
      <c r="F73" s="21">
        <v>1</v>
      </c>
      <c r="G73" s="4" t="s">
        <v>222</v>
      </c>
    </row>
    <row r="74" spans="1:7" ht="16.5">
      <c r="A74" s="4">
        <v>200073</v>
      </c>
      <c r="B74" s="67" t="s">
        <v>123</v>
      </c>
      <c r="C74" s="4">
        <v>200073</v>
      </c>
      <c r="D74" s="21">
        <v>1</v>
      </c>
      <c r="E74" s="21">
        <v>1</v>
      </c>
      <c r="F74" s="21">
        <v>1</v>
      </c>
      <c r="G74" s="4" t="s">
        <v>222</v>
      </c>
    </row>
    <row r="75" spans="1:7" ht="16.5">
      <c r="A75" s="21">
        <v>200074</v>
      </c>
      <c r="B75" s="66" t="s">
        <v>124</v>
      </c>
      <c r="C75" s="21">
        <v>200074</v>
      </c>
      <c r="D75" s="21">
        <v>1</v>
      </c>
      <c r="E75" s="21">
        <v>1</v>
      </c>
      <c r="F75" s="21">
        <v>1</v>
      </c>
      <c r="G75" s="1" t="s">
        <v>222</v>
      </c>
    </row>
    <row r="76" spans="1:7" ht="16.5">
      <c r="A76" s="21">
        <v>200075</v>
      </c>
      <c r="B76" s="66" t="s">
        <v>125</v>
      </c>
      <c r="C76" s="21">
        <v>200075</v>
      </c>
      <c r="D76" s="21">
        <v>1</v>
      </c>
      <c r="E76" s="21"/>
      <c r="F76" s="21">
        <v>0</v>
      </c>
      <c r="G76" s="1" t="s">
        <v>222</v>
      </c>
    </row>
    <row r="77" spans="1:7" ht="16.5">
      <c r="A77" s="21">
        <v>200076</v>
      </c>
      <c r="B77" s="54" t="s">
        <v>126</v>
      </c>
      <c r="C77" s="21">
        <v>200076</v>
      </c>
      <c r="D77" s="21">
        <v>1</v>
      </c>
      <c r="E77" s="21">
        <v>1</v>
      </c>
      <c r="F77" s="21">
        <v>1</v>
      </c>
      <c r="G77" s="21" t="s">
        <v>222</v>
      </c>
    </row>
    <row r="78" spans="1:7" ht="16.5">
      <c r="A78" s="21">
        <v>200078</v>
      </c>
      <c r="B78" s="54" t="s">
        <v>127</v>
      </c>
      <c r="C78" s="21">
        <v>200078</v>
      </c>
      <c r="D78" s="21">
        <v>1</v>
      </c>
      <c r="E78" s="21">
        <v>1</v>
      </c>
      <c r="F78" s="21">
        <v>1</v>
      </c>
      <c r="G78" s="21" t="s">
        <v>222</v>
      </c>
    </row>
    <row r="79" spans="1:7" ht="16.5">
      <c r="A79" s="4">
        <v>200079</v>
      </c>
      <c r="B79" s="67" t="s">
        <v>128</v>
      </c>
      <c r="C79" s="4">
        <v>200079</v>
      </c>
      <c r="D79" s="21">
        <v>1</v>
      </c>
      <c r="E79" s="21">
        <v>1</v>
      </c>
      <c r="F79" s="21">
        <v>1</v>
      </c>
      <c r="G79" s="4" t="s">
        <v>222</v>
      </c>
    </row>
    <row r="80" spans="1:7" ht="16.5">
      <c r="A80" s="24">
        <v>200080</v>
      </c>
      <c r="B80" s="59" t="s">
        <v>129</v>
      </c>
      <c r="C80" s="24">
        <v>200080</v>
      </c>
      <c r="D80" s="24">
        <v>1</v>
      </c>
      <c r="E80" s="24">
        <v>1</v>
      </c>
      <c r="F80" s="24">
        <v>1</v>
      </c>
      <c r="G80" s="24" t="s">
        <v>222</v>
      </c>
    </row>
    <row r="81" spans="1:7" ht="16.5">
      <c r="A81" s="24">
        <v>200083</v>
      </c>
      <c r="B81" s="59" t="s">
        <v>130</v>
      </c>
      <c r="C81" s="24">
        <v>200083</v>
      </c>
      <c r="D81" s="24">
        <v>1</v>
      </c>
      <c r="E81" s="24">
        <v>1</v>
      </c>
      <c r="F81" s="24">
        <v>1</v>
      </c>
      <c r="G81" s="24" t="s">
        <v>222</v>
      </c>
    </row>
    <row r="82" spans="1:7" ht="16.5">
      <c r="A82" s="24">
        <v>200084</v>
      </c>
      <c r="B82" s="59" t="s">
        <v>131</v>
      </c>
      <c r="C82" s="24">
        <v>200084</v>
      </c>
      <c r="D82" s="24">
        <v>1</v>
      </c>
      <c r="E82" s="24">
        <v>2</v>
      </c>
      <c r="F82" s="24">
        <v>1</v>
      </c>
      <c r="G82" s="24" t="s">
        <v>222</v>
      </c>
    </row>
    <row r="83" spans="1:7" ht="16.5">
      <c r="A83" s="24">
        <v>200085</v>
      </c>
      <c r="B83" s="59" t="s">
        <v>132</v>
      </c>
      <c r="C83" s="24">
        <v>200085</v>
      </c>
      <c r="D83" s="24">
        <v>1</v>
      </c>
      <c r="E83" s="24">
        <v>2</v>
      </c>
      <c r="F83" s="24">
        <v>1</v>
      </c>
      <c r="G83" s="24" t="s">
        <v>222</v>
      </c>
    </row>
    <row r="84" spans="1:7" ht="16.5">
      <c r="A84" s="24">
        <v>200086</v>
      </c>
      <c r="B84" s="59" t="s">
        <v>133</v>
      </c>
      <c r="C84" s="24">
        <v>200086</v>
      </c>
      <c r="D84" s="24">
        <v>1</v>
      </c>
      <c r="E84" s="24">
        <v>2</v>
      </c>
      <c r="F84" s="24">
        <v>1</v>
      </c>
      <c r="G84" s="24" t="s">
        <v>222</v>
      </c>
    </row>
    <row r="85" spans="1:7" ht="16.5">
      <c r="A85" s="24">
        <v>200087</v>
      </c>
      <c r="B85" s="59" t="s">
        <v>134</v>
      </c>
      <c r="C85" s="24">
        <v>200087</v>
      </c>
      <c r="D85" s="24">
        <v>1</v>
      </c>
      <c r="E85" s="24">
        <v>2</v>
      </c>
      <c r="F85" s="24">
        <v>1</v>
      </c>
      <c r="G85" s="24" t="s">
        <v>222</v>
      </c>
    </row>
    <row r="86" spans="1:7" ht="16.5">
      <c r="A86" s="24">
        <v>200088</v>
      </c>
      <c r="B86" s="59" t="s">
        <v>135</v>
      </c>
      <c r="C86" s="24">
        <v>200088</v>
      </c>
      <c r="D86" s="24">
        <v>1</v>
      </c>
      <c r="E86" s="24"/>
      <c r="F86" s="24">
        <v>0</v>
      </c>
      <c r="G86" s="24" t="s">
        <v>222</v>
      </c>
    </row>
    <row r="87" spans="1:7" ht="16.5">
      <c r="A87" s="24">
        <v>200092</v>
      </c>
      <c r="B87" s="59" t="s">
        <v>136</v>
      </c>
      <c r="C87" s="24">
        <v>200092</v>
      </c>
      <c r="D87" s="24">
        <v>1</v>
      </c>
      <c r="E87" s="24"/>
      <c r="F87" s="24">
        <v>0</v>
      </c>
      <c r="G87" s="24" t="s">
        <v>222</v>
      </c>
    </row>
    <row r="88" spans="1:7" ht="16.5">
      <c r="A88" s="24">
        <v>200095</v>
      </c>
      <c r="B88" s="59" t="s">
        <v>137</v>
      </c>
      <c r="C88" s="24">
        <v>200095</v>
      </c>
      <c r="D88" s="24">
        <v>1</v>
      </c>
      <c r="E88" s="24">
        <v>2</v>
      </c>
      <c r="F88" s="24">
        <v>1</v>
      </c>
      <c r="G88" s="24" t="s">
        <v>222</v>
      </c>
    </row>
    <row r="89" spans="1:7" ht="16.5">
      <c r="A89" s="24">
        <v>200096</v>
      </c>
      <c r="B89" s="59" t="s">
        <v>138</v>
      </c>
      <c r="C89" s="24">
        <v>200096</v>
      </c>
      <c r="D89" s="24">
        <v>1</v>
      </c>
      <c r="E89" s="24">
        <v>2</v>
      </c>
      <c r="F89" s="24">
        <v>1</v>
      </c>
      <c r="G89" s="24" t="s">
        <v>222</v>
      </c>
    </row>
    <row r="90" spans="1:7" ht="16.5">
      <c r="A90" s="24">
        <v>200098</v>
      </c>
      <c r="B90" s="59" t="s">
        <v>139</v>
      </c>
      <c r="C90" s="24">
        <v>200098</v>
      </c>
      <c r="D90" s="24">
        <v>1</v>
      </c>
      <c r="E90" s="24">
        <v>2</v>
      </c>
      <c r="F90" s="24">
        <v>1</v>
      </c>
      <c r="G90" s="24" t="s">
        <v>222</v>
      </c>
    </row>
    <row r="91" spans="1:7" ht="16.5">
      <c r="A91" s="24">
        <v>200099</v>
      </c>
      <c r="B91" s="59" t="s">
        <v>140</v>
      </c>
      <c r="C91" s="24">
        <v>200099</v>
      </c>
      <c r="D91" s="24">
        <v>1</v>
      </c>
      <c r="E91" s="24">
        <v>1</v>
      </c>
      <c r="F91" s="24">
        <v>1</v>
      </c>
      <c r="G91" s="24" t="s">
        <v>222</v>
      </c>
    </row>
    <row r="92" spans="1:7" ht="16.5">
      <c r="A92" s="24">
        <v>200100</v>
      </c>
      <c r="B92" s="59" t="s">
        <v>141</v>
      </c>
      <c r="C92" s="24">
        <v>200100</v>
      </c>
      <c r="D92" s="24">
        <v>1</v>
      </c>
      <c r="E92" s="24">
        <v>2</v>
      </c>
      <c r="F92" s="24">
        <v>1</v>
      </c>
      <c r="G92" s="24" t="s">
        <v>222</v>
      </c>
    </row>
    <row r="93" spans="1:7" ht="16.5">
      <c r="A93" s="24">
        <v>200101</v>
      </c>
      <c r="B93" s="59" t="s">
        <v>142</v>
      </c>
      <c r="C93" s="24">
        <v>200101</v>
      </c>
      <c r="D93" s="24">
        <v>1</v>
      </c>
      <c r="E93" s="24">
        <v>1</v>
      </c>
      <c r="F93" s="24">
        <v>1</v>
      </c>
      <c r="G93" s="24" t="s">
        <v>222</v>
      </c>
    </row>
    <row r="94" spans="1:7" ht="16.5">
      <c r="A94" s="24">
        <v>200102</v>
      </c>
      <c r="B94" s="59" t="s">
        <v>143</v>
      </c>
      <c r="C94" s="24">
        <v>200102</v>
      </c>
      <c r="D94" s="24">
        <v>1</v>
      </c>
      <c r="E94" s="24">
        <v>2</v>
      </c>
      <c r="F94" s="24">
        <v>1</v>
      </c>
      <c r="G94" s="24" t="s">
        <v>222</v>
      </c>
    </row>
    <row r="95" spans="1:7" ht="16.5">
      <c r="A95" s="24">
        <v>200103</v>
      </c>
      <c r="B95" s="59" t="s">
        <v>144</v>
      </c>
      <c r="C95" s="24">
        <v>200103</v>
      </c>
      <c r="D95" s="24">
        <v>1</v>
      </c>
      <c r="E95" s="24">
        <v>2</v>
      </c>
      <c r="F95" s="24">
        <v>1</v>
      </c>
      <c r="G95" s="24" t="s">
        <v>222</v>
      </c>
    </row>
    <row r="96" spans="1:7" ht="16.5">
      <c r="A96" s="24">
        <v>200105</v>
      </c>
      <c r="B96" s="59" t="s">
        <v>145</v>
      </c>
      <c r="C96" s="24">
        <v>200105</v>
      </c>
      <c r="D96" s="24">
        <v>1</v>
      </c>
      <c r="E96" s="24">
        <v>2</v>
      </c>
      <c r="F96" s="24">
        <v>1</v>
      </c>
      <c r="G96" s="24" t="s">
        <v>222</v>
      </c>
    </row>
    <row r="97" spans="1:7" ht="16.5">
      <c r="A97" s="24">
        <v>200107</v>
      </c>
      <c r="B97" s="59" t="s">
        <v>146</v>
      </c>
      <c r="C97" s="24">
        <v>200107</v>
      </c>
      <c r="D97" s="24">
        <v>1</v>
      </c>
      <c r="E97" s="24">
        <v>2</v>
      </c>
      <c r="F97" s="24">
        <v>1</v>
      </c>
      <c r="G97" s="24" t="s">
        <v>221</v>
      </c>
    </row>
    <row r="98" spans="1:7" ht="16.5">
      <c r="A98" s="24">
        <v>200108</v>
      </c>
      <c r="B98" s="59" t="s">
        <v>147</v>
      </c>
      <c r="C98" s="24">
        <v>200108</v>
      </c>
      <c r="D98" s="24">
        <v>1</v>
      </c>
      <c r="E98" s="24">
        <v>2</v>
      </c>
      <c r="F98" s="24">
        <v>1</v>
      </c>
      <c r="G98" s="24" t="s">
        <v>221</v>
      </c>
    </row>
    <row r="99" spans="1:7" ht="16.5">
      <c r="A99" s="24">
        <v>200109</v>
      </c>
      <c r="B99" s="59" t="s">
        <v>148</v>
      </c>
      <c r="C99" s="24">
        <v>200109</v>
      </c>
      <c r="D99" s="24">
        <v>1</v>
      </c>
      <c r="E99" s="24">
        <v>2</v>
      </c>
      <c r="F99" s="24">
        <v>1</v>
      </c>
      <c r="G99" s="24" t="s">
        <v>221</v>
      </c>
    </row>
    <row r="100" spans="1:7" ht="16.5">
      <c r="A100" s="24">
        <v>200110</v>
      </c>
      <c r="B100" s="59" t="s">
        <v>149</v>
      </c>
      <c r="C100" s="24">
        <v>200110</v>
      </c>
      <c r="D100" s="24">
        <v>1</v>
      </c>
      <c r="E100" s="24">
        <v>2</v>
      </c>
      <c r="F100" s="24">
        <v>1</v>
      </c>
      <c r="G100" s="24" t="s">
        <v>222</v>
      </c>
    </row>
    <row r="101" spans="1:7" ht="16.5">
      <c r="A101" s="24">
        <v>200111</v>
      </c>
      <c r="B101" s="59" t="s">
        <v>150</v>
      </c>
      <c r="C101" s="24">
        <v>200111</v>
      </c>
      <c r="D101" s="24">
        <v>1</v>
      </c>
      <c r="E101" s="24">
        <v>2</v>
      </c>
      <c r="F101" s="24">
        <v>1</v>
      </c>
      <c r="G101" s="24" t="s">
        <v>222</v>
      </c>
    </row>
    <row r="102" spans="1:7" ht="16.5">
      <c r="A102" s="21">
        <v>200112</v>
      </c>
      <c r="B102" s="54" t="s">
        <v>151</v>
      </c>
      <c r="C102" s="21">
        <v>200112</v>
      </c>
      <c r="D102" s="21">
        <v>1</v>
      </c>
      <c r="E102" s="21">
        <v>1</v>
      </c>
      <c r="F102" s="21">
        <v>1</v>
      </c>
      <c r="G102" s="21" t="s">
        <v>221</v>
      </c>
    </row>
    <row r="103" spans="1:7" ht="16.5">
      <c r="A103" s="21">
        <v>200113</v>
      </c>
      <c r="B103" s="54" t="s">
        <v>152</v>
      </c>
      <c r="C103" s="21">
        <v>200113</v>
      </c>
      <c r="D103" s="21">
        <v>1</v>
      </c>
      <c r="E103" s="21">
        <v>1</v>
      </c>
      <c r="F103" s="21">
        <v>1</v>
      </c>
      <c r="G103" s="21" t="s">
        <v>221</v>
      </c>
    </row>
    <row r="104" spans="1:7" ht="16.5">
      <c r="A104" s="21">
        <v>200114</v>
      </c>
      <c r="B104" s="54" t="s">
        <v>153</v>
      </c>
      <c r="C104" s="21">
        <v>200114</v>
      </c>
      <c r="D104" s="21">
        <v>1</v>
      </c>
      <c r="E104" s="21">
        <v>1</v>
      </c>
      <c r="F104" s="21">
        <v>1</v>
      </c>
      <c r="G104" s="21" t="s">
        <v>221</v>
      </c>
    </row>
    <row r="105" spans="1:7" ht="16.5">
      <c r="A105" s="21">
        <v>200115</v>
      </c>
      <c r="B105" s="54" t="s">
        <v>154</v>
      </c>
      <c r="C105" s="21">
        <v>200115</v>
      </c>
      <c r="D105" s="21">
        <v>1</v>
      </c>
      <c r="E105" s="21">
        <v>1</v>
      </c>
      <c r="F105" s="21">
        <v>1</v>
      </c>
      <c r="G105" s="21" t="s">
        <v>221</v>
      </c>
    </row>
    <row r="106" spans="1:7" ht="16.5">
      <c r="A106" s="21">
        <v>200116</v>
      </c>
      <c r="B106" s="54" t="s">
        <v>155</v>
      </c>
      <c r="C106" s="21">
        <v>200116</v>
      </c>
      <c r="D106" s="21">
        <v>1</v>
      </c>
      <c r="E106" s="21">
        <v>1</v>
      </c>
      <c r="F106" s="21">
        <v>1</v>
      </c>
      <c r="G106" s="21" t="s">
        <v>221</v>
      </c>
    </row>
    <row r="107" spans="1:7" ht="16.5">
      <c r="A107" s="21">
        <v>200117</v>
      </c>
      <c r="B107" s="54" t="s">
        <v>156</v>
      </c>
      <c r="C107" s="21">
        <v>200117</v>
      </c>
      <c r="D107" s="21">
        <v>1</v>
      </c>
      <c r="E107" s="21">
        <v>1</v>
      </c>
      <c r="F107" s="21">
        <v>1</v>
      </c>
      <c r="G107" s="21" t="s">
        <v>221</v>
      </c>
    </row>
    <row r="108" spans="1:7" ht="16.5">
      <c r="A108" s="21">
        <v>200118</v>
      </c>
      <c r="B108" s="54" t="s">
        <v>157</v>
      </c>
      <c r="C108" s="21">
        <v>200118</v>
      </c>
      <c r="D108" s="21">
        <v>1</v>
      </c>
      <c r="E108" s="21">
        <v>1</v>
      </c>
      <c r="F108" s="21">
        <v>1</v>
      </c>
      <c r="G108" s="21" t="s">
        <v>221</v>
      </c>
    </row>
    <row r="109" spans="1:7" ht="16.5">
      <c r="A109" s="21">
        <v>200119</v>
      </c>
      <c r="B109" s="54" t="s">
        <v>158</v>
      </c>
      <c r="C109" s="21">
        <v>200119</v>
      </c>
      <c r="D109" s="21">
        <v>1</v>
      </c>
      <c r="E109" s="21">
        <v>1</v>
      </c>
      <c r="F109" s="21">
        <v>1</v>
      </c>
      <c r="G109" s="21" t="s">
        <v>221</v>
      </c>
    </row>
    <row r="110" spans="1:7" ht="16.5">
      <c r="A110" s="21">
        <v>200120</v>
      </c>
      <c r="B110" s="54" t="s">
        <v>159</v>
      </c>
      <c r="C110" s="21">
        <v>200120</v>
      </c>
      <c r="D110" s="21">
        <v>1</v>
      </c>
      <c r="E110" s="21">
        <v>1</v>
      </c>
      <c r="F110" s="21">
        <v>1</v>
      </c>
      <c r="G110" s="21" t="s">
        <v>221</v>
      </c>
    </row>
    <row r="111" spans="1:7" ht="16.5">
      <c r="A111" s="21">
        <v>200121</v>
      </c>
      <c r="B111" s="54" t="s">
        <v>160</v>
      </c>
      <c r="C111" s="21">
        <v>200121</v>
      </c>
      <c r="D111" s="21">
        <v>1</v>
      </c>
      <c r="E111" s="21">
        <v>1</v>
      </c>
      <c r="F111" s="21">
        <v>1</v>
      </c>
      <c r="G111" s="21" t="s">
        <v>221</v>
      </c>
    </row>
    <row r="112" spans="1:7" ht="16.5">
      <c r="A112" s="21">
        <v>200122</v>
      </c>
      <c r="B112" s="54" t="s">
        <v>161</v>
      </c>
      <c r="C112" s="21">
        <v>200122</v>
      </c>
      <c r="D112" s="21">
        <v>1</v>
      </c>
      <c r="E112" s="21">
        <v>1</v>
      </c>
      <c r="F112" s="21">
        <v>1</v>
      </c>
      <c r="G112" s="21" t="s">
        <v>221</v>
      </c>
    </row>
    <row r="113" spans="1:7" ht="16.5">
      <c r="A113" s="21">
        <v>200123</v>
      </c>
      <c r="B113" s="54" t="s">
        <v>162</v>
      </c>
      <c r="C113" s="21">
        <v>200123</v>
      </c>
      <c r="D113" s="21">
        <v>1</v>
      </c>
      <c r="E113" s="21">
        <v>1</v>
      </c>
      <c r="F113" s="21">
        <v>1</v>
      </c>
      <c r="G113" s="21" t="s">
        <v>221</v>
      </c>
    </row>
    <row r="114" spans="1:7" ht="16.5">
      <c r="A114" s="21">
        <v>200124</v>
      </c>
      <c r="B114" s="54" t="s">
        <v>163</v>
      </c>
      <c r="C114" s="21">
        <v>200124</v>
      </c>
      <c r="D114" s="21">
        <v>1</v>
      </c>
      <c r="E114" s="21">
        <v>1</v>
      </c>
      <c r="F114" s="21">
        <v>1</v>
      </c>
      <c r="G114" s="21" t="s">
        <v>221</v>
      </c>
    </row>
    <row r="115" spans="1:7" ht="16.5">
      <c r="A115" s="21">
        <v>200125</v>
      </c>
      <c r="B115" s="54" t="s">
        <v>164</v>
      </c>
      <c r="C115" s="21">
        <v>200125</v>
      </c>
      <c r="D115" s="21">
        <v>1</v>
      </c>
      <c r="E115" s="21">
        <v>1</v>
      </c>
      <c r="F115" s="21">
        <v>1</v>
      </c>
      <c r="G115" s="21" t="s">
        <v>221</v>
      </c>
    </row>
    <row r="116" spans="1:7" ht="16.5">
      <c r="A116" s="21">
        <v>200126</v>
      </c>
      <c r="B116" s="54" t="s">
        <v>165</v>
      </c>
      <c r="C116" s="21">
        <v>200126</v>
      </c>
      <c r="D116" s="21">
        <v>1</v>
      </c>
      <c r="E116" s="21">
        <v>1</v>
      </c>
      <c r="F116" s="21">
        <v>1</v>
      </c>
      <c r="G116" s="21" t="s">
        <v>221</v>
      </c>
    </row>
    <row r="117" spans="1:7" ht="16.5">
      <c r="A117" s="21">
        <v>200127</v>
      </c>
      <c r="B117" s="54" t="s">
        <v>166</v>
      </c>
      <c r="C117" s="21">
        <v>200127</v>
      </c>
      <c r="D117" s="21">
        <v>1</v>
      </c>
      <c r="E117" s="21">
        <v>3</v>
      </c>
      <c r="F117" s="21">
        <v>1</v>
      </c>
      <c r="G117" s="21" t="s">
        <v>222</v>
      </c>
    </row>
    <row r="118" spans="1:7" ht="16.5">
      <c r="A118" s="21">
        <v>200128</v>
      </c>
      <c r="B118" s="54" t="s">
        <v>167</v>
      </c>
      <c r="C118" s="21">
        <v>200128</v>
      </c>
      <c r="D118" s="21">
        <v>1</v>
      </c>
      <c r="E118" s="21"/>
      <c r="F118" s="21">
        <v>0</v>
      </c>
      <c r="G118" s="21" t="s">
        <v>222</v>
      </c>
    </row>
    <row r="119" spans="1:7" ht="16.5">
      <c r="A119" s="21">
        <v>200129</v>
      </c>
      <c r="B119" s="54" t="s">
        <v>168</v>
      </c>
      <c r="C119" s="21">
        <v>200129</v>
      </c>
      <c r="D119" s="21">
        <v>1</v>
      </c>
      <c r="E119" s="21"/>
      <c r="F119" s="21">
        <v>0</v>
      </c>
      <c r="G119" s="21" t="s">
        <v>222</v>
      </c>
    </row>
    <row r="120" spans="1:7" ht="16.5">
      <c r="A120" s="21">
        <v>200130</v>
      </c>
      <c r="B120" s="54" t="s">
        <v>169</v>
      </c>
      <c r="C120" s="21">
        <v>200130</v>
      </c>
      <c r="D120" s="21">
        <v>1</v>
      </c>
      <c r="E120" s="21"/>
      <c r="F120" s="21">
        <v>0</v>
      </c>
      <c r="G120" s="21" t="s">
        <v>222</v>
      </c>
    </row>
    <row r="121" spans="1:7" ht="16.5">
      <c r="A121" s="21">
        <v>200131</v>
      </c>
      <c r="B121" s="54" t="s">
        <v>170</v>
      </c>
      <c r="C121" s="21">
        <v>200131</v>
      </c>
      <c r="D121" s="21">
        <v>1</v>
      </c>
      <c r="E121" s="21"/>
      <c r="F121" s="21">
        <v>0</v>
      </c>
      <c r="G121" s="21" t="s">
        <v>222</v>
      </c>
    </row>
    <row r="122" spans="1:7" ht="16.5">
      <c r="A122" s="21">
        <v>200132</v>
      </c>
      <c r="B122" s="54" t="s">
        <v>171</v>
      </c>
      <c r="C122" s="21">
        <v>200132</v>
      </c>
      <c r="D122" s="21">
        <v>1</v>
      </c>
      <c r="E122" s="21"/>
      <c r="F122" s="21">
        <v>0</v>
      </c>
      <c r="G122" s="21" t="s">
        <v>222</v>
      </c>
    </row>
    <row r="123" spans="1:7" ht="16.5">
      <c r="A123" s="21">
        <v>200133</v>
      </c>
      <c r="B123" s="54" t="s">
        <v>172</v>
      </c>
      <c r="C123" s="21">
        <v>200133</v>
      </c>
      <c r="D123" s="21">
        <v>1</v>
      </c>
      <c r="E123" s="21"/>
      <c r="F123" s="21">
        <v>0</v>
      </c>
      <c r="G123" s="21" t="s">
        <v>222</v>
      </c>
    </row>
    <row r="124" spans="1:7" ht="16.5">
      <c r="A124" s="21">
        <v>200134</v>
      </c>
      <c r="B124" s="54" t="s">
        <v>173</v>
      </c>
      <c r="C124" s="21">
        <v>200134</v>
      </c>
      <c r="D124" s="21">
        <v>1</v>
      </c>
      <c r="E124" s="21">
        <v>4</v>
      </c>
      <c r="F124" s="21">
        <v>1</v>
      </c>
      <c r="G124" s="21" t="s">
        <v>222</v>
      </c>
    </row>
    <row r="125" spans="1:7" ht="16.5">
      <c r="A125" s="21">
        <v>200135</v>
      </c>
      <c r="B125" s="54" t="s">
        <v>174</v>
      </c>
      <c r="C125" s="21">
        <v>200135</v>
      </c>
      <c r="D125" s="21">
        <v>1</v>
      </c>
      <c r="E125" s="21">
        <v>4</v>
      </c>
      <c r="F125" s="21">
        <v>1</v>
      </c>
      <c r="G125" s="21" t="s">
        <v>222</v>
      </c>
    </row>
    <row r="126" spans="1:7" ht="16.5">
      <c r="A126" s="21">
        <v>200136</v>
      </c>
      <c r="B126" s="54" t="s">
        <v>175</v>
      </c>
      <c r="C126" s="21">
        <v>200136</v>
      </c>
      <c r="D126" s="21">
        <v>1</v>
      </c>
      <c r="E126" s="21"/>
      <c r="F126" s="21">
        <v>0</v>
      </c>
      <c r="G126" s="21" t="s">
        <v>222</v>
      </c>
    </row>
    <row r="127" spans="1:7" ht="16.5">
      <c r="A127" s="21">
        <v>200137</v>
      </c>
      <c r="B127" s="54" t="s">
        <v>176</v>
      </c>
      <c r="C127" s="21">
        <v>200137</v>
      </c>
      <c r="D127" s="21">
        <v>1</v>
      </c>
      <c r="E127" s="21">
        <v>1</v>
      </c>
      <c r="F127" s="21">
        <v>1</v>
      </c>
      <c r="G127" s="21" t="s">
        <v>222</v>
      </c>
    </row>
    <row r="128" spans="1:7" ht="16.5">
      <c r="A128" s="21">
        <v>200138</v>
      </c>
      <c r="B128" s="54" t="s">
        <v>177</v>
      </c>
      <c r="C128" s="21">
        <v>200138</v>
      </c>
      <c r="D128" s="21">
        <v>1</v>
      </c>
      <c r="E128" s="21">
        <v>1</v>
      </c>
      <c r="F128" s="21">
        <v>1</v>
      </c>
      <c r="G128" s="21" t="s">
        <v>222</v>
      </c>
    </row>
    <row r="129" spans="1:7" ht="16.5">
      <c r="A129" s="21">
        <v>200139</v>
      </c>
      <c r="B129" s="54" t="s">
        <v>178</v>
      </c>
      <c r="C129" s="21">
        <v>200139</v>
      </c>
      <c r="D129" s="21">
        <v>1</v>
      </c>
      <c r="E129" s="21"/>
      <c r="F129" s="21">
        <v>0</v>
      </c>
      <c r="G129" s="21" t="s">
        <v>222</v>
      </c>
    </row>
    <row r="130" spans="1:7" ht="16.5">
      <c r="A130" s="21">
        <v>200140</v>
      </c>
      <c r="B130" s="54" t="s">
        <v>179</v>
      </c>
      <c r="C130" s="21">
        <v>200140</v>
      </c>
      <c r="D130" s="21">
        <v>1</v>
      </c>
      <c r="E130" s="21"/>
      <c r="F130" s="21">
        <v>0</v>
      </c>
      <c r="G130" s="21" t="s">
        <v>222</v>
      </c>
    </row>
    <row r="131" spans="1:7" ht="16.5">
      <c r="A131" s="21">
        <v>200141</v>
      </c>
      <c r="B131" s="54" t="s">
        <v>180</v>
      </c>
      <c r="C131" s="21">
        <v>200141</v>
      </c>
      <c r="D131" s="21">
        <v>1</v>
      </c>
      <c r="E131" s="21"/>
      <c r="F131" s="21">
        <v>0</v>
      </c>
      <c r="G131" s="21" t="s">
        <v>222</v>
      </c>
    </row>
    <row r="132" spans="1:7" ht="16.5">
      <c r="A132" s="21">
        <v>200142</v>
      </c>
      <c r="B132" s="54" t="s">
        <v>181</v>
      </c>
      <c r="C132" s="21">
        <v>200142</v>
      </c>
      <c r="D132" s="21">
        <v>1</v>
      </c>
      <c r="E132" s="21">
        <v>1</v>
      </c>
      <c r="F132" s="21">
        <v>1</v>
      </c>
      <c r="G132" s="21" t="s">
        <v>222</v>
      </c>
    </row>
    <row r="133" spans="1:7" ht="16.5">
      <c r="A133" s="21">
        <v>200143</v>
      </c>
      <c r="B133" s="54" t="s">
        <v>182</v>
      </c>
      <c r="C133" s="21">
        <v>200143</v>
      </c>
      <c r="D133" s="21">
        <v>1</v>
      </c>
      <c r="E133" s="21"/>
      <c r="F133" s="21">
        <v>0</v>
      </c>
      <c r="G133" s="21" t="s">
        <v>222</v>
      </c>
    </row>
    <row r="134" spans="1:7" ht="16.5">
      <c r="A134" s="21">
        <v>200144</v>
      </c>
      <c r="B134" s="54" t="s">
        <v>183</v>
      </c>
      <c r="C134" s="21">
        <v>200144</v>
      </c>
      <c r="D134" s="21">
        <v>1</v>
      </c>
      <c r="E134" s="21"/>
      <c r="F134" s="21">
        <v>0</v>
      </c>
      <c r="G134" s="21" t="s">
        <v>222</v>
      </c>
    </row>
    <row r="135" spans="1:7" ht="16.5">
      <c r="A135" s="21">
        <v>200146</v>
      </c>
      <c r="B135" s="54" t="s">
        <v>184</v>
      </c>
      <c r="C135" s="21">
        <v>200146</v>
      </c>
      <c r="D135" s="21">
        <v>1</v>
      </c>
      <c r="E135" s="21">
        <v>3</v>
      </c>
      <c r="F135" s="21">
        <v>1</v>
      </c>
      <c r="G135" s="21" t="s">
        <v>222</v>
      </c>
    </row>
    <row r="136" spans="1:7" ht="16.5">
      <c r="A136" s="21">
        <v>200147</v>
      </c>
      <c r="B136" s="54" t="s">
        <v>185</v>
      </c>
      <c r="C136" s="21">
        <v>200147</v>
      </c>
      <c r="D136" s="21">
        <v>1</v>
      </c>
      <c r="E136" s="21"/>
      <c r="F136" s="21">
        <v>0</v>
      </c>
      <c r="G136" s="21" t="s">
        <v>222</v>
      </c>
    </row>
    <row r="137" spans="1:7" ht="16.5">
      <c r="A137" s="21">
        <v>200148</v>
      </c>
      <c r="B137" s="54" t="s">
        <v>186</v>
      </c>
      <c r="C137" s="21">
        <v>200148</v>
      </c>
      <c r="D137" s="21">
        <v>1</v>
      </c>
      <c r="E137" s="21">
        <v>3</v>
      </c>
      <c r="F137" s="21">
        <v>1</v>
      </c>
      <c r="G137" s="21" t="s">
        <v>222</v>
      </c>
    </row>
    <row r="138" spans="1:7" ht="16.5">
      <c r="A138" s="21">
        <v>200149</v>
      </c>
      <c r="B138" s="54" t="s">
        <v>187</v>
      </c>
      <c r="C138" s="21">
        <v>200149</v>
      </c>
      <c r="D138" s="21">
        <v>1</v>
      </c>
      <c r="E138" s="21">
        <v>5</v>
      </c>
      <c r="F138" s="21">
        <v>1</v>
      </c>
      <c r="G138" s="21" t="s">
        <v>222</v>
      </c>
    </row>
    <row r="139" spans="1:7" ht="16.5">
      <c r="A139" s="21">
        <v>200150</v>
      </c>
      <c r="B139" s="54" t="s">
        <v>188</v>
      </c>
      <c r="C139" s="21">
        <v>200150</v>
      </c>
      <c r="D139" s="21">
        <v>1</v>
      </c>
      <c r="E139" s="21">
        <v>1</v>
      </c>
      <c r="F139" s="21">
        <v>1</v>
      </c>
      <c r="G139" s="21" t="s">
        <v>222</v>
      </c>
    </row>
    <row r="140" spans="1:7" ht="16.5">
      <c r="A140" s="21">
        <v>200151</v>
      </c>
      <c r="B140" s="54" t="s">
        <v>189</v>
      </c>
      <c r="C140" s="21">
        <v>200151</v>
      </c>
      <c r="D140" s="21">
        <v>1</v>
      </c>
      <c r="E140" s="21"/>
      <c r="F140" s="21">
        <v>0</v>
      </c>
      <c r="G140" s="21" t="s">
        <v>222</v>
      </c>
    </row>
    <row r="141" spans="1:7" ht="16.5">
      <c r="A141" s="21">
        <v>200152</v>
      </c>
      <c r="B141" s="54" t="s">
        <v>190</v>
      </c>
      <c r="C141" s="21">
        <v>200152</v>
      </c>
      <c r="D141" s="21">
        <v>1</v>
      </c>
      <c r="E141" s="21"/>
      <c r="F141" s="21">
        <v>0</v>
      </c>
      <c r="G141" s="21" t="s">
        <v>222</v>
      </c>
    </row>
    <row r="142" spans="1:7" ht="16.5">
      <c r="A142" s="21">
        <v>200153</v>
      </c>
      <c r="B142" s="54" t="s">
        <v>191</v>
      </c>
      <c r="C142" s="21">
        <v>200153</v>
      </c>
      <c r="D142" s="21">
        <v>1</v>
      </c>
      <c r="E142" s="21">
        <v>1</v>
      </c>
      <c r="F142" s="21">
        <v>1</v>
      </c>
      <c r="G142" s="21" t="s">
        <v>222</v>
      </c>
    </row>
    <row r="143" spans="1:7" ht="16.5">
      <c r="A143" s="21">
        <v>200154</v>
      </c>
      <c r="B143" s="54" t="s">
        <v>192</v>
      </c>
      <c r="C143" s="21">
        <v>200154</v>
      </c>
      <c r="D143" s="21">
        <v>1</v>
      </c>
      <c r="E143" s="21"/>
      <c r="F143" s="21">
        <v>0</v>
      </c>
      <c r="G143" s="21" t="s">
        <v>222</v>
      </c>
    </row>
    <row r="144" spans="1:7" ht="16.5">
      <c r="A144" s="21">
        <v>200155</v>
      </c>
      <c r="B144" s="54" t="s">
        <v>193</v>
      </c>
      <c r="C144" s="21">
        <v>200155</v>
      </c>
      <c r="D144" s="21">
        <v>1</v>
      </c>
      <c r="E144" s="21">
        <v>3</v>
      </c>
      <c r="F144" s="21">
        <v>1</v>
      </c>
      <c r="G144" s="21" t="s">
        <v>222</v>
      </c>
    </row>
    <row r="145" spans="1:7" ht="16.5">
      <c r="A145" s="21">
        <v>200156</v>
      </c>
      <c r="B145" s="54" t="s">
        <v>194</v>
      </c>
      <c r="C145" s="21">
        <v>200156</v>
      </c>
      <c r="D145" s="21">
        <v>1</v>
      </c>
      <c r="E145" s="21">
        <v>3</v>
      </c>
      <c r="F145" s="21">
        <v>1</v>
      </c>
      <c r="G145" s="21" t="s">
        <v>222</v>
      </c>
    </row>
    <row r="146" spans="1:7" ht="16.5">
      <c r="A146" s="21">
        <v>200157</v>
      </c>
      <c r="B146" s="54" t="s">
        <v>195</v>
      </c>
      <c r="C146" s="21">
        <v>200157</v>
      </c>
      <c r="D146" s="21">
        <v>1</v>
      </c>
      <c r="E146" s="21">
        <v>3</v>
      </c>
      <c r="F146" s="21">
        <v>1</v>
      </c>
      <c r="G146" s="21" t="s">
        <v>222</v>
      </c>
    </row>
    <row r="147" spans="1:7" ht="16.5">
      <c r="A147" s="21">
        <v>200158</v>
      </c>
      <c r="B147" s="54" t="s">
        <v>196</v>
      </c>
      <c r="C147" s="21">
        <v>200158</v>
      </c>
      <c r="D147" s="21">
        <v>1</v>
      </c>
      <c r="E147" s="21">
        <v>3</v>
      </c>
      <c r="F147" s="21">
        <v>1</v>
      </c>
      <c r="G147" s="21" t="s">
        <v>222</v>
      </c>
    </row>
    <row r="148" spans="1:7" ht="16.5">
      <c r="A148" s="21">
        <v>200159</v>
      </c>
      <c r="B148" s="54" t="s">
        <v>197</v>
      </c>
      <c r="C148" s="21">
        <v>200159</v>
      </c>
      <c r="D148" s="21">
        <v>1</v>
      </c>
      <c r="E148" s="21">
        <v>1</v>
      </c>
      <c r="F148" s="21">
        <v>1</v>
      </c>
      <c r="G148" s="21" t="s">
        <v>222</v>
      </c>
    </row>
    <row r="149" spans="1:7" ht="16.5">
      <c r="A149" s="21">
        <v>200160</v>
      </c>
      <c r="B149" s="54" t="s">
        <v>198</v>
      </c>
      <c r="C149" s="21">
        <v>200160</v>
      </c>
      <c r="D149" s="21">
        <v>1</v>
      </c>
      <c r="E149" s="21">
        <v>3</v>
      </c>
      <c r="F149" s="21">
        <v>1</v>
      </c>
      <c r="G149" s="21" t="s">
        <v>222</v>
      </c>
    </row>
    <row r="150" spans="1:7" ht="16.5">
      <c r="A150" s="21">
        <v>200161</v>
      </c>
      <c r="B150" s="54" t="s">
        <v>199</v>
      </c>
      <c r="C150" s="21">
        <v>200161</v>
      </c>
      <c r="D150" s="21">
        <v>1</v>
      </c>
      <c r="E150" s="21">
        <v>3</v>
      </c>
      <c r="F150" s="21">
        <v>1</v>
      </c>
      <c r="G150" s="21" t="s">
        <v>222</v>
      </c>
    </row>
    <row r="151" spans="1:7" ht="16.5">
      <c r="A151" s="21">
        <v>200162</v>
      </c>
      <c r="B151" s="54" t="s">
        <v>200</v>
      </c>
      <c r="C151" s="21">
        <v>200162</v>
      </c>
      <c r="D151" s="21">
        <v>1</v>
      </c>
      <c r="E151" s="21">
        <v>4</v>
      </c>
      <c r="F151" s="21">
        <v>1</v>
      </c>
      <c r="G151" s="21" t="s">
        <v>222</v>
      </c>
    </row>
    <row r="152" spans="1:7" ht="16.5">
      <c r="A152" s="21">
        <v>200163</v>
      </c>
      <c r="B152" s="54" t="s">
        <v>201</v>
      </c>
      <c r="C152" s="21">
        <v>200163</v>
      </c>
      <c r="D152" s="21">
        <v>1</v>
      </c>
      <c r="E152" s="21">
        <v>4</v>
      </c>
      <c r="F152" s="21">
        <v>1</v>
      </c>
      <c r="G152" s="21" t="s">
        <v>222</v>
      </c>
    </row>
    <row r="153" spans="1:7" ht="16.5">
      <c r="A153" s="21">
        <v>200164</v>
      </c>
      <c r="B153" s="54" t="s">
        <v>202</v>
      </c>
      <c r="C153" s="21">
        <v>200164</v>
      </c>
      <c r="D153" s="21">
        <v>1</v>
      </c>
      <c r="E153" s="21">
        <v>4</v>
      </c>
      <c r="F153" s="21">
        <v>1</v>
      </c>
      <c r="G153" s="21" t="s">
        <v>222</v>
      </c>
    </row>
    <row r="154" spans="1:7" ht="16.5">
      <c r="A154" s="21">
        <v>200165</v>
      </c>
      <c r="B154" s="54" t="s">
        <v>203</v>
      </c>
      <c r="C154" s="21">
        <v>200165</v>
      </c>
      <c r="D154" s="21">
        <v>1</v>
      </c>
      <c r="E154" s="21">
        <v>4</v>
      </c>
      <c r="F154" s="21">
        <v>1</v>
      </c>
      <c r="G154" s="21" t="s">
        <v>222</v>
      </c>
    </row>
    <row r="155" spans="1:7" ht="16.5">
      <c r="A155" s="21">
        <v>200166</v>
      </c>
      <c r="B155" s="54" t="s">
        <v>204</v>
      </c>
      <c r="C155" s="21">
        <v>200166</v>
      </c>
      <c r="D155" s="21">
        <v>1</v>
      </c>
      <c r="E155" s="21">
        <v>5</v>
      </c>
      <c r="F155" s="21">
        <v>1</v>
      </c>
      <c r="G155" s="21" t="s">
        <v>222</v>
      </c>
    </row>
    <row r="156" spans="1:7" ht="16.5">
      <c r="A156" s="21">
        <v>200167</v>
      </c>
      <c r="B156" s="54" t="s">
        <v>205</v>
      </c>
      <c r="C156" s="21">
        <v>200167</v>
      </c>
      <c r="D156" s="21">
        <v>1</v>
      </c>
      <c r="E156" s="21">
        <v>5</v>
      </c>
      <c r="F156" s="21">
        <v>1</v>
      </c>
      <c r="G156" s="21" t="s">
        <v>222</v>
      </c>
    </row>
    <row r="157" spans="1:7" ht="16.5">
      <c r="A157" s="21">
        <v>200170</v>
      </c>
      <c r="B157" s="54" t="s">
        <v>206</v>
      </c>
      <c r="C157" s="21">
        <v>200170</v>
      </c>
      <c r="D157" s="21">
        <v>1</v>
      </c>
      <c r="E157" s="21">
        <v>5</v>
      </c>
      <c r="F157" s="21">
        <v>1</v>
      </c>
      <c r="G157" s="21" t="s">
        <v>222</v>
      </c>
    </row>
    <row r="158" spans="1:7" ht="16.5">
      <c r="A158" s="21">
        <v>200171</v>
      </c>
      <c r="B158" s="54" t="s">
        <v>207</v>
      </c>
      <c r="C158" s="21">
        <v>200171</v>
      </c>
      <c r="D158" s="21">
        <v>1</v>
      </c>
      <c r="E158" s="21">
        <v>5</v>
      </c>
      <c r="F158" s="21">
        <v>1</v>
      </c>
      <c r="G158" s="21" t="s">
        <v>222</v>
      </c>
    </row>
    <row r="159" spans="1:7" ht="16.5">
      <c r="A159" s="21">
        <v>200172</v>
      </c>
      <c r="B159" s="54" t="s">
        <v>208</v>
      </c>
      <c r="C159" s="21">
        <v>200172</v>
      </c>
      <c r="D159" s="21">
        <v>1</v>
      </c>
      <c r="E159" s="21">
        <v>5</v>
      </c>
      <c r="F159" s="21">
        <v>1</v>
      </c>
      <c r="G159" s="21" t="s">
        <v>222</v>
      </c>
    </row>
    <row r="160" spans="1:7" ht="16.5">
      <c r="A160" s="21">
        <v>200173</v>
      </c>
      <c r="B160" s="54" t="s">
        <v>209</v>
      </c>
      <c r="C160" s="21">
        <v>200173</v>
      </c>
      <c r="D160" s="21">
        <v>1</v>
      </c>
      <c r="E160" s="21">
        <v>5</v>
      </c>
      <c r="F160" s="21">
        <v>1</v>
      </c>
      <c r="G160" s="21" t="s">
        <v>222</v>
      </c>
    </row>
    <row r="161" spans="1:7" ht="16.5">
      <c r="A161" s="21">
        <v>200174</v>
      </c>
      <c r="B161" s="54" t="s">
        <v>178</v>
      </c>
      <c r="C161" s="21">
        <v>200174</v>
      </c>
      <c r="D161" s="21">
        <v>1</v>
      </c>
      <c r="E161" s="21">
        <v>5</v>
      </c>
      <c r="F161" s="21">
        <v>1</v>
      </c>
      <c r="G161" s="21" t="s">
        <v>222</v>
      </c>
    </row>
    <row r="162" spans="1:7" ht="16.5">
      <c r="A162" s="21">
        <v>200175</v>
      </c>
      <c r="B162" s="54" t="s">
        <v>210</v>
      </c>
      <c r="C162" s="21">
        <v>200175</v>
      </c>
      <c r="D162" s="21">
        <v>1</v>
      </c>
      <c r="E162" s="21">
        <v>5</v>
      </c>
      <c r="F162" s="21">
        <v>1</v>
      </c>
      <c r="G162" s="21" t="s">
        <v>222</v>
      </c>
    </row>
    <row r="163" spans="1:7" ht="16.5">
      <c r="A163" s="21">
        <v>200176</v>
      </c>
      <c r="B163" s="54" t="s">
        <v>211</v>
      </c>
      <c r="C163" s="21">
        <v>200176</v>
      </c>
      <c r="D163" s="21">
        <v>1</v>
      </c>
      <c r="E163" s="21">
        <v>6</v>
      </c>
      <c r="F163" s="21">
        <v>1</v>
      </c>
      <c r="G163" s="21" t="s">
        <v>222</v>
      </c>
    </row>
    <row r="164" spans="1:7" ht="16.5">
      <c r="A164" s="21">
        <v>200177</v>
      </c>
      <c r="B164" s="54" t="s">
        <v>212</v>
      </c>
      <c r="C164" s="21">
        <v>200177</v>
      </c>
      <c r="D164" s="21">
        <v>1</v>
      </c>
      <c r="E164" s="21">
        <v>6</v>
      </c>
      <c r="F164" s="21">
        <v>1</v>
      </c>
      <c r="G164" s="21" t="s">
        <v>222</v>
      </c>
    </row>
    <row r="165" spans="1:7" ht="16.5">
      <c r="A165" s="21">
        <v>200178</v>
      </c>
      <c r="B165" s="54" t="s">
        <v>213</v>
      </c>
      <c r="C165" s="21">
        <v>200178</v>
      </c>
      <c r="D165" s="21">
        <v>1</v>
      </c>
      <c r="E165" s="21">
        <v>6</v>
      </c>
      <c r="F165" s="21">
        <v>1</v>
      </c>
      <c r="G165" s="21" t="s">
        <v>222</v>
      </c>
    </row>
    <row r="166" spans="1:7" ht="16.5">
      <c r="A166" s="21">
        <v>200179</v>
      </c>
      <c r="B166" s="54" t="s">
        <v>214</v>
      </c>
      <c r="C166" s="21">
        <v>200179</v>
      </c>
      <c r="D166" s="21">
        <v>1</v>
      </c>
      <c r="E166" s="21">
        <v>6</v>
      </c>
      <c r="F166" s="21">
        <v>1</v>
      </c>
      <c r="G166" s="21" t="s">
        <v>222</v>
      </c>
    </row>
    <row r="167" spans="1:7" ht="16.5">
      <c r="A167" s="21">
        <v>200180</v>
      </c>
      <c r="B167" s="54" t="s">
        <v>215</v>
      </c>
      <c r="C167" s="21">
        <v>200180</v>
      </c>
      <c r="D167" s="21">
        <v>1</v>
      </c>
      <c r="E167" s="21">
        <v>6</v>
      </c>
      <c r="F167" s="21">
        <v>1</v>
      </c>
      <c r="G167" s="21" t="s">
        <v>222</v>
      </c>
    </row>
    <row r="168" spans="1:7" ht="16.5">
      <c r="A168" s="21">
        <v>200181</v>
      </c>
      <c r="B168" s="54" t="s">
        <v>216</v>
      </c>
      <c r="C168" s="21">
        <v>200181</v>
      </c>
      <c r="D168" s="21">
        <v>1</v>
      </c>
      <c r="E168" s="21">
        <v>6</v>
      </c>
      <c r="F168" s="21">
        <v>1</v>
      </c>
      <c r="G168" s="21" t="s">
        <v>222</v>
      </c>
    </row>
    <row r="169" spans="1:7" ht="16.5">
      <c r="A169" s="21">
        <v>200182</v>
      </c>
      <c r="B169" s="54" t="s">
        <v>217</v>
      </c>
      <c r="C169" s="21">
        <v>200182</v>
      </c>
      <c r="D169" s="21">
        <v>1</v>
      </c>
      <c r="E169" s="21">
        <v>6</v>
      </c>
      <c r="F169" s="21">
        <v>1</v>
      </c>
      <c r="G169" s="21" t="s">
        <v>222</v>
      </c>
    </row>
    <row r="170" spans="1:7" ht="16.5">
      <c r="A170" s="21">
        <v>200183</v>
      </c>
      <c r="B170" s="54" t="s">
        <v>218</v>
      </c>
      <c r="C170" s="21">
        <v>200183</v>
      </c>
      <c r="D170" s="21">
        <v>1</v>
      </c>
      <c r="E170" s="21">
        <v>6</v>
      </c>
      <c r="F170" s="21">
        <v>1</v>
      </c>
      <c r="G170" s="21" t="s">
        <v>222</v>
      </c>
    </row>
    <row r="171" spans="1:7" ht="16.5">
      <c r="A171" s="33">
        <v>200184</v>
      </c>
      <c r="B171" s="68" t="s">
        <v>219</v>
      </c>
      <c r="C171" s="33">
        <v>200184</v>
      </c>
      <c r="D171" s="21">
        <v>1</v>
      </c>
      <c r="E171" s="21">
        <v>6</v>
      </c>
      <c r="F171" s="21">
        <v>1</v>
      </c>
      <c r="G171" s="1" t="s">
        <v>222</v>
      </c>
    </row>
    <row r="172" spans="1:7" ht="16.5">
      <c r="A172" s="24">
        <v>200185</v>
      </c>
      <c r="B172" s="59" t="s">
        <v>220</v>
      </c>
      <c r="C172" s="24">
        <v>200185</v>
      </c>
      <c r="D172" s="24">
        <v>1</v>
      </c>
      <c r="E172" s="24">
        <v>6</v>
      </c>
      <c r="F172" s="24">
        <v>1</v>
      </c>
      <c r="G172" s="24" t="s">
        <v>222</v>
      </c>
    </row>
    <row r="173" spans="1:7" ht="16.5">
      <c r="A173" s="24">
        <v>200166</v>
      </c>
      <c r="B173" s="59" t="s">
        <v>414</v>
      </c>
      <c r="C173" s="24">
        <v>200166</v>
      </c>
      <c r="D173" s="24">
        <v>1</v>
      </c>
      <c r="E173" s="24">
        <v>1</v>
      </c>
      <c r="F173" s="24">
        <v>1</v>
      </c>
      <c r="G173" s="24" t="s">
        <v>222</v>
      </c>
    </row>
    <row r="174" spans="1:7" ht="16.5">
      <c r="A174" s="24">
        <v>200167</v>
      </c>
      <c r="B174" s="59" t="s">
        <v>415</v>
      </c>
      <c r="C174" s="24">
        <v>200167</v>
      </c>
      <c r="D174" s="24">
        <v>1</v>
      </c>
      <c r="E174" s="24">
        <v>1</v>
      </c>
      <c r="F174" s="24">
        <v>1</v>
      </c>
      <c r="G174" s="24" t="s">
        <v>222</v>
      </c>
    </row>
    <row r="175" spans="1:7" ht="16.5">
      <c r="A175" s="24">
        <v>200168</v>
      </c>
      <c r="B175" s="59" t="s">
        <v>412</v>
      </c>
      <c r="C175" s="24">
        <v>200168</v>
      </c>
      <c r="D175" s="24">
        <v>1</v>
      </c>
      <c r="E175" s="24">
        <v>1</v>
      </c>
      <c r="F175" s="24">
        <v>1</v>
      </c>
      <c r="G175" s="24" t="s">
        <v>222</v>
      </c>
    </row>
    <row r="176" spans="1:7" ht="16.5">
      <c r="A176" s="24">
        <v>200170</v>
      </c>
      <c r="B176" s="59" t="s">
        <v>416</v>
      </c>
      <c r="C176" s="24">
        <v>200170</v>
      </c>
      <c r="D176" s="24">
        <v>1</v>
      </c>
      <c r="E176" s="24">
        <v>1</v>
      </c>
      <c r="F176" s="24">
        <v>1</v>
      </c>
      <c r="G176" s="24" t="s">
        <v>222</v>
      </c>
    </row>
    <row r="177" spans="1:7" ht="16.5">
      <c r="A177" s="24">
        <v>200171</v>
      </c>
      <c r="B177" s="59" t="s">
        <v>417</v>
      </c>
      <c r="C177" s="24">
        <v>200171</v>
      </c>
      <c r="D177" s="24">
        <v>1</v>
      </c>
      <c r="E177" s="24">
        <v>1</v>
      </c>
      <c r="F177" s="24">
        <v>1</v>
      </c>
      <c r="G177" s="24" t="s">
        <v>222</v>
      </c>
    </row>
    <row r="178" spans="1:7" ht="16.5">
      <c r="A178" s="24">
        <v>200172</v>
      </c>
      <c r="B178" s="59" t="s">
        <v>418</v>
      </c>
      <c r="C178" s="24">
        <v>200172</v>
      </c>
      <c r="D178" s="24">
        <v>1</v>
      </c>
      <c r="E178" s="24">
        <v>1</v>
      </c>
      <c r="F178" s="24">
        <v>1</v>
      </c>
      <c r="G178" s="24" t="s">
        <v>222</v>
      </c>
    </row>
    <row r="179" spans="1:7" ht="16.5">
      <c r="A179" s="52">
        <v>210000</v>
      </c>
      <c r="B179" s="69" t="s">
        <v>620</v>
      </c>
      <c r="C179" s="52">
        <v>210000</v>
      </c>
      <c r="D179" s="24">
        <v>1</v>
      </c>
      <c r="E179" s="24">
        <v>1</v>
      </c>
      <c r="F179" s="24">
        <v>1</v>
      </c>
      <c r="G179" s="24" t="s">
        <v>222</v>
      </c>
    </row>
    <row r="180" spans="1:7" ht="16.5">
      <c r="A180" s="52">
        <v>210001</v>
      </c>
      <c r="B180" s="69" t="s">
        <v>622</v>
      </c>
      <c r="C180" s="52">
        <v>210001</v>
      </c>
      <c r="D180" s="24">
        <v>1</v>
      </c>
      <c r="E180" s="24">
        <v>1</v>
      </c>
      <c r="F180" s="24">
        <v>1</v>
      </c>
      <c r="G180" s="24" t="s">
        <v>222</v>
      </c>
    </row>
    <row r="181" spans="1:7" ht="16.5">
      <c r="A181" s="52">
        <v>210002</v>
      </c>
      <c r="B181" s="69" t="s">
        <v>623</v>
      </c>
      <c r="C181" s="52">
        <v>210002</v>
      </c>
      <c r="D181" s="24">
        <v>1</v>
      </c>
      <c r="E181" s="24">
        <v>1</v>
      </c>
      <c r="F181" s="24">
        <v>1</v>
      </c>
      <c r="G181" s="24" t="s">
        <v>222</v>
      </c>
    </row>
    <row r="182" spans="1:7" ht="16.5">
      <c r="A182" s="52">
        <v>210003</v>
      </c>
      <c r="B182" s="69" t="s">
        <v>624</v>
      </c>
      <c r="C182" s="52">
        <v>210003</v>
      </c>
      <c r="D182" s="24">
        <v>1</v>
      </c>
      <c r="E182" s="24">
        <v>1</v>
      </c>
      <c r="F182" s="24">
        <v>1</v>
      </c>
      <c r="G182" s="24" t="s">
        <v>222</v>
      </c>
    </row>
    <row r="183" spans="1:7" ht="16.5">
      <c r="A183" s="52">
        <v>210004</v>
      </c>
      <c r="B183" s="69" t="s">
        <v>625</v>
      </c>
      <c r="C183" s="52">
        <v>210004</v>
      </c>
      <c r="D183" s="24">
        <v>1</v>
      </c>
      <c r="E183" s="24">
        <v>1</v>
      </c>
      <c r="F183" s="24">
        <v>1</v>
      </c>
      <c r="G183" s="24" t="s">
        <v>222</v>
      </c>
    </row>
    <row r="184" spans="1:7" ht="16.5">
      <c r="A184" s="52">
        <v>210005</v>
      </c>
      <c r="B184" s="69" t="s">
        <v>626</v>
      </c>
      <c r="C184" s="52">
        <v>210005</v>
      </c>
      <c r="D184" s="24">
        <v>1</v>
      </c>
      <c r="E184" s="24">
        <v>1</v>
      </c>
      <c r="F184" s="24">
        <v>1</v>
      </c>
      <c r="G184" s="24" t="s">
        <v>222</v>
      </c>
    </row>
    <row r="185" spans="1:7" ht="16.5">
      <c r="A185" s="52">
        <v>210006</v>
      </c>
      <c r="B185" s="82" t="s">
        <v>732</v>
      </c>
      <c r="C185" s="52">
        <v>210006</v>
      </c>
      <c r="D185" s="24">
        <v>1</v>
      </c>
      <c r="E185" s="24">
        <v>1</v>
      </c>
      <c r="F185" s="24">
        <v>1</v>
      </c>
      <c r="G185" s="24" t="s">
        <v>222</v>
      </c>
    </row>
    <row r="186" spans="1:7" ht="16.5">
      <c r="A186" s="52">
        <v>210007</v>
      </c>
      <c r="B186" s="82" t="s">
        <v>733</v>
      </c>
      <c r="C186" s="52">
        <v>210007</v>
      </c>
      <c r="D186" s="24">
        <v>1</v>
      </c>
      <c r="E186" s="24">
        <v>1</v>
      </c>
      <c r="F186" s="24">
        <v>1</v>
      </c>
      <c r="G186" s="24" t="s">
        <v>222</v>
      </c>
    </row>
    <row r="187" spans="1:7" ht="16.5">
      <c r="A187" s="52">
        <v>210008</v>
      </c>
      <c r="B187" s="82" t="s">
        <v>730</v>
      </c>
      <c r="C187" s="52">
        <v>210008</v>
      </c>
      <c r="D187" s="24">
        <v>1</v>
      </c>
      <c r="E187" s="24">
        <v>1</v>
      </c>
      <c r="F187" s="24">
        <v>1</v>
      </c>
      <c r="G187" s="24" t="s">
        <v>222</v>
      </c>
    </row>
    <row r="188" spans="1:7" ht="16.5">
      <c r="C188" s="24"/>
    </row>
  </sheetData>
  <autoFilter ref="A1:J172" xr:uid="{95A2CD31-141C-4DBB-A55D-832C0F4B012E}"/>
  <phoneticPr fontId="4" type="noConversion"/>
  <conditionalFormatting sqref="A1">
    <cfRule type="duplicateValues" dxfId="53" priority="55"/>
  </conditionalFormatting>
  <conditionalFormatting sqref="A13">
    <cfRule type="duplicateValues" dxfId="52" priority="51"/>
  </conditionalFormatting>
  <conditionalFormatting sqref="A153">
    <cfRule type="duplicateValues" dxfId="51" priority="45"/>
  </conditionalFormatting>
  <conditionalFormatting sqref="A155">
    <cfRule type="duplicateValues" dxfId="50" priority="43"/>
    <cfRule type="duplicateValues" dxfId="49" priority="44"/>
  </conditionalFormatting>
  <conditionalFormatting sqref="A156">
    <cfRule type="duplicateValues" dxfId="48" priority="41"/>
    <cfRule type="duplicateValues" dxfId="47" priority="42"/>
  </conditionalFormatting>
  <conditionalFormatting sqref="A157">
    <cfRule type="duplicateValues" dxfId="46" priority="39"/>
    <cfRule type="duplicateValues" dxfId="45" priority="40"/>
  </conditionalFormatting>
  <conditionalFormatting sqref="A158">
    <cfRule type="duplicateValues" dxfId="44" priority="37"/>
    <cfRule type="duplicateValues" dxfId="43" priority="38"/>
  </conditionalFormatting>
  <conditionalFormatting sqref="A159">
    <cfRule type="duplicateValues" dxfId="42" priority="35"/>
    <cfRule type="duplicateValues" dxfId="41" priority="36"/>
  </conditionalFormatting>
  <conditionalFormatting sqref="A160">
    <cfRule type="duplicateValues" dxfId="40" priority="33"/>
    <cfRule type="duplicateValues" dxfId="39" priority="34"/>
  </conditionalFormatting>
  <conditionalFormatting sqref="A161">
    <cfRule type="duplicateValues" dxfId="38" priority="31"/>
    <cfRule type="duplicateValues" dxfId="37" priority="32"/>
  </conditionalFormatting>
  <conditionalFormatting sqref="A162">
    <cfRule type="duplicateValues" dxfId="36" priority="30"/>
  </conditionalFormatting>
  <conditionalFormatting sqref="A164">
    <cfRule type="duplicateValues" dxfId="35" priority="28"/>
  </conditionalFormatting>
  <conditionalFormatting sqref="A165 A163">
    <cfRule type="duplicateValues" dxfId="34" priority="29"/>
  </conditionalFormatting>
  <conditionalFormatting sqref="A166:A167 A154 A139:A152 A14:A137 A2:A12 A171:A187">
    <cfRule type="duplicateValues" dxfId="33" priority="52"/>
  </conditionalFormatting>
  <conditionalFormatting sqref="A168">
    <cfRule type="duplicateValues" dxfId="32" priority="27"/>
  </conditionalFormatting>
  <conditionalFormatting sqref="A169:A170">
    <cfRule type="duplicateValues" dxfId="31" priority="26"/>
  </conditionalFormatting>
  <conditionalFormatting sqref="B2">
    <cfRule type="duplicateValues" dxfId="30" priority="53"/>
  </conditionalFormatting>
  <conditionalFormatting sqref="B24 B22">
    <cfRule type="duplicateValues" dxfId="29" priority="49"/>
  </conditionalFormatting>
  <conditionalFormatting sqref="B26">
    <cfRule type="duplicateValues" dxfId="28" priority="48"/>
  </conditionalFormatting>
  <conditionalFormatting sqref="B28 B24:B26 B22">
    <cfRule type="duplicateValues" dxfId="27" priority="50"/>
  </conditionalFormatting>
  <conditionalFormatting sqref="B28">
    <cfRule type="duplicateValues" dxfId="26" priority="47"/>
  </conditionalFormatting>
  <conditionalFormatting sqref="B40">
    <cfRule type="expression" dxfId="25" priority="46">
      <formula>$FB40&gt;0.1</formula>
    </cfRule>
  </conditionalFormatting>
  <conditionalFormatting sqref="C1">
    <cfRule type="duplicateValues" dxfId="24" priority="25"/>
  </conditionalFormatting>
  <conditionalFormatting sqref="C13">
    <cfRule type="duplicateValues" dxfId="23" priority="23"/>
  </conditionalFormatting>
  <conditionalFormatting sqref="C153">
    <cfRule type="duplicateValues" dxfId="22" priority="22"/>
  </conditionalFormatting>
  <conditionalFormatting sqref="C155">
    <cfRule type="duplicateValues" dxfId="21" priority="20"/>
    <cfRule type="duplicateValues" dxfId="20" priority="21"/>
  </conditionalFormatting>
  <conditionalFormatting sqref="C156">
    <cfRule type="duplicateValues" dxfId="19" priority="18"/>
    <cfRule type="duplicateValues" dxfId="18" priority="19"/>
  </conditionalFormatting>
  <conditionalFormatting sqref="C157">
    <cfRule type="duplicateValues" dxfId="17" priority="16"/>
    <cfRule type="duplicateValues" dxfId="16" priority="17"/>
  </conditionalFormatting>
  <conditionalFormatting sqref="C158">
    <cfRule type="duplicateValues" dxfId="15" priority="14"/>
    <cfRule type="duplicateValues" dxfId="14" priority="15"/>
  </conditionalFormatting>
  <conditionalFormatting sqref="C159">
    <cfRule type="duplicateValues" dxfId="13" priority="12"/>
    <cfRule type="duplicateValues" dxfId="12" priority="13"/>
  </conditionalFormatting>
  <conditionalFormatting sqref="C160">
    <cfRule type="duplicateValues" dxfId="11" priority="10"/>
    <cfRule type="duplicateValues" dxfId="10" priority="11"/>
  </conditionalFormatting>
  <conditionalFormatting sqref="C161">
    <cfRule type="duplicateValues" dxfId="9" priority="8"/>
    <cfRule type="duplicateValues" dxfId="8" priority="9"/>
  </conditionalFormatting>
  <conditionalFormatting sqref="C162">
    <cfRule type="duplicateValues" dxfId="7" priority="7"/>
  </conditionalFormatting>
  <conditionalFormatting sqref="C164">
    <cfRule type="duplicateValues" dxfId="6" priority="5"/>
  </conditionalFormatting>
  <conditionalFormatting sqref="C165 C163">
    <cfRule type="duplicateValues" dxfId="5" priority="6"/>
  </conditionalFormatting>
  <conditionalFormatting sqref="C166:C167 C154 C139:C152 C14:C137 C2:C12 C171:C172">
    <cfRule type="duplicateValues" dxfId="4" priority="24"/>
  </conditionalFormatting>
  <conditionalFormatting sqref="C168">
    <cfRule type="duplicateValues" dxfId="3" priority="4"/>
  </conditionalFormatting>
  <conditionalFormatting sqref="C169:C170">
    <cfRule type="duplicateValues" dxfId="2" priority="3"/>
  </conditionalFormatting>
  <conditionalFormatting sqref="C173:C178">
    <cfRule type="duplicateValues" dxfId="1" priority="2"/>
  </conditionalFormatting>
  <conditionalFormatting sqref="C179:C187">
    <cfRule type="duplicateValues" dxfId="0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90FA-355E-4CAF-A9BE-455FB93D6A9B}">
  <dimension ref="A1:I42"/>
  <sheetViews>
    <sheetView workbookViewId="0">
      <selection activeCell="G49" sqref="G49"/>
    </sheetView>
  </sheetViews>
  <sheetFormatPr defaultRowHeight="14.25"/>
  <cols>
    <col min="5" max="5" width="17.625" customWidth="1"/>
    <col min="6" max="6" width="118.625" customWidth="1"/>
    <col min="7" max="7" width="100.875" customWidth="1"/>
    <col min="8" max="8" width="24.375" customWidth="1"/>
  </cols>
  <sheetData>
    <row r="1" spans="1:9">
      <c r="A1" s="145" t="s">
        <v>575</v>
      </c>
      <c r="B1" s="145" t="s">
        <v>488</v>
      </c>
      <c r="C1" s="145" t="s">
        <v>489</v>
      </c>
      <c r="D1" s="149" t="s">
        <v>490</v>
      </c>
      <c r="E1" s="149" t="s">
        <v>491</v>
      </c>
      <c r="F1" s="151"/>
      <c r="G1" s="153" t="s">
        <v>492</v>
      </c>
      <c r="H1" s="147" t="s">
        <v>493</v>
      </c>
    </row>
    <row r="2" spans="1:9">
      <c r="A2" s="146"/>
      <c r="B2" s="146"/>
      <c r="C2" s="146"/>
      <c r="D2" s="150"/>
      <c r="E2" s="150"/>
      <c r="F2" s="152"/>
      <c r="G2" s="154"/>
      <c r="H2" s="148"/>
    </row>
    <row r="3" spans="1:9" ht="16.5">
      <c r="A3">
        <v>101</v>
      </c>
      <c r="B3" s="42" t="s">
        <v>451</v>
      </c>
      <c r="C3" s="42" t="s">
        <v>494</v>
      </c>
      <c r="D3" s="42">
        <v>200073</v>
      </c>
      <c r="E3" s="42" t="s">
        <v>123</v>
      </c>
      <c r="F3" s="42" t="s">
        <v>495</v>
      </c>
      <c r="G3" s="42" t="s">
        <v>496</v>
      </c>
      <c r="H3" s="42" t="s">
        <v>497</v>
      </c>
    </row>
    <row r="4" spans="1:9" ht="16.5">
      <c r="A4">
        <v>102</v>
      </c>
      <c r="B4" s="42" t="s">
        <v>452</v>
      </c>
      <c r="C4" s="42" t="s">
        <v>494</v>
      </c>
      <c r="D4" s="42">
        <v>200012</v>
      </c>
      <c r="E4" s="42" t="s">
        <v>62</v>
      </c>
      <c r="F4" s="42" t="s">
        <v>498</v>
      </c>
      <c r="G4" s="42" t="s">
        <v>499</v>
      </c>
      <c r="H4" s="42" t="s">
        <v>497</v>
      </c>
    </row>
    <row r="5" spans="1:9" s="47" customFormat="1" ht="16.5">
      <c r="A5">
        <v>103</v>
      </c>
      <c r="B5" s="45" t="s">
        <v>485</v>
      </c>
      <c r="C5" s="45" t="s">
        <v>494</v>
      </c>
      <c r="D5" s="45">
        <v>200022</v>
      </c>
      <c r="E5" s="45" t="s">
        <v>72</v>
      </c>
      <c r="F5" s="45" t="s">
        <v>500</v>
      </c>
      <c r="G5" s="45" t="s">
        <v>501</v>
      </c>
      <c r="H5" s="45" t="s">
        <v>497</v>
      </c>
      <c r="I5" s="46" t="s">
        <v>573</v>
      </c>
    </row>
    <row r="6" spans="1:9" s="47" customFormat="1" ht="16.5">
      <c r="A6">
        <v>104</v>
      </c>
      <c r="B6" s="45" t="s">
        <v>486</v>
      </c>
      <c r="C6" s="45" t="s">
        <v>494</v>
      </c>
      <c r="D6" s="45">
        <v>200023</v>
      </c>
      <c r="E6" s="45" t="s">
        <v>73</v>
      </c>
      <c r="F6" s="45" t="s">
        <v>502</v>
      </c>
      <c r="G6" s="45" t="s">
        <v>503</v>
      </c>
      <c r="H6" s="45" t="s">
        <v>497</v>
      </c>
      <c r="I6" s="46" t="s">
        <v>573</v>
      </c>
    </row>
    <row r="7" spans="1:9" ht="16.5">
      <c r="A7">
        <v>105</v>
      </c>
      <c r="B7" s="42" t="s">
        <v>453</v>
      </c>
      <c r="C7" s="42" t="s">
        <v>494</v>
      </c>
      <c r="D7" s="42">
        <v>200046</v>
      </c>
      <c r="E7" s="42" t="s">
        <v>96</v>
      </c>
      <c r="F7" s="42" t="s">
        <v>504</v>
      </c>
      <c r="G7" s="42" t="s">
        <v>505</v>
      </c>
      <c r="H7" s="42" t="s">
        <v>497</v>
      </c>
    </row>
    <row r="8" spans="1:9" ht="15.6" customHeight="1">
      <c r="A8">
        <v>106</v>
      </c>
      <c r="B8" s="42" t="s">
        <v>454</v>
      </c>
      <c r="C8" s="42" t="s">
        <v>494</v>
      </c>
      <c r="D8" s="42">
        <v>200064</v>
      </c>
      <c r="E8" s="42" t="s">
        <v>114</v>
      </c>
      <c r="F8" s="42" t="s">
        <v>506</v>
      </c>
      <c r="G8" s="42" t="s">
        <v>507</v>
      </c>
      <c r="H8" s="42" t="s">
        <v>497</v>
      </c>
    </row>
    <row r="9" spans="1:9" ht="16.5">
      <c r="A9">
        <v>107</v>
      </c>
      <c r="B9" s="42" t="s">
        <v>455</v>
      </c>
      <c r="C9" s="42" t="s">
        <v>494</v>
      </c>
      <c r="D9" s="42">
        <v>200029</v>
      </c>
      <c r="E9" s="42" t="s">
        <v>508</v>
      </c>
      <c r="F9" s="42" t="s">
        <v>509</v>
      </c>
      <c r="G9" s="42" t="s">
        <v>510</v>
      </c>
      <c r="H9" s="42" t="s">
        <v>497</v>
      </c>
    </row>
    <row r="10" spans="1:9" ht="16.5">
      <c r="A10">
        <v>108</v>
      </c>
      <c r="B10" s="42" t="s">
        <v>456</v>
      </c>
      <c r="C10" s="42" t="s">
        <v>494</v>
      </c>
      <c r="D10" s="42">
        <v>200079</v>
      </c>
      <c r="E10" s="42" t="s">
        <v>577</v>
      </c>
      <c r="F10" s="42" t="s">
        <v>511</v>
      </c>
      <c r="G10" s="42" t="s">
        <v>512</v>
      </c>
      <c r="H10" s="42" t="s">
        <v>497</v>
      </c>
    </row>
    <row r="11" spans="1:9" ht="16.5">
      <c r="A11">
        <v>109</v>
      </c>
      <c r="B11" s="42" t="s">
        <v>457</v>
      </c>
      <c r="C11" s="42" t="s">
        <v>222</v>
      </c>
      <c r="D11" s="42">
        <v>200008</v>
      </c>
      <c r="E11" s="42" t="s">
        <v>58</v>
      </c>
      <c r="F11" s="42" t="s">
        <v>513</v>
      </c>
      <c r="G11" s="42" t="s">
        <v>514</v>
      </c>
      <c r="H11" s="42" t="s">
        <v>497</v>
      </c>
    </row>
    <row r="12" spans="1:9" ht="16.5">
      <c r="A12">
        <v>110</v>
      </c>
      <c r="B12" s="42" t="s">
        <v>458</v>
      </c>
      <c r="C12" s="42" t="s">
        <v>222</v>
      </c>
      <c r="D12" s="42">
        <v>200083</v>
      </c>
      <c r="E12" s="42" t="s">
        <v>130</v>
      </c>
      <c r="F12" s="42" t="s">
        <v>515</v>
      </c>
      <c r="G12" s="42" t="s">
        <v>516</v>
      </c>
      <c r="H12" s="42" t="s">
        <v>497</v>
      </c>
    </row>
    <row r="13" spans="1:9" ht="16.5">
      <c r="A13">
        <v>111</v>
      </c>
      <c r="B13" s="42" t="s">
        <v>459</v>
      </c>
      <c r="C13" s="42" t="s">
        <v>222</v>
      </c>
      <c r="D13" s="42">
        <v>200065</v>
      </c>
      <c r="E13" s="42" t="s">
        <v>115</v>
      </c>
      <c r="F13" s="42" t="s">
        <v>517</v>
      </c>
      <c r="G13" s="42" t="s">
        <v>518</v>
      </c>
      <c r="H13" s="42" t="s">
        <v>497</v>
      </c>
    </row>
    <row r="14" spans="1:9" ht="16.5">
      <c r="A14">
        <v>112</v>
      </c>
      <c r="B14" s="42" t="s">
        <v>460</v>
      </c>
      <c r="C14" s="42" t="s">
        <v>222</v>
      </c>
      <c r="D14" s="42">
        <v>200076</v>
      </c>
      <c r="E14" s="42" t="s">
        <v>126</v>
      </c>
      <c r="F14" s="42" t="s">
        <v>519</v>
      </c>
      <c r="G14" s="42" t="s">
        <v>520</v>
      </c>
      <c r="H14" s="42" t="s">
        <v>497</v>
      </c>
    </row>
    <row r="15" spans="1:9" ht="16.5">
      <c r="A15">
        <v>113</v>
      </c>
      <c r="B15" s="42" t="s">
        <v>461</v>
      </c>
      <c r="C15" s="42" t="s">
        <v>222</v>
      </c>
      <c r="D15" s="42">
        <v>200011</v>
      </c>
      <c r="E15" s="42" t="s">
        <v>61</v>
      </c>
      <c r="F15" s="42" t="s">
        <v>521</v>
      </c>
      <c r="G15" s="42" t="s">
        <v>522</v>
      </c>
      <c r="H15" s="42" t="s">
        <v>497</v>
      </c>
    </row>
    <row r="16" spans="1:9" s="47" customFormat="1" ht="16.5">
      <c r="A16" s="47">
        <v>114</v>
      </c>
      <c r="B16" s="45" t="s">
        <v>487</v>
      </c>
      <c r="C16" s="45" t="s">
        <v>222</v>
      </c>
      <c r="D16" s="45">
        <v>200096</v>
      </c>
      <c r="E16" s="45" t="s">
        <v>138</v>
      </c>
      <c r="F16" s="45" t="s">
        <v>523</v>
      </c>
      <c r="G16" s="45" t="s">
        <v>524</v>
      </c>
      <c r="H16" s="45" t="s">
        <v>572</v>
      </c>
      <c r="I16" s="46" t="s">
        <v>573</v>
      </c>
    </row>
    <row r="17" spans="1:8" ht="16.5">
      <c r="A17">
        <v>201</v>
      </c>
      <c r="B17" s="43" t="s">
        <v>462</v>
      </c>
      <c r="C17" s="43" t="s">
        <v>221</v>
      </c>
      <c r="D17" s="43">
        <v>200123</v>
      </c>
      <c r="E17" s="43" t="s">
        <v>162</v>
      </c>
      <c r="F17" s="43" t="s">
        <v>525</v>
      </c>
      <c r="G17" s="43" t="s">
        <v>526</v>
      </c>
      <c r="H17" s="43" t="s">
        <v>497</v>
      </c>
    </row>
    <row r="18" spans="1:8" ht="16.5">
      <c r="A18">
        <v>202</v>
      </c>
      <c r="B18" s="43" t="s">
        <v>463</v>
      </c>
      <c r="C18" s="43" t="s">
        <v>221</v>
      </c>
      <c r="D18" s="43">
        <v>200004</v>
      </c>
      <c r="E18" s="43" t="s">
        <v>54</v>
      </c>
      <c r="F18" s="43" t="s">
        <v>527</v>
      </c>
      <c r="G18" s="43" t="s">
        <v>528</v>
      </c>
      <c r="H18" s="43" t="s">
        <v>497</v>
      </c>
    </row>
    <row r="19" spans="1:8" ht="16.5">
      <c r="A19">
        <v>203</v>
      </c>
      <c r="B19" s="43" t="s">
        <v>464</v>
      </c>
      <c r="C19" s="43" t="s">
        <v>221</v>
      </c>
      <c r="D19" s="43">
        <v>200014</v>
      </c>
      <c r="E19" s="43" t="s">
        <v>64</v>
      </c>
      <c r="F19" s="43" t="s">
        <v>529</v>
      </c>
      <c r="G19" s="43" t="s">
        <v>530</v>
      </c>
      <c r="H19" s="43" t="s">
        <v>497</v>
      </c>
    </row>
    <row r="20" spans="1:8" ht="16.5">
      <c r="A20">
        <v>204</v>
      </c>
      <c r="B20" s="43" t="s">
        <v>465</v>
      </c>
      <c r="C20" s="43" t="s">
        <v>221</v>
      </c>
      <c r="D20" s="43">
        <v>200045</v>
      </c>
      <c r="E20" s="43" t="s">
        <v>95</v>
      </c>
      <c r="F20" s="43" t="s">
        <v>531</v>
      </c>
      <c r="G20" s="43" t="s">
        <v>532</v>
      </c>
      <c r="H20" s="43" t="s">
        <v>497</v>
      </c>
    </row>
    <row r="21" spans="1:8" ht="16.5">
      <c r="A21">
        <v>205</v>
      </c>
      <c r="B21" s="43" t="s">
        <v>466</v>
      </c>
      <c r="C21" s="43" t="s">
        <v>221</v>
      </c>
      <c r="D21" s="43">
        <v>200035</v>
      </c>
      <c r="E21" s="43" t="s">
        <v>85</v>
      </c>
      <c r="F21" s="43" t="s">
        <v>533</v>
      </c>
      <c r="G21" s="43" t="s">
        <v>534</v>
      </c>
      <c r="H21" s="43" t="s">
        <v>497</v>
      </c>
    </row>
    <row r="22" spans="1:8" ht="16.5">
      <c r="A22">
        <v>206</v>
      </c>
      <c r="B22" s="43" t="s">
        <v>467</v>
      </c>
      <c r="C22" s="43" t="s">
        <v>221</v>
      </c>
      <c r="D22" s="43">
        <v>200025</v>
      </c>
      <c r="E22" s="43" t="s">
        <v>75</v>
      </c>
      <c r="F22" s="43" t="s">
        <v>535</v>
      </c>
      <c r="G22" s="43" t="s">
        <v>536</v>
      </c>
      <c r="H22" s="43" t="s">
        <v>497</v>
      </c>
    </row>
    <row r="23" spans="1:8" ht="16.5">
      <c r="A23">
        <v>207</v>
      </c>
      <c r="B23" s="43" t="s">
        <v>468</v>
      </c>
      <c r="C23" s="43" t="s">
        <v>221</v>
      </c>
      <c r="D23" s="43">
        <v>200003</v>
      </c>
      <c r="E23" s="43" t="s">
        <v>53</v>
      </c>
      <c r="F23" s="43" t="s">
        <v>537</v>
      </c>
      <c r="G23" s="43" t="s">
        <v>538</v>
      </c>
      <c r="H23" s="43" t="s">
        <v>497</v>
      </c>
    </row>
    <row r="24" spans="1:8" ht="16.5">
      <c r="A24">
        <v>208</v>
      </c>
      <c r="B24" s="43" t="s">
        <v>469</v>
      </c>
      <c r="C24" s="43" t="s">
        <v>221</v>
      </c>
      <c r="D24" s="43">
        <v>200017</v>
      </c>
      <c r="E24" s="43" t="s">
        <v>67</v>
      </c>
      <c r="F24" s="43" t="s">
        <v>539</v>
      </c>
      <c r="G24" s="43" t="s">
        <v>540</v>
      </c>
      <c r="H24" s="43" t="s">
        <v>497</v>
      </c>
    </row>
    <row r="25" spans="1:8" ht="16.5">
      <c r="A25">
        <v>209</v>
      </c>
      <c r="B25" s="43" t="s">
        <v>470</v>
      </c>
      <c r="C25" s="43" t="s">
        <v>221</v>
      </c>
      <c r="D25" s="43">
        <v>200039</v>
      </c>
      <c r="E25" s="43" t="s">
        <v>89</v>
      </c>
      <c r="F25" s="43" t="s">
        <v>541</v>
      </c>
      <c r="G25" s="43" t="s">
        <v>542</v>
      </c>
      <c r="H25" s="43" t="s">
        <v>497</v>
      </c>
    </row>
    <row r="26" spans="1:8" ht="16.5">
      <c r="A26">
        <v>210</v>
      </c>
      <c r="B26" s="43" t="s">
        <v>471</v>
      </c>
      <c r="C26" s="43" t="s">
        <v>221</v>
      </c>
      <c r="D26" s="43">
        <v>200109</v>
      </c>
      <c r="E26" s="43" t="s">
        <v>148</v>
      </c>
      <c r="F26" s="43" t="s">
        <v>543</v>
      </c>
      <c r="G26" s="43" t="s">
        <v>544</v>
      </c>
      <c r="H26" s="43" t="s">
        <v>497</v>
      </c>
    </row>
    <row r="27" spans="1:8" ht="16.5">
      <c r="A27">
        <v>211</v>
      </c>
      <c r="B27" s="43" t="s">
        <v>472</v>
      </c>
      <c r="C27" s="43" t="s">
        <v>221</v>
      </c>
      <c r="D27" s="43">
        <v>200107</v>
      </c>
      <c r="E27" s="43" t="s">
        <v>146</v>
      </c>
      <c r="F27" s="43" t="s">
        <v>545</v>
      </c>
      <c r="G27" s="43" t="s">
        <v>546</v>
      </c>
      <c r="H27" s="43" t="s">
        <v>497</v>
      </c>
    </row>
    <row r="28" spans="1:8" ht="16.5">
      <c r="A28">
        <v>212</v>
      </c>
      <c r="B28" s="43" t="s">
        <v>473</v>
      </c>
      <c r="C28" s="43" t="s">
        <v>221</v>
      </c>
      <c r="D28" s="43">
        <v>200112</v>
      </c>
      <c r="E28" s="43" t="s">
        <v>151</v>
      </c>
      <c r="F28" s="43" t="s">
        <v>547</v>
      </c>
      <c r="G28" s="43" t="s">
        <v>548</v>
      </c>
      <c r="H28" s="43" t="s">
        <v>497</v>
      </c>
    </row>
    <row r="29" spans="1:8" ht="16.5">
      <c r="A29">
        <v>213</v>
      </c>
      <c r="B29" s="43" t="s">
        <v>474</v>
      </c>
      <c r="C29" s="43" t="s">
        <v>221</v>
      </c>
      <c r="D29" s="43">
        <v>200118</v>
      </c>
      <c r="E29" s="43" t="s">
        <v>157</v>
      </c>
      <c r="F29" s="43" t="s">
        <v>549</v>
      </c>
      <c r="G29" s="43" t="s">
        <v>550</v>
      </c>
      <c r="H29" s="43" t="s">
        <v>497</v>
      </c>
    </row>
    <row r="30" spans="1:8" ht="16.5">
      <c r="A30">
        <v>301</v>
      </c>
      <c r="B30" s="44" t="s">
        <v>475</v>
      </c>
      <c r="C30" s="44" t="s">
        <v>223</v>
      </c>
      <c r="D30" s="44">
        <v>200048</v>
      </c>
      <c r="E30" s="44" t="s">
        <v>98</v>
      </c>
      <c r="F30" s="44" t="s">
        <v>551</v>
      </c>
      <c r="G30" s="44" t="s">
        <v>552</v>
      </c>
      <c r="H30" s="44" t="s">
        <v>497</v>
      </c>
    </row>
    <row r="31" spans="1:8" ht="16.5">
      <c r="A31">
        <v>302</v>
      </c>
      <c r="B31" s="44" t="s">
        <v>476</v>
      </c>
      <c r="C31" s="44" t="s">
        <v>223</v>
      </c>
      <c r="D31" s="44">
        <v>200051</v>
      </c>
      <c r="E31" s="44" t="s">
        <v>101</v>
      </c>
      <c r="F31" s="44" t="s">
        <v>553</v>
      </c>
      <c r="G31" s="44" t="s">
        <v>553</v>
      </c>
      <c r="H31" s="41" t="s">
        <v>554</v>
      </c>
    </row>
    <row r="32" spans="1:8" ht="16.5">
      <c r="A32">
        <v>303</v>
      </c>
      <c r="B32" s="44" t="s">
        <v>477</v>
      </c>
      <c r="C32" s="44" t="s">
        <v>223</v>
      </c>
      <c r="D32" s="44">
        <v>200053</v>
      </c>
      <c r="E32" s="44" t="s">
        <v>103</v>
      </c>
      <c r="F32" s="44" t="s">
        <v>555</v>
      </c>
      <c r="G32" s="44" t="s">
        <v>556</v>
      </c>
      <c r="H32" s="44" t="s">
        <v>497</v>
      </c>
    </row>
    <row r="33" spans="1:8" ht="16.5">
      <c r="A33">
        <v>304</v>
      </c>
      <c r="B33" s="44" t="s">
        <v>478</v>
      </c>
      <c r="C33" s="44" t="s">
        <v>223</v>
      </c>
      <c r="D33" s="44">
        <v>200050</v>
      </c>
      <c r="E33" s="44" t="s">
        <v>100</v>
      </c>
      <c r="F33" s="44" t="s">
        <v>557</v>
      </c>
      <c r="G33" s="44" t="s">
        <v>558</v>
      </c>
      <c r="H33" s="44" t="s">
        <v>497</v>
      </c>
    </row>
    <row r="34" spans="1:8" ht="16.5">
      <c r="A34">
        <v>305</v>
      </c>
      <c r="B34" s="44" t="s">
        <v>479</v>
      </c>
      <c r="C34" s="44" t="s">
        <v>223</v>
      </c>
      <c r="D34" s="44">
        <v>200162</v>
      </c>
      <c r="E34" s="44" t="s">
        <v>559</v>
      </c>
      <c r="F34" s="44" t="s">
        <v>560</v>
      </c>
      <c r="G34" s="44" t="s">
        <v>561</v>
      </c>
      <c r="H34" s="44" t="s">
        <v>497</v>
      </c>
    </row>
    <row r="35" spans="1:8" ht="16.5">
      <c r="A35">
        <v>306</v>
      </c>
      <c r="B35" s="44" t="s">
        <v>480</v>
      </c>
      <c r="C35" s="44" t="s">
        <v>223</v>
      </c>
      <c r="D35" s="44">
        <v>200163</v>
      </c>
      <c r="E35" s="44" t="s">
        <v>562</v>
      </c>
      <c r="F35" s="44" t="s">
        <v>563</v>
      </c>
      <c r="G35" s="44" t="s">
        <v>563</v>
      </c>
      <c r="H35" s="41" t="s">
        <v>554</v>
      </c>
    </row>
    <row r="36" spans="1:8" ht="16.5">
      <c r="A36">
        <v>307</v>
      </c>
      <c r="B36" s="44" t="s">
        <v>481</v>
      </c>
      <c r="C36" s="44" t="s">
        <v>223</v>
      </c>
      <c r="D36" s="44">
        <v>200049</v>
      </c>
      <c r="E36" s="44" t="s">
        <v>99</v>
      </c>
      <c r="F36" s="44" t="s">
        <v>564</v>
      </c>
      <c r="G36" s="44" t="s">
        <v>565</v>
      </c>
      <c r="H36" s="44" t="s">
        <v>497</v>
      </c>
    </row>
    <row r="37" spans="1:8" ht="16.5">
      <c r="A37">
        <v>308</v>
      </c>
      <c r="B37" s="44" t="s">
        <v>482</v>
      </c>
      <c r="C37" s="44" t="s">
        <v>223</v>
      </c>
      <c r="D37" s="44">
        <v>200052</v>
      </c>
      <c r="E37" s="44" t="s">
        <v>102</v>
      </c>
      <c r="F37" s="44" t="s">
        <v>566</v>
      </c>
      <c r="G37" s="44" t="s">
        <v>567</v>
      </c>
      <c r="H37" s="44" t="s">
        <v>497</v>
      </c>
    </row>
    <row r="38" spans="1:8" ht="16.5">
      <c r="A38">
        <v>309</v>
      </c>
      <c r="B38" s="44" t="s">
        <v>483</v>
      </c>
      <c r="C38" s="44" t="s">
        <v>223</v>
      </c>
      <c r="D38" s="44">
        <v>200164</v>
      </c>
      <c r="E38" s="44" t="s">
        <v>568</v>
      </c>
      <c r="F38" s="44" t="s">
        <v>569</v>
      </c>
      <c r="G38" s="44" t="s">
        <v>569</v>
      </c>
      <c r="H38" s="44" t="s">
        <v>497</v>
      </c>
    </row>
    <row r="39" spans="1:8" ht="16.5">
      <c r="A39">
        <v>310</v>
      </c>
      <c r="B39" s="44" t="s">
        <v>484</v>
      </c>
      <c r="C39" s="44" t="s">
        <v>223</v>
      </c>
      <c r="D39" s="44">
        <v>200165</v>
      </c>
      <c r="E39" s="44" t="s">
        <v>570</v>
      </c>
      <c r="F39" s="44" t="s">
        <v>571</v>
      </c>
      <c r="G39" s="44" t="s">
        <v>571</v>
      </c>
      <c r="H39" s="44" t="s">
        <v>497</v>
      </c>
    </row>
    <row r="42" spans="1:8" ht="16.5">
      <c r="B42" s="48" t="s">
        <v>579</v>
      </c>
      <c r="C42" s="48">
        <v>6</v>
      </c>
      <c r="D42" s="48">
        <v>14</v>
      </c>
    </row>
  </sheetData>
  <mergeCells count="8">
    <mergeCell ref="B1:B2"/>
    <mergeCell ref="C1:C2"/>
    <mergeCell ref="A1:A2"/>
    <mergeCell ref="H1:H2"/>
    <mergeCell ref="D1:D2"/>
    <mergeCell ref="E1:E2"/>
    <mergeCell ref="F1:F2"/>
    <mergeCell ref="G1:G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英雄攻略配置表</vt:lpstr>
      <vt:lpstr>阵容详细配置表</vt:lpstr>
      <vt:lpstr>英雄详细配置</vt:lpstr>
      <vt:lpstr>#阵容详细配置表(留档)</vt:lpstr>
      <vt:lpstr>#英雄详细配置（留档）</vt:lpstr>
      <vt:lpstr>#技能参考</vt:lpstr>
      <vt:lpstr>#玺戒参考</vt:lpstr>
      <vt:lpstr>'#英雄详细配置（留档）'!_FilterDatabase</vt:lpstr>
      <vt:lpstr>英雄详细配置!_FilterDatabase</vt:lpstr>
    </vt:vector>
  </TitlesOfParts>
  <Company>tx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fisherzhyu</dc:creator>
  <cp:lastModifiedBy>Bob Dylan</cp:lastModifiedBy>
  <dcterms:created xsi:type="dcterms:W3CDTF">2019-04-09T11:29:00Z</dcterms:created>
  <dcterms:modified xsi:type="dcterms:W3CDTF">2025-01-19T06:24:42Z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KSOReadingLayout">
    <vt:bool>false</vt:bool>
  </property>
  <property fmtid="{D5CDD505-2E9C-101B-9397-08002B2CF9AE}" pid="4" name="ICV">
    <vt:lpwstr>1BB811834565408EAD5345A1E36D6087</vt:lpwstr>
  </property>
  <property fmtid="{D5CDD505-2E9C-101B-9397-08002B2CF9AE}" pid="5" name="commondata">
    <vt:lpwstr>eyJoZGlkIjoiNzYzZjBkYzU4YjViZTJjMDQwYjI2OWMxODE1MTAxNTAifQ==</vt:lpwstr>
  </property>
</Properties>
</file>