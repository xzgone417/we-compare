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leaseT+2\excel\xls\Main\"/>
    </mc:Choice>
  </mc:AlternateContent>
  <xr:revisionPtr revIDLastSave="0" documentId="13_ncr:1_{9C51D67E-261F-49B2-815A-2E225D7B91E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奖励配置表" sheetId="1" r:id="rId1"/>
    <sheet name="#配表须知" sheetId="2" r:id="rId2"/>
    <sheet name="#TID_base_up" sheetId="3" r:id="rId3"/>
  </sheets>
  <externalReferences>
    <externalReference r:id="rId4"/>
  </externalReferences>
  <definedNames>
    <definedName name="_xlnm._FilterDatabase" localSheetId="0" hidden="1">奖励配置表!$A$2:$AD$4527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83" i="1" l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7156" i="1"/>
  <c r="E7155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9" i="1"/>
  <c r="E7068" i="1"/>
  <c r="E7070" i="1"/>
  <c r="E7071" i="1"/>
  <c r="E7072" i="1"/>
  <c r="E7074" i="1"/>
  <c r="E7073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337" i="1"/>
  <c r="E3338" i="1"/>
  <c r="E3339" i="1"/>
  <c r="E3393" i="1"/>
  <c r="E3396" i="1"/>
  <c r="E3399" i="1"/>
  <c r="E3402" i="1"/>
  <c r="E3403" i="1"/>
  <c r="E3404" i="1"/>
  <c r="E3405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F2883" i="1"/>
  <c r="F2887" i="1" s="1"/>
  <c r="F2891" i="1" s="1"/>
  <c r="F2895" i="1" s="1"/>
  <c r="F2899" i="1" s="1"/>
  <c r="F2903" i="1" s="1"/>
  <c r="F2907" i="1" s="1"/>
  <c r="F2911" i="1" s="1"/>
  <c r="F2915" i="1" s="1"/>
  <c r="F2919" i="1" s="1"/>
  <c r="F2923" i="1" s="1"/>
  <c r="F2927" i="1" s="1"/>
  <c r="F2931" i="1" s="1"/>
  <c r="F2935" i="1" s="1"/>
  <c r="F2884" i="1"/>
  <c r="F2888" i="1" s="1"/>
  <c r="F2892" i="1" s="1"/>
  <c r="F2896" i="1" s="1"/>
  <c r="F2900" i="1" s="1"/>
  <c r="F2904" i="1" s="1"/>
  <c r="F2908" i="1" s="1"/>
  <c r="F2912" i="1" s="1"/>
  <c r="F2916" i="1" s="1"/>
  <c r="F2920" i="1" s="1"/>
  <c r="F2924" i="1" s="1"/>
  <c r="F2928" i="1" s="1"/>
  <c r="F2932" i="1" s="1"/>
  <c r="F2936" i="1" s="1"/>
  <c r="F2885" i="1"/>
  <c r="F2889" i="1" s="1"/>
  <c r="F2893" i="1" s="1"/>
  <c r="F2897" i="1" s="1"/>
  <c r="F2901" i="1" s="1"/>
  <c r="F2905" i="1" s="1"/>
  <c r="F2909" i="1" s="1"/>
  <c r="F2913" i="1" s="1"/>
  <c r="F2917" i="1" s="1"/>
  <c r="F2921" i="1" s="1"/>
  <c r="F2925" i="1" s="1"/>
  <c r="F2929" i="1" s="1"/>
  <c r="F2933" i="1" s="1"/>
  <c r="F2937" i="1" s="1"/>
  <c r="F2882" i="1"/>
  <c r="F2886" i="1" s="1"/>
  <c r="F2890" i="1" s="1"/>
  <c r="F2894" i="1" s="1"/>
  <c r="F2898" i="1" s="1"/>
  <c r="F2902" i="1" s="1"/>
  <c r="F2906" i="1" s="1"/>
  <c r="F2910" i="1" s="1"/>
  <c r="F2914" i="1" s="1"/>
  <c r="F2918" i="1" s="1"/>
  <c r="F2922" i="1" s="1"/>
  <c r="F2926" i="1" s="1"/>
  <c r="F2930" i="1" s="1"/>
  <c r="F2934" i="1" s="1"/>
  <c r="E1238" i="1"/>
  <c r="E1239" i="1"/>
  <c r="E1240" i="1"/>
  <c r="E1241" i="1"/>
  <c r="E1242" i="1"/>
  <c r="E1233" i="1"/>
  <c r="E1234" i="1"/>
  <c r="E1235" i="1"/>
  <c r="E1236" i="1"/>
  <c r="E1237" i="1"/>
  <c r="E1228" i="1"/>
  <c r="E1229" i="1"/>
  <c r="E1230" i="1"/>
  <c r="E1231" i="1"/>
  <c r="E1232" i="1"/>
  <c r="E1223" i="1"/>
  <c r="E1224" i="1"/>
  <c r="E1225" i="1"/>
  <c r="E1226" i="1"/>
  <c r="E1227" i="1"/>
  <c r="E1117" i="1"/>
  <c r="E1118" i="1"/>
  <c r="E1119" i="1"/>
  <c r="E1120" i="1"/>
  <c r="E1121" i="1"/>
  <c r="E1122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449" i="1" l="1"/>
  <c r="E1351" i="1" l="1"/>
  <c r="E444" i="1" l="1"/>
  <c r="E445" i="1"/>
  <c r="E446" i="1"/>
  <c r="E447" i="1"/>
  <c r="E448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41" i="1"/>
  <c r="E437" i="1"/>
  <c r="E434" i="1"/>
  <c r="E430" i="1"/>
  <c r="E426" i="1"/>
  <c r="E422" i="1"/>
  <c r="E419" i="1"/>
  <c r="E416" i="1"/>
  <c r="E413" i="1"/>
  <c r="E410" i="1"/>
  <c r="E407" i="1"/>
  <c r="E404" i="1"/>
  <c r="E401" i="1"/>
  <c r="E398" i="1"/>
  <c r="E440" i="1" l="1"/>
  <c r="E433" i="1"/>
  <c r="E429" i="1"/>
  <c r="E425" i="1"/>
  <c r="A4416" i="1" l="1"/>
  <c r="A4418" i="1" s="1"/>
  <c r="A4420" i="1" s="1"/>
  <c r="A4422" i="1" s="1"/>
  <c r="A4424" i="1" s="1"/>
  <c r="A4426" i="1" s="1"/>
  <c r="A4428" i="1" s="1"/>
  <c r="A4430" i="1" s="1"/>
  <c r="A4432" i="1" s="1"/>
  <c r="A4434" i="1" s="1"/>
  <c r="A4436" i="1" s="1"/>
  <c r="A4438" i="1" s="1"/>
  <c r="A4440" i="1" s="1"/>
  <c r="A4442" i="1" s="1"/>
  <c r="A4444" i="1" s="1"/>
  <c r="A4446" i="1" s="1"/>
  <c r="A4448" i="1" s="1"/>
  <c r="A4450" i="1" s="1"/>
  <c r="A4452" i="1" s="1"/>
  <c r="A4454" i="1" s="1"/>
  <c r="A4456" i="1" s="1"/>
  <c r="C3576" i="1" l="1"/>
  <c r="C3575" i="1"/>
  <c r="C3574" i="1"/>
  <c r="C3573" i="1"/>
  <c r="C3571" i="1"/>
  <c r="C3570" i="1"/>
  <c r="C3569" i="1"/>
  <c r="C3568" i="1"/>
  <c r="C3566" i="1"/>
  <c r="C3565" i="1"/>
  <c r="C3564" i="1"/>
  <c r="C3563" i="1"/>
  <c r="C3561" i="1"/>
  <c r="C3560" i="1"/>
  <c r="C3559" i="1"/>
  <c r="C3558" i="1"/>
  <c r="C3556" i="1"/>
  <c r="C3555" i="1"/>
  <c r="C3554" i="1"/>
  <c r="C3553" i="1"/>
  <c r="C3551" i="1"/>
  <c r="C3550" i="1"/>
  <c r="C3549" i="1"/>
  <c r="C3548" i="1"/>
  <c r="C3546" i="1"/>
  <c r="C3545" i="1"/>
  <c r="C3544" i="1"/>
  <c r="C3543" i="1"/>
  <c r="C3541" i="1"/>
  <c r="C3540" i="1"/>
  <c r="C3539" i="1"/>
  <c r="C3538" i="1"/>
  <c r="C3536" i="1"/>
  <c r="C3535" i="1"/>
  <c r="C3534" i="1"/>
  <c r="C3533" i="1"/>
  <c r="C3531" i="1"/>
  <c r="C3530" i="1"/>
  <c r="C3529" i="1"/>
  <c r="C3528" i="1"/>
  <c r="C3526" i="1"/>
  <c r="C3525" i="1"/>
  <c r="C3524" i="1"/>
  <c r="C3523" i="1"/>
  <c r="C3521" i="1"/>
  <c r="C3520" i="1"/>
  <c r="C3519" i="1"/>
  <c r="C3518" i="1"/>
  <c r="C3516" i="1"/>
  <c r="C3515" i="1"/>
  <c r="C3514" i="1"/>
  <c r="C3513" i="1"/>
  <c r="C3511" i="1"/>
  <c r="C3510" i="1"/>
  <c r="C3509" i="1"/>
  <c r="C3508" i="1"/>
  <c r="E1365" i="1" l="1"/>
  <c r="E1359" i="1"/>
  <c r="E1353" i="1"/>
  <c r="E1358" i="1"/>
  <c r="E1222" i="1"/>
  <c r="E1217" i="1"/>
  <c r="E1212" i="1"/>
  <c r="E1207" i="1"/>
  <c r="E1202" i="1"/>
  <c r="E1197" i="1"/>
  <c r="E1192" i="1"/>
  <c r="E1187" i="1"/>
  <c r="E1182" i="1"/>
  <c r="E1177" i="1"/>
  <c r="E1172" i="1"/>
  <c r="E1167" i="1"/>
  <c r="E1162" i="1"/>
  <c r="E1157" i="1"/>
  <c r="E1152" i="1"/>
  <c r="E1147" i="1"/>
  <c r="E1142" i="1"/>
  <c r="E1137" i="1"/>
  <c r="E1132" i="1"/>
  <c r="E1127" i="1"/>
  <c r="E812" i="1"/>
  <c r="E800" i="1"/>
  <c r="E788" i="1"/>
  <c r="E776" i="1"/>
  <c r="E764" i="1"/>
  <c r="E752" i="1"/>
  <c r="E740" i="1"/>
  <c r="E728" i="1"/>
  <c r="E716" i="1"/>
  <c r="E704" i="1"/>
  <c r="E692" i="1"/>
  <c r="E680" i="1"/>
  <c r="E668" i="1"/>
  <c r="E656" i="1"/>
  <c r="E644" i="1"/>
  <c r="E632" i="1"/>
  <c r="E620" i="1"/>
  <c r="E608" i="1"/>
  <c r="E596" i="1"/>
  <c r="E584" i="1"/>
  <c r="E572" i="1"/>
  <c r="E561" i="1"/>
  <c r="E550" i="1"/>
  <c r="E539" i="1"/>
  <c r="E528" i="1"/>
  <c r="E517" i="1"/>
  <c r="E506" i="1"/>
  <c r="E496" i="1"/>
  <c r="E486" i="1"/>
  <c r="E1098" i="1" l="1"/>
  <c r="E1092" i="1"/>
  <c r="E1086" i="1"/>
  <c r="E1080" i="1"/>
  <c r="E1074" i="1"/>
  <c r="E1068" i="1"/>
  <c r="E1062" i="1"/>
  <c r="E1056" i="1"/>
  <c r="E1050" i="1"/>
  <c r="E1044" i="1"/>
  <c r="E1038" i="1"/>
  <c r="E1032" i="1"/>
  <c r="E1026" i="1"/>
  <c r="E1020" i="1"/>
  <c r="E1014" i="1"/>
  <c r="E1008" i="1"/>
  <c r="E1002" i="1"/>
  <c r="E996" i="1"/>
  <c r="E990" i="1"/>
  <c r="E984" i="1"/>
  <c r="E476" i="1" l="1"/>
  <c r="E1363" i="1"/>
  <c r="E1362" i="1"/>
  <c r="E1361" i="1"/>
  <c r="E1360" i="1"/>
  <c r="E110" i="1"/>
  <c r="E111" i="1"/>
  <c r="E112" i="1"/>
  <c r="E113" i="1"/>
  <c r="E114" i="1"/>
  <c r="E115" i="1"/>
  <c r="E104" i="1"/>
  <c r="E105" i="1"/>
  <c r="E106" i="1"/>
  <c r="E107" i="1"/>
  <c r="E108" i="1"/>
  <c r="E109" i="1"/>
  <c r="E1243" i="1" l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2" i="1"/>
  <c r="E1354" i="1"/>
  <c r="E1355" i="1"/>
  <c r="E1356" i="1"/>
  <c r="E1357" i="1"/>
  <c r="E1364" i="1"/>
  <c r="E1366" i="1"/>
  <c r="E1367" i="1"/>
  <c r="E1368" i="1"/>
  <c r="E1369" i="1"/>
  <c r="E1370" i="1" l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811" i="1"/>
  <c r="E810" i="1"/>
  <c r="E809" i="1"/>
  <c r="E808" i="1"/>
  <c r="E807" i="1"/>
  <c r="E799" i="1"/>
  <c r="E798" i="1"/>
  <c r="E797" i="1"/>
  <c r="E796" i="1"/>
  <c r="E795" i="1"/>
  <c r="E787" i="1"/>
  <c r="E786" i="1"/>
  <c r="E785" i="1"/>
  <c r="E784" i="1"/>
  <c r="E783" i="1"/>
  <c r="E775" i="1"/>
  <c r="E774" i="1"/>
  <c r="E773" i="1"/>
  <c r="E772" i="1"/>
  <c r="E771" i="1"/>
  <c r="E763" i="1"/>
  <c r="E762" i="1"/>
  <c r="E761" i="1"/>
  <c r="E760" i="1"/>
  <c r="E759" i="1"/>
  <c r="E751" i="1"/>
  <c r="E750" i="1"/>
  <c r="E749" i="1"/>
  <c r="E748" i="1"/>
  <c r="E747" i="1"/>
  <c r="E739" i="1"/>
  <c r="E738" i="1"/>
  <c r="E737" i="1"/>
  <c r="E736" i="1"/>
  <c r="E735" i="1"/>
  <c r="E727" i="1"/>
  <c r="E726" i="1"/>
  <c r="E725" i="1"/>
  <c r="E724" i="1"/>
  <c r="E723" i="1"/>
  <c r="E715" i="1"/>
  <c r="E714" i="1"/>
  <c r="E713" i="1"/>
  <c r="E712" i="1"/>
  <c r="E711" i="1"/>
  <c r="E703" i="1"/>
  <c r="E702" i="1"/>
  <c r="E701" i="1"/>
  <c r="E700" i="1"/>
  <c r="E699" i="1"/>
  <c r="E691" i="1"/>
  <c r="E690" i="1"/>
  <c r="E689" i="1"/>
  <c r="E688" i="1"/>
  <c r="E687" i="1"/>
  <c r="E679" i="1"/>
  <c r="E678" i="1"/>
  <c r="E677" i="1"/>
  <c r="E676" i="1"/>
  <c r="E675" i="1"/>
  <c r="E667" i="1"/>
  <c r="E666" i="1"/>
  <c r="E665" i="1"/>
  <c r="E664" i="1"/>
  <c r="E663" i="1"/>
  <c r="E655" i="1"/>
  <c r="E654" i="1"/>
  <c r="E653" i="1"/>
  <c r="E652" i="1"/>
  <c r="E651" i="1"/>
  <c r="E643" i="1"/>
  <c r="E642" i="1"/>
  <c r="E641" i="1"/>
  <c r="E640" i="1"/>
  <c r="E639" i="1"/>
  <c r="E631" i="1"/>
  <c r="E630" i="1"/>
  <c r="E629" i="1"/>
  <c r="E628" i="1"/>
  <c r="E627" i="1"/>
  <c r="E619" i="1"/>
  <c r="E618" i="1"/>
  <c r="E617" i="1"/>
  <c r="E616" i="1"/>
  <c r="E615" i="1"/>
  <c r="E607" i="1"/>
  <c r="E606" i="1"/>
  <c r="E605" i="1"/>
  <c r="E604" i="1"/>
  <c r="E603" i="1"/>
  <c r="E595" i="1"/>
  <c r="E594" i="1"/>
  <c r="E593" i="1"/>
  <c r="E592" i="1"/>
  <c r="E591" i="1"/>
  <c r="E583" i="1"/>
  <c r="E582" i="1"/>
  <c r="E581" i="1"/>
  <c r="E580" i="1"/>
  <c r="E579" i="1"/>
  <c r="E571" i="1"/>
  <c r="E570" i="1"/>
  <c r="E569" i="1"/>
  <c r="E568" i="1"/>
  <c r="E567" i="1"/>
  <c r="E560" i="1"/>
  <c r="E559" i="1"/>
  <c r="E558" i="1"/>
  <c r="E557" i="1"/>
  <c r="E556" i="1"/>
  <c r="E549" i="1"/>
  <c r="E548" i="1"/>
  <c r="E547" i="1"/>
  <c r="E546" i="1"/>
  <c r="E545" i="1"/>
  <c r="E538" i="1"/>
  <c r="E537" i="1"/>
  <c r="E536" i="1"/>
  <c r="E535" i="1"/>
  <c r="E534" i="1"/>
  <c r="E527" i="1"/>
  <c r="E526" i="1"/>
  <c r="E525" i="1"/>
  <c r="E524" i="1"/>
  <c r="E523" i="1"/>
  <c r="E516" i="1"/>
  <c r="E515" i="1"/>
  <c r="E514" i="1"/>
  <c r="E513" i="1"/>
  <c r="E512" i="1"/>
  <c r="E505" i="1"/>
  <c r="E504" i="1"/>
  <c r="E503" i="1"/>
  <c r="E502" i="1"/>
  <c r="E501" i="1"/>
  <c r="E507" i="1"/>
  <c r="E508" i="1"/>
  <c r="E509" i="1"/>
  <c r="E510" i="1"/>
  <c r="E511" i="1"/>
  <c r="E495" i="1"/>
  <c r="E494" i="1"/>
  <c r="E493" i="1"/>
  <c r="E492" i="1"/>
  <c r="E485" i="1"/>
  <c r="E484" i="1"/>
  <c r="E483" i="1"/>
  <c r="E482" i="1"/>
  <c r="E475" i="1"/>
  <c r="E474" i="1"/>
  <c r="E473" i="1"/>
  <c r="E472" i="1"/>
  <c r="F139" i="1" l="1"/>
  <c r="F151" i="1" s="1"/>
  <c r="F163" i="1" s="1"/>
  <c r="F175" i="1" s="1"/>
  <c r="F187" i="1" s="1"/>
  <c r="F199" i="1" s="1"/>
  <c r="F211" i="1" s="1"/>
  <c r="F223" i="1" s="1"/>
  <c r="F235" i="1" s="1"/>
  <c r="F138" i="1"/>
  <c r="F150" i="1" s="1"/>
  <c r="F162" i="1" s="1"/>
  <c r="F174" i="1" s="1"/>
  <c r="F186" i="1" s="1"/>
  <c r="F198" i="1" s="1"/>
  <c r="F210" i="1" s="1"/>
  <c r="F222" i="1" s="1"/>
  <c r="F234" i="1" s="1"/>
  <c r="F137" i="1"/>
  <c r="F149" i="1" s="1"/>
  <c r="F161" i="1" s="1"/>
  <c r="F173" i="1" s="1"/>
  <c r="F185" i="1" s="1"/>
  <c r="F197" i="1" s="1"/>
  <c r="F209" i="1" s="1"/>
  <c r="F221" i="1" s="1"/>
  <c r="F233" i="1" s="1"/>
  <c r="F136" i="1"/>
  <c r="F148" i="1" s="1"/>
  <c r="F160" i="1" s="1"/>
  <c r="F172" i="1" s="1"/>
  <c r="F184" i="1" s="1"/>
  <c r="F196" i="1" s="1"/>
  <c r="F208" i="1" s="1"/>
  <c r="F220" i="1" s="1"/>
  <c r="F232" i="1" s="1"/>
  <c r="F135" i="1"/>
  <c r="F147" i="1" s="1"/>
  <c r="F159" i="1" s="1"/>
  <c r="F171" i="1" s="1"/>
  <c r="F183" i="1" s="1"/>
  <c r="F195" i="1" s="1"/>
  <c r="F207" i="1" s="1"/>
  <c r="F219" i="1" s="1"/>
  <c r="F231" i="1" s="1"/>
  <c r="F134" i="1"/>
  <c r="F146" i="1" s="1"/>
  <c r="F158" i="1" s="1"/>
  <c r="F170" i="1" s="1"/>
  <c r="F182" i="1" s="1"/>
  <c r="F194" i="1" s="1"/>
  <c r="F206" i="1" s="1"/>
  <c r="F218" i="1" s="1"/>
  <c r="F230" i="1" s="1"/>
  <c r="F133" i="1"/>
  <c r="F145" i="1" s="1"/>
  <c r="F157" i="1" s="1"/>
  <c r="F169" i="1" s="1"/>
  <c r="F181" i="1" s="1"/>
  <c r="F193" i="1" s="1"/>
  <c r="F205" i="1" s="1"/>
  <c r="F217" i="1" s="1"/>
  <c r="F229" i="1" s="1"/>
  <c r="F132" i="1"/>
  <c r="F144" i="1" s="1"/>
  <c r="F156" i="1" s="1"/>
  <c r="F168" i="1" s="1"/>
  <c r="F180" i="1" s="1"/>
  <c r="F192" i="1" s="1"/>
  <c r="F204" i="1" s="1"/>
  <c r="F216" i="1" s="1"/>
  <c r="F228" i="1" s="1"/>
  <c r="F131" i="1"/>
  <c r="F143" i="1" s="1"/>
  <c r="F155" i="1" s="1"/>
  <c r="F167" i="1" s="1"/>
  <c r="F179" i="1" s="1"/>
  <c r="F191" i="1" s="1"/>
  <c r="F203" i="1" s="1"/>
  <c r="F215" i="1" s="1"/>
  <c r="F227" i="1" s="1"/>
  <c r="F130" i="1"/>
  <c r="F142" i="1" s="1"/>
  <c r="F154" i="1" s="1"/>
  <c r="F166" i="1" s="1"/>
  <c r="F178" i="1" s="1"/>
  <c r="F190" i="1" s="1"/>
  <c r="F202" i="1" s="1"/>
  <c r="F214" i="1" s="1"/>
  <c r="F226" i="1" s="1"/>
  <c r="F129" i="1"/>
  <c r="F141" i="1" s="1"/>
  <c r="F153" i="1" s="1"/>
  <c r="F165" i="1" s="1"/>
  <c r="F177" i="1" s="1"/>
  <c r="F189" i="1" s="1"/>
  <c r="F201" i="1" s="1"/>
  <c r="F213" i="1" s="1"/>
  <c r="F225" i="1" s="1"/>
  <c r="F128" i="1"/>
  <c r="F140" i="1" s="1"/>
  <c r="F152" i="1" s="1"/>
  <c r="F164" i="1" s="1"/>
  <c r="F176" i="1" s="1"/>
  <c r="F188" i="1" s="1"/>
  <c r="F200" i="1" s="1"/>
  <c r="F212" i="1" s="1"/>
  <c r="F224" i="1" s="1"/>
  <c r="F39" i="1"/>
  <c r="F42" i="1" s="1"/>
  <c r="F45" i="1" s="1"/>
  <c r="F48" i="1" s="1"/>
  <c r="F51" i="1" s="1"/>
  <c r="F54" i="1" s="1"/>
  <c r="F57" i="1" s="1"/>
  <c r="F60" i="1" s="1"/>
  <c r="F63" i="1" s="1"/>
  <c r="F38" i="1"/>
  <c r="F41" i="1" s="1"/>
  <c r="F44" i="1" s="1"/>
  <c r="F47" i="1" s="1"/>
  <c r="F50" i="1" s="1"/>
  <c r="F53" i="1" s="1"/>
  <c r="F56" i="1" s="1"/>
  <c r="F59" i="1" s="1"/>
  <c r="F62" i="1" s="1"/>
  <c r="F37" i="1"/>
  <c r="F40" i="1" s="1"/>
  <c r="F43" i="1" s="1"/>
  <c r="F46" i="1" s="1"/>
  <c r="F49" i="1" s="1"/>
  <c r="F52" i="1" s="1"/>
  <c r="F55" i="1" s="1"/>
  <c r="F58" i="1" s="1"/>
  <c r="F61" i="1" s="1"/>
  <c r="F9" i="1"/>
  <c r="F12" i="1" s="1"/>
  <c r="F15" i="1" s="1"/>
  <c r="F18" i="1" s="1"/>
  <c r="F21" i="1" s="1"/>
  <c r="F24" i="1" s="1"/>
  <c r="F27" i="1" s="1"/>
  <c r="F30" i="1" s="1"/>
  <c r="F33" i="1" s="1"/>
  <c r="F8" i="1"/>
  <c r="F11" i="1" s="1"/>
  <c r="F14" i="1" s="1"/>
  <c r="F17" i="1" s="1"/>
  <c r="F20" i="1" s="1"/>
  <c r="F23" i="1" s="1"/>
  <c r="F26" i="1" s="1"/>
  <c r="F29" i="1" s="1"/>
  <c r="F32" i="1" s="1"/>
  <c r="F7" i="1"/>
  <c r="F10" i="1" s="1"/>
  <c r="F13" i="1" s="1"/>
  <c r="F16" i="1" s="1"/>
  <c r="F19" i="1" s="1"/>
  <c r="F22" i="1" s="1"/>
  <c r="F25" i="1" s="1"/>
  <c r="F28" i="1" s="1"/>
  <c r="F31" i="1" s="1"/>
  <c r="E1221" i="1" l="1"/>
  <c r="E1220" i="1"/>
  <c r="E1219" i="1"/>
  <c r="E1218" i="1"/>
  <c r="E1216" i="1"/>
  <c r="E1215" i="1"/>
  <c r="E1214" i="1"/>
  <c r="E1213" i="1"/>
  <c r="E1211" i="1"/>
  <c r="E1210" i="1"/>
  <c r="E1209" i="1"/>
  <c r="E1208" i="1"/>
  <c r="E1206" i="1"/>
  <c r="E1205" i="1"/>
  <c r="E1204" i="1"/>
  <c r="E1203" i="1"/>
  <c r="E1201" i="1"/>
  <c r="E1200" i="1"/>
  <c r="E1199" i="1"/>
  <c r="E1198" i="1"/>
  <c r="E1196" i="1"/>
  <c r="E1195" i="1"/>
  <c r="E1194" i="1"/>
  <c r="E1193" i="1"/>
  <c r="E1191" i="1"/>
  <c r="E1190" i="1"/>
  <c r="E1189" i="1"/>
  <c r="E1188" i="1"/>
  <c r="E1186" i="1"/>
  <c r="E1185" i="1"/>
  <c r="E1184" i="1"/>
  <c r="E1183" i="1"/>
  <c r="E1181" i="1"/>
  <c r="E1180" i="1"/>
  <c r="E1179" i="1"/>
  <c r="E1178" i="1"/>
  <c r="E1176" i="1"/>
  <c r="E1175" i="1"/>
  <c r="E1174" i="1"/>
  <c r="E1173" i="1"/>
  <c r="E1171" i="1"/>
  <c r="E1170" i="1"/>
  <c r="E1169" i="1"/>
  <c r="E1168" i="1"/>
  <c r="E1166" i="1"/>
  <c r="E1165" i="1"/>
  <c r="E1164" i="1"/>
  <c r="E1163" i="1"/>
  <c r="E1161" i="1"/>
  <c r="E1160" i="1"/>
  <c r="E1159" i="1"/>
  <c r="E1158" i="1"/>
  <c r="E1156" i="1"/>
  <c r="E1155" i="1"/>
  <c r="E1154" i="1"/>
  <c r="E1153" i="1"/>
  <c r="E1151" i="1"/>
  <c r="E1150" i="1"/>
  <c r="E1149" i="1"/>
  <c r="E1148" i="1"/>
  <c r="E1146" i="1"/>
  <c r="E1145" i="1"/>
  <c r="E1144" i="1"/>
  <c r="E1143" i="1"/>
  <c r="E1141" i="1"/>
  <c r="E1140" i="1"/>
  <c r="E1139" i="1"/>
  <c r="E1138" i="1"/>
  <c r="E1136" i="1"/>
  <c r="E1135" i="1"/>
  <c r="E1134" i="1"/>
  <c r="E1133" i="1"/>
  <c r="F1131" i="1"/>
  <c r="F1136" i="1" s="1"/>
  <c r="F1141" i="1" s="1"/>
  <c r="F1146" i="1" s="1"/>
  <c r="F1151" i="1" s="1"/>
  <c r="F1156" i="1" s="1"/>
  <c r="F1161" i="1" s="1"/>
  <c r="F1166" i="1" s="1"/>
  <c r="F1171" i="1" s="1"/>
  <c r="F1176" i="1" s="1"/>
  <c r="F1181" i="1" s="1"/>
  <c r="F1186" i="1" s="1"/>
  <c r="F1191" i="1" s="1"/>
  <c r="F1196" i="1" s="1"/>
  <c r="F1201" i="1" s="1"/>
  <c r="F1206" i="1" s="1"/>
  <c r="F1211" i="1" s="1"/>
  <c r="F1216" i="1" s="1"/>
  <c r="F1221" i="1" s="1"/>
  <c r="F1130" i="1"/>
  <c r="F1135" i="1" s="1"/>
  <c r="F1140" i="1" s="1"/>
  <c r="F1145" i="1" s="1"/>
  <c r="F1150" i="1" s="1"/>
  <c r="F1155" i="1" s="1"/>
  <c r="F1160" i="1" s="1"/>
  <c r="F1165" i="1" s="1"/>
  <c r="F1170" i="1" s="1"/>
  <c r="F1175" i="1" s="1"/>
  <c r="F1180" i="1" s="1"/>
  <c r="F1185" i="1" s="1"/>
  <c r="F1190" i="1" s="1"/>
  <c r="F1195" i="1" s="1"/>
  <c r="F1200" i="1" s="1"/>
  <c r="F1205" i="1" s="1"/>
  <c r="F1210" i="1" s="1"/>
  <c r="F1215" i="1" s="1"/>
  <c r="F1220" i="1" s="1"/>
  <c r="F1129" i="1"/>
  <c r="F1134" i="1" s="1"/>
  <c r="F1139" i="1" s="1"/>
  <c r="F1144" i="1" s="1"/>
  <c r="F1149" i="1" s="1"/>
  <c r="F1154" i="1" s="1"/>
  <c r="F1159" i="1" s="1"/>
  <c r="F1164" i="1" s="1"/>
  <c r="F1169" i="1" s="1"/>
  <c r="F1174" i="1" s="1"/>
  <c r="F1179" i="1" s="1"/>
  <c r="F1184" i="1" s="1"/>
  <c r="F1189" i="1" s="1"/>
  <c r="F1194" i="1" s="1"/>
  <c r="F1199" i="1" s="1"/>
  <c r="F1204" i="1" s="1"/>
  <c r="F1209" i="1" s="1"/>
  <c r="F1214" i="1" s="1"/>
  <c r="F1219" i="1" s="1"/>
  <c r="F1128" i="1"/>
  <c r="F1133" i="1" s="1"/>
  <c r="F1138" i="1" s="1"/>
  <c r="F1143" i="1" s="1"/>
  <c r="F1148" i="1" s="1"/>
  <c r="F1153" i="1" s="1"/>
  <c r="F1158" i="1" s="1"/>
  <c r="F1163" i="1" s="1"/>
  <c r="F1168" i="1" s="1"/>
  <c r="F1173" i="1" s="1"/>
  <c r="F1178" i="1" s="1"/>
  <c r="F1183" i="1" s="1"/>
  <c r="F1188" i="1" s="1"/>
  <c r="F1193" i="1" s="1"/>
  <c r="F1198" i="1" s="1"/>
  <c r="F1203" i="1" s="1"/>
  <c r="F1208" i="1" s="1"/>
  <c r="F1213" i="1" s="1"/>
  <c r="F1218" i="1" s="1"/>
  <c r="A1128" i="1"/>
  <c r="A1133" i="1" s="1"/>
  <c r="A1138" i="1" s="1"/>
  <c r="A1143" i="1" s="1"/>
  <c r="A1148" i="1" s="1"/>
  <c r="A1153" i="1" s="1"/>
  <c r="A1158" i="1" s="1"/>
  <c r="A1163" i="1" s="1"/>
  <c r="A1168" i="1" s="1"/>
  <c r="A1173" i="1" s="1"/>
  <c r="A1178" i="1" s="1"/>
  <c r="A1183" i="1" s="1"/>
  <c r="A1188" i="1" s="1"/>
  <c r="A1193" i="1" s="1"/>
  <c r="A1198" i="1" s="1"/>
  <c r="A1203" i="1" s="1"/>
  <c r="A1208" i="1" s="1"/>
  <c r="A1213" i="1" s="1"/>
  <c r="A1218" i="1" s="1"/>
  <c r="A1223" i="1" s="1"/>
  <c r="A1228" i="1" s="1"/>
  <c r="A1233" i="1" s="1"/>
  <c r="A1238" i="1" s="1"/>
  <c r="E1131" i="1"/>
  <c r="E1130" i="1"/>
  <c r="E1129" i="1"/>
  <c r="E1128" i="1"/>
  <c r="E1126" i="1"/>
  <c r="E1125" i="1"/>
  <c r="E1124" i="1"/>
  <c r="E1123" i="1"/>
  <c r="E1097" i="1"/>
  <c r="E1096" i="1"/>
  <c r="E1095" i="1"/>
  <c r="E1094" i="1"/>
  <c r="E1093" i="1"/>
  <c r="E1091" i="1"/>
  <c r="E1090" i="1"/>
  <c r="E1089" i="1"/>
  <c r="E1088" i="1"/>
  <c r="E1087" i="1"/>
  <c r="E1085" i="1"/>
  <c r="E1084" i="1"/>
  <c r="E1083" i="1"/>
  <c r="E1082" i="1"/>
  <c r="E1081" i="1"/>
  <c r="E1079" i="1"/>
  <c r="E1078" i="1"/>
  <c r="E1077" i="1"/>
  <c r="E1076" i="1"/>
  <c r="E1075" i="1"/>
  <c r="E1073" i="1"/>
  <c r="E1072" i="1"/>
  <c r="E1071" i="1"/>
  <c r="E1070" i="1"/>
  <c r="E1069" i="1"/>
  <c r="E1067" i="1"/>
  <c r="E1066" i="1"/>
  <c r="E1065" i="1"/>
  <c r="E1064" i="1"/>
  <c r="E1063" i="1"/>
  <c r="E1061" i="1"/>
  <c r="E1060" i="1"/>
  <c r="E1059" i="1"/>
  <c r="E1058" i="1"/>
  <c r="E1057" i="1"/>
  <c r="E1055" i="1"/>
  <c r="E1054" i="1"/>
  <c r="E1053" i="1"/>
  <c r="E1052" i="1"/>
  <c r="E1051" i="1"/>
  <c r="E1049" i="1"/>
  <c r="E1048" i="1"/>
  <c r="E1047" i="1"/>
  <c r="E1046" i="1"/>
  <c r="E1045" i="1"/>
  <c r="E1043" i="1"/>
  <c r="E1042" i="1"/>
  <c r="E1041" i="1"/>
  <c r="E1040" i="1"/>
  <c r="E1039" i="1"/>
  <c r="E1037" i="1"/>
  <c r="E1036" i="1"/>
  <c r="E1035" i="1"/>
  <c r="E1034" i="1"/>
  <c r="E1033" i="1"/>
  <c r="E1031" i="1"/>
  <c r="E1030" i="1"/>
  <c r="E1029" i="1"/>
  <c r="E1028" i="1"/>
  <c r="E1027" i="1"/>
  <c r="E1025" i="1"/>
  <c r="E1024" i="1"/>
  <c r="E1023" i="1"/>
  <c r="E1022" i="1"/>
  <c r="E1021" i="1"/>
  <c r="E1019" i="1"/>
  <c r="E1018" i="1"/>
  <c r="E1017" i="1"/>
  <c r="E1016" i="1"/>
  <c r="E1015" i="1"/>
  <c r="E1013" i="1"/>
  <c r="E1012" i="1"/>
  <c r="E1011" i="1"/>
  <c r="E1010" i="1"/>
  <c r="E1009" i="1"/>
  <c r="E1007" i="1"/>
  <c r="E1006" i="1"/>
  <c r="E1005" i="1"/>
  <c r="E1004" i="1"/>
  <c r="E1003" i="1"/>
  <c r="E1001" i="1"/>
  <c r="E1000" i="1"/>
  <c r="E999" i="1"/>
  <c r="E998" i="1"/>
  <c r="E997" i="1"/>
  <c r="E995" i="1"/>
  <c r="E994" i="1"/>
  <c r="E993" i="1"/>
  <c r="E992" i="1"/>
  <c r="E991" i="1"/>
  <c r="F989" i="1"/>
  <c r="F995" i="1" s="1"/>
  <c r="F1001" i="1" s="1"/>
  <c r="F1007" i="1" s="1"/>
  <c r="F1013" i="1" s="1"/>
  <c r="F1019" i="1" s="1"/>
  <c r="F1025" i="1" s="1"/>
  <c r="F1031" i="1" s="1"/>
  <c r="F1037" i="1" s="1"/>
  <c r="F1043" i="1" s="1"/>
  <c r="F1049" i="1" s="1"/>
  <c r="F1055" i="1" s="1"/>
  <c r="F1061" i="1" s="1"/>
  <c r="F1067" i="1" s="1"/>
  <c r="F1073" i="1" s="1"/>
  <c r="F1079" i="1" s="1"/>
  <c r="F1085" i="1" s="1"/>
  <c r="F1091" i="1" s="1"/>
  <c r="F1097" i="1" s="1"/>
  <c r="F986" i="1"/>
  <c r="F992" i="1" s="1"/>
  <c r="F998" i="1" s="1"/>
  <c r="F1004" i="1" s="1"/>
  <c r="F1010" i="1" s="1"/>
  <c r="F1016" i="1" s="1"/>
  <c r="F1022" i="1" s="1"/>
  <c r="F1028" i="1" s="1"/>
  <c r="F1034" i="1" s="1"/>
  <c r="F1040" i="1" s="1"/>
  <c r="F1046" i="1" s="1"/>
  <c r="F1052" i="1" s="1"/>
  <c r="F1058" i="1" s="1"/>
  <c r="F1064" i="1" s="1"/>
  <c r="F1070" i="1" s="1"/>
  <c r="F1076" i="1" s="1"/>
  <c r="F1082" i="1" s="1"/>
  <c r="F1088" i="1" s="1"/>
  <c r="F1094" i="1" s="1"/>
  <c r="F987" i="1"/>
  <c r="F993" i="1" s="1"/>
  <c r="F999" i="1" s="1"/>
  <c r="F1005" i="1" s="1"/>
  <c r="F1011" i="1" s="1"/>
  <c r="F1017" i="1" s="1"/>
  <c r="F1023" i="1" s="1"/>
  <c r="F1029" i="1" s="1"/>
  <c r="F1035" i="1" s="1"/>
  <c r="F1041" i="1" s="1"/>
  <c r="F1047" i="1" s="1"/>
  <c r="F1053" i="1" s="1"/>
  <c r="F1059" i="1" s="1"/>
  <c r="F1065" i="1" s="1"/>
  <c r="F1071" i="1" s="1"/>
  <c r="F1077" i="1" s="1"/>
  <c r="F1083" i="1" s="1"/>
  <c r="F1089" i="1" s="1"/>
  <c r="F1095" i="1" s="1"/>
  <c r="F988" i="1"/>
  <c r="F994" i="1" s="1"/>
  <c r="F1000" i="1" s="1"/>
  <c r="F1006" i="1" s="1"/>
  <c r="F1012" i="1" s="1"/>
  <c r="F1018" i="1" s="1"/>
  <c r="F1024" i="1" s="1"/>
  <c r="F1030" i="1" s="1"/>
  <c r="F1036" i="1" s="1"/>
  <c r="F1042" i="1" s="1"/>
  <c r="F1048" i="1" s="1"/>
  <c r="F1054" i="1" s="1"/>
  <c r="F1060" i="1" s="1"/>
  <c r="F1066" i="1" s="1"/>
  <c r="F1072" i="1" s="1"/>
  <c r="F1078" i="1" s="1"/>
  <c r="F1084" i="1" s="1"/>
  <c r="F1090" i="1" s="1"/>
  <c r="F1096" i="1" s="1"/>
  <c r="F985" i="1"/>
  <c r="F991" i="1" s="1"/>
  <c r="F997" i="1" s="1"/>
  <c r="F1003" i="1" s="1"/>
  <c r="F1009" i="1" s="1"/>
  <c r="F1015" i="1" s="1"/>
  <c r="F1021" i="1" s="1"/>
  <c r="F1027" i="1" s="1"/>
  <c r="F1033" i="1" s="1"/>
  <c r="F1039" i="1" s="1"/>
  <c r="F1045" i="1" s="1"/>
  <c r="F1051" i="1" s="1"/>
  <c r="F1057" i="1" s="1"/>
  <c r="F1063" i="1" s="1"/>
  <c r="F1069" i="1" s="1"/>
  <c r="F1075" i="1" s="1"/>
  <c r="F1081" i="1" s="1"/>
  <c r="F1087" i="1" s="1"/>
  <c r="F1093" i="1" s="1"/>
  <c r="A985" i="1"/>
  <c r="A991" i="1" s="1"/>
  <c r="A997" i="1" s="1"/>
  <c r="A1003" i="1" s="1"/>
  <c r="A1009" i="1" s="1"/>
  <c r="A1015" i="1" s="1"/>
  <c r="A1021" i="1" s="1"/>
  <c r="A1027" i="1" s="1"/>
  <c r="A1033" i="1" s="1"/>
  <c r="A1039" i="1" s="1"/>
  <c r="A1045" i="1" s="1"/>
  <c r="A1051" i="1" s="1"/>
  <c r="A1057" i="1" s="1"/>
  <c r="A1063" i="1" s="1"/>
  <c r="A1069" i="1" s="1"/>
  <c r="A1075" i="1" s="1"/>
  <c r="A1081" i="1" s="1"/>
  <c r="A1087" i="1" s="1"/>
  <c r="A1093" i="1" s="1"/>
  <c r="E989" i="1"/>
  <c r="E988" i="1"/>
  <c r="E987" i="1"/>
  <c r="E986" i="1"/>
  <c r="E985" i="1"/>
  <c r="E983" i="1"/>
  <c r="E982" i="1"/>
  <c r="E981" i="1"/>
  <c r="E980" i="1"/>
  <c r="E979" i="1"/>
  <c r="E976" i="1"/>
  <c r="E975" i="1"/>
  <c r="E974" i="1"/>
  <c r="E973" i="1"/>
  <c r="E970" i="1"/>
  <c r="E969" i="1"/>
  <c r="E968" i="1"/>
  <c r="E967" i="1"/>
  <c r="E964" i="1"/>
  <c r="E963" i="1"/>
  <c r="E962" i="1"/>
  <c r="E961" i="1"/>
  <c r="E958" i="1"/>
  <c r="E957" i="1"/>
  <c r="E956" i="1"/>
  <c r="E955" i="1"/>
  <c r="E952" i="1"/>
  <c r="E951" i="1"/>
  <c r="E950" i="1"/>
  <c r="E949" i="1"/>
  <c r="E946" i="1"/>
  <c r="E945" i="1"/>
  <c r="E944" i="1"/>
  <c r="E943" i="1"/>
  <c r="E940" i="1"/>
  <c r="E939" i="1"/>
  <c r="E938" i="1"/>
  <c r="E937" i="1"/>
  <c r="E934" i="1"/>
  <c r="E933" i="1"/>
  <c r="E932" i="1"/>
  <c r="E931" i="1"/>
  <c r="E928" i="1"/>
  <c r="E927" i="1"/>
  <c r="E926" i="1"/>
  <c r="E925" i="1"/>
  <c r="E922" i="1"/>
  <c r="E921" i="1"/>
  <c r="E920" i="1"/>
  <c r="E919" i="1"/>
  <c r="E916" i="1"/>
  <c r="E915" i="1"/>
  <c r="E914" i="1"/>
  <c r="E913" i="1"/>
  <c r="E910" i="1"/>
  <c r="E909" i="1"/>
  <c r="E908" i="1"/>
  <c r="E907" i="1"/>
  <c r="E904" i="1"/>
  <c r="E903" i="1"/>
  <c r="E902" i="1"/>
  <c r="E901" i="1"/>
  <c r="E898" i="1"/>
  <c r="E897" i="1"/>
  <c r="E896" i="1"/>
  <c r="E895" i="1"/>
  <c r="E892" i="1"/>
  <c r="E891" i="1"/>
  <c r="E890" i="1"/>
  <c r="E889" i="1"/>
  <c r="E886" i="1"/>
  <c r="E885" i="1"/>
  <c r="E884" i="1"/>
  <c r="E883" i="1"/>
  <c r="E880" i="1"/>
  <c r="E879" i="1"/>
  <c r="E878" i="1"/>
  <c r="E877" i="1"/>
  <c r="E874" i="1"/>
  <c r="E873" i="1"/>
  <c r="E872" i="1"/>
  <c r="E871" i="1"/>
  <c r="E868" i="1"/>
  <c r="E867" i="1"/>
  <c r="E866" i="1"/>
  <c r="E865" i="1"/>
  <c r="E861" i="1"/>
  <c r="E860" i="1"/>
  <c r="E859" i="1"/>
  <c r="E856" i="1"/>
  <c r="E855" i="1"/>
  <c r="E854" i="1"/>
  <c r="E851" i="1"/>
  <c r="E850" i="1"/>
  <c r="E849" i="1"/>
  <c r="E846" i="1"/>
  <c r="E845" i="1"/>
  <c r="E844" i="1"/>
  <c r="E841" i="1"/>
  <c r="E840" i="1"/>
  <c r="E839" i="1"/>
  <c r="E836" i="1"/>
  <c r="E835" i="1"/>
  <c r="E834" i="1"/>
  <c r="E830" i="1"/>
  <c r="E829" i="1"/>
  <c r="E826" i="1"/>
  <c r="E825" i="1"/>
  <c r="E822" i="1"/>
  <c r="E821" i="1"/>
  <c r="E818" i="1"/>
  <c r="E817" i="1"/>
  <c r="E804" i="1"/>
  <c r="E803" i="1"/>
  <c r="E802" i="1"/>
  <c r="E801" i="1"/>
  <c r="E792" i="1"/>
  <c r="E791" i="1"/>
  <c r="E790" i="1"/>
  <c r="E789" i="1"/>
  <c r="E780" i="1"/>
  <c r="E779" i="1"/>
  <c r="E778" i="1"/>
  <c r="E777" i="1"/>
  <c r="E768" i="1"/>
  <c r="E767" i="1"/>
  <c r="E766" i="1"/>
  <c r="E765" i="1"/>
  <c r="E756" i="1"/>
  <c r="E755" i="1"/>
  <c r="E754" i="1"/>
  <c r="E753" i="1"/>
  <c r="E744" i="1"/>
  <c r="E743" i="1"/>
  <c r="E742" i="1"/>
  <c r="E741" i="1"/>
  <c r="E732" i="1"/>
  <c r="E731" i="1"/>
  <c r="E730" i="1"/>
  <c r="E729" i="1"/>
  <c r="E720" i="1"/>
  <c r="E719" i="1"/>
  <c r="E718" i="1"/>
  <c r="E717" i="1"/>
  <c r="E708" i="1"/>
  <c r="E707" i="1"/>
  <c r="E706" i="1"/>
  <c r="E705" i="1"/>
  <c r="E696" i="1"/>
  <c r="E695" i="1"/>
  <c r="E694" i="1"/>
  <c r="E693" i="1"/>
  <c r="E684" i="1"/>
  <c r="E683" i="1"/>
  <c r="E682" i="1"/>
  <c r="E681" i="1"/>
  <c r="E672" i="1"/>
  <c r="E671" i="1"/>
  <c r="E670" i="1"/>
  <c r="E669" i="1"/>
  <c r="E660" i="1"/>
  <c r="E659" i="1"/>
  <c r="E658" i="1"/>
  <c r="E657" i="1"/>
  <c r="E648" i="1"/>
  <c r="E647" i="1"/>
  <c r="E646" i="1"/>
  <c r="E645" i="1"/>
  <c r="E636" i="1"/>
  <c r="E635" i="1"/>
  <c r="E634" i="1"/>
  <c r="E633" i="1"/>
  <c r="E624" i="1"/>
  <c r="E623" i="1"/>
  <c r="E622" i="1"/>
  <c r="E621" i="1"/>
  <c r="E612" i="1"/>
  <c r="E611" i="1"/>
  <c r="E610" i="1"/>
  <c r="E609" i="1"/>
  <c r="E600" i="1"/>
  <c r="E599" i="1"/>
  <c r="E598" i="1"/>
  <c r="E597" i="1"/>
  <c r="E588" i="1"/>
  <c r="E587" i="1"/>
  <c r="E586" i="1"/>
  <c r="E585" i="1"/>
  <c r="E575" i="1"/>
  <c r="E574" i="1"/>
  <c r="E573" i="1"/>
  <c r="E564" i="1"/>
  <c r="E563" i="1"/>
  <c r="E562" i="1"/>
  <c r="E553" i="1"/>
  <c r="E552" i="1"/>
  <c r="E551" i="1"/>
  <c r="E542" i="1"/>
  <c r="E541" i="1"/>
  <c r="E540" i="1"/>
  <c r="E531" i="1"/>
  <c r="E530" i="1"/>
  <c r="E529" i="1"/>
  <c r="E520" i="1"/>
  <c r="E519" i="1"/>
  <c r="E518" i="1"/>
  <c r="E498" i="1"/>
  <c r="E497" i="1"/>
  <c r="E467" i="1"/>
  <c r="E468" i="1"/>
  <c r="E469" i="1"/>
  <c r="E470" i="1"/>
  <c r="E471" i="1"/>
  <c r="E477" i="1"/>
  <c r="E478" i="1"/>
  <c r="E479" i="1"/>
  <c r="E480" i="1"/>
  <c r="E481" i="1"/>
  <c r="E487" i="1"/>
  <c r="E488" i="1"/>
  <c r="E489" i="1"/>
  <c r="E490" i="1"/>
  <c r="E491" i="1"/>
  <c r="E499" i="1"/>
  <c r="E500" i="1"/>
  <c r="E521" i="1"/>
  <c r="E522" i="1"/>
  <c r="E532" i="1"/>
  <c r="E533" i="1"/>
  <c r="E543" i="1"/>
  <c r="E544" i="1"/>
  <c r="E554" i="1"/>
  <c r="E555" i="1"/>
  <c r="E565" i="1"/>
  <c r="E566" i="1"/>
  <c r="E576" i="1"/>
  <c r="E577" i="1"/>
  <c r="E578" i="1"/>
  <c r="E589" i="1"/>
  <c r="E590" i="1"/>
  <c r="E601" i="1"/>
  <c r="E602" i="1"/>
  <c r="E613" i="1"/>
  <c r="E614" i="1"/>
  <c r="E625" i="1"/>
  <c r="E626" i="1"/>
  <c r="E637" i="1"/>
  <c r="E638" i="1"/>
  <c r="E649" i="1"/>
  <c r="E650" i="1"/>
  <c r="E661" i="1"/>
  <c r="E662" i="1"/>
  <c r="E673" i="1"/>
  <c r="E674" i="1"/>
  <c r="E685" i="1"/>
  <c r="E686" i="1"/>
  <c r="E697" i="1"/>
  <c r="E698" i="1"/>
  <c r="E709" i="1"/>
  <c r="E710" i="1"/>
  <c r="E721" i="1"/>
  <c r="E722" i="1"/>
  <c r="E733" i="1"/>
  <c r="E734" i="1"/>
  <c r="E745" i="1"/>
  <c r="E746" i="1"/>
  <c r="E757" i="1"/>
  <c r="E758" i="1"/>
  <c r="E769" i="1"/>
  <c r="E770" i="1"/>
  <c r="E781" i="1"/>
  <c r="E782" i="1"/>
  <c r="E793" i="1"/>
  <c r="E794" i="1"/>
  <c r="E805" i="1"/>
  <c r="E806" i="1"/>
  <c r="E813" i="1"/>
  <c r="E814" i="1"/>
  <c r="E815" i="1"/>
  <c r="E816" i="1"/>
  <c r="E819" i="1"/>
  <c r="E820" i="1"/>
  <c r="E823" i="1"/>
  <c r="E824" i="1"/>
  <c r="E827" i="1"/>
  <c r="E828" i="1"/>
  <c r="E831" i="1"/>
  <c r="E832" i="1"/>
  <c r="E833" i="1"/>
  <c r="E837" i="1"/>
  <c r="E838" i="1"/>
  <c r="E842" i="1"/>
  <c r="E843" i="1"/>
  <c r="E847" i="1"/>
  <c r="E848" i="1"/>
  <c r="E852" i="1"/>
  <c r="E853" i="1"/>
  <c r="E857" i="1"/>
  <c r="E858" i="1"/>
  <c r="E862" i="1"/>
  <c r="E863" i="1"/>
  <c r="E864" i="1"/>
  <c r="E869" i="1"/>
  <c r="E870" i="1"/>
  <c r="E875" i="1"/>
  <c r="E876" i="1"/>
  <c r="E881" i="1"/>
  <c r="E882" i="1"/>
  <c r="E887" i="1"/>
  <c r="E888" i="1"/>
  <c r="E893" i="1"/>
  <c r="E894" i="1"/>
  <c r="E899" i="1"/>
  <c r="E900" i="1"/>
  <c r="E905" i="1"/>
  <c r="E906" i="1"/>
  <c r="E911" i="1"/>
  <c r="E912" i="1"/>
  <c r="E917" i="1"/>
  <c r="E918" i="1"/>
  <c r="E923" i="1"/>
  <c r="E924" i="1"/>
  <c r="E929" i="1"/>
  <c r="E930" i="1"/>
  <c r="E935" i="1"/>
  <c r="E936" i="1"/>
  <c r="E941" i="1"/>
  <c r="E942" i="1"/>
  <c r="E947" i="1"/>
  <c r="E948" i="1"/>
  <c r="E953" i="1"/>
  <c r="E954" i="1"/>
  <c r="E959" i="1"/>
  <c r="E960" i="1"/>
  <c r="E965" i="1"/>
  <c r="E966" i="1"/>
  <c r="E971" i="1"/>
  <c r="E972" i="1"/>
  <c r="E977" i="1"/>
  <c r="E978" i="1"/>
  <c r="C5" i="1"/>
  <c r="C6" i="1"/>
  <c r="C8" i="1"/>
  <c r="C9" i="1"/>
  <c r="C11" i="1"/>
  <c r="C12" i="1"/>
  <c r="C14" i="1"/>
  <c r="C15" i="1"/>
  <c r="C17" i="1"/>
  <c r="C18" i="1"/>
  <c r="C20" i="1"/>
  <c r="C21" i="1"/>
  <c r="C23" i="1"/>
  <c r="C24" i="1"/>
  <c r="C26" i="1"/>
  <c r="C27" i="1"/>
  <c r="C29" i="1"/>
  <c r="C30" i="1"/>
  <c r="C32" i="1"/>
  <c r="C33" i="1"/>
  <c r="C35" i="1"/>
  <c r="C36" i="1"/>
  <c r="C38" i="1"/>
  <c r="C39" i="1"/>
  <c r="C41" i="1"/>
  <c r="C42" i="1"/>
  <c r="C44" i="1"/>
  <c r="C45" i="1"/>
  <c r="C47" i="1"/>
  <c r="C48" i="1"/>
  <c r="C50" i="1"/>
  <c r="C51" i="1"/>
  <c r="C53" i="1"/>
  <c r="C54" i="1"/>
  <c r="C56" i="1"/>
  <c r="C57" i="1"/>
  <c r="C59" i="1"/>
  <c r="C60" i="1"/>
  <c r="C62" i="1"/>
  <c r="C63" i="1"/>
  <c r="C65" i="1"/>
  <c r="C66" i="1"/>
  <c r="C67" i="1"/>
  <c r="C69" i="1"/>
  <c r="C70" i="1"/>
  <c r="C71" i="1"/>
  <c r="C73" i="1"/>
  <c r="C74" i="1"/>
  <c r="C75" i="1"/>
  <c r="C77" i="1"/>
  <c r="C78" i="1"/>
  <c r="C79" i="1"/>
  <c r="C81" i="1"/>
  <c r="C82" i="1"/>
  <c r="C83" i="1"/>
  <c r="C85" i="1"/>
  <c r="C86" i="1"/>
  <c r="C87" i="1"/>
  <c r="C89" i="1"/>
  <c r="C90" i="1"/>
  <c r="C91" i="1"/>
  <c r="C93" i="1"/>
  <c r="C94" i="1"/>
  <c r="C95" i="1"/>
  <c r="C97" i="1"/>
  <c r="C98" i="1"/>
  <c r="C99" i="1"/>
  <c r="C101" i="1"/>
  <c r="C102" i="1"/>
  <c r="C103" i="1"/>
  <c r="C117" i="1"/>
  <c r="C119" i="1"/>
  <c r="C121" i="1"/>
  <c r="C123" i="1"/>
  <c r="C125" i="1"/>
  <c r="C127" i="1"/>
  <c r="C129" i="1"/>
  <c r="C131" i="1"/>
  <c r="C133" i="1"/>
  <c r="C135" i="1"/>
  <c r="C137" i="1"/>
  <c r="C139" i="1"/>
  <c r="C141" i="1"/>
  <c r="C143" i="1"/>
  <c r="C145" i="1"/>
  <c r="C147" i="1"/>
  <c r="C149" i="1"/>
  <c r="C151" i="1"/>
  <c r="C153" i="1"/>
  <c r="C155" i="1"/>
  <c r="C157" i="1"/>
  <c r="C159" i="1"/>
  <c r="C161" i="1"/>
  <c r="C163" i="1"/>
  <c r="C165" i="1"/>
  <c r="C167" i="1"/>
  <c r="C169" i="1"/>
  <c r="C171" i="1"/>
  <c r="C173" i="1"/>
  <c r="C175" i="1"/>
  <c r="C177" i="1"/>
  <c r="C179" i="1"/>
  <c r="C181" i="1"/>
  <c r="C183" i="1"/>
  <c r="C185" i="1"/>
  <c r="C187" i="1"/>
  <c r="C189" i="1"/>
  <c r="C191" i="1"/>
  <c r="C193" i="1"/>
  <c r="C195" i="1"/>
  <c r="C197" i="1"/>
  <c r="C199" i="1"/>
  <c r="C201" i="1"/>
  <c r="C203" i="1"/>
  <c r="C205" i="1"/>
  <c r="C207" i="1"/>
  <c r="C209" i="1"/>
  <c r="C211" i="1"/>
  <c r="C213" i="1"/>
  <c r="C215" i="1"/>
  <c r="C217" i="1"/>
  <c r="C219" i="1"/>
  <c r="C221" i="1"/>
  <c r="C223" i="1"/>
  <c r="C225" i="1"/>
  <c r="C227" i="1"/>
  <c r="C229" i="1"/>
  <c r="C231" i="1"/>
  <c r="C233" i="1"/>
  <c r="C235" i="1"/>
  <c r="C237" i="1"/>
  <c r="C239" i="1"/>
  <c r="C241" i="1"/>
  <c r="C243" i="1"/>
  <c r="C245" i="1"/>
  <c r="C247" i="1"/>
  <c r="C249" i="1"/>
  <c r="C251" i="1"/>
  <c r="C253" i="1"/>
  <c r="C255" i="1"/>
  <c r="C257" i="1"/>
  <c r="C259" i="1"/>
  <c r="C261" i="1"/>
  <c r="C263" i="1"/>
  <c r="C265" i="1"/>
  <c r="C267" i="1"/>
  <c r="C269" i="1"/>
  <c r="C271" i="1"/>
  <c r="C273" i="1"/>
  <c r="C275" i="1"/>
  <c r="C277" i="1"/>
  <c r="C279" i="1"/>
  <c r="C281" i="1"/>
  <c r="C283" i="1"/>
  <c r="C285" i="1"/>
  <c r="C287" i="1"/>
  <c r="C289" i="1"/>
  <c r="C291" i="1"/>
  <c r="C293" i="1"/>
  <c r="C295" i="1"/>
  <c r="C297" i="1"/>
  <c r="C299" i="1"/>
  <c r="C301" i="1"/>
  <c r="C303" i="1"/>
  <c r="C305" i="1"/>
  <c r="C307" i="1"/>
  <c r="C309" i="1"/>
  <c r="C311" i="1"/>
  <c r="C313" i="1"/>
  <c r="C315" i="1"/>
  <c r="C317" i="1"/>
  <c r="C319" i="1"/>
  <c r="C321" i="1"/>
  <c r="C323" i="1"/>
  <c r="C325" i="1"/>
  <c r="C327" i="1"/>
  <c r="C329" i="1"/>
  <c r="C331" i="1"/>
  <c r="C333" i="1"/>
  <c r="C335" i="1"/>
  <c r="C337" i="1"/>
  <c r="C339" i="1"/>
  <c r="C341" i="1"/>
  <c r="C343" i="1"/>
  <c r="C345" i="1"/>
  <c r="C347" i="1"/>
  <c r="C349" i="1"/>
  <c r="C351" i="1"/>
  <c r="C353" i="1"/>
  <c r="C355" i="1"/>
  <c r="C357" i="1"/>
  <c r="C359" i="1"/>
  <c r="C361" i="1"/>
  <c r="C363" i="1"/>
  <c r="C365" i="1"/>
  <c r="C367" i="1"/>
  <c r="C369" i="1"/>
  <c r="C371" i="1"/>
  <c r="C373" i="1"/>
  <c r="C375" i="1"/>
  <c r="C377" i="1"/>
  <c r="C379" i="1"/>
  <c r="C381" i="1"/>
  <c r="C383" i="1"/>
  <c r="C385" i="1"/>
  <c r="C387" i="1"/>
  <c r="C389" i="1"/>
  <c r="C391" i="1"/>
  <c r="C393" i="1"/>
  <c r="C395" i="1"/>
  <c r="C397" i="1"/>
  <c r="C400" i="1"/>
  <c r="C403" i="1"/>
  <c r="C406" i="1"/>
  <c r="C409" i="1"/>
  <c r="C412" i="1"/>
  <c r="C415" i="1"/>
  <c r="C418" i="1"/>
  <c r="C421" i="1"/>
  <c r="C424" i="1"/>
  <c r="C428" i="1"/>
  <c r="C432" i="1"/>
  <c r="C436" i="1"/>
  <c r="C439" i="1"/>
  <c r="C443" i="1"/>
  <c r="C447" i="1"/>
  <c r="C2382" i="1"/>
  <c r="C2383" i="1"/>
  <c r="C2385" i="1"/>
  <c r="C2386" i="1"/>
  <c r="C2388" i="1"/>
  <c r="C2389" i="1"/>
  <c r="C2391" i="1"/>
  <c r="C2392" i="1"/>
  <c r="C2393" i="1"/>
  <c r="C2395" i="1"/>
  <c r="C2396" i="1"/>
  <c r="C2397" i="1"/>
  <c r="C2399" i="1"/>
  <c r="C2400" i="1"/>
  <c r="C2401" i="1"/>
  <c r="C2403" i="1"/>
  <c r="C2404" i="1"/>
  <c r="C2405" i="1"/>
  <c r="C2407" i="1"/>
  <c r="C2408" i="1"/>
  <c r="C2409" i="1"/>
  <c r="C2411" i="1"/>
  <c r="C2412" i="1"/>
  <c r="C2413" i="1"/>
  <c r="C2415" i="1"/>
  <c r="C2416" i="1"/>
  <c r="C2417" i="1"/>
  <c r="C2418" i="1"/>
  <c r="C2420" i="1"/>
  <c r="C2421" i="1"/>
  <c r="C2422" i="1"/>
  <c r="C2423" i="1"/>
  <c r="C2425" i="1"/>
  <c r="C2426" i="1"/>
  <c r="C2427" i="1"/>
  <c r="C2428" i="1"/>
  <c r="C2430" i="1"/>
  <c r="C2431" i="1"/>
  <c r="C2432" i="1"/>
  <c r="C2433" i="1"/>
  <c r="C2435" i="1"/>
  <c r="C2436" i="1"/>
  <c r="C2437" i="1"/>
  <c r="C2438" i="1"/>
  <c r="C2440" i="1"/>
  <c r="C2441" i="1"/>
  <c r="C2442" i="1"/>
  <c r="C2443" i="1"/>
  <c r="C2445" i="1"/>
  <c r="C2446" i="1"/>
  <c r="C2447" i="1"/>
  <c r="C2448" i="1"/>
  <c r="C2450" i="1"/>
  <c r="C2451" i="1"/>
  <c r="C2452" i="1"/>
  <c r="C2453" i="1"/>
  <c r="C2455" i="1"/>
  <c r="C2456" i="1"/>
  <c r="C2457" i="1"/>
  <c r="C2458" i="1"/>
  <c r="C2460" i="1"/>
  <c r="C2461" i="1"/>
  <c r="C2462" i="1"/>
  <c r="C2463" i="1"/>
  <c r="C2465" i="1"/>
  <c r="C2466" i="1"/>
  <c r="C2467" i="1"/>
  <c r="C2468" i="1"/>
  <c r="C2470" i="1"/>
  <c r="C2471" i="1"/>
  <c r="C2472" i="1"/>
  <c r="C2473" i="1"/>
  <c r="C2475" i="1"/>
  <c r="C2476" i="1"/>
  <c r="C2477" i="1"/>
  <c r="C2478" i="1"/>
  <c r="C2480" i="1"/>
  <c r="C2481" i="1"/>
  <c r="C2482" i="1"/>
  <c r="C2483" i="1"/>
  <c r="C2485" i="1"/>
  <c r="C2486" i="1"/>
  <c r="C2487" i="1"/>
  <c r="C2488" i="1"/>
  <c r="C2490" i="1"/>
  <c r="C2491" i="1"/>
  <c r="C2492" i="1"/>
  <c r="C2493" i="1"/>
  <c r="C2495" i="1"/>
  <c r="C2496" i="1"/>
  <c r="C2497" i="1"/>
  <c r="C2498" i="1"/>
  <c r="C2500" i="1"/>
  <c r="C2501" i="1"/>
  <c r="C2502" i="1"/>
  <c r="C2503" i="1"/>
  <c r="C2505" i="1"/>
  <c r="C2506" i="1"/>
  <c r="C2507" i="1"/>
  <c r="C2508" i="1"/>
  <c r="C2510" i="1"/>
  <c r="C2511" i="1"/>
  <c r="C2512" i="1"/>
  <c r="C2513" i="1"/>
  <c r="C2515" i="1"/>
  <c r="C2516" i="1"/>
  <c r="C2517" i="1"/>
  <c r="C2518" i="1"/>
  <c r="C2520" i="1"/>
  <c r="C2521" i="1"/>
  <c r="C2522" i="1"/>
  <c r="C2523" i="1"/>
  <c r="C2525" i="1"/>
  <c r="C2526" i="1"/>
  <c r="C2527" i="1"/>
  <c r="C2528" i="1"/>
  <c r="C2530" i="1"/>
  <c r="C2531" i="1"/>
  <c r="C2532" i="1"/>
  <c r="C2533" i="1"/>
  <c r="C2535" i="1"/>
  <c r="C2536" i="1"/>
  <c r="C2537" i="1"/>
  <c r="C2538" i="1"/>
  <c r="C2541" i="1"/>
  <c r="C2542" i="1"/>
  <c r="C2543" i="1"/>
  <c r="C2544" i="1"/>
  <c r="C2545" i="1"/>
  <c r="C2547" i="1"/>
  <c r="C2548" i="1"/>
  <c r="C2549" i="1"/>
  <c r="C2550" i="1"/>
  <c r="C2551" i="1"/>
  <c r="C2553" i="1"/>
  <c r="C2554" i="1"/>
  <c r="C2555" i="1"/>
  <c r="C2556" i="1"/>
  <c r="C2557" i="1"/>
  <c r="C2559" i="1"/>
  <c r="C2560" i="1"/>
  <c r="C2561" i="1"/>
  <c r="C2562" i="1"/>
  <c r="C2563" i="1"/>
  <c r="C2565" i="1"/>
  <c r="C2566" i="1"/>
  <c r="C2567" i="1"/>
  <c r="C2568" i="1"/>
  <c r="C2569" i="1"/>
  <c r="C2571" i="1"/>
  <c r="C2572" i="1"/>
  <c r="C2573" i="1"/>
  <c r="C2574" i="1"/>
  <c r="C2575" i="1"/>
  <c r="C2577" i="1"/>
  <c r="C2578" i="1"/>
  <c r="C2579" i="1"/>
  <c r="C2580" i="1"/>
  <c r="C2583" i="1"/>
  <c r="C2584" i="1"/>
  <c r="C2585" i="1"/>
  <c r="C2586" i="1"/>
  <c r="C2588" i="1"/>
  <c r="C2589" i="1"/>
  <c r="C2590" i="1"/>
  <c r="C2591" i="1"/>
  <c r="C2593" i="1"/>
  <c r="C2594" i="1"/>
  <c r="C2595" i="1"/>
  <c r="C2596" i="1"/>
  <c r="C2598" i="1"/>
  <c r="C2599" i="1"/>
  <c r="C2600" i="1"/>
  <c r="C2601" i="1"/>
  <c r="C2603" i="1"/>
  <c r="C2604" i="1"/>
  <c r="C2605" i="1"/>
  <c r="C2606" i="1"/>
  <c r="C2628" i="1"/>
  <c r="C2629" i="1"/>
  <c r="C2630" i="1"/>
  <c r="C2608" i="1"/>
  <c r="C2609" i="1"/>
  <c r="C2610" i="1"/>
  <c r="C2611" i="1"/>
  <c r="C2613" i="1"/>
  <c r="C2614" i="1"/>
  <c r="C2615" i="1"/>
  <c r="C2616" i="1"/>
  <c r="C2618" i="1"/>
  <c r="C2619" i="1"/>
  <c r="C2620" i="1"/>
  <c r="C2621" i="1"/>
  <c r="C2623" i="1"/>
  <c r="C2624" i="1"/>
  <c r="C2625" i="1"/>
  <c r="C2626" i="1"/>
  <c r="C2631" i="1"/>
  <c r="C2632" i="1"/>
  <c r="C2633" i="1"/>
  <c r="C2634" i="1"/>
  <c r="C2636" i="1"/>
  <c r="C2637" i="1"/>
  <c r="C2638" i="1"/>
  <c r="C2639" i="1"/>
  <c r="C2641" i="1"/>
  <c r="C2642" i="1"/>
  <c r="C2643" i="1"/>
  <c r="C2644" i="1"/>
  <c r="C2646" i="1"/>
  <c r="C2647" i="1"/>
  <c r="C2648" i="1"/>
  <c r="C2649" i="1"/>
  <c r="C2651" i="1"/>
  <c r="C2652" i="1"/>
  <c r="C2653" i="1"/>
  <c r="C2654" i="1"/>
  <c r="C2656" i="1"/>
  <c r="C2657" i="1"/>
  <c r="C2658" i="1"/>
  <c r="C2659" i="1"/>
  <c r="C2661" i="1"/>
  <c r="C2662" i="1"/>
  <c r="C2663" i="1"/>
  <c r="C2664" i="1"/>
  <c r="C2666" i="1"/>
  <c r="C2667" i="1"/>
  <c r="C2668" i="1"/>
  <c r="C2669" i="1"/>
  <c r="C2671" i="1"/>
  <c r="C2672" i="1"/>
  <c r="C2673" i="1"/>
  <c r="C2674" i="1"/>
  <c r="C2676" i="1"/>
  <c r="C2677" i="1"/>
  <c r="C2678" i="1"/>
  <c r="C2679" i="1"/>
  <c r="C2681" i="1"/>
  <c r="C2682" i="1"/>
  <c r="C2684" i="1"/>
  <c r="C2686" i="1"/>
  <c r="C2688" i="1"/>
  <c r="C2690" i="1"/>
  <c r="C2691" i="1"/>
  <c r="C2693" i="1"/>
  <c r="C2694" i="1"/>
  <c r="C2696" i="1"/>
  <c r="C2697" i="1"/>
  <c r="C2699" i="1"/>
  <c r="C2700" i="1"/>
  <c r="C2702" i="1"/>
  <c r="C2703" i="1"/>
  <c r="C2705" i="1"/>
  <c r="C2706" i="1"/>
  <c r="C2708" i="1"/>
  <c r="C2709" i="1"/>
  <c r="C2710" i="1"/>
  <c r="C2712" i="1"/>
  <c r="C2713" i="1"/>
  <c r="C2714" i="1"/>
  <c r="C2716" i="1"/>
  <c r="C2717" i="1"/>
  <c r="C2718" i="1"/>
  <c r="C2720" i="1"/>
  <c r="C2721" i="1"/>
  <c r="C2722" i="1"/>
  <c r="C2724" i="1"/>
  <c r="C2725" i="1"/>
  <c r="C2726" i="1"/>
  <c r="C2728" i="1"/>
  <c r="C2729" i="1"/>
  <c r="C2730" i="1"/>
  <c r="C2732" i="1"/>
  <c r="C2733" i="1"/>
  <c r="C2734" i="1"/>
  <c r="C2736" i="1"/>
  <c r="C2737" i="1"/>
  <c r="C2738" i="1"/>
  <c r="C2740" i="1"/>
  <c r="C2741" i="1"/>
  <c r="C2742" i="1"/>
  <c r="C2744" i="1"/>
  <c r="C2745" i="1"/>
  <c r="C2746" i="1"/>
  <c r="C2748" i="1"/>
  <c r="C2749" i="1"/>
  <c r="C2750" i="1"/>
  <c r="C2752" i="1"/>
  <c r="C2753" i="1"/>
  <c r="C2754" i="1"/>
  <c r="C2756" i="1"/>
  <c r="C2757" i="1"/>
  <c r="C2758" i="1"/>
  <c r="C2760" i="1"/>
  <c r="C2761" i="1"/>
  <c r="C2762" i="1"/>
  <c r="C2764" i="1"/>
  <c r="C2765" i="1"/>
  <c r="C2766" i="1"/>
  <c r="C2768" i="1"/>
  <c r="C2769" i="1"/>
  <c r="C2770" i="1"/>
  <c r="C2772" i="1"/>
  <c r="C2773" i="1"/>
  <c r="C2774" i="1"/>
  <c r="C2776" i="1"/>
  <c r="C2777" i="1"/>
  <c r="C2778" i="1"/>
  <c r="C2780" i="1"/>
  <c r="C2781" i="1"/>
  <c r="C2782" i="1"/>
  <c r="C2784" i="1"/>
  <c r="C2785" i="1"/>
  <c r="C2786" i="1"/>
  <c r="C2788" i="1"/>
  <c r="C2789" i="1"/>
  <c r="C2790" i="1"/>
  <c r="C2792" i="1"/>
  <c r="C2793" i="1"/>
  <c r="C2794" i="1"/>
  <c r="C2796" i="1"/>
  <c r="C2797" i="1"/>
  <c r="C2798" i="1"/>
  <c r="C2800" i="1"/>
  <c r="C2801" i="1"/>
  <c r="C2802" i="1"/>
  <c r="C2804" i="1"/>
  <c r="C2805" i="1"/>
  <c r="C2806" i="1"/>
  <c r="C2808" i="1"/>
  <c r="C2809" i="1"/>
  <c r="C2810" i="1"/>
  <c r="C2812" i="1"/>
  <c r="C2813" i="1"/>
  <c r="C2814" i="1"/>
  <c r="C2816" i="1"/>
  <c r="C2817" i="1"/>
  <c r="C2818" i="1"/>
  <c r="C2820" i="1"/>
  <c r="C2821" i="1"/>
  <c r="C2822" i="1"/>
  <c r="C2824" i="1"/>
  <c r="C2825" i="1"/>
  <c r="C2826" i="1"/>
  <c r="C2828" i="1"/>
  <c r="C2829" i="1"/>
  <c r="C2830" i="1"/>
  <c r="C2832" i="1"/>
  <c r="C2833" i="1"/>
  <c r="C2834" i="1"/>
  <c r="C2836" i="1"/>
  <c r="C2837" i="1"/>
  <c r="C2838" i="1"/>
  <c r="C2840" i="1"/>
  <c r="C2841" i="1"/>
  <c r="C2842" i="1"/>
  <c r="C2844" i="1"/>
  <c r="C2845" i="1"/>
  <c r="C2846" i="1"/>
  <c r="C2848" i="1"/>
  <c r="C2849" i="1"/>
  <c r="C2850" i="1"/>
  <c r="C2852" i="1"/>
  <c r="C2853" i="1"/>
  <c r="C2854" i="1"/>
  <c r="C2856" i="1"/>
  <c r="C2857" i="1"/>
  <c r="C2858" i="1"/>
  <c r="C2860" i="1"/>
  <c r="C2861" i="1"/>
  <c r="C2862" i="1"/>
  <c r="C2864" i="1"/>
  <c r="C2865" i="1"/>
  <c r="C2866" i="1"/>
  <c r="C2868" i="1"/>
  <c r="C2869" i="1"/>
  <c r="C2870" i="1"/>
  <c r="E443" i="1" l="1"/>
  <c r="E442" i="1"/>
  <c r="E439" i="1"/>
  <c r="E438" i="1"/>
  <c r="E436" i="1"/>
  <c r="E435" i="1"/>
  <c r="E432" i="1"/>
  <c r="E431" i="1"/>
  <c r="E428" i="1"/>
  <c r="E427" i="1"/>
  <c r="E424" i="1"/>
  <c r="E423" i="1"/>
  <c r="A423" i="1"/>
  <c r="E421" i="1"/>
  <c r="E420" i="1"/>
  <c r="F417" i="1"/>
  <c r="F431" i="1" s="1"/>
  <c r="F446" i="1" s="1"/>
  <c r="F415" i="1"/>
  <c r="F428" i="1" s="1"/>
  <c r="F443" i="1" s="1"/>
  <c r="F411" i="1"/>
  <c r="F423" i="1" s="1"/>
  <c r="F438" i="1" s="1"/>
  <c r="F409" i="1"/>
  <c r="F421" i="1" s="1"/>
  <c r="F436" i="1" s="1"/>
  <c r="F408" i="1"/>
  <c r="F420" i="1" s="1"/>
  <c r="F435" i="1" s="1"/>
  <c r="E418" i="1"/>
  <c r="E417" i="1"/>
  <c r="E415" i="1"/>
  <c r="E414" i="1"/>
  <c r="E412" i="1"/>
  <c r="E411" i="1"/>
  <c r="A411" i="1"/>
  <c r="E409" i="1"/>
  <c r="E408" i="1"/>
  <c r="A399" i="1"/>
  <c r="E400" i="1"/>
  <c r="E399" i="1"/>
  <c r="E403" i="1"/>
  <c r="E402" i="1"/>
  <c r="E406" i="1"/>
  <c r="E405" i="1"/>
  <c r="E397" i="1"/>
  <c r="E396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78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A380" i="1"/>
  <c r="E379" i="1"/>
  <c r="E378" i="1"/>
  <c r="A362" i="1"/>
  <c r="E363" i="1"/>
  <c r="E362" i="1"/>
  <c r="E369" i="1"/>
  <c r="E368" i="1"/>
  <c r="E367" i="1"/>
  <c r="E366" i="1"/>
  <c r="E365" i="1"/>
  <c r="E364" i="1"/>
  <c r="E361" i="1"/>
  <c r="E360" i="1"/>
  <c r="E373" i="1"/>
  <c r="E372" i="1"/>
  <c r="E371" i="1"/>
  <c r="E370" i="1"/>
  <c r="E375" i="1"/>
  <c r="E374" i="1"/>
  <c r="E377" i="1"/>
  <c r="E376" i="1"/>
  <c r="E359" i="1"/>
  <c r="E358" i="1"/>
  <c r="E357" i="1"/>
  <c r="E356" i="1"/>
  <c r="C3112" i="1"/>
  <c r="C3114" i="1"/>
  <c r="C3115" i="1"/>
  <c r="C3116" i="1"/>
  <c r="C3117" i="1"/>
  <c r="C3119" i="1"/>
  <c r="C3120" i="1"/>
  <c r="C3121" i="1"/>
  <c r="C3122" i="1"/>
  <c r="C3124" i="1"/>
  <c r="C3125" i="1"/>
  <c r="C3126" i="1"/>
  <c r="C3127" i="1"/>
  <c r="C3129" i="1"/>
  <c r="C3130" i="1"/>
  <c r="C3131" i="1"/>
  <c r="C3132" i="1"/>
  <c r="C3134" i="1"/>
  <c r="C3135" i="1"/>
  <c r="C3136" i="1"/>
  <c r="C3137" i="1"/>
  <c r="C3139" i="1"/>
  <c r="C3140" i="1"/>
  <c r="C3141" i="1"/>
  <c r="C3142" i="1"/>
  <c r="C3144" i="1"/>
  <c r="C3145" i="1"/>
  <c r="C3146" i="1"/>
  <c r="C3147" i="1"/>
  <c r="C3149" i="1"/>
  <c r="C3150" i="1"/>
  <c r="C3151" i="1"/>
  <c r="C3152" i="1"/>
  <c r="C3154" i="1"/>
  <c r="C3155" i="1"/>
  <c r="C3156" i="1"/>
  <c r="C3157" i="1"/>
  <c r="C3159" i="1"/>
  <c r="C3160" i="1"/>
  <c r="C3161" i="1"/>
  <c r="C3162" i="1"/>
  <c r="C3164" i="1"/>
  <c r="C3165" i="1"/>
  <c r="C3166" i="1"/>
  <c r="C3167" i="1"/>
  <c r="C3169" i="1"/>
  <c r="C3170" i="1"/>
  <c r="C3171" i="1"/>
  <c r="C3172" i="1"/>
  <c r="C3174" i="1"/>
  <c r="C3175" i="1"/>
  <c r="C3176" i="1"/>
  <c r="C3177" i="1"/>
  <c r="C3179" i="1"/>
  <c r="C3180" i="1"/>
  <c r="C3181" i="1"/>
  <c r="C3182" i="1"/>
  <c r="C3184" i="1"/>
  <c r="C3185" i="1"/>
  <c r="C3186" i="1"/>
  <c r="C3187" i="1"/>
  <c r="C3189" i="1"/>
  <c r="C3190" i="1"/>
  <c r="C3191" i="1"/>
  <c r="C3192" i="1"/>
  <c r="C3194" i="1"/>
  <c r="C3195" i="1"/>
  <c r="C3196" i="1"/>
  <c r="C3197" i="1"/>
  <c r="C3199" i="1"/>
  <c r="C3200" i="1"/>
  <c r="C3201" i="1"/>
  <c r="C3202" i="1"/>
  <c r="C3204" i="1"/>
  <c r="C3205" i="1"/>
  <c r="C3206" i="1"/>
  <c r="C3207" i="1"/>
  <c r="C3214" i="1"/>
  <c r="C3215" i="1"/>
  <c r="C3217" i="1"/>
  <c r="C3218" i="1"/>
  <c r="C3220" i="1"/>
  <c r="C3221" i="1"/>
  <c r="C3222" i="1"/>
  <c r="C3224" i="1"/>
  <c r="C3225" i="1"/>
  <c r="C3227" i="1"/>
  <c r="C3228" i="1"/>
  <c r="C3230" i="1"/>
  <c r="C3231" i="1"/>
  <c r="C3232" i="1"/>
  <c r="C3234" i="1"/>
  <c r="C3235" i="1"/>
  <c r="C3237" i="1"/>
  <c r="C3238" i="1"/>
  <c r="C3240" i="1"/>
  <c r="C3241" i="1"/>
  <c r="C3242" i="1"/>
  <c r="C3244" i="1"/>
  <c r="C3245" i="1"/>
  <c r="C3247" i="1"/>
  <c r="C3248" i="1"/>
  <c r="C3250" i="1"/>
  <c r="C3251" i="1"/>
  <c r="C3252" i="1"/>
  <c r="C3254" i="1"/>
  <c r="C3255" i="1"/>
  <c r="C3257" i="1"/>
  <c r="C3258" i="1"/>
  <c r="C3260" i="1"/>
  <c r="C3261" i="1"/>
  <c r="C3262" i="1"/>
  <c r="C3264" i="1"/>
  <c r="C3265" i="1"/>
  <c r="C3267" i="1"/>
  <c r="C3268" i="1"/>
  <c r="C3270" i="1"/>
  <c r="C3271" i="1"/>
  <c r="C3272" i="1"/>
  <c r="C3274" i="1"/>
  <c r="C3275" i="1"/>
  <c r="C3277" i="1"/>
  <c r="C3278" i="1"/>
  <c r="C3280" i="1"/>
  <c r="C3281" i="1"/>
  <c r="C3282" i="1"/>
  <c r="C3284" i="1"/>
  <c r="C3285" i="1"/>
  <c r="C3287" i="1"/>
  <c r="C3288" i="1"/>
  <c r="C3290" i="1"/>
  <c r="C3291" i="1"/>
  <c r="C3293" i="1"/>
  <c r="C3294" i="1"/>
  <c r="C3296" i="1"/>
  <c r="C3297" i="1"/>
  <c r="C3299" i="1"/>
  <c r="C3300" i="1"/>
  <c r="C3302" i="1"/>
  <c r="C3303" i="1"/>
  <c r="C3305" i="1"/>
  <c r="C3306" i="1"/>
  <c r="C3308" i="1"/>
  <c r="C3309" i="1"/>
  <c r="C3311" i="1"/>
  <c r="C3312" i="1"/>
  <c r="C3314" i="1"/>
  <c r="C3315" i="1"/>
  <c r="C3317" i="1"/>
  <c r="C3318" i="1"/>
  <c r="C3320" i="1"/>
  <c r="C3321" i="1"/>
  <c r="C3323" i="1"/>
  <c r="C3324" i="1"/>
  <c r="C3326" i="1"/>
  <c r="C3327" i="1"/>
  <c r="C3329" i="1"/>
  <c r="C3330" i="1"/>
  <c r="C3332" i="1"/>
  <c r="C3333" i="1"/>
  <c r="C3335" i="1"/>
  <c r="C3336" i="1"/>
  <c r="C3338" i="1"/>
  <c r="C3339" i="1"/>
  <c r="C3341" i="1"/>
  <c r="F3408" i="1"/>
  <c r="F3411" i="1" s="1"/>
  <c r="F3414" i="1" s="1"/>
  <c r="F3417" i="1" s="1"/>
  <c r="F3420" i="1" s="1"/>
  <c r="F3423" i="1" s="1"/>
  <c r="F3426" i="1" s="1"/>
  <c r="F3429" i="1" s="1"/>
  <c r="F3432" i="1" s="1"/>
  <c r="F3435" i="1" s="1"/>
  <c r="F3438" i="1" s="1"/>
  <c r="F3441" i="1" s="1"/>
  <c r="F3444" i="1" s="1"/>
  <c r="F3447" i="1" s="1"/>
  <c r="F3450" i="1" s="1"/>
  <c r="F3453" i="1" s="1"/>
  <c r="F3456" i="1" s="1"/>
  <c r="F3407" i="1"/>
  <c r="F3410" i="1" s="1"/>
  <c r="F3413" i="1" s="1"/>
  <c r="F3416" i="1" s="1"/>
  <c r="F3419" i="1" s="1"/>
  <c r="F3422" i="1" s="1"/>
  <c r="F3425" i="1" s="1"/>
  <c r="F3428" i="1" s="1"/>
  <c r="F3431" i="1" s="1"/>
  <c r="F3434" i="1" s="1"/>
  <c r="F3437" i="1" s="1"/>
  <c r="F3440" i="1" s="1"/>
  <c r="F3443" i="1" s="1"/>
  <c r="F3446" i="1" s="1"/>
  <c r="F3449" i="1" s="1"/>
  <c r="F3452" i="1" s="1"/>
  <c r="F3455" i="1" s="1"/>
  <c r="F3406" i="1"/>
  <c r="F3409" i="1" s="1"/>
  <c r="F3412" i="1" s="1"/>
  <c r="F3415" i="1" s="1"/>
  <c r="F3418" i="1" s="1"/>
  <c r="F3421" i="1" s="1"/>
  <c r="F3424" i="1" s="1"/>
  <c r="F3427" i="1" s="1"/>
  <c r="F3430" i="1" s="1"/>
  <c r="F3433" i="1" s="1"/>
  <c r="F3436" i="1" s="1"/>
  <c r="F3439" i="1" s="1"/>
  <c r="F3442" i="1" s="1"/>
  <c r="F3445" i="1" s="1"/>
  <c r="F3448" i="1" s="1"/>
  <c r="F3451" i="1" s="1"/>
  <c r="F3454" i="1" s="1"/>
  <c r="D3407" i="1"/>
  <c r="E3407" i="1" s="1"/>
  <c r="D3408" i="1"/>
  <c r="E3408" i="1" s="1"/>
  <c r="D3406" i="1"/>
  <c r="E3406" i="1" s="1"/>
  <c r="A3340" i="1"/>
  <c r="A3343" i="1" s="1"/>
  <c r="A3346" i="1" s="1"/>
  <c r="A3349" i="1" s="1"/>
  <c r="A3352" i="1" s="1"/>
  <c r="A3355" i="1" s="1"/>
  <c r="A3358" i="1" s="1"/>
  <c r="A3361" i="1" s="1"/>
  <c r="A3364" i="1" s="1"/>
  <c r="A3367" i="1" s="1"/>
  <c r="A3370" i="1" s="1"/>
  <c r="A3373" i="1" s="1"/>
  <c r="A3376" i="1" s="1"/>
  <c r="A3379" i="1" s="1"/>
  <c r="A3382" i="1" s="1"/>
  <c r="A3385" i="1" s="1"/>
  <c r="A3388" i="1" s="1"/>
  <c r="A3391" i="1" s="1"/>
  <c r="A3394" i="1" s="1"/>
  <c r="A3397" i="1" s="1"/>
  <c r="A3400" i="1" s="1"/>
  <c r="F3342" i="1"/>
  <c r="F3345" i="1" s="1"/>
  <c r="F3348" i="1" s="1"/>
  <c r="F3351" i="1" s="1"/>
  <c r="F3354" i="1" s="1"/>
  <c r="F3357" i="1" s="1"/>
  <c r="F3360" i="1" s="1"/>
  <c r="F3363" i="1" s="1"/>
  <c r="F3366" i="1" s="1"/>
  <c r="F3369" i="1" s="1"/>
  <c r="F3372" i="1" s="1"/>
  <c r="F3375" i="1" s="1"/>
  <c r="F3378" i="1" s="1"/>
  <c r="F3381" i="1" s="1"/>
  <c r="F3384" i="1" s="1"/>
  <c r="F3387" i="1" s="1"/>
  <c r="F3390" i="1" s="1"/>
  <c r="F3341" i="1"/>
  <c r="F3344" i="1" s="1"/>
  <c r="F3347" i="1" s="1"/>
  <c r="F3350" i="1" s="1"/>
  <c r="F3353" i="1" s="1"/>
  <c r="F3356" i="1" s="1"/>
  <c r="F3359" i="1" s="1"/>
  <c r="F3362" i="1" s="1"/>
  <c r="F3365" i="1" s="1"/>
  <c r="F3368" i="1" s="1"/>
  <c r="F3371" i="1" s="1"/>
  <c r="F3374" i="1" s="1"/>
  <c r="F3377" i="1" s="1"/>
  <c r="F3380" i="1" s="1"/>
  <c r="F3383" i="1" s="1"/>
  <c r="F3386" i="1" s="1"/>
  <c r="F3389" i="1" s="1"/>
  <c r="F3340" i="1"/>
  <c r="F3343" i="1" s="1"/>
  <c r="F3346" i="1" s="1"/>
  <c r="F3349" i="1" s="1"/>
  <c r="F3352" i="1" s="1"/>
  <c r="F3355" i="1" s="1"/>
  <c r="F3358" i="1" s="1"/>
  <c r="F3361" i="1" s="1"/>
  <c r="F3364" i="1" s="1"/>
  <c r="F3367" i="1" s="1"/>
  <c r="F3370" i="1" s="1"/>
  <c r="F3373" i="1" s="1"/>
  <c r="F3376" i="1" s="1"/>
  <c r="F3379" i="1" s="1"/>
  <c r="F3382" i="1" s="1"/>
  <c r="F3385" i="1" s="1"/>
  <c r="F3388" i="1" s="1"/>
  <c r="D3341" i="1"/>
  <c r="E3341" i="1" s="1"/>
  <c r="D3342" i="1"/>
  <c r="E3342" i="1" s="1"/>
  <c r="D3340" i="1"/>
  <c r="E3340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4" i="1"/>
  <c r="D3287" i="1"/>
  <c r="E3287" i="1" s="1"/>
  <c r="D3288" i="1"/>
  <c r="E3288" i="1" s="1"/>
  <c r="D3291" i="1" l="1"/>
  <c r="E3291" i="1" s="1"/>
  <c r="D3290" i="1"/>
  <c r="E3290" i="1" s="1"/>
  <c r="D3409" i="1"/>
  <c r="E3409" i="1" s="1"/>
  <c r="A402" i="1"/>
  <c r="A427" i="1"/>
  <c r="A364" i="1"/>
  <c r="A414" i="1"/>
  <c r="A382" i="1"/>
  <c r="D3410" i="1"/>
  <c r="E3410" i="1" s="1"/>
  <c r="D3411" i="1"/>
  <c r="E3411" i="1" s="1"/>
  <c r="D3343" i="1"/>
  <c r="E3343" i="1" s="1"/>
  <c r="D3344" i="1"/>
  <c r="E3344" i="1" s="1"/>
  <c r="D3345" i="1"/>
  <c r="E3345" i="1" s="1"/>
  <c r="F3288" i="1"/>
  <c r="F3291" i="1" s="1"/>
  <c r="F3294" i="1" s="1"/>
  <c r="F3297" i="1" s="1"/>
  <c r="F3300" i="1" s="1"/>
  <c r="F3303" i="1" s="1"/>
  <c r="F3306" i="1" s="1"/>
  <c r="F3309" i="1" s="1"/>
  <c r="F3312" i="1" s="1"/>
  <c r="F3315" i="1" s="1"/>
  <c r="F3318" i="1" s="1"/>
  <c r="F3321" i="1" s="1"/>
  <c r="F3324" i="1" s="1"/>
  <c r="F3327" i="1" s="1"/>
  <c r="F3330" i="1" s="1"/>
  <c r="F3333" i="1" s="1"/>
  <c r="F3336" i="1" s="1"/>
  <c r="F3287" i="1"/>
  <c r="F3290" i="1" s="1"/>
  <c r="F3293" i="1" s="1"/>
  <c r="F3296" i="1" s="1"/>
  <c r="F3299" i="1" s="1"/>
  <c r="F3302" i="1" s="1"/>
  <c r="F3305" i="1" s="1"/>
  <c r="F3308" i="1" s="1"/>
  <c r="F3311" i="1" s="1"/>
  <c r="F3314" i="1" s="1"/>
  <c r="F3317" i="1" s="1"/>
  <c r="F3320" i="1" s="1"/>
  <c r="F3323" i="1" s="1"/>
  <c r="F3326" i="1" s="1"/>
  <c r="F3329" i="1" s="1"/>
  <c r="F3332" i="1" s="1"/>
  <c r="F3335" i="1" s="1"/>
  <c r="F3286" i="1"/>
  <c r="F3289" i="1" s="1"/>
  <c r="F3292" i="1" s="1"/>
  <c r="F3295" i="1" s="1"/>
  <c r="F3298" i="1" s="1"/>
  <c r="F3301" i="1" s="1"/>
  <c r="F3304" i="1" s="1"/>
  <c r="F3307" i="1" s="1"/>
  <c r="F3310" i="1" s="1"/>
  <c r="F3313" i="1" s="1"/>
  <c r="F3316" i="1" s="1"/>
  <c r="F3319" i="1" s="1"/>
  <c r="F3322" i="1" s="1"/>
  <c r="F3325" i="1" s="1"/>
  <c r="F3328" i="1" s="1"/>
  <c r="F3331" i="1" s="1"/>
  <c r="F3334" i="1" s="1"/>
  <c r="D3286" i="1"/>
  <c r="E3286" i="1" s="1"/>
  <c r="D3412" i="1" l="1"/>
  <c r="E3412" i="1" s="1"/>
  <c r="D3413" i="1"/>
  <c r="E3413" i="1" s="1"/>
  <c r="D3293" i="1"/>
  <c r="E3293" i="1" s="1"/>
  <c r="D3414" i="1"/>
  <c r="E3414" i="1" s="1"/>
  <c r="D3348" i="1"/>
  <c r="E3348" i="1" s="1"/>
  <c r="D3294" i="1"/>
  <c r="E3294" i="1" s="1"/>
  <c r="A384" i="1"/>
  <c r="A417" i="1"/>
  <c r="A366" i="1"/>
  <c r="A431" i="1"/>
  <c r="A405" i="1"/>
  <c r="D3347" i="1"/>
  <c r="E3347" i="1" s="1"/>
  <c r="D3346" i="1"/>
  <c r="E3346" i="1" s="1"/>
  <c r="D3289" i="1"/>
  <c r="E3289" i="1" s="1"/>
  <c r="A3406" i="1"/>
  <c r="A3409" i="1" s="1"/>
  <c r="A3412" i="1" s="1"/>
  <c r="A3415" i="1" s="1"/>
  <c r="A3418" i="1" s="1"/>
  <c r="A3421" i="1" s="1"/>
  <c r="A3424" i="1" s="1"/>
  <c r="A3427" i="1" s="1"/>
  <c r="A3430" i="1" s="1"/>
  <c r="A3433" i="1" s="1"/>
  <c r="A3436" i="1" s="1"/>
  <c r="A3439" i="1" s="1"/>
  <c r="A3442" i="1" s="1"/>
  <c r="A3445" i="1" s="1"/>
  <c r="A3448" i="1" s="1"/>
  <c r="A3451" i="1" s="1"/>
  <c r="A3454" i="1" s="1"/>
  <c r="A3286" i="1"/>
  <c r="D3415" i="1" l="1"/>
  <c r="E3415" i="1" s="1"/>
  <c r="D3416" i="1"/>
  <c r="E3416" i="1" s="1"/>
  <c r="D3296" i="1"/>
  <c r="E3296" i="1" s="1"/>
  <c r="D3351" i="1"/>
  <c r="E3351" i="1" s="1"/>
  <c r="D3297" i="1"/>
  <c r="E3297" i="1" s="1"/>
  <c r="D3417" i="1"/>
  <c r="E3417" i="1" s="1"/>
  <c r="A368" i="1"/>
  <c r="A386" i="1"/>
  <c r="A3289" i="1"/>
  <c r="A3292" i="1" s="1"/>
  <c r="D3349" i="1"/>
  <c r="E3349" i="1" s="1"/>
  <c r="D3350" i="1"/>
  <c r="E3350" i="1" s="1"/>
  <c r="D3292" i="1"/>
  <c r="E3292" i="1" s="1"/>
  <c r="F69" i="1"/>
  <c r="F73" i="1" s="1"/>
  <c r="F77" i="1" s="1"/>
  <c r="F81" i="1" s="1"/>
  <c r="F85" i="1" s="1"/>
  <c r="F89" i="1" s="1"/>
  <c r="F93" i="1" s="1"/>
  <c r="F97" i="1" s="1"/>
  <c r="F101" i="1" s="1"/>
  <c r="F70" i="1"/>
  <c r="F74" i="1" s="1"/>
  <c r="F78" i="1" s="1"/>
  <c r="F82" i="1" s="1"/>
  <c r="F86" i="1" s="1"/>
  <c r="F90" i="1" s="1"/>
  <c r="F94" i="1" s="1"/>
  <c r="F98" i="1" s="1"/>
  <c r="F102" i="1" s="1"/>
  <c r="F71" i="1"/>
  <c r="F75" i="1" s="1"/>
  <c r="F79" i="1" s="1"/>
  <c r="F83" i="1" s="1"/>
  <c r="F87" i="1" s="1"/>
  <c r="F91" i="1" s="1"/>
  <c r="F95" i="1" s="1"/>
  <c r="F99" i="1" s="1"/>
  <c r="F103" i="1" s="1"/>
  <c r="F68" i="1"/>
  <c r="F72" i="1" s="1"/>
  <c r="F76" i="1" s="1"/>
  <c r="F80" i="1" s="1"/>
  <c r="F84" i="1" s="1"/>
  <c r="F88" i="1" s="1"/>
  <c r="F92" i="1" s="1"/>
  <c r="F96" i="1" s="1"/>
  <c r="F100" i="1" s="1"/>
  <c r="A68" i="1"/>
  <c r="B64" i="1"/>
  <c r="F238" i="1"/>
  <c r="F239" i="1"/>
  <c r="F240" i="1"/>
  <c r="F241" i="1"/>
  <c r="F242" i="1"/>
  <c r="F243" i="1"/>
  <c r="F244" i="1"/>
  <c r="F245" i="1"/>
  <c r="F246" i="1"/>
  <c r="F247" i="1"/>
  <c r="F236" i="1"/>
  <c r="B236" i="1"/>
  <c r="A248" i="1"/>
  <c r="A238" i="1"/>
  <c r="F355" i="1"/>
  <c r="F354" i="1"/>
  <c r="F353" i="1"/>
  <c r="F352" i="1"/>
  <c r="F351" i="1"/>
  <c r="F254" i="1"/>
  <c r="F349" i="1"/>
  <c r="F348" i="1"/>
  <c r="F347" i="1"/>
  <c r="F346" i="1"/>
  <c r="F344" i="1"/>
  <c r="A128" i="1"/>
  <c r="A118" i="1"/>
  <c r="B116" i="1"/>
  <c r="F237" i="1"/>
  <c r="A37" i="1"/>
  <c r="B34" i="1"/>
  <c r="B4" i="1"/>
  <c r="A7" i="1"/>
  <c r="C2959" i="1"/>
  <c r="C2960" i="1"/>
  <c r="C2961" i="1"/>
  <c r="C2962" i="1"/>
  <c r="C2964" i="1"/>
  <c r="C2965" i="1"/>
  <c r="C2966" i="1"/>
  <c r="C2967" i="1"/>
  <c r="C2969" i="1"/>
  <c r="C2970" i="1"/>
  <c r="C2971" i="1"/>
  <c r="C2972" i="1"/>
  <c r="C2974" i="1"/>
  <c r="C2975" i="1"/>
  <c r="C2976" i="1"/>
  <c r="C2977" i="1"/>
  <c r="C2979" i="1"/>
  <c r="C2980" i="1"/>
  <c r="C2981" i="1"/>
  <c r="C2982" i="1"/>
  <c r="C2984" i="1"/>
  <c r="C2985" i="1"/>
  <c r="C2986" i="1"/>
  <c r="C2987" i="1"/>
  <c r="C2989" i="1"/>
  <c r="C2990" i="1"/>
  <c r="C2991" i="1"/>
  <c r="C2992" i="1"/>
  <c r="C2994" i="1"/>
  <c r="C2995" i="1"/>
  <c r="C2996" i="1"/>
  <c r="C2997" i="1"/>
  <c r="C2999" i="1"/>
  <c r="C3000" i="1"/>
  <c r="C3001" i="1"/>
  <c r="C3002" i="1"/>
  <c r="C3004" i="1"/>
  <c r="C3005" i="1"/>
  <c r="C3006" i="1"/>
  <c r="C3007" i="1"/>
  <c r="C3009" i="1"/>
  <c r="C3010" i="1"/>
  <c r="C3011" i="1"/>
  <c r="C3012" i="1"/>
  <c r="C3014" i="1"/>
  <c r="C3015" i="1"/>
  <c r="C3016" i="1"/>
  <c r="C3017" i="1"/>
  <c r="C3019" i="1"/>
  <c r="C3020" i="1"/>
  <c r="C3021" i="1"/>
  <c r="C3022" i="1"/>
  <c r="C3024" i="1"/>
  <c r="C3025" i="1"/>
  <c r="C3026" i="1"/>
  <c r="C3027" i="1"/>
  <c r="C3029" i="1"/>
  <c r="C3030" i="1"/>
  <c r="C3031" i="1"/>
  <c r="C3032" i="1"/>
  <c r="C3034" i="1"/>
  <c r="C3035" i="1"/>
  <c r="C3036" i="1"/>
  <c r="C3037" i="1"/>
  <c r="C3039" i="1"/>
  <c r="C3040" i="1"/>
  <c r="C3041" i="1"/>
  <c r="C3042" i="1"/>
  <c r="C3044" i="1"/>
  <c r="C3045" i="1"/>
  <c r="C3046" i="1"/>
  <c r="C3047" i="1"/>
  <c r="C3049" i="1"/>
  <c r="C3050" i="1"/>
  <c r="C3051" i="1"/>
  <c r="C3052" i="1"/>
  <c r="C3054" i="1"/>
  <c r="C3055" i="1"/>
  <c r="C3056" i="1"/>
  <c r="C3057" i="1"/>
  <c r="C3059" i="1"/>
  <c r="C3060" i="1"/>
  <c r="C3061" i="1"/>
  <c r="C3062" i="1"/>
  <c r="C3064" i="1"/>
  <c r="C3065" i="1"/>
  <c r="C3066" i="1"/>
  <c r="C3067" i="1"/>
  <c r="C3069" i="1"/>
  <c r="C3070" i="1"/>
  <c r="C3071" i="1"/>
  <c r="C3072" i="1"/>
  <c r="C3074" i="1"/>
  <c r="C3075" i="1"/>
  <c r="C3076" i="1"/>
  <c r="C3077" i="1"/>
  <c r="C3079" i="1"/>
  <c r="C3080" i="1"/>
  <c r="C3081" i="1"/>
  <c r="C3082" i="1"/>
  <c r="C3084" i="1"/>
  <c r="C3085" i="1"/>
  <c r="C3086" i="1"/>
  <c r="C3087" i="1"/>
  <c r="C3089" i="1"/>
  <c r="C3090" i="1"/>
  <c r="C3091" i="1"/>
  <c r="C3092" i="1"/>
  <c r="C3094" i="1"/>
  <c r="C3095" i="1"/>
  <c r="C3096" i="1"/>
  <c r="C3097" i="1"/>
  <c r="C3099" i="1"/>
  <c r="C3100" i="1"/>
  <c r="C3101" i="1"/>
  <c r="C3102" i="1"/>
  <c r="C3104" i="1"/>
  <c r="C3105" i="1"/>
  <c r="C3106" i="1"/>
  <c r="C3107" i="1"/>
  <c r="C3109" i="1"/>
  <c r="C3110" i="1"/>
  <c r="C3111" i="1"/>
  <c r="F3203" i="1"/>
  <c r="F3198" i="1"/>
  <c r="F3193" i="1"/>
  <c r="F3188" i="1"/>
  <c r="F3183" i="1"/>
  <c r="F3178" i="1"/>
  <c r="F3173" i="1"/>
  <c r="F3168" i="1"/>
  <c r="F3163" i="1"/>
  <c r="F3158" i="1"/>
  <c r="F3153" i="1"/>
  <c r="F3148" i="1"/>
  <c r="F3143" i="1"/>
  <c r="F3138" i="1"/>
  <c r="F3133" i="1"/>
  <c r="F3128" i="1"/>
  <c r="F3123" i="1"/>
  <c r="F3118" i="1"/>
  <c r="F3113" i="1"/>
  <c r="F3108" i="1"/>
  <c r="F3103" i="1"/>
  <c r="F3098" i="1"/>
  <c r="F3093" i="1"/>
  <c r="F3088" i="1"/>
  <c r="F3083" i="1"/>
  <c r="F3078" i="1"/>
  <c r="F3073" i="1"/>
  <c r="F3068" i="1"/>
  <c r="F3063" i="1"/>
  <c r="F3058" i="1"/>
  <c r="F3053" i="1"/>
  <c r="F3048" i="1"/>
  <c r="F3043" i="1"/>
  <c r="F3038" i="1"/>
  <c r="F3033" i="1"/>
  <c r="F3028" i="1"/>
  <c r="F3023" i="1"/>
  <c r="F3018" i="1"/>
  <c r="F3013" i="1"/>
  <c r="F3008" i="1"/>
  <c r="F3003" i="1"/>
  <c r="F2998" i="1"/>
  <c r="F2993" i="1"/>
  <c r="F2988" i="1"/>
  <c r="F2983" i="1"/>
  <c r="F2978" i="1"/>
  <c r="F2973" i="1"/>
  <c r="F2968" i="1"/>
  <c r="F2963" i="1"/>
  <c r="F2958" i="1"/>
  <c r="D3418" i="1" l="1"/>
  <c r="E3418" i="1" s="1"/>
  <c r="D3419" i="1"/>
  <c r="E3419" i="1" s="1"/>
  <c r="D3420" i="1"/>
  <c r="E3420" i="1" s="1"/>
  <c r="D3300" i="1"/>
  <c r="E3300" i="1" s="1"/>
  <c r="D3354" i="1"/>
  <c r="E3354" i="1" s="1"/>
  <c r="D3299" i="1"/>
  <c r="E3299" i="1" s="1"/>
  <c r="B68" i="1"/>
  <c r="A240" i="1"/>
  <c r="A242" i="1" s="1"/>
  <c r="A260" i="1"/>
  <c r="A262" i="1" s="1"/>
  <c r="B37" i="1"/>
  <c r="B118" i="1"/>
  <c r="A130" i="1"/>
  <c r="B130" i="1" s="1"/>
  <c r="A388" i="1"/>
  <c r="A370" i="1"/>
  <c r="B7" i="1"/>
  <c r="D3353" i="1"/>
  <c r="E3353" i="1" s="1"/>
  <c r="D3352" i="1"/>
  <c r="E3352" i="1" s="1"/>
  <c r="D3295" i="1"/>
  <c r="E3295" i="1" s="1"/>
  <c r="F345" i="1"/>
  <c r="A3295" i="1"/>
  <c r="F350" i="1"/>
  <c r="A72" i="1"/>
  <c r="F332" i="1"/>
  <c r="F316" i="1"/>
  <c r="F313" i="1"/>
  <c r="F284" i="1"/>
  <c r="F281" i="1"/>
  <c r="F268" i="1"/>
  <c r="F329" i="1"/>
  <c r="A250" i="1"/>
  <c r="F265" i="1"/>
  <c r="F331" i="1"/>
  <c r="F315" i="1"/>
  <c r="F299" i="1"/>
  <c r="F283" i="1"/>
  <c r="F267" i="1"/>
  <c r="F251" i="1"/>
  <c r="B248" i="1"/>
  <c r="F330" i="1"/>
  <c r="F298" i="1"/>
  <c r="F282" i="1"/>
  <c r="F250" i="1"/>
  <c r="F252" i="1"/>
  <c r="F328" i="1"/>
  <c r="F312" i="1"/>
  <c r="F296" i="1"/>
  <c r="F280" i="1"/>
  <c r="F264" i="1"/>
  <c r="F248" i="1"/>
  <c r="F343" i="1"/>
  <c r="F327" i="1"/>
  <c r="F311" i="1"/>
  <c r="F295" i="1"/>
  <c r="F279" i="1"/>
  <c r="F263" i="1"/>
  <c r="F342" i="1"/>
  <c r="F310" i="1"/>
  <c r="F294" i="1"/>
  <c r="F262" i="1"/>
  <c r="F341" i="1"/>
  <c r="F325" i="1"/>
  <c r="F293" i="1"/>
  <c r="F277" i="1"/>
  <c r="F340" i="1"/>
  <c r="F324" i="1"/>
  <c r="F308" i="1"/>
  <c r="F292" i="1"/>
  <c r="F276" i="1"/>
  <c r="F260" i="1"/>
  <c r="F339" i="1"/>
  <c r="F323" i="1"/>
  <c r="F307" i="1"/>
  <c r="F291" i="1"/>
  <c r="F275" i="1"/>
  <c r="F259" i="1"/>
  <c r="F322" i="1"/>
  <c r="F306" i="1"/>
  <c r="F274" i="1"/>
  <c r="F258" i="1"/>
  <c r="F300" i="1"/>
  <c r="F337" i="1"/>
  <c r="F305" i="1"/>
  <c r="F289" i="1"/>
  <c r="F257" i="1"/>
  <c r="F336" i="1"/>
  <c r="F320" i="1"/>
  <c r="F304" i="1"/>
  <c r="F288" i="1"/>
  <c r="F272" i="1"/>
  <c r="F256" i="1"/>
  <c r="B238" i="1"/>
  <c r="F335" i="1"/>
  <c r="F319" i="1"/>
  <c r="F303" i="1"/>
  <c r="F287" i="1"/>
  <c r="F271" i="1"/>
  <c r="F255" i="1"/>
  <c r="F334" i="1"/>
  <c r="F318" i="1"/>
  <c r="F286" i="1"/>
  <c r="F270" i="1"/>
  <c r="F317" i="1"/>
  <c r="F301" i="1"/>
  <c r="F269" i="1"/>
  <c r="F253" i="1"/>
  <c r="A140" i="1"/>
  <c r="B128" i="1"/>
  <c r="A120" i="1"/>
  <c r="A40" i="1"/>
  <c r="A10" i="1"/>
  <c r="D3421" i="1" l="1"/>
  <c r="E3421" i="1" s="1"/>
  <c r="D3422" i="1"/>
  <c r="E3422" i="1" s="1"/>
  <c r="D3302" i="1"/>
  <c r="E3302" i="1" s="1"/>
  <c r="D3357" i="1"/>
  <c r="E3357" i="1" s="1"/>
  <c r="D3303" i="1"/>
  <c r="E3303" i="1" s="1"/>
  <c r="A272" i="1"/>
  <c r="B272" i="1" s="1"/>
  <c r="D3423" i="1"/>
  <c r="E3423" i="1" s="1"/>
  <c r="B72" i="1"/>
  <c r="A13" i="1"/>
  <c r="B40" i="1"/>
  <c r="A132" i="1"/>
  <c r="A372" i="1"/>
  <c r="B262" i="1"/>
  <c r="A390" i="1"/>
  <c r="B242" i="1"/>
  <c r="A252" i="1"/>
  <c r="A254" i="1" s="1"/>
  <c r="B140" i="1"/>
  <c r="B260" i="1"/>
  <c r="B240" i="1"/>
  <c r="F321" i="1"/>
  <c r="F261" i="1"/>
  <c r="F285" i="1"/>
  <c r="F290" i="1"/>
  <c r="D3355" i="1"/>
  <c r="E3355" i="1" s="1"/>
  <c r="D3356" i="1"/>
  <c r="E3356" i="1" s="1"/>
  <c r="F326" i="1"/>
  <c r="F266" i="1"/>
  <c r="F297" i="1"/>
  <c r="F309" i="1"/>
  <c r="F333" i="1"/>
  <c r="F249" i="1"/>
  <c r="F278" i="1"/>
  <c r="F302" i="1"/>
  <c r="F273" i="1"/>
  <c r="D3298" i="1"/>
  <c r="E3298" i="1" s="1"/>
  <c r="A76" i="1"/>
  <c r="F338" i="1"/>
  <c r="A3298" i="1"/>
  <c r="F314" i="1"/>
  <c r="A43" i="1"/>
  <c r="A142" i="1"/>
  <c r="B250" i="1"/>
  <c r="B10" i="1"/>
  <c r="A152" i="1"/>
  <c r="A264" i="1"/>
  <c r="A244" i="1"/>
  <c r="B120" i="1"/>
  <c r="A122" i="1"/>
  <c r="D3424" i="1" l="1"/>
  <c r="E3424" i="1" s="1"/>
  <c r="A16" i="1"/>
  <c r="A19" i="1" s="1"/>
  <c r="D3425" i="1"/>
  <c r="E3425" i="1" s="1"/>
  <c r="A274" i="1"/>
  <c r="A276" i="1" s="1"/>
  <c r="A284" i="1"/>
  <c r="B284" i="1" s="1"/>
  <c r="D3306" i="1"/>
  <c r="E3306" i="1" s="1"/>
  <c r="D3426" i="1"/>
  <c r="E3426" i="1" s="1"/>
  <c r="D3360" i="1"/>
  <c r="E3360" i="1" s="1"/>
  <c r="D3305" i="1"/>
  <c r="E3305" i="1" s="1"/>
  <c r="B76" i="1"/>
  <c r="B252" i="1"/>
  <c r="A134" i="1"/>
  <c r="B132" i="1"/>
  <c r="B244" i="1"/>
  <c r="B13" i="1"/>
  <c r="B264" i="1"/>
  <c r="A392" i="1"/>
  <c r="A374" i="1"/>
  <c r="A164" i="1"/>
  <c r="B164" i="1" s="1"/>
  <c r="B254" i="1"/>
  <c r="B43" i="1"/>
  <c r="D3359" i="1"/>
  <c r="E3359" i="1" s="1"/>
  <c r="D3358" i="1"/>
  <c r="E3358" i="1" s="1"/>
  <c r="D3301" i="1"/>
  <c r="E3301" i="1" s="1"/>
  <c r="A46" i="1"/>
  <c r="A80" i="1"/>
  <c r="A154" i="1"/>
  <c r="B152" i="1"/>
  <c r="A256" i="1"/>
  <c r="A3301" i="1"/>
  <c r="B142" i="1"/>
  <c r="A144" i="1"/>
  <c r="A246" i="1"/>
  <c r="A266" i="1"/>
  <c r="B122" i="1"/>
  <c r="A124" i="1"/>
  <c r="B16" i="1" l="1"/>
  <c r="D3427" i="1"/>
  <c r="E3427" i="1" s="1"/>
  <c r="A176" i="1"/>
  <c r="A188" i="1" s="1"/>
  <c r="B274" i="1"/>
  <c r="A296" i="1"/>
  <c r="B296" i="1" s="1"/>
  <c r="A286" i="1"/>
  <c r="A288" i="1" s="1"/>
  <c r="A166" i="1"/>
  <c r="B166" i="1" s="1"/>
  <c r="D3428" i="1"/>
  <c r="E3428" i="1" s="1"/>
  <c r="D3363" i="1"/>
  <c r="E3363" i="1" s="1"/>
  <c r="D3308" i="1"/>
  <c r="E3308" i="1" s="1"/>
  <c r="D3429" i="1"/>
  <c r="E3429" i="1" s="1"/>
  <c r="D3309" i="1"/>
  <c r="E3309" i="1" s="1"/>
  <c r="B276" i="1"/>
  <c r="B246" i="1"/>
  <c r="A394" i="1"/>
  <c r="B19" i="1"/>
  <c r="B266" i="1"/>
  <c r="A22" i="1"/>
  <c r="B256" i="1"/>
  <c r="A376" i="1"/>
  <c r="A136" i="1"/>
  <c r="B134" i="1"/>
  <c r="B154" i="1"/>
  <c r="A84" i="1"/>
  <c r="B84" i="1" s="1"/>
  <c r="A49" i="1"/>
  <c r="A52" i="1" s="1"/>
  <c r="D3361" i="1"/>
  <c r="E3361" i="1" s="1"/>
  <c r="D3362" i="1"/>
  <c r="E3362" i="1" s="1"/>
  <c r="B80" i="1"/>
  <c r="A156" i="1"/>
  <c r="B46" i="1"/>
  <c r="A258" i="1"/>
  <c r="D3304" i="1"/>
  <c r="E3304" i="1" s="1"/>
  <c r="A3304" i="1"/>
  <c r="A146" i="1"/>
  <c r="B144" i="1"/>
  <c r="A278" i="1"/>
  <c r="A268" i="1"/>
  <c r="B124" i="1"/>
  <c r="A126" i="1"/>
  <c r="D3430" i="1" l="1"/>
  <c r="E3430" i="1" s="1"/>
  <c r="A178" i="1"/>
  <c r="A180" i="1" s="1"/>
  <c r="B176" i="1"/>
  <c r="A25" i="1"/>
  <c r="A28" i="1" s="1"/>
  <c r="A298" i="1"/>
  <c r="B298" i="1" s="1"/>
  <c r="A308" i="1"/>
  <c r="B308" i="1" s="1"/>
  <c r="A168" i="1"/>
  <c r="B168" i="1" s="1"/>
  <c r="B286" i="1"/>
  <c r="D3431" i="1"/>
  <c r="E3431" i="1" s="1"/>
  <c r="D3312" i="1"/>
  <c r="E3312" i="1" s="1"/>
  <c r="D3432" i="1"/>
  <c r="E3432" i="1" s="1"/>
  <c r="D3311" i="1"/>
  <c r="E3311" i="1" s="1"/>
  <c r="B22" i="1"/>
  <c r="D3366" i="1"/>
  <c r="E3366" i="1" s="1"/>
  <c r="B49" i="1"/>
  <c r="A88" i="1"/>
  <c r="B88" i="1" s="1"/>
  <c r="B126" i="1"/>
  <c r="B288" i="1"/>
  <c r="B258" i="1"/>
  <c r="A158" i="1"/>
  <c r="B158" i="1" s="1"/>
  <c r="B268" i="1"/>
  <c r="B278" i="1"/>
  <c r="A138" i="1"/>
  <c r="B136" i="1"/>
  <c r="B156" i="1"/>
  <c r="D3365" i="1"/>
  <c r="E3365" i="1" s="1"/>
  <c r="D3364" i="1"/>
  <c r="E3364" i="1" s="1"/>
  <c r="D3307" i="1"/>
  <c r="E3307" i="1" s="1"/>
  <c r="A3307" i="1"/>
  <c r="A148" i="1"/>
  <c r="B146" i="1"/>
  <c r="A270" i="1"/>
  <c r="A290" i="1"/>
  <c r="A280" i="1"/>
  <c r="A190" i="1"/>
  <c r="B188" i="1"/>
  <c r="A200" i="1"/>
  <c r="B52" i="1"/>
  <c r="A55" i="1"/>
  <c r="A300" i="1" l="1"/>
  <c r="B178" i="1"/>
  <c r="D3433" i="1"/>
  <c r="E3433" i="1" s="1"/>
  <c r="B25" i="1"/>
  <c r="A320" i="1"/>
  <c r="B320" i="1" s="1"/>
  <c r="A170" i="1"/>
  <c r="B170" i="1" s="1"/>
  <c r="A310" i="1"/>
  <c r="B310" i="1" s="1"/>
  <c r="D3434" i="1"/>
  <c r="E3434" i="1" s="1"/>
  <c r="A92" i="1"/>
  <c r="A96" i="1" s="1"/>
  <c r="A160" i="1"/>
  <c r="B160" i="1" s="1"/>
  <c r="D3314" i="1"/>
  <c r="E3314" i="1" s="1"/>
  <c r="D3435" i="1"/>
  <c r="E3435" i="1" s="1"/>
  <c r="D3369" i="1"/>
  <c r="E3369" i="1" s="1"/>
  <c r="D3315" i="1"/>
  <c r="E3315" i="1" s="1"/>
  <c r="B280" i="1"/>
  <c r="B138" i="1"/>
  <c r="B270" i="1"/>
  <c r="B290" i="1"/>
  <c r="B300" i="1"/>
  <c r="D3367" i="1"/>
  <c r="E3367" i="1" s="1"/>
  <c r="D3368" i="1"/>
  <c r="E3368" i="1" s="1"/>
  <c r="D3310" i="1"/>
  <c r="E3310" i="1" s="1"/>
  <c r="A3310" i="1"/>
  <c r="B148" i="1"/>
  <c r="A150" i="1"/>
  <c r="A302" i="1"/>
  <c r="A292" i="1"/>
  <c r="A282" i="1"/>
  <c r="A202" i="1"/>
  <c r="A212" i="1"/>
  <c r="B200" i="1"/>
  <c r="A182" i="1"/>
  <c r="B180" i="1"/>
  <c r="A192" i="1"/>
  <c r="B190" i="1"/>
  <c r="A58" i="1"/>
  <c r="B55" i="1"/>
  <c r="A31" i="1"/>
  <c r="B28" i="1"/>
  <c r="A162" i="1" l="1"/>
  <c r="B162" i="1" s="1"/>
  <c r="D3436" i="1"/>
  <c r="E3436" i="1" s="1"/>
  <c r="A172" i="1"/>
  <c r="A332" i="1"/>
  <c r="A344" i="1" s="1"/>
  <c r="A322" i="1"/>
  <c r="B322" i="1" s="1"/>
  <c r="A312" i="1"/>
  <c r="B312" i="1" s="1"/>
  <c r="D3437" i="1"/>
  <c r="E3437" i="1" s="1"/>
  <c r="B92" i="1"/>
  <c r="D3318" i="1"/>
  <c r="E3318" i="1" s="1"/>
  <c r="D3372" i="1"/>
  <c r="E3372" i="1" s="1"/>
  <c r="D3438" i="1"/>
  <c r="E3438" i="1" s="1"/>
  <c r="D3317" i="1"/>
  <c r="E3317" i="1" s="1"/>
  <c r="B282" i="1"/>
  <c r="B292" i="1"/>
  <c r="B150" i="1"/>
  <c r="B302" i="1"/>
  <c r="A3313" i="1"/>
  <c r="A3316" i="1" s="1"/>
  <c r="D3371" i="1"/>
  <c r="E3371" i="1" s="1"/>
  <c r="D3370" i="1"/>
  <c r="E3370" i="1" s="1"/>
  <c r="D3313" i="1"/>
  <c r="E3313" i="1" s="1"/>
  <c r="B96" i="1"/>
  <c r="A100" i="1"/>
  <c r="A304" i="1"/>
  <c r="A294" i="1"/>
  <c r="A214" i="1"/>
  <c r="A224" i="1"/>
  <c r="B212" i="1"/>
  <c r="B172" i="1"/>
  <c r="A174" i="1"/>
  <c r="B192" i="1"/>
  <c r="A194" i="1"/>
  <c r="B182" i="1"/>
  <c r="A184" i="1"/>
  <c r="B202" i="1"/>
  <c r="A204" i="1"/>
  <c r="B58" i="1"/>
  <c r="A61" i="1"/>
  <c r="B31" i="1"/>
  <c r="A334" i="1" l="1"/>
  <c r="A324" i="1"/>
  <c r="B332" i="1"/>
  <c r="D3439" i="1"/>
  <c r="E3439" i="1" s="1"/>
  <c r="A314" i="1"/>
  <c r="A316" i="1" s="1"/>
  <c r="D3440" i="1"/>
  <c r="E3440" i="1" s="1"/>
  <c r="D3320" i="1"/>
  <c r="E3320" i="1" s="1"/>
  <c r="D3441" i="1"/>
  <c r="E3441" i="1" s="1"/>
  <c r="D3375" i="1"/>
  <c r="E3375" i="1" s="1"/>
  <c r="D3321" i="1"/>
  <c r="E3321" i="1" s="1"/>
  <c r="B334" i="1"/>
  <c r="B294" i="1"/>
  <c r="B324" i="1"/>
  <c r="B304" i="1"/>
  <c r="B100" i="1"/>
  <c r="B174" i="1"/>
  <c r="B344" i="1"/>
  <c r="D3373" i="1"/>
  <c r="E3373" i="1" s="1"/>
  <c r="D3374" i="1"/>
  <c r="E3374" i="1" s="1"/>
  <c r="D3316" i="1"/>
  <c r="E3316" i="1" s="1"/>
  <c r="A3319" i="1"/>
  <c r="B61" i="1"/>
  <c r="A326" i="1"/>
  <c r="A336" i="1"/>
  <c r="A306" i="1"/>
  <c r="A346" i="1"/>
  <c r="B204" i="1"/>
  <c r="A206" i="1"/>
  <c r="A186" i="1"/>
  <c r="B184" i="1"/>
  <c r="A196" i="1"/>
  <c r="B194" i="1"/>
  <c r="B224" i="1"/>
  <c r="A226" i="1"/>
  <c r="B214" i="1"/>
  <c r="A216" i="1"/>
  <c r="D3442" i="1" l="1"/>
  <c r="E3442" i="1" s="1"/>
  <c r="B314" i="1"/>
  <c r="D3443" i="1"/>
  <c r="E3443" i="1" s="1"/>
  <c r="D3324" i="1"/>
  <c r="E3324" i="1" s="1"/>
  <c r="D3378" i="1"/>
  <c r="E3378" i="1" s="1"/>
  <c r="D3444" i="1"/>
  <c r="E3444" i="1" s="1"/>
  <c r="D3323" i="1"/>
  <c r="E3323" i="1" s="1"/>
  <c r="B336" i="1"/>
  <c r="B346" i="1"/>
  <c r="B306" i="1"/>
  <c r="B316" i="1"/>
  <c r="B326" i="1"/>
  <c r="D3445" i="1"/>
  <c r="E3445" i="1" s="1"/>
  <c r="D3377" i="1"/>
  <c r="E3377" i="1" s="1"/>
  <c r="D3376" i="1"/>
  <c r="E3376" i="1" s="1"/>
  <c r="A3322" i="1"/>
  <c r="D3319" i="1"/>
  <c r="E3319" i="1" s="1"/>
  <c r="A348" i="1"/>
  <c r="A338" i="1"/>
  <c r="A318" i="1"/>
  <c r="A328" i="1"/>
  <c r="A208" i="1"/>
  <c r="B206" i="1"/>
  <c r="A218" i="1"/>
  <c r="B216" i="1"/>
  <c r="A228" i="1"/>
  <c r="B226" i="1"/>
  <c r="A198" i="1"/>
  <c r="B196" i="1"/>
  <c r="B186" i="1"/>
  <c r="D3446" i="1" l="1"/>
  <c r="E3446" i="1" s="1"/>
  <c r="D3381" i="1"/>
  <c r="E3381" i="1" s="1"/>
  <c r="D3326" i="1"/>
  <c r="E3326" i="1" s="1"/>
  <c r="D3447" i="1"/>
  <c r="E3447" i="1" s="1"/>
  <c r="D3451" i="1"/>
  <c r="E3451" i="1" s="1"/>
  <c r="D3327" i="1"/>
  <c r="E3327" i="1" s="1"/>
  <c r="B328" i="1"/>
  <c r="B318" i="1"/>
  <c r="B338" i="1"/>
  <c r="B348" i="1"/>
  <c r="D3448" i="1"/>
  <c r="E3448" i="1" s="1"/>
  <c r="D3379" i="1"/>
  <c r="E3379" i="1" s="1"/>
  <c r="D3380" i="1"/>
  <c r="E3380" i="1" s="1"/>
  <c r="A3325" i="1"/>
  <c r="D3322" i="1"/>
  <c r="E3322" i="1" s="1"/>
  <c r="A340" i="1"/>
  <c r="A330" i="1"/>
  <c r="A350" i="1"/>
  <c r="A230" i="1"/>
  <c r="B228" i="1"/>
  <c r="B198" i="1"/>
  <c r="B218" i="1"/>
  <c r="A220" i="1"/>
  <c r="B208" i="1"/>
  <c r="A210" i="1"/>
  <c r="D3449" i="1" l="1"/>
  <c r="E3449" i="1" s="1"/>
  <c r="D3452" i="1"/>
  <c r="E3452" i="1" s="1"/>
  <c r="D3329" i="1"/>
  <c r="E3329" i="1" s="1"/>
  <c r="D3384" i="1"/>
  <c r="E3384" i="1" s="1"/>
  <c r="D3330" i="1"/>
  <c r="E3330" i="1" s="1"/>
  <c r="D3453" i="1"/>
  <c r="E3453" i="1" s="1"/>
  <c r="D3450" i="1"/>
  <c r="E3450" i="1" s="1"/>
  <c r="B330" i="1"/>
  <c r="B350" i="1"/>
  <c r="B340" i="1"/>
  <c r="D3454" i="1"/>
  <c r="E3454" i="1" s="1"/>
  <c r="D3383" i="1"/>
  <c r="E3383" i="1" s="1"/>
  <c r="D3382" i="1"/>
  <c r="E3382" i="1" s="1"/>
  <c r="D3325" i="1"/>
  <c r="E3325" i="1" s="1"/>
  <c r="A3328" i="1"/>
  <c r="A352" i="1"/>
  <c r="A342" i="1"/>
  <c r="B230" i="1"/>
  <c r="A232" i="1"/>
  <c r="B210" i="1"/>
  <c r="A222" i="1"/>
  <c r="B220" i="1"/>
  <c r="D3455" i="1" l="1"/>
  <c r="E3455" i="1" s="1"/>
  <c r="D3333" i="1"/>
  <c r="E3333" i="1" s="1"/>
  <c r="D3387" i="1"/>
  <c r="E3387" i="1" s="1"/>
  <c r="D3456" i="1"/>
  <c r="E3456" i="1" s="1"/>
  <c r="D3332" i="1"/>
  <c r="E3332" i="1" s="1"/>
  <c r="B342" i="1"/>
  <c r="B352" i="1"/>
  <c r="D3385" i="1"/>
  <c r="E3385" i="1" s="1"/>
  <c r="D3386" i="1"/>
  <c r="E3386" i="1" s="1"/>
  <c r="A3331" i="1"/>
  <c r="D3328" i="1"/>
  <c r="E3328" i="1" s="1"/>
  <c r="A354" i="1"/>
  <c r="B232" i="1"/>
  <c r="A234" i="1"/>
  <c r="B222" i="1"/>
  <c r="D3390" i="1" l="1"/>
  <c r="E3390" i="1" s="1"/>
  <c r="D3336" i="1"/>
  <c r="E3336" i="1" s="1"/>
  <c r="D3335" i="1"/>
  <c r="E3335" i="1" s="1"/>
  <c r="B354" i="1"/>
  <c r="D3389" i="1"/>
  <c r="E3389" i="1" s="1"/>
  <c r="D3388" i="1"/>
  <c r="E3388" i="1" s="1"/>
  <c r="D3331" i="1"/>
  <c r="E3331" i="1" s="1"/>
  <c r="A3334" i="1"/>
  <c r="C2998" i="1"/>
  <c r="B234" i="1"/>
  <c r="C2993" i="1"/>
  <c r="C3108" i="1"/>
  <c r="C3063" i="1"/>
  <c r="C2973" i="1"/>
  <c r="D3392" i="1" l="1"/>
  <c r="E3392" i="1" s="1"/>
  <c r="D3391" i="1"/>
  <c r="E3391" i="1" s="1"/>
  <c r="C196" i="1"/>
  <c r="C3517" i="1"/>
  <c r="C3507" i="1"/>
  <c r="C3547" i="1"/>
  <c r="C3532" i="1"/>
  <c r="C3527" i="1"/>
  <c r="C3537" i="1"/>
  <c r="C3567" i="1"/>
  <c r="C3512" i="1"/>
  <c r="C3522" i="1"/>
  <c r="C3572" i="1"/>
  <c r="C3552" i="1"/>
  <c r="C3562" i="1"/>
  <c r="C3557" i="1"/>
  <c r="C3542" i="1"/>
  <c r="C186" i="1"/>
  <c r="C208" i="1"/>
  <c r="C330" i="1"/>
  <c r="C328" i="1"/>
  <c r="C232" i="1"/>
  <c r="C3043" i="1"/>
  <c r="C3093" i="1"/>
  <c r="C2958" i="1"/>
  <c r="C3008" i="1"/>
  <c r="C2983" i="1"/>
  <c r="C3013" i="1"/>
  <c r="C228" i="1"/>
  <c r="C3088" i="1"/>
  <c r="C3319" i="1"/>
  <c r="C2751" i="1"/>
  <c r="C2775" i="1"/>
  <c r="C405" i="1"/>
  <c r="C417" i="1"/>
  <c r="C2859" i="1"/>
  <c r="C423" i="1"/>
  <c r="C431" i="1"/>
  <c r="C2660" i="1"/>
  <c r="C2680" i="1"/>
  <c r="C2791" i="1"/>
  <c r="C2815" i="1"/>
  <c r="C2414" i="1"/>
  <c r="C2519" i="1"/>
  <c r="C358" i="1"/>
  <c r="C2576" i="1"/>
  <c r="C16" i="1"/>
  <c r="C368" i="1"/>
  <c r="C2847" i="1"/>
  <c r="C2711" i="1"/>
  <c r="C2434" i="1"/>
  <c r="C2509" i="1"/>
  <c r="C2735" i="1"/>
  <c r="C382" i="1"/>
  <c r="C2827" i="1"/>
  <c r="C2449" i="1"/>
  <c r="C2552" i="1"/>
  <c r="C2704" i="1"/>
  <c r="C2454" i="1"/>
  <c r="C2851" i="1"/>
  <c r="C4" i="1"/>
  <c r="C2564" i="1"/>
  <c r="C7" i="1"/>
  <c r="C2617" i="1"/>
  <c r="C2665" i="1"/>
  <c r="C118" i="1"/>
  <c r="C2831" i="1"/>
  <c r="C427" i="1"/>
  <c r="C360" i="1"/>
  <c r="C116" i="1"/>
  <c r="C2747" i="1"/>
  <c r="C2640" i="1"/>
  <c r="C2807" i="1"/>
  <c r="C2727" i="1"/>
  <c r="C438" i="1"/>
  <c r="C2783" i="1"/>
  <c r="C2484" i="1"/>
  <c r="C2410" i="1"/>
  <c r="C2469" i="1"/>
  <c r="C2823" i="1"/>
  <c r="C414" i="1"/>
  <c r="C2514" i="1"/>
  <c r="C402" i="1"/>
  <c r="C2439" i="1"/>
  <c r="C2855" i="1"/>
  <c r="C2394" i="1"/>
  <c r="C248" i="1"/>
  <c r="C2755" i="1"/>
  <c r="C2597" i="1"/>
  <c r="C2499" i="1"/>
  <c r="C2695" i="1"/>
  <c r="C366" i="1"/>
  <c r="C128" i="1"/>
  <c r="C2743" i="1"/>
  <c r="C2771" i="1"/>
  <c r="C2582" i="1"/>
  <c r="C2719" i="1"/>
  <c r="C380" i="1"/>
  <c r="C2739" i="1"/>
  <c r="C2839" i="1"/>
  <c r="C446" i="1"/>
  <c r="C364" i="1"/>
  <c r="C2779" i="1"/>
  <c r="C2767" i="1"/>
  <c r="C2474" i="1"/>
  <c r="C2675" i="1"/>
  <c r="C442" i="1"/>
  <c r="C2863" i="1"/>
  <c r="C2687" i="1"/>
  <c r="C356" i="1"/>
  <c r="C2402" i="1"/>
  <c r="C2723" i="1"/>
  <c r="C2655" i="1"/>
  <c r="C37" i="1"/>
  <c r="C399" i="1"/>
  <c r="C411" i="1"/>
  <c r="C64" i="1"/>
  <c r="C2459" i="1"/>
  <c r="C2534" i="1"/>
  <c r="C2645" i="1"/>
  <c r="C2683" i="1"/>
  <c r="C2489" i="1"/>
  <c r="C362" i="1"/>
  <c r="C2587" i="1"/>
  <c r="C2787" i="1"/>
  <c r="C2803" i="1"/>
  <c r="C2570" i="1"/>
  <c r="C2419" i="1"/>
  <c r="C2819" i="1"/>
  <c r="C2835" i="1"/>
  <c r="C384" i="1"/>
  <c r="C2692" i="1"/>
  <c r="C2494" i="1"/>
  <c r="C2592" i="1"/>
  <c r="C2546" i="1"/>
  <c r="C72" i="1"/>
  <c r="C388" i="1"/>
  <c r="C435" i="1"/>
  <c r="C34" i="1"/>
  <c r="C2635" i="1"/>
  <c r="C2731" i="1"/>
  <c r="C260" i="1"/>
  <c r="C2540" i="1"/>
  <c r="C2464" i="1"/>
  <c r="C2698" i="1"/>
  <c r="C2799" i="1"/>
  <c r="C142" i="1"/>
  <c r="C2867" i="1"/>
  <c r="C2390" i="1"/>
  <c r="C250" i="1"/>
  <c r="C272" i="1"/>
  <c r="C238" i="1"/>
  <c r="C68" i="1"/>
  <c r="C2381" i="1"/>
  <c r="C2685" i="1"/>
  <c r="C2406" i="1"/>
  <c r="C10" i="1"/>
  <c r="C2558" i="1"/>
  <c r="C2444" i="1"/>
  <c r="C408" i="1"/>
  <c r="C2529" i="1"/>
  <c r="C2795" i="1"/>
  <c r="C2763" i="1"/>
  <c r="C2612" i="1"/>
  <c r="C120" i="1"/>
  <c r="C386" i="1"/>
  <c r="C420" i="1"/>
  <c r="C40" i="1"/>
  <c r="C2429" i="1"/>
  <c r="C2384" i="1"/>
  <c r="C236" i="1"/>
  <c r="C2479" i="1"/>
  <c r="C396" i="1"/>
  <c r="C2701" i="1"/>
  <c r="C2607" i="1"/>
  <c r="C2424" i="1"/>
  <c r="C2689" i="1"/>
  <c r="C2524" i="1"/>
  <c r="C2715" i="1"/>
  <c r="C2398" i="1"/>
  <c r="C378" i="1"/>
  <c r="C2602" i="1"/>
  <c r="C140" i="1"/>
  <c r="C2504" i="1"/>
  <c r="C2811" i="1"/>
  <c r="C370" i="1"/>
  <c r="C240" i="1"/>
  <c r="C2670" i="1"/>
  <c r="C262" i="1"/>
  <c r="C2627" i="1"/>
  <c r="C2843" i="1"/>
  <c r="C2759" i="1"/>
  <c r="C2707" i="1"/>
  <c r="C122" i="1"/>
  <c r="C2387" i="1"/>
  <c r="C144" i="1"/>
  <c r="C152" i="1"/>
  <c r="C242" i="1"/>
  <c r="C176" i="1"/>
  <c r="C254" i="1"/>
  <c r="C264" i="1"/>
  <c r="C76" i="1"/>
  <c r="C124" i="1"/>
  <c r="C43" i="1"/>
  <c r="C130" i="1"/>
  <c r="C284" i="1"/>
  <c r="C252" i="1"/>
  <c r="C2622" i="1"/>
  <c r="C2650" i="1"/>
  <c r="C164" i="1"/>
  <c r="C390" i="1"/>
  <c r="C296" i="1"/>
  <c r="C244" i="1"/>
  <c r="C168" i="1"/>
  <c r="C49" i="1"/>
  <c r="C188" i="1"/>
  <c r="C372" i="1"/>
  <c r="C374" i="1"/>
  <c r="C246" i="1"/>
  <c r="C52" i="1"/>
  <c r="C134" i="1"/>
  <c r="C274" i="1"/>
  <c r="C25" i="1"/>
  <c r="C146" i="1"/>
  <c r="C19" i="1"/>
  <c r="C166" i="1"/>
  <c r="C84" i="1"/>
  <c r="C132" i="1"/>
  <c r="C376" i="1"/>
  <c r="C46" i="1"/>
  <c r="C154" i="1"/>
  <c r="C13" i="1"/>
  <c r="C182" i="1"/>
  <c r="C268" i="1"/>
  <c r="C92" i="1"/>
  <c r="C148" i="1"/>
  <c r="C160" i="1"/>
  <c r="C392" i="1"/>
  <c r="C136" i="1"/>
  <c r="C308" i="1"/>
  <c r="C80" i="1"/>
  <c r="C180" i="1"/>
  <c r="C266" i="1"/>
  <c r="C178" i="1"/>
  <c r="C200" i="1"/>
  <c r="C256" i="1"/>
  <c r="C158" i="1"/>
  <c r="C170" i="1"/>
  <c r="C22" i="1"/>
  <c r="C190" i="1"/>
  <c r="C286" i="1"/>
  <c r="C298" i="1"/>
  <c r="C394" i="1"/>
  <c r="C280" i="1"/>
  <c r="C270" i="1"/>
  <c r="C88" i="1"/>
  <c r="C288" i="1"/>
  <c r="C172" i="1"/>
  <c r="C290" i="1"/>
  <c r="C302" i="1"/>
  <c r="C278" i="1"/>
  <c r="C276" i="1"/>
  <c r="C58" i="1"/>
  <c r="C320" i="1"/>
  <c r="C258" i="1"/>
  <c r="C55" i="1"/>
  <c r="C126" i="1"/>
  <c r="C202" i="1"/>
  <c r="C156" i="1"/>
  <c r="C212" i="1"/>
  <c r="C194" i="1"/>
  <c r="C310" i="1"/>
  <c r="C138" i="1"/>
  <c r="C292" i="1"/>
  <c r="C184" i="1"/>
  <c r="C162" i="1"/>
  <c r="C312" i="1"/>
  <c r="C282" i="1"/>
  <c r="C28" i="1"/>
  <c r="C192" i="1"/>
  <c r="C31" i="1"/>
  <c r="C294" i="1"/>
  <c r="C96" i="1"/>
  <c r="C304" i="1"/>
  <c r="C318" i="1"/>
  <c r="C224" i="1"/>
  <c r="C204" i="1"/>
  <c r="C306" i="1"/>
  <c r="C300" i="1"/>
  <c r="C150" i="1"/>
  <c r="C230" i="1"/>
  <c r="C326" i="1"/>
  <c r="C316" i="1"/>
  <c r="C314" i="1"/>
  <c r="C218" i="1"/>
  <c r="C100" i="1"/>
  <c r="C206" i="1"/>
  <c r="C226" i="1"/>
  <c r="C324" i="1"/>
  <c r="C346" i="1"/>
  <c r="C334" i="1"/>
  <c r="C340" i="1"/>
  <c r="C3058" i="1"/>
  <c r="C220" i="1"/>
  <c r="C198" i="1"/>
  <c r="C174" i="1"/>
  <c r="C222" i="1"/>
  <c r="C61" i="1"/>
  <c r="C3098" i="1"/>
  <c r="C336" i="1"/>
  <c r="C214" i="1"/>
  <c r="C216" i="1"/>
  <c r="C344" i="1"/>
  <c r="C338" i="1"/>
  <c r="C332" i="1"/>
  <c r="C348" i="1"/>
  <c r="C322" i="1"/>
  <c r="C3003" i="1"/>
  <c r="C354" i="1"/>
  <c r="C210" i="1"/>
  <c r="C3103" i="1"/>
  <c r="C234" i="1"/>
  <c r="C342" i="1"/>
  <c r="C3038" i="1"/>
  <c r="C350" i="1"/>
  <c r="C352" i="1"/>
  <c r="C2988" i="1"/>
  <c r="C3068" i="1"/>
  <c r="C3083" i="1"/>
  <c r="C3028" i="1"/>
  <c r="C3048" i="1"/>
  <c r="C2968" i="1"/>
  <c r="C3331" i="1"/>
  <c r="C3325" i="1"/>
  <c r="C3334" i="1"/>
  <c r="C3209" i="1"/>
  <c r="C3233" i="1"/>
  <c r="C3269" i="1"/>
  <c r="C3340" i="1"/>
  <c r="C3286" i="1"/>
  <c r="C3292" i="1"/>
  <c r="C3211" i="1"/>
  <c r="C3246" i="1"/>
  <c r="C3223" i="1"/>
  <c r="C3158" i="1"/>
  <c r="C3229" i="1"/>
  <c r="C3243" i="1"/>
  <c r="C3138" i="1"/>
  <c r="C3276" i="1"/>
  <c r="C3279" i="1"/>
  <c r="C3236" i="1"/>
  <c r="C3219" i="1"/>
  <c r="C3216" i="1"/>
  <c r="C3148" i="1"/>
  <c r="C3283" i="1"/>
  <c r="C3249" i="1"/>
  <c r="C3133" i="1"/>
  <c r="C3337" i="1"/>
  <c r="C3295" i="1"/>
  <c r="C3113" i="1"/>
  <c r="C3266" i="1"/>
  <c r="C3193" i="1"/>
  <c r="C3118" i="1"/>
  <c r="C3123" i="1"/>
  <c r="C3253" i="1"/>
  <c r="C3213" i="1"/>
  <c r="C3178" i="1"/>
  <c r="C3163" i="1"/>
  <c r="C3203" i="1"/>
  <c r="C3298" i="1"/>
  <c r="C3143" i="1"/>
  <c r="C3188" i="1"/>
  <c r="C3208" i="1"/>
  <c r="C3198" i="1"/>
  <c r="C3210" i="1"/>
  <c r="C3168" i="1"/>
  <c r="C3128" i="1"/>
  <c r="C3289" i="1"/>
  <c r="C3239" i="1"/>
  <c r="C3212" i="1"/>
  <c r="C3273" i="1"/>
  <c r="C3259" i="1"/>
  <c r="C3263" i="1"/>
  <c r="C3226" i="1"/>
  <c r="C3173" i="1"/>
  <c r="C3183" i="1"/>
  <c r="C3301" i="1"/>
  <c r="C3256" i="1"/>
  <c r="C3153" i="1"/>
  <c r="C3307" i="1"/>
  <c r="C3304" i="1"/>
  <c r="C3322" i="1"/>
  <c r="C3310" i="1"/>
  <c r="C3313" i="1"/>
  <c r="C3316" i="1"/>
  <c r="C3328" i="1"/>
  <c r="C2963" i="1"/>
  <c r="C2978" i="1"/>
  <c r="C3033" i="1"/>
  <c r="C3023" i="1"/>
  <c r="C3018" i="1"/>
  <c r="C3073" i="1"/>
  <c r="C3078" i="1"/>
  <c r="C3053" i="1"/>
  <c r="D3334" i="1"/>
  <c r="E3334" i="1" s="1"/>
  <c r="D3394" i="1" l="1"/>
  <c r="E3394" i="1" s="1"/>
  <c r="D3395" i="1"/>
  <c r="E3395" i="1" s="1"/>
  <c r="D3398" i="1" l="1"/>
  <c r="E3398" i="1" s="1"/>
  <c r="D3397" i="1"/>
  <c r="E3397" i="1" s="1"/>
  <c r="D3400" i="1" l="1"/>
  <c r="E3400" i="1" s="1"/>
  <c r="D3401" i="1"/>
  <c r="E340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chuckcgchen(陈长阁)</author>
    <author>Tencent_Go</author>
  </authors>
  <commentList>
    <comment ref="G2" authorId="0" shapeId="0" xr:uid="{00000000-0006-0000-0000-000001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chuckcgchen(陈长阁):
与【相对权重】一起确定随机出几项道具
</t>
        </r>
      </text>
    </comment>
    <comment ref="I2" authorId="0" shapeId="0" xr:uid="{00000000-0006-0000-0000-000002000000}">
      <text>
        <r>
          <rPr>
            <sz val="11"/>
            <color theme="1"/>
            <rFont val="宋体"/>
            <family val="3"/>
            <charset val="134"/>
            <scheme val="minor"/>
          </rPr>
          <t>chuckcgchen(陈长阁):
从最大数量最小数量里选择一个的权重</t>
        </r>
      </text>
    </comment>
    <comment ref="J2" authorId="0" shapeId="0" xr:uid="{00000000-0006-0000-0000-000003000000}">
      <text>
        <r>
          <rPr>
            <sz val="11"/>
            <color theme="1"/>
            <rFont val="宋体"/>
            <family val="3"/>
            <charset val="134"/>
            <scheme val="minor"/>
          </rPr>
          <t>chuckcgchen(陈长阁):
包内物体统一计算权重</t>
        </r>
      </text>
    </comment>
    <comment ref="K2" authorId="0" shapeId="0" xr:uid="{00000000-0006-0000-0000-000004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chuckcgchen(陈长阁):
单独概率值，和其他物品无关
</t>
        </r>
      </text>
    </comment>
    <comment ref="M2" authorId="0" shapeId="0" xr:uid="{00000000-0006-0000-0000-000005000000}">
      <text>
        <r>
          <rPr>
            <sz val="11"/>
            <color theme="1"/>
            <rFont val="宋体"/>
            <family val="3"/>
            <charset val="134"/>
            <scheme val="minor"/>
          </rPr>
          <t xml:space="preserve">chuckcgchen(陈长阁):
是否使用本表id列顺序作为显示顺序
bool值 true或false
</t>
        </r>
      </text>
    </comment>
    <comment ref="L3" authorId="1" shapeId="0" xr:uid="{00000000-0006-0000-0000-000006000000}">
      <text>
        <r>
          <rPr>
            <sz val="11"/>
            <color theme="1"/>
            <rFont val="宋体"/>
            <family val="3"/>
            <charset val="134"/>
            <scheme val="minor"/>
          </rPr>
          <t>Tencent_Go:
失效</t>
        </r>
      </text>
    </comment>
  </commentList>
</comments>
</file>

<file path=xl/sharedStrings.xml><?xml version="1.0" encoding="utf-8"?>
<sst xmlns="http://schemas.openxmlformats.org/spreadsheetml/2006/main" count="5535" uniqueCount="1933">
  <si>
    <t>相对随机配置</t>
  </si>
  <si>
    <t>奖励ID</t>
  </si>
  <si>
    <t>策划描述</t>
  </si>
  <si>
    <t>道具id</t>
  </si>
  <si>
    <t>道具名称</t>
  </si>
  <si>
    <t>道具数量</t>
  </si>
  <si>
    <t>相对权重最小个数</t>
  </si>
  <si>
    <t>相对权重最大个数</t>
  </si>
  <si>
    <t>数量权重</t>
  </si>
  <si>
    <t>相对权重（整数）</t>
  </si>
  <si>
    <t>绝对概率[0,1]</t>
  </si>
  <si>
    <t>过期时间</t>
  </si>
  <si>
    <t>自定义顺序</t>
  </si>
  <si>
    <t>可选数量</t>
  </si>
  <si>
    <t>id</t>
  </si>
  <si>
    <t>item.id</t>
  </si>
  <si>
    <t>item.num</t>
  </si>
  <si>
    <t>minNum</t>
  </si>
  <si>
    <t>maxNum</t>
  </si>
  <si>
    <t>numWeight[;]</t>
  </si>
  <si>
    <t>item.relativeWeight</t>
  </si>
  <si>
    <t>item.absoluteProbability</t>
  </si>
  <si>
    <t>item.expire</t>
  </si>
  <si>
    <t>customizedOrder</t>
  </si>
  <si>
    <t>chooseNum</t>
  </si>
  <si>
    <t>分表须知</t>
  </si>
  <si>
    <t>* 每个策划占用10万ID段</t>
  </si>
  <si>
    <t>* 新增xlsx后需要将新表第一行pb名字和分表配置里对应起来(参考已有分表A1单元格的写法)</t>
  </si>
  <si>
    <t>* 告知服务器同学添加加载新分表的代码（ResMapAllServerLite.java.conv）</t>
  </si>
  <si>
    <t>* 新增分表后需转《奖励分表配置》并提交，后续只需要修改自己的分表即可</t>
  </si>
  <si>
    <t>奖励随机流程</t>
  </si>
  <si>
    <t>1. 产出【绝对概率】道具</t>
  </si>
  <si>
    <t>2. 产出【相对权重】道具</t>
  </si>
  <si>
    <t>3. 将第1步，第2步随机结果合并返回</t>
  </si>
  <si>
    <t>1.1对每个绝对概率道具进行一次随机，决定出不出</t>
  </si>
  <si>
    <t>2.1 将所有配置了相对权重的道具组建一个随机池子</t>
  </si>
  <si>
    <t>1.2 绝对概率配置范围为【0, 1】，配1必出，配置0必不出（用于预配置）</t>
  </si>
  <si>
    <t>2.2 如果配置了二项权重，则从最大最小两个数字中随机选一个数字n</t>
  </si>
  <si>
    <t>2.3 如果没配置二项权重，从最小最大数量范围中随机一个数字</t>
  </si>
  <si>
    <t>2.4 随机数为0不进行相对权重随机，随机数大于池子大小全出</t>
  </si>
  <si>
    <t>旧Key</t>
  </si>
  <si>
    <t>新Key</t>
  </si>
  <si>
    <t>文本</t>
  </si>
  <si>
    <t>海外军演-01</t>
  </si>
  <si>
    <t>海外军演-02</t>
  </si>
  <si>
    <t>海外军演-03</t>
  </si>
  <si>
    <t>海外军演-04</t>
  </si>
  <si>
    <t>海外军演-05</t>
  </si>
  <si>
    <t>海外军演-06</t>
  </si>
  <si>
    <t>海外军演-07</t>
  </si>
  <si>
    <t>海外军演-08</t>
  </si>
  <si>
    <t>海外军演-09</t>
  </si>
  <si>
    <t>海外军演-10</t>
  </si>
  <si>
    <t>海外军演-11</t>
  </si>
  <si>
    <t>海外军演-12</t>
  </si>
  <si>
    <t>海外军演-13</t>
  </si>
  <si>
    <t>海外军演-14</t>
  </si>
  <si>
    <t>海外军演-15</t>
  </si>
  <si>
    <t>海外军演-16</t>
  </si>
  <si>
    <t>海外军演-17</t>
  </si>
  <si>
    <t>海外军演-18</t>
  </si>
  <si>
    <t>海外军演-19</t>
  </si>
  <si>
    <t>海外军演-20</t>
  </si>
  <si>
    <t>海外军演-21</t>
  </si>
  <si>
    <t>海外军演-22</t>
  </si>
  <si>
    <t>海外军演-23</t>
  </si>
  <si>
    <t>海外军演-24</t>
  </si>
  <si>
    <t>海外军演-25</t>
  </si>
  <si>
    <t>海外军演-26</t>
  </si>
  <si>
    <t>海外军演-27</t>
  </si>
  <si>
    <t>海外军演-28</t>
  </si>
  <si>
    <t>海外军演-29</t>
  </si>
  <si>
    <t>海外军演-30</t>
  </si>
  <si>
    <t>海外军演-31</t>
  </si>
  <si>
    <t>海外军演-32</t>
  </si>
  <si>
    <t>海外军演-33</t>
  </si>
  <si>
    <t>海外军演-34</t>
  </si>
  <si>
    <t>海外军演-35</t>
  </si>
  <si>
    <t>海外军演-36</t>
  </si>
  <si>
    <t>海外军演-37</t>
  </si>
  <si>
    <t>海外军演-38</t>
  </si>
  <si>
    <t>海外军演-39</t>
  </si>
  <si>
    <t>海外军演-40</t>
  </si>
  <si>
    <t>海外军演-41</t>
  </si>
  <si>
    <t>海外军演-42</t>
  </si>
  <si>
    <t>海外军演-43</t>
  </si>
  <si>
    <t>海外军演-44</t>
  </si>
  <si>
    <t>海外军演-45</t>
  </si>
  <si>
    <t>海外军演-46</t>
  </si>
  <si>
    <t>海外军演-47</t>
  </si>
  <si>
    <t>海外军演-48</t>
  </si>
  <si>
    <t>海外军演-49</t>
  </si>
  <si>
    <t>海外军演-50</t>
  </si>
  <si>
    <t>海外军演-每日军演币第1关</t>
  </si>
  <si>
    <t>海外军演-每日军演币2-20关</t>
  </si>
  <si>
    <t>海外军演-每日军演币21-40关</t>
  </si>
  <si>
    <t>海外军演-每日军演币41-60关</t>
  </si>
  <si>
    <t>海外军演-每日军演币61-70关</t>
  </si>
  <si>
    <t>战略桌2-1</t>
  </si>
  <si>
    <t>战略桌2-2</t>
  </si>
  <si>
    <t>战略桌2-3</t>
  </si>
  <si>
    <t>战略桌3-1</t>
  </si>
  <si>
    <t>战略桌3-2</t>
  </si>
  <si>
    <t>战略桌3-3</t>
  </si>
  <si>
    <t>战略桌4-1</t>
  </si>
  <si>
    <t>战略桌4-2</t>
  </si>
  <si>
    <t>战略桌4-3</t>
  </si>
  <si>
    <t>战略桌5-1</t>
  </si>
  <si>
    <t>战略桌5-2</t>
  </si>
  <si>
    <t>战略桌5-3</t>
  </si>
  <si>
    <t>战略桌6-1</t>
  </si>
  <si>
    <t>战略桌6-2</t>
  </si>
  <si>
    <t>战略桌6-3</t>
  </si>
  <si>
    <t>战略桌7-1</t>
  </si>
  <si>
    <t>战略桌7-2</t>
  </si>
  <si>
    <t>战略桌7-3</t>
  </si>
  <si>
    <t>战略桌1-1</t>
  </si>
  <si>
    <t>战略桌1-2</t>
  </si>
  <si>
    <t>战略桌1-3</t>
  </si>
  <si>
    <t/>
  </si>
  <si>
    <t>重复检查</t>
    <phoneticPr fontId="1" type="noConversion"/>
  </si>
  <si>
    <t>主线关键奖励-29</t>
  </si>
  <si>
    <t>主线关键奖励-30</t>
  </si>
  <si>
    <t>教学奖励</t>
  </si>
  <si>
    <t>支线奖励-1</t>
  </si>
  <si>
    <t>支线奖励-2</t>
  </si>
  <si>
    <t>支线奖励-3</t>
  </si>
  <si>
    <t>支线奖励-4</t>
  </si>
  <si>
    <t>支线奖励-5</t>
  </si>
  <si>
    <t>支线奖励-6</t>
  </si>
  <si>
    <t>支线奖励-7</t>
  </si>
  <si>
    <t>支线奖励-8</t>
  </si>
  <si>
    <t>支线奖励-9</t>
  </si>
  <si>
    <t>支线奖励-10</t>
  </si>
  <si>
    <t>支线奖励-11</t>
  </si>
  <si>
    <t>支线奖励-12</t>
  </si>
  <si>
    <t>支线奖励-13</t>
  </si>
  <si>
    <t>支线奖励-14</t>
  </si>
  <si>
    <t>支线奖励-15</t>
  </si>
  <si>
    <t>支线奖励-16</t>
  </si>
  <si>
    <t>支线奖励-17</t>
  </si>
  <si>
    <t>支线奖励-18</t>
  </si>
  <si>
    <t>支线奖励-19</t>
  </si>
  <si>
    <t>支线奖励-20</t>
  </si>
  <si>
    <t>支线奖励-21</t>
  </si>
  <si>
    <t>支线奖励-22</t>
  </si>
  <si>
    <t>支线奖励-23</t>
  </si>
  <si>
    <t>支线奖励-24</t>
  </si>
  <si>
    <t>支线奖励-25</t>
  </si>
  <si>
    <t>支线奖励-26</t>
  </si>
  <si>
    <t>支线奖励-27</t>
  </si>
  <si>
    <t>支线奖励-28</t>
  </si>
  <si>
    <t>支线奖励-29</t>
  </si>
  <si>
    <t>支线奖励-30</t>
  </si>
  <si>
    <t>支线奖励-31</t>
  </si>
  <si>
    <t>支线奖励-32</t>
  </si>
  <si>
    <t>支线奖励-33</t>
  </si>
  <si>
    <t>支线奖励-34</t>
  </si>
  <si>
    <t>支线奖励-35</t>
  </si>
  <si>
    <t>支线奖励-36</t>
  </si>
  <si>
    <t>支线奖励-37</t>
  </si>
  <si>
    <t>支线奖励-38</t>
  </si>
  <si>
    <t>支线奖励-39</t>
  </si>
  <si>
    <t>支线奖励-40</t>
  </si>
  <si>
    <t>支线奖励-41</t>
  </si>
  <si>
    <t>支线奖励-42</t>
  </si>
  <si>
    <t>支线奖励-43</t>
  </si>
  <si>
    <t>支线奖励-44</t>
  </si>
  <si>
    <t>支线奖励-45</t>
  </si>
  <si>
    <t>支线奖励-46</t>
  </si>
  <si>
    <t>支线奖励-47</t>
  </si>
  <si>
    <t>支线奖励-48</t>
  </si>
  <si>
    <t>支线奖励-49</t>
  </si>
  <si>
    <t>支线奖励-50</t>
  </si>
  <si>
    <t>主线关键奖励-2</t>
    <phoneticPr fontId="1" type="noConversion"/>
  </si>
  <si>
    <t>里程碑个人奖励_阶段1</t>
  </si>
  <si>
    <t>里程碑个人奖励_阶段2</t>
    <phoneticPr fontId="1" type="noConversion"/>
  </si>
  <si>
    <t>里程碑个人奖励_阶段3</t>
  </si>
  <si>
    <t>里程碑个人奖励_阶段4</t>
  </si>
  <si>
    <t>里程碑个人奖励_阶段5</t>
  </si>
  <si>
    <t>里程碑个人奖励_阶段6</t>
  </si>
  <si>
    <t>里程碑个人奖励_阶段7</t>
  </si>
  <si>
    <t>里程碑个人奖励_阶段8</t>
  </si>
  <si>
    <t>里程碑个人奖励_阶段9</t>
  </si>
  <si>
    <t>里程碑个人奖励_阶段10</t>
  </si>
  <si>
    <t>里程碑联盟奖励_阶段1</t>
  </si>
  <si>
    <t>里程碑联盟奖励_阶段2</t>
    <phoneticPr fontId="1" type="noConversion"/>
  </si>
  <si>
    <t>里程碑联盟奖励_阶段3</t>
  </si>
  <si>
    <t>里程碑联盟奖励_阶段4</t>
  </si>
  <si>
    <t>里程碑联盟奖励_阶段5</t>
  </si>
  <si>
    <t>里程碑联盟奖励_阶段6</t>
  </si>
  <si>
    <t>里程碑联盟奖励_阶段7</t>
  </si>
  <si>
    <t>里程碑联盟奖励_阶段8</t>
  </si>
  <si>
    <t>里程碑联盟奖励_阶段9</t>
  </si>
  <si>
    <t>里程碑联盟奖励_阶段10</t>
  </si>
  <si>
    <t>里程碑全服奖励_阶段1</t>
    <phoneticPr fontId="1" type="noConversion"/>
  </si>
  <si>
    <t>里程碑全服奖励_阶段2</t>
    <phoneticPr fontId="1" type="noConversion"/>
  </si>
  <si>
    <t>里程碑全服奖励_阶段3</t>
  </si>
  <si>
    <t>里程碑全服奖励_阶段4</t>
  </si>
  <si>
    <t>里程碑全服奖励_阶段5</t>
  </si>
  <si>
    <t>里程碑全服奖励_阶段6</t>
  </si>
  <si>
    <t>里程碑全服奖励_阶段7</t>
  </si>
  <si>
    <t>里程碑全服奖励_阶段8</t>
  </si>
  <si>
    <t>里程碑全服奖励_阶段9</t>
  </si>
  <si>
    <t>里程碑全服奖励_阶段10</t>
  </si>
  <si>
    <t>convert(ResReward.proto, table_RewardConfData, RewardConfData_11.pbin)</t>
    <phoneticPr fontId="1" type="noConversion"/>
  </si>
  <si>
    <t>里程碑个人奖励_阶段11</t>
  </si>
  <si>
    <t>里程碑个人奖励_阶段12</t>
  </si>
  <si>
    <t>里程碑个人奖励_阶段13</t>
  </si>
  <si>
    <t>里程碑个人奖励_阶段14</t>
  </si>
  <si>
    <t>里程碑个人奖励_阶段15</t>
  </si>
  <si>
    <t>里程碑个人奖励_阶段16</t>
  </si>
  <si>
    <t>里程碑个人奖励_阶段17</t>
  </si>
  <si>
    <t>里程碑个人奖励_阶段18</t>
  </si>
  <si>
    <t>里程碑联盟奖励_阶段11</t>
  </si>
  <si>
    <t>里程碑联盟奖励_阶段12</t>
  </si>
  <si>
    <t>里程碑联盟奖励_阶段13</t>
  </si>
  <si>
    <t>里程碑联盟奖励_阶段14</t>
  </si>
  <si>
    <t>里程碑联盟奖励_阶段15</t>
  </si>
  <si>
    <t>里程碑联盟奖励_阶段16</t>
  </si>
  <si>
    <t>里程碑联盟奖励_阶段17</t>
  </si>
  <si>
    <t>里程碑联盟奖励_阶段18</t>
  </si>
  <si>
    <t>里程碑全服奖励_阶段11</t>
  </si>
  <si>
    <t>里程碑全服奖励_阶段12</t>
  </si>
  <si>
    <t>里程碑全服奖励_阶段13</t>
  </si>
  <si>
    <t>里程碑全服奖励_阶段14</t>
  </si>
  <si>
    <t>里程碑全服奖励_阶段15</t>
  </si>
  <si>
    <t>里程碑全服奖励_阶段16</t>
  </si>
  <si>
    <t>里程碑全服奖励_阶段17</t>
  </si>
  <si>
    <t>里程碑全服奖励_阶段18</t>
  </si>
  <si>
    <t>里程碑结算奖励奖励_阶段7</t>
    <phoneticPr fontId="1" type="noConversion"/>
  </si>
  <si>
    <t>里程碑结算奖励奖励_阶段11</t>
    <phoneticPr fontId="1" type="noConversion"/>
  </si>
  <si>
    <t>里程碑结算奖励奖励_阶段99</t>
    <phoneticPr fontId="1" type="noConversion"/>
  </si>
  <si>
    <t>竞技场单次胜利奖励</t>
    <phoneticPr fontId="1" type="noConversion"/>
  </si>
  <si>
    <t>竞技场单次失败奖励</t>
    <phoneticPr fontId="1" type="noConversion"/>
  </si>
  <si>
    <t>日结算奖励-排名1</t>
    <phoneticPr fontId="1" type="noConversion"/>
  </si>
  <si>
    <t>日结算奖励-排名2</t>
  </si>
  <si>
    <t>日结算奖励-排名3</t>
  </si>
  <si>
    <t>日结算奖励-排名4-5</t>
    <phoneticPr fontId="1" type="noConversion"/>
  </si>
  <si>
    <t>日结算奖励-排名6-10</t>
    <phoneticPr fontId="1" type="noConversion"/>
  </si>
  <si>
    <t>日结算奖励-排名11-50</t>
    <phoneticPr fontId="1" type="noConversion"/>
  </si>
  <si>
    <t>日结算奖励-排名51-100</t>
    <phoneticPr fontId="1" type="noConversion"/>
  </si>
  <si>
    <t>日结算奖励-排名101-500</t>
    <phoneticPr fontId="1" type="noConversion"/>
  </si>
  <si>
    <t>日结算奖励-排名501+</t>
    <phoneticPr fontId="1" type="noConversion"/>
  </si>
  <si>
    <t>周结算奖励-排名1</t>
  </si>
  <si>
    <t>周结算奖励-排名2</t>
  </si>
  <si>
    <t>周结算奖励-排名3</t>
  </si>
  <si>
    <t>周结算奖励-排名4-5</t>
  </si>
  <si>
    <t>周结算奖励-排名6-10</t>
  </si>
  <si>
    <t>周结算奖励-排名11-50</t>
  </si>
  <si>
    <t>周结算奖励-排名51-100</t>
  </si>
  <si>
    <t>周结算奖励-排名101-500</t>
  </si>
  <si>
    <t>周结算奖励-排名501+</t>
  </si>
  <si>
    <t>日常奖励-主城1-10-阶段1</t>
    <phoneticPr fontId="1" type="noConversion"/>
  </si>
  <si>
    <t>日常奖励-主城1-10-阶段2</t>
    <phoneticPr fontId="1" type="noConversion"/>
  </si>
  <si>
    <t>日常奖励-主城1-10-阶段3</t>
    <phoneticPr fontId="1" type="noConversion"/>
  </si>
  <si>
    <t>日常奖励-主城1-10-阶段4</t>
    <phoneticPr fontId="1" type="noConversion"/>
  </si>
  <si>
    <t>日常奖励-主城11-15-阶段1</t>
    <phoneticPr fontId="1" type="noConversion"/>
  </si>
  <si>
    <t>日常奖励-主城11-15-阶段3</t>
  </si>
  <si>
    <t>日常奖励-主城11-15-阶段4</t>
  </si>
  <si>
    <t>日常奖励-主城16-20-阶段1</t>
    <phoneticPr fontId="1" type="noConversion"/>
  </si>
  <si>
    <t>日常奖励-主城16-20-阶段2</t>
  </si>
  <si>
    <t>日常奖励-主城16-20-阶段3</t>
  </si>
  <si>
    <t>日常奖励-主城16-20-阶段4</t>
  </si>
  <si>
    <t>日常奖励-主城21+阶段1</t>
    <phoneticPr fontId="1" type="noConversion"/>
  </si>
  <si>
    <t>日常奖励-主城21+阶段2</t>
  </si>
  <si>
    <t>日常奖励-主城21+阶段3</t>
  </si>
  <si>
    <t>日常奖励-主城21+阶段4</t>
  </si>
  <si>
    <t>野怪普通奖励-1级</t>
    <phoneticPr fontId="1" type="noConversion"/>
  </si>
  <si>
    <t>野怪普通奖励-2级</t>
    <phoneticPr fontId="1" type="noConversion"/>
  </si>
  <si>
    <t>野怪普通奖励-3级</t>
  </si>
  <si>
    <t>野怪普通奖励-4级</t>
  </si>
  <si>
    <t>野怪普通奖励-5级</t>
  </si>
  <si>
    <t>野怪普通奖励-6级</t>
  </si>
  <si>
    <t>野怪普通奖励-7级</t>
  </si>
  <si>
    <t>野怪普通奖励-8级</t>
  </si>
  <si>
    <t>野怪普通奖励-9级</t>
  </si>
  <si>
    <t>野怪普通奖励-10级</t>
  </si>
  <si>
    <t>野怪普通奖励-11级</t>
  </si>
  <si>
    <t>野怪普通奖励-12级</t>
  </si>
  <si>
    <t>野怪普通奖励-13级</t>
  </si>
  <si>
    <t>野怪普通奖励-14级</t>
  </si>
  <si>
    <t>野怪普通奖励-15级</t>
  </si>
  <si>
    <t>野怪普通奖励-16级</t>
  </si>
  <si>
    <t>野怪普通奖励-17级</t>
  </si>
  <si>
    <t>野怪普通奖励-18级</t>
  </si>
  <si>
    <t>野怪普通奖励-19级</t>
  </si>
  <si>
    <t>野怪普通奖励-20级</t>
  </si>
  <si>
    <t>野怪普通奖励-21级</t>
  </si>
  <si>
    <t>野怪普通奖励-22级</t>
  </si>
  <si>
    <t>野怪普通奖励-23级</t>
  </si>
  <si>
    <t>野怪普通奖励-24级</t>
  </si>
  <si>
    <t>野怪普通奖励-25级</t>
  </si>
  <si>
    <t>野怪普通奖励-26级</t>
  </si>
  <si>
    <t>野怪普通奖励-27级</t>
  </si>
  <si>
    <t>野怪普通奖励-28级</t>
  </si>
  <si>
    <t>野怪普通奖励-29级</t>
  </si>
  <si>
    <t>野怪普通奖励-30级</t>
  </si>
  <si>
    <t>野怪普通首杀奖励-1级</t>
    <phoneticPr fontId="1" type="noConversion"/>
  </si>
  <si>
    <t>野怪普通首杀奖励-2级</t>
    <phoneticPr fontId="1" type="noConversion"/>
  </si>
  <si>
    <t>野怪普通首杀奖励-3级</t>
  </si>
  <si>
    <t>野怪普通首杀奖励-4级</t>
  </si>
  <si>
    <t>野怪普通首杀奖励-5级</t>
  </si>
  <si>
    <t>野怪普通首杀奖励-6级</t>
  </si>
  <si>
    <t>野怪普通首杀奖励-7级</t>
  </si>
  <si>
    <t>野怪普通首杀奖励-8级</t>
  </si>
  <si>
    <t>野怪普通首杀奖励-9级</t>
  </si>
  <si>
    <t>野怪普通首杀奖励-10级</t>
  </si>
  <si>
    <t>野怪普通首杀奖励-11级</t>
  </si>
  <si>
    <t>野怪普通首杀奖励-12级</t>
  </si>
  <si>
    <t>野怪普通首杀奖励-13级</t>
  </si>
  <si>
    <t>野怪普通首杀奖励-14级</t>
  </si>
  <si>
    <t>野怪普通首杀奖励-15级</t>
  </si>
  <si>
    <t>野怪普通首杀奖励-16级</t>
  </si>
  <si>
    <t>野怪普通首杀奖励-17级</t>
  </si>
  <si>
    <t>野怪普通首杀奖励-18级</t>
  </si>
  <si>
    <t>野怪普通首杀奖励-19级</t>
  </si>
  <si>
    <t>野怪普通首杀奖励-20级</t>
  </si>
  <si>
    <t>野怪普通首杀奖励-21级</t>
  </si>
  <si>
    <t>野怪普通首杀奖励-22级</t>
  </si>
  <si>
    <t>野怪普通首杀奖励-23级</t>
  </si>
  <si>
    <t>野怪普通首杀奖励-24级</t>
  </si>
  <si>
    <t>野怪普通首杀奖励-25级</t>
  </si>
  <si>
    <t>野怪普通首杀奖励-26级</t>
  </si>
  <si>
    <t>野怪普通首杀奖励-27级</t>
  </si>
  <si>
    <t>野怪普通首杀奖励-28级</t>
  </si>
  <si>
    <t>野怪普通首杀奖励-29级</t>
  </si>
  <si>
    <t>野怪普通首杀奖励-30级</t>
  </si>
  <si>
    <t>联盟木桩个人伤害奖励-1</t>
    <phoneticPr fontId="1" type="noConversion"/>
  </si>
  <si>
    <t>联盟木桩个人伤害奖励-2</t>
    <phoneticPr fontId="1" type="noConversion"/>
  </si>
  <si>
    <t>联盟木桩个人伤害奖励-7</t>
  </si>
  <si>
    <t>联盟木桩个人伤害奖励-3</t>
  </si>
  <si>
    <t>联盟木桩个人伤害奖励-4</t>
  </si>
  <si>
    <t>联盟木桩个人伤害奖励-5</t>
  </si>
  <si>
    <t>联盟木桩个人伤害奖励-6</t>
  </si>
  <si>
    <t>联盟木桩个人伤害奖励-8</t>
  </si>
  <si>
    <t>联盟木桩个人伤害奖励-9</t>
  </si>
  <si>
    <t>联盟木桩个人伤害奖励-10</t>
  </si>
  <si>
    <t>联盟木桩个人伤害奖励-11</t>
  </si>
  <si>
    <t>联盟木桩个人伤害奖励-12</t>
  </si>
  <si>
    <t>联盟木桩个人伤害奖励-13</t>
  </si>
  <si>
    <t>联盟木桩个人伤害奖励-14</t>
  </si>
  <si>
    <t>联盟木桩个人伤害奖励-15</t>
  </si>
  <si>
    <t>联盟木桩个人伤害奖励-16</t>
  </si>
  <si>
    <t>联盟木桩个人伤害奖励-17</t>
  </si>
  <si>
    <t>联盟木桩个人伤害奖励-18</t>
  </si>
  <si>
    <t>联盟木桩个人伤害奖励-19</t>
  </si>
  <si>
    <t>联盟木桩个人伤害奖励-20</t>
  </si>
  <si>
    <t>联盟木桩联盟伤害奖励-1</t>
    <phoneticPr fontId="1" type="noConversion"/>
  </si>
  <si>
    <t>联盟木桩联盟伤害奖励-2</t>
    <phoneticPr fontId="1" type="noConversion"/>
  </si>
  <si>
    <t>联盟木桩联盟伤害奖励-3</t>
  </si>
  <si>
    <t>联盟木桩联盟伤害奖励-4</t>
  </si>
  <si>
    <t>联盟木桩联盟伤害奖励-5</t>
  </si>
  <si>
    <t>联盟木桩联盟伤害奖励-6</t>
  </si>
  <si>
    <t>联盟木桩联盟伤害奖励-7</t>
  </si>
  <si>
    <t>联盟木桩联盟伤害奖励-8</t>
  </si>
  <si>
    <t>联盟木桩联盟伤害奖励-9</t>
  </si>
  <si>
    <t>联盟木桩联盟伤害奖励-10</t>
  </si>
  <si>
    <t>联盟木桩联盟伤害奖励-11</t>
  </si>
  <si>
    <t>联盟木桩联盟伤害奖励-12</t>
  </si>
  <si>
    <t>联盟木桩联盟伤害奖励-13</t>
  </si>
  <si>
    <t>联盟木桩联盟伤害奖励-14</t>
  </si>
  <si>
    <t>联盟木桩联盟伤害奖励-15</t>
  </si>
  <si>
    <t>联盟木桩联盟伤害奖励-16</t>
  </si>
  <si>
    <t>联盟木桩联盟伤害奖励-17</t>
  </si>
  <si>
    <t>联盟木桩联盟伤害奖励-18</t>
  </si>
  <si>
    <t>联盟木桩联盟伤害奖励-19</t>
  </si>
  <si>
    <t>联盟木桩联盟伤害奖励-20</t>
  </si>
  <si>
    <t>100;100</t>
    <phoneticPr fontId="1" type="noConversion"/>
  </si>
  <si>
    <t>军械库奖励-挑战等级1</t>
    <phoneticPr fontId="1" type="noConversion"/>
  </si>
  <si>
    <t>军械库奖励-挑战等级2</t>
    <phoneticPr fontId="1" type="noConversion"/>
  </si>
  <si>
    <t>军械库奖励-挑战等级3</t>
    <phoneticPr fontId="1" type="noConversion"/>
  </si>
  <si>
    <t>军械库奖励-挑战等级4</t>
    <phoneticPr fontId="1" type="noConversion"/>
  </si>
  <si>
    <t>军械库奖励-挑战等级5</t>
    <phoneticPr fontId="1" type="noConversion"/>
  </si>
  <si>
    <t>军械库奖励-挑战等级6</t>
    <phoneticPr fontId="1" type="noConversion"/>
  </si>
  <si>
    <t>军械库奖励-挑战等级7</t>
    <phoneticPr fontId="1" type="noConversion"/>
  </si>
  <si>
    <t>军械库奖励-挑战等级8</t>
    <phoneticPr fontId="1" type="noConversion"/>
  </si>
  <si>
    <t>军械库奖励-挑战等级9</t>
    <phoneticPr fontId="1" type="noConversion"/>
  </si>
  <si>
    <t>军械库奖励-挑战等级10</t>
    <phoneticPr fontId="1" type="noConversion"/>
  </si>
  <si>
    <t>军械库奖励-挑战等级11</t>
    <phoneticPr fontId="1" type="noConversion"/>
  </si>
  <si>
    <t>军械库奖励-挑战等级12</t>
    <phoneticPr fontId="1" type="noConversion"/>
  </si>
  <si>
    <t>军械库奖励-挑战等级13</t>
    <phoneticPr fontId="1" type="noConversion"/>
  </si>
  <si>
    <t>军械库奖励-挑战等级14</t>
    <phoneticPr fontId="1" type="noConversion"/>
  </si>
  <si>
    <t>军械库奖励-挑战等级15</t>
    <phoneticPr fontId="1" type="noConversion"/>
  </si>
  <si>
    <t>军械库奖励-挑战等级16</t>
    <phoneticPr fontId="1" type="noConversion"/>
  </si>
  <si>
    <t>军械库奖励-挑战等级17</t>
    <phoneticPr fontId="1" type="noConversion"/>
  </si>
  <si>
    <t>军械库奖励-挑战等级18</t>
    <phoneticPr fontId="1" type="noConversion"/>
  </si>
  <si>
    <t>军械库奖励-挑战等级19</t>
    <phoneticPr fontId="1" type="noConversion"/>
  </si>
  <si>
    <t>军械库奖励-挑战等级20</t>
    <phoneticPr fontId="1" type="noConversion"/>
  </si>
  <si>
    <t>军械库奖励-挑战等级21</t>
    <phoneticPr fontId="1" type="noConversion"/>
  </si>
  <si>
    <t>军械库奖励-挑战等级22</t>
    <phoneticPr fontId="1" type="noConversion"/>
  </si>
  <si>
    <t>军械库奖励-挑战等级23</t>
    <phoneticPr fontId="1" type="noConversion"/>
  </si>
  <si>
    <t>军械库奖励-挑战等级24</t>
    <phoneticPr fontId="1" type="noConversion"/>
  </si>
  <si>
    <t>军械库奖励-挑战等级25</t>
    <phoneticPr fontId="1" type="noConversion"/>
  </si>
  <si>
    <t>军械库奖励-挑战等级26</t>
    <phoneticPr fontId="1" type="noConversion"/>
  </si>
  <si>
    <t>军械库奖励-挑战等级27</t>
    <phoneticPr fontId="1" type="noConversion"/>
  </si>
  <si>
    <t>军械库奖励-挑战等级28</t>
    <phoneticPr fontId="1" type="noConversion"/>
  </si>
  <si>
    <t>军械库奖励-挑战等级29</t>
    <phoneticPr fontId="1" type="noConversion"/>
  </si>
  <si>
    <t>军械库奖励-挑战等级30</t>
    <phoneticPr fontId="1" type="noConversion"/>
  </si>
  <si>
    <t>军械库奖励-挑战等级31</t>
    <phoneticPr fontId="1" type="noConversion"/>
  </si>
  <si>
    <t>军械库奖励-挑战等级32</t>
    <phoneticPr fontId="1" type="noConversion"/>
  </si>
  <si>
    <t>军械库奖励-挑战等级33</t>
    <phoneticPr fontId="1" type="noConversion"/>
  </si>
  <si>
    <t>军械库奖励-挑战等级34</t>
    <phoneticPr fontId="1" type="noConversion"/>
  </si>
  <si>
    <t>军械库奖励-挑战等级35</t>
    <phoneticPr fontId="1" type="noConversion"/>
  </si>
  <si>
    <t>军械库奖励-挑战等级36</t>
    <phoneticPr fontId="1" type="noConversion"/>
  </si>
  <si>
    <t>军械库奖励-挑战等级37</t>
    <phoneticPr fontId="1" type="noConversion"/>
  </si>
  <si>
    <t>军械库奖励-挑战等级38</t>
    <phoneticPr fontId="1" type="noConversion"/>
  </si>
  <si>
    <t>军械库奖励-挑战等级39</t>
    <phoneticPr fontId="1" type="noConversion"/>
  </si>
  <si>
    <t>军械库奖励-挑战等级40</t>
    <phoneticPr fontId="1" type="noConversion"/>
  </si>
  <si>
    <t>军械库奖励-挑战等级41</t>
    <phoneticPr fontId="1" type="noConversion"/>
  </si>
  <si>
    <t>军械库奖励-挑战等级42</t>
    <phoneticPr fontId="1" type="noConversion"/>
  </si>
  <si>
    <t>军械库奖励-挑战等级43</t>
    <phoneticPr fontId="1" type="noConversion"/>
  </si>
  <si>
    <t>军械库奖励-挑战等级44</t>
    <phoneticPr fontId="1" type="noConversion"/>
  </si>
  <si>
    <t>军械库奖励-挑战等级45</t>
    <phoneticPr fontId="1" type="noConversion"/>
  </si>
  <si>
    <t>军械库奖励-挑战等级46</t>
    <phoneticPr fontId="1" type="noConversion"/>
  </si>
  <si>
    <t>军械库奖励-挑战等级47</t>
    <phoneticPr fontId="1" type="noConversion"/>
  </si>
  <si>
    <t>军械库奖励-挑战等级48</t>
    <phoneticPr fontId="1" type="noConversion"/>
  </si>
  <si>
    <t>军械库奖励-挑战等级49</t>
    <phoneticPr fontId="1" type="noConversion"/>
  </si>
  <si>
    <t>军械库奖励-挑战等级50</t>
    <phoneticPr fontId="1" type="noConversion"/>
  </si>
  <si>
    <t>军械库奖励-挑战等级51</t>
    <phoneticPr fontId="1" type="noConversion"/>
  </si>
  <si>
    <t>军械库奖励-挑战等级52</t>
    <phoneticPr fontId="1" type="noConversion"/>
  </si>
  <si>
    <t>军械库奖励-挑战等级53</t>
    <phoneticPr fontId="1" type="noConversion"/>
  </si>
  <si>
    <t>军械库奖励-挑战等级54</t>
    <phoneticPr fontId="1" type="noConversion"/>
  </si>
  <si>
    <t>军械库奖励-挑战等级55</t>
    <phoneticPr fontId="1" type="noConversion"/>
  </si>
  <si>
    <t>军械库奖励-挑战等级56</t>
    <phoneticPr fontId="1" type="noConversion"/>
  </si>
  <si>
    <t>军械库奖励-挑战等级57</t>
    <phoneticPr fontId="1" type="noConversion"/>
  </si>
  <si>
    <t>军械库奖励-挑战等级58</t>
    <phoneticPr fontId="1" type="noConversion"/>
  </si>
  <si>
    <t>军械库奖励-挑战等级59</t>
    <phoneticPr fontId="1" type="noConversion"/>
  </si>
  <si>
    <t>军械库奖励-挑战等级60</t>
    <phoneticPr fontId="1" type="noConversion"/>
  </si>
  <si>
    <t>军械库奖励-挑战等级61</t>
    <phoneticPr fontId="1" type="noConversion"/>
  </si>
  <si>
    <t>军械库奖励-挑战等级62</t>
    <phoneticPr fontId="1" type="noConversion"/>
  </si>
  <si>
    <t>军械库奖励-挑战等级63</t>
    <phoneticPr fontId="1" type="noConversion"/>
  </si>
  <si>
    <t>军械库奖励-挑战等级64</t>
    <phoneticPr fontId="1" type="noConversion"/>
  </si>
  <si>
    <t>军械库奖励-挑战等级65</t>
    <phoneticPr fontId="1" type="noConversion"/>
  </si>
  <si>
    <t>军械库奖励-挑战等级66</t>
    <phoneticPr fontId="1" type="noConversion"/>
  </si>
  <si>
    <t>军械库奖励-挑战等级67</t>
    <phoneticPr fontId="1" type="noConversion"/>
  </si>
  <si>
    <t>军械库奖励-挑战等级68</t>
    <phoneticPr fontId="1" type="noConversion"/>
  </si>
  <si>
    <t>军械库奖励-挑战等级69</t>
    <phoneticPr fontId="1" type="noConversion"/>
  </si>
  <si>
    <t>军械库奖励-挑战等级70</t>
    <phoneticPr fontId="1" type="noConversion"/>
  </si>
  <si>
    <t>军械库奖励-挑战等级71</t>
    <phoneticPr fontId="1" type="noConversion"/>
  </si>
  <si>
    <t>军械库奖励-挑战等级72</t>
    <phoneticPr fontId="1" type="noConversion"/>
  </si>
  <si>
    <t>军械库奖励-挑战等级73</t>
    <phoneticPr fontId="1" type="noConversion"/>
  </si>
  <si>
    <t>军械库奖励-挑战等级74</t>
    <phoneticPr fontId="1" type="noConversion"/>
  </si>
  <si>
    <t>军械库奖励-挑战等级75</t>
    <phoneticPr fontId="1" type="noConversion"/>
  </si>
  <si>
    <t>军械库奖励-挑战等级76</t>
    <phoneticPr fontId="1" type="noConversion"/>
  </si>
  <si>
    <t>军械库奖励-挑战等级77</t>
    <phoneticPr fontId="1" type="noConversion"/>
  </si>
  <si>
    <t>军械库奖励-挑战等级78</t>
    <phoneticPr fontId="1" type="noConversion"/>
  </si>
  <si>
    <t>军械库奖励-挑战等级79</t>
    <phoneticPr fontId="1" type="noConversion"/>
  </si>
  <si>
    <t>军械库奖励-挑战等级80</t>
    <phoneticPr fontId="1" type="noConversion"/>
  </si>
  <si>
    <t>主线普通奖励-1</t>
    <phoneticPr fontId="1" type="noConversion"/>
  </si>
  <si>
    <t>主线普通奖励-2</t>
    <phoneticPr fontId="1" type="noConversion"/>
  </si>
  <si>
    <t>主线普通奖励-3</t>
    <phoneticPr fontId="1" type="noConversion"/>
  </si>
  <si>
    <t>主线普通奖励-4</t>
    <phoneticPr fontId="1" type="noConversion"/>
  </si>
  <si>
    <t>主线普通奖励-5</t>
    <phoneticPr fontId="1" type="noConversion"/>
  </si>
  <si>
    <t>主线普通奖励-6</t>
    <phoneticPr fontId="1" type="noConversion"/>
  </si>
  <si>
    <t>主线普通奖励-7</t>
    <phoneticPr fontId="1" type="noConversion"/>
  </si>
  <si>
    <t>主线普通奖励-8</t>
    <phoneticPr fontId="1" type="noConversion"/>
  </si>
  <si>
    <t>主线普通奖励-9</t>
    <phoneticPr fontId="1" type="noConversion"/>
  </si>
  <si>
    <t>主线普通奖励-10</t>
    <phoneticPr fontId="1" type="noConversion"/>
  </si>
  <si>
    <t>主线普通奖励-11</t>
    <phoneticPr fontId="1" type="noConversion"/>
  </si>
  <si>
    <t>主线普通奖励-12</t>
    <phoneticPr fontId="1" type="noConversion"/>
  </si>
  <si>
    <t>主线普通奖励-13</t>
    <phoneticPr fontId="1" type="noConversion"/>
  </si>
  <si>
    <t>主线普通奖励-14</t>
    <phoneticPr fontId="1" type="noConversion"/>
  </si>
  <si>
    <t>主线普通奖励-15</t>
    <phoneticPr fontId="1" type="noConversion"/>
  </si>
  <si>
    <t>主线普通奖励-16</t>
    <phoneticPr fontId="1" type="noConversion"/>
  </si>
  <si>
    <t>主线普通奖励-17</t>
    <phoneticPr fontId="1" type="noConversion"/>
  </si>
  <si>
    <t>主线普通奖励-18</t>
    <phoneticPr fontId="1" type="noConversion"/>
  </si>
  <si>
    <t>主线普通奖励-19</t>
    <phoneticPr fontId="1" type="noConversion"/>
  </si>
  <si>
    <t>主线普通奖励-20</t>
    <phoneticPr fontId="1" type="noConversion"/>
  </si>
  <si>
    <t>主线普通奖励-21</t>
    <phoneticPr fontId="1" type="noConversion"/>
  </si>
  <si>
    <t>主线普通奖励-22</t>
    <phoneticPr fontId="1" type="noConversion"/>
  </si>
  <si>
    <t>主线普通奖励-23</t>
    <phoneticPr fontId="1" type="noConversion"/>
  </si>
  <si>
    <t>主线普通奖励-24</t>
    <phoneticPr fontId="1" type="noConversion"/>
  </si>
  <si>
    <t>主线普通奖励-25</t>
    <phoneticPr fontId="1" type="noConversion"/>
  </si>
  <si>
    <t>主线普通奖励-26</t>
    <phoneticPr fontId="1" type="noConversion"/>
  </si>
  <si>
    <t>主线普通奖励-27</t>
    <phoneticPr fontId="1" type="noConversion"/>
  </si>
  <si>
    <t>主线普通奖励-28</t>
    <phoneticPr fontId="1" type="noConversion"/>
  </si>
  <si>
    <t>主线普通奖励-29</t>
    <phoneticPr fontId="1" type="noConversion"/>
  </si>
  <si>
    <t>主线普通奖励-30</t>
    <phoneticPr fontId="1" type="noConversion"/>
  </si>
  <si>
    <t>主线关键奖励-1</t>
    <phoneticPr fontId="1" type="noConversion"/>
  </si>
  <si>
    <t>主线关键奖励-3</t>
    <phoneticPr fontId="1" type="noConversion"/>
  </si>
  <si>
    <t>主线关键奖励-4</t>
    <phoneticPr fontId="1" type="noConversion"/>
  </si>
  <si>
    <t>主线关键奖励-5</t>
    <phoneticPr fontId="1" type="noConversion"/>
  </si>
  <si>
    <t>主线关键奖励-6</t>
    <phoneticPr fontId="1" type="noConversion"/>
  </si>
  <si>
    <t>主线关键奖励-7</t>
    <phoneticPr fontId="1" type="noConversion"/>
  </si>
  <si>
    <t>主线关键奖励-8</t>
    <phoneticPr fontId="1" type="noConversion"/>
  </si>
  <si>
    <t>主线关键奖励-9</t>
    <phoneticPr fontId="1" type="noConversion"/>
  </si>
  <si>
    <t>主线关键奖励-10</t>
    <phoneticPr fontId="1" type="noConversion"/>
  </si>
  <si>
    <t>主线关键奖励-11</t>
    <phoneticPr fontId="1" type="noConversion"/>
  </si>
  <si>
    <t>主线关键奖励-12</t>
    <phoneticPr fontId="1" type="noConversion"/>
  </si>
  <si>
    <t>主线关键奖励-13</t>
    <phoneticPr fontId="1" type="noConversion"/>
  </si>
  <si>
    <t>主线关键奖励-14</t>
    <phoneticPr fontId="1" type="noConversion"/>
  </si>
  <si>
    <t>主线关键奖励-15</t>
    <phoneticPr fontId="1" type="noConversion"/>
  </si>
  <si>
    <t>主线关键奖励-16</t>
    <phoneticPr fontId="1" type="noConversion"/>
  </si>
  <si>
    <t>主线关键奖励-17</t>
    <phoneticPr fontId="1" type="noConversion"/>
  </si>
  <si>
    <t>主线关键奖励-18</t>
    <phoneticPr fontId="1" type="noConversion"/>
  </si>
  <si>
    <t>主线关键奖励-19</t>
    <phoneticPr fontId="1" type="noConversion"/>
  </si>
  <si>
    <t>主线关键奖励-20</t>
    <phoneticPr fontId="1" type="noConversion"/>
  </si>
  <si>
    <t>主线关键奖励-21</t>
    <phoneticPr fontId="1" type="noConversion"/>
  </si>
  <si>
    <t>主线关键奖励-22</t>
    <phoneticPr fontId="1" type="noConversion"/>
  </si>
  <si>
    <t>主线关键奖励-23</t>
    <phoneticPr fontId="1" type="noConversion"/>
  </si>
  <si>
    <t>主线关键奖励-24</t>
    <phoneticPr fontId="1" type="noConversion"/>
  </si>
  <si>
    <t>主线关键奖励-25</t>
    <phoneticPr fontId="1" type="noConversion"/>
  </si>
  <si>
    <t>主线关键奖励-26</t>
    <phoneticPr fontId="1" type="noConversion"/>
  </si>
  <si>
    <t>主线关键奖励-27</t>
    <phoneticPr fontId="1" type="noConversion"/>
  </si>
  <si>
    <t>主线关键奖励-28</t>
    <phoneticPr fontId="1" type="noConversion"/>
  </si>
  <si>
    <t>副玩法首通奖励1-2</t>
  </si>
  <si>
    <t>副玩法首通奖励2-1</t>
  </si>
  <si>
    <t>副玩法首通奖励2-3</t>
  </si>
  <si>
    <t>副玩法首通奖励2-4</t>
  </si>
  <si>
    <t>副玩法首通奖励2-5</t>
  </si>
  <si>
    <t>副玩法首通奖励3-1</t>
  </si>
  <si>
    <t>副玩法首通奖励3-2</t>
  </si>
  <si>
    <t>副玩法首通奖励3-3</t>
  </si>
  <si>
    <t>副玩法首通奖励3-4</t>
  </si>
  <si>
    <t>副玩法首通奖励3-5</t>
  </si>
  <si>
    <t>副玩法首通奖励4-1</t>
  </si>
  <si>
    <t>副玩法首通奖励4-2</t>
  </si>
  <si>
    <t>副玩法首通奖励4-3</t>
  </si>
  <si>
    <t>副玩法首通奖励4-4</t>
  </si>
  <si>
    <t>副玩法首通奖励4-5</t>
  </si>
  <si>
    <t>副玩法首通奖励5-1</t>
  </si>
  <si>
    <t>副玩法首通奖励5-2</t>
  </si>
  <si>
    <t>副玩法首通奖励5-3</t>
  </si>
  <si>
    <t>副玩法首通奖励5-4</t>
  </si>
  <si>
    <t>副玩法首通奖励6-1</t>
  </si>
  <si>
    <t>副玩法首通奖励6-2</t>
  </si>
  <si>
    <t>副玩法首通奖励6-3</t>
  </si>
  <si>
    <t>副玩法首通奖励6-4</t>
  </si>
  <si>
    <t>副玩法首通奖励7-1</t>
  </si>
  <si>
    <t>副玩法首通奖励7-2</t>
  </si>
  <si>
    <t>副玩法首通奖励7-3</t>
  </si>
  <si>
    <t>副玩法首通奖励7-4</t>
  </si>
  <si>
    <t>副玩法首通奖励8-1</t>
  </si>
  <si>
    <t>副玩法首通奖励8-2</t>
  </si>
  <si>
    <t>副玩法首通奖励8-3</t>
  </si>
  <si>
    <t>副玩法首通奖励8-4</t>
  </si>
  <si>
    <t>副玩法首通奖励9-1</t>
  </si>
  <si>
    <t>副玩法首通奖励9-2</t>
  </si>
  <si>
    <t>副玩法首通奖励9-3</t>
  </si>
  <si>
    <t>副玩法首通奖励9-4</t>
  </si>
  <si>
    <t>副玩法首通奖励10-1</t>
  </si>
  <si>
    <t>副玩法首通奖励10-2</t>
  </si>
  <si>
    <t>副玩法首通奖励10-3</t>
  </si>
  <si>
    <t>副玩法首通奖励10-4</t>
  </si>
  <si>
    <t>副玩法首通奖励11-1</t>
  </si>
  <si>
    <t>副玩法首通奖励11-2</t>
  </si>
  <si>
    <t>副玩法首通奖励11-3</t>
  </si>
  <si>
    <t>副玩法首通奖励11-4</t>
  </si>
  <si>
    <t>副玩法首通奖励12-1</t>
  </si>
  <si>
    <t>副玩法首通奖励12-2</t>
  </si>
  <si>
    <t>副玩法首通奖励12-3</t>
  </si>
  <si>
    <t>副玩法首通奖励12-4</t>
  </si>
  <si>
    <t>副玩法章节宝箱1章2星</t>
  </si>
  <si>
    <t>副玩法章节宝箱1章4星</t>
  </si>
  <si>
    <t>副玩法章节宝箱1章6星</t>
  </si>
  <si>
    <t>副玩法章节宝箱2章5星</t>
  </si>
  <si>
    <t>副玩法章节宝箱2章10星</t>
  </si>
  <si>
    <t>副玩法章节宝箱2章15星</t>
  </si>
  <si>
    <t>副玩法章节宝箱3章5星</t>
  </si>
  <si>
    <t>副玩法章节宝箱3章10星</t>
  </si>
  <si>
    <t>副玩法章节宝箱3章15星</t>
  </si>
  <si>
    <t>副玩法章节宝箱4章5星</t>
  </si>
  <si>
    <t>副玩法章节宝箱4章10星</t>
  </si>
  <si>
    <t>副玩法章节宝箱4章15星</t>
  </si>
  <si>
    <t>副玩法章节宝箱5章4星</t>
  </si>
  <si>
    <t>副玩法章节宝箱5章8星</t>
  </si>
  <si>
    <t>副玩法章节宝箱5章12星</t>
  </si>
  <si>
    <t>副玩法章节宝箱6章4星</t>
  </si>
  <si>
    <t>副玩法章节宝箱6章8星</t>
  </si>
  <si>
    <t>副玩法章节宝箱6章12星</t>
  </si>
  <si>
    <t>副玩法章节宝箱7章4星</t>
  </si>
  <si>
    <t>副玩法章节宝箱7章8星</t>
  </si>
  <si>
    <t>副玩法章节宝箱7章12星</t>
  </si>
  <si>
    <t>副玩法章节宝箱8章4星</t>
  </si>
  <si>
    <t>副玩法章节宝箱8章8星</t>
  </si>
  <si>
    <t>副玩法章节宝箱8章12星</t>
  </si>
  <si>
    <t>副玩法章节宝箱9章4星</t>
  </si>
  <si>
    <t>副玩法章节宝箱9章8星</t>
  </si>
  <si>
    <t>副玩法章节宝箱9章12星</t>
  </si>
  <si>
    <t>副玩法章节宝箱10章4星</t>
  </si>
  <si>
    <t>副玩法章节宝箱10章8星</t>
  </si>
  <si>
    <t>副玩法章节宝箱10章12星</t>
  </si>
  <si>
    <t>副玩法章节宝箱11章4星</t>
  </si>
  <si>
    <t>副玩法章节宝箱11章8星</t>
  </si>
  <si>
    <t>副玩法章节宝箱11章12星</t>
  </si>
  <si>
    <t>副玩法章节宝箱12章4星</t>
  </si>
  <si>
    <t>副玩法章节宝箱12章8星</t>
  </si>
  <si>
    <t>副玩法章节宝箱12章12星</t>
  </si>
  <si>
    <t>副玩法成就奖励1</t>
  </si>
  <si>
    <t>副玩法成就奖励2</t>
  </si>
  <si>
    <t>副玩法成就奖励3</t>
  </si>
  <si>
    <t>副玩法成就奖励4</t>
  </si>
  <si>
    <t>副玩法成就奖励5</t>
  </si>
  <si>
    <t>副玩法成就奖励6</t>
  </si>
  <si>
    <t>副玩法成就奖励7</t>
  </si>
  <si>
    <t>副玩法成就奖励8</t>
  </si>
  <si>
    <t>副玩法成就奖励9</t>
  </si>
  <si>
    <t>联盟宝箱-普通等级1</t>
  </si>
  <si>
    <t>100;100</t>
  </si>
  <si>
    <t>联盟宝箱-普通等级2</t>
  </si>
  <si>
    <t>联盟宝箱-普通等级3</t>
  </si>
  <si>
    <t>联盟宝箱-普通等级4</t>
  </si>
  <si>
    <t>联盟宝箱-普通等级5</t>
  </si>
  <si>
    <t>联盟宝箱-高级等级1</t>
  </si>
  <si>
    <t>联盟宝箱-高级等级2</t>
  </si>
  <si>
    <t>联盟宝箱-高级等级3</t>
  </si>
  <si>
    <t>联盟宝箱-高级等级4</t>
  </si>
  <si>
    <t>联盟宝箱-高级等级5</t>
  </si>
  <si>
    <t>联盟大宝箱-等级1</t>
  </si>
  <si>
    <t>联盟大宝箱-等级2</t>
  </si>
  <si>
    <t>联盟大宝箱-等级3</t>
  </si>
  <si>
    <t>名城全盟奖励-出生州</t>
    <phoneticPr fontId="1" type="noConversion"/>
  </si>
  <si>
    <t>名城全盟奖励-资源州</t>
    <phoneticPr fontId="1" type="noConversion"/>
  </si>
  <si>
    <t>蛮族集结伤害奖励-档位1-1</t>
    <phoneticPr fontId="1" type="noConversion"/>
  </si>
  <si>
    <t>蛮族集结伤害奖励-档位1-2</t>
    <phoneticPr fontId="1" type="noConversion"/>
  </si>
  <si>
    <t>蛮族集结伤害奖励-档位1-3</t>
    <phoneticPr fontId="1" type="noConversion"/>
  </si>
  <si>
    <t>蛮族集结伤害奖励-档位1-4</t>
    <phoneticPr fontId="1" type="noConversion"/>
  </si>
  <si>
    <t>蛮族集结伤害奖励-档位1-5</t>
    <phoneticPr fontId="1" type="noConversion"/>
  </si>
  <si>
    <t>蛮族集结伤害奖励-档位2-2</t>
  </si>
  <si>
    <t>蛮族集结伤害奖励-档位2-3</t>
  </si>
  <si>
    <t>蛮族集结伤害奖励-档位2-4</t>
  </si>
  <si>
    <t>蛮族集结伤害奖励-档位2-5</t>
  </si>
  <si>
    <t>蛮族集结伤害奖励-档位2-1</t>
    <phoneticPr fontId="1" type="noConversion"/>
  </si>
  <si>
    <t>蛮族集结伤害奖励-档位3-1</t>
  </si>
  <si>
    <t>蛮族集结伤害奖励-档位3-2</t>
  </si>
  <si>
    <t>蛮族集结伤害奖励-档位3-3</t>
  </si>
  <si>
    <t>蛮族集结伤害奖励-档位3-4</t>
  </si>
  <si>
    <t>蛮族集结伤害奖励-档位3-5</t>
  </si>
  <si>
    <t>蛮族集结伤害奖励-档位4-1</t>
  </si>
  <si>
    <t>蛮族集结伤害奖励-档位4-2</t>
  </si>
  <si>
    <t>蛮族集结伤害奖励-档位4-3</t>
  </si>
  <si>
    <t>蛮族集结伤害奖励-档位4-4</t>
  </si>
  <si>
    <t>蛮族集结伤害奖励-档位4-5</t>
  </si>
  <si>
    <t>额外下载奖励1</t>
    <phoneticPr fontId="1" type="noConversion"/>
  </si>
  <si>
    <t>额外下载奖励2</t>
    <phoneticPr fontId="1" type="noConversion"/>
  </si>
  <si>
    <t>额外下载奖励3</t>
    <phoneticPr fontId="1" type="noConversion"/>
  </si>
  <si>
    <t>英雄红度奖励</t>
    <phoneticPr fontId="1" type="noConversion"/>
  </si>
  <si>
    <t>王城奖励宝箱-高级</t>
    <phoneticPr fontId="1" type="noConversion"/>
  </si>
  <si>
    <t>王城奖励宝箱-中级</t>
    <phoneticPr fontId="1" type="noConversion"/>
  </si>
  <si>
    <t>王城奖励宝箱-初级</t>
    <phoneticPr fontId="1" type="noConversion"/>
  </si>
  <si>
    <t>名城奖励宝箱-高级</t>
    <phoneticPr fontId="1" type="noConversion"/>
  </si>
  <si>
    <t>名城奖励宝箱-中级</t>
  </si>
  <si>
    <t>英雄自选宝箱</t>
    <phoneticPr fontId="1" type="noConversion"/>
  </si>
  <si>
    <t>副玩法无尽关卡1-1通关奖励</t>
    <phoneticPr fontId="1" type="noConversion"/>
  </si>
  <si>
    <t>副玩法无尽关卡1-2通关奖励</t>
    <phoneticPr fontId="1" type="noConversion"/>
  </si>
  <si>
    <t>副玩法无尽关卡1-3通关奖励</t>
    <phoneticPr fontId="1" type="noConversion"/>
  </si>
  <si>
    <t>副玩法无尽关卡2-1通关奖励</t>
    <phoneticPr fontId="1" type="noConversion"/>
  </si>
  <si>
    <t>副玩法无尽关卡2-2通关奖励</t>
    <phoneticPr fontId="1" type="noConversion"/>
  </si>
  <si>
    <t>副玩法无尽关卡2-3通关奖励</t>
    <phoneticPr fontId="1" type="noConversion"/>
  </si>
  <si>
    <t>副玩法无尽关卡3-1通关奖励</t>
    <phoneticPr fontId="1" type="noConversion"/>
  </si>
  <si>
    <t>副玩法无尽关卡3-2通关奖励</t>
    <phoneticPr fontId="1" type="noConversion"/>
  </si>
  <si>
    <t>副玩法无尽关卡3-3通关奖励</t>
    <phoneticPr fontId="1" type="noConversion"/>
  </si>
  <si>
    <t>副玩法无尽关卡4-1通关奖励</t>
    <phoneticPr fontId="1" type="noConversion"/>
  </si>
  <si>
    <t>副玩法无尽关卡4-2通关奖励</t>
    <phoneticPr fontId="1" type="noConversion"/>
  </si>
  <si>
    <t>副玩法无尽关卡4-3通关奖励</t>
    <phoneticPr fontId="1" type="noConversion"/>
  </si>
  <si>
    <t>海外章节任务-1</t>
    <phoneticPr fontId="1" type="noConversion"/>
  </si>
  <si>
    <t>海外章节任务-2</t>
    <phoneticPr fontId="1" type="noConversion"/>
  </si>
  <si>
    <t>海外章节任务-3</t>
    <phoneticPr fontId="1" type="noConversion"/>
  </si>
  <si>
    <t>海外章节任务-4</t>
    <phoneticPr fontId="1" type="noConversion"/>
  </si>
  <si>
    <t>海外章节任务-5</t>
    <phoneticPr fontId="1" type="noConversion"/>
  </si>
  <si>
    <t>海外章节任务-6</t>
    <phoneticPr fontId="1" type="noConversion"/>
  </si>
  <si>
    <t>海外章节任务-7</t>
    <phoneticPr fontId="1" type="noConversion"/>
  </si>
  <si>
    <t>海外章节任务-8</t>
    <phoneticPr fontId="1" type="noConversion"/>
  </si>
  <si>
    <t>海外章节任务-9</t>
    <phoneticPr fontId="1" type="noConversion"/>
  </si>
  <si>
    <t>海外章节任务-10</t>
    <phoneticPr fontId="1" type="noConversion"/>
  </si>
  <si>
    <t>海外章节任务-11</t>
    <phoneticPr fontId="1" type="noConversion"/>
  </si>
  <si>
    <t>海外章节任务-12</t>
    <phoneticPr fontId="1" type="noConversion"/>
  </si>
  <si>
    <t>海外章节任务-13</t>
    <phoneticPr fontId="1" type="noConversion"/>
  </si>
  <si>
    <t>海外章节任务-14</t>
    <phoneticPr fontId="1" type="noConversion"/>
  </si>
  <si>
    <t>里程碑联盟奖励_阶段19</t>
    <phoneticPr fontId="1" type="noConversion"/>
  </si>
  <si>
    <t>里程碑联盟奖励_阶段20</t>
    <phoneticPr fontId="1" type="noConversion"/>
  </si>
  <si>
    <t>里程碑联盟奖励_阶段21</t>
    <phoneticPr fontId="1" type="noConversion"/>
  </si>
  <si>
    <t>里程碑联盟奖励_阶段22</t>
    <phoneticPr fontId="1" type="noConversion"/>
  </si>
  <si>
    <t>世界boss参与奖-低级1</t>
    <phoneticPr fontId="1" type="noConversion"/>
  </si>
  <si>
    <t>世界boss参与奖-低级2</t>
  </si>
  <si>
    <t>世界boss参与奖-低级3</t>
  </si>
  <si>
    <t>世界boss参与奖-高级1</t>
    <phoneticPr fontId="1" type="noConversion"/>
  </si>
  <si>
    <t>世界boss参与奖-高级2</t>
  </si>
  <si>
    <t>世界boss参与奖-高级3</t>
  </si>
  <si>
    <t>世界boss全盟奖-低级1</t>
    <phoneticPr fontId="1" type="noConversion"/>
  </si>
  <si>
    <t>世界boss全盟奖-低级2</t>
    <phoneticPr fontId="1" type="noConversion"/>
  </si>
  <si>
    <t>世界boss全盟奖-低级3</t>
    <phoneticPr fontId="1" type="noConversion"/>
  </si>
  <si>
    <t>世界boss全盟奖-高级1</t>
    <phoneticPr fontId="1" type="noConversion"/>
  </si>
  <si>
    <t>世界boss全盟奖-高级2</t>
    <phoneticPr fontId="1" type="noConversion"/>
  </si>
  <si>
    <t>世界boss全盟奖-高级3</t>
    <phoneticPr fontId="1" type="noConversion"/>
  </si>
  <si>
    <t>皇城战积分档位1</t>
    <phoneticPr fontId="1" type="noConversion"/>
  </si>
  <si>
    <t>皇城战积分档位2</t>
    <phoneticPr fontId="1" type="noConversion"/>
  </si>
  <si>
    <t>皇城战积分档位3</t>
    <phoneticPr fontId="1" type="noConversion"/>
  </si>
  <si>
    <t>皇城战积分档位4</t>
    <phoneticPr fontId="1" type="noConversion"/>
  </si>
  <si>
    <t>皇城战积分档位5</t>
    <phoneticPr fontId="1" type="noConversion"/>
  </si>
  <si>
    <t>皇城战积分档位6</t>
    <phoneticPr fontId="1" type="noConversion"/>
  </si>
  <si>
    <t>皇城战积分档位7</t>
    <phoneticPr fontId="1" type="noConversion"/>
  </si>
  <si>
    <t>皇城战积分档位8</t>
    <phoneticPr fontId="1" type="noConversion"/>
  </si>
  <si>
    <t>皇城战排名奖励第1名</t>
    <phoneticPr fontId="1" type="noConversion"/>
  </si>
  <si>
    <t>皇城战排名奖励第2名</t>
    <phoneticPr fontId="1" type="noConversion"/>
  </si>
  <si>
    <t>皇城战排名奖励第3名</t>
    <phoneticPr fontId="1" type="noConversion"/>
  </si>
  <si>
    <t>皇城战排名奖励第4名</t>
    <phoneticPr fontId="1" type="noConversion"/>
  </si>
  <si>
    <t>皇城战排名奖励第5名</t>
    <phoneticPr fontId="1" type="noConversion"/>
  </si>
  <si>
    <t>皇城战排名奖励第6~10名</t>
    <phoneticPr fontId="1" type="noConversion"/>
  </si>
  <si>
    <t>皇城战排名奖励第11~20名</t>
    <phoneticPr fontId="1" type="noConversion"/>
  </si>
  <si>
    <t>皇城战排名奖励第21~30名</t>
    <phoneticPr fontId="1" type="noConversion"/>
  </si>
  <si>
    <t>皇城战排名奖励第31~40名</t>
    <phoneticPr fontId="1" type="noConversion"/>
  </si>
  <si>
    <t>皇城战排名奖励第41~50名</t>
    <phoneticPr fontId="1" type="noConversion"/>
  </si>
  <si>
    <t>皇城战排名奖励第51~70名</t>
    <phoneticPr fontId="1" type="noConversion"/>
  </si>
  <si>
    <t>皇城战排名奖励第71~100名</t>
    <phoneticPr fontId="1" type="noConversion"/>
  </si>
  <si>
    <t>军械库等级1首杀奖励</t>
  </si>
  <si>
    <t>军械库等级2首杀奖励</t>
  </si>
  <si>
    <t>军械库等级3首杀奖励</t>
  </si>
  <si>
    <t>军械库等级4首杀奖励</t>
  </si>
  <si>
    <t>军械库等级5首杀奖励</t>
  </si>
  <si>
    <t>军械库等级6首杀奖励</t>
  </si>
  <si>
    <t>军械库等级7首杀奖励</t>
  </si>
  <si>
    <t>军械库等级8首杀奖励</t>
  </si>
  <si>
    <t>军械库等级9首杀奖励</t>
  </si>
  <si>
    <t>军械库等级10首杀奖励</t>
  </si>
  <si>
    <t>军械库等级11首杀奖励</t>
  </si>
  <si>
    <t>军械库等级12首杀奖励</t>
  </si>
  <si>
    <t>军械库等级13首杀奖励</t>
  </si>
  <si>
    <t>军械库等级14首杀奖励</t>
  </si>
  <si>
    <t>军械库等级15首杀奖励</t>
  </si>
  <si>
    <t>军械库等级16首杀奖励</t>
  </si>
  <si>
    <t>军械库等级17首杀奖励</t>
  </si>
  <si>
    <t>军械库等级18首杀奖励</t>
  </si>
  <si>
    <t>军械库等级19首杀奖励</t>
  </si>
  <si>
    <t>军械库等级20首杀奖励</t>
  </si>
  <si>
    <t>军械库等级21首杀奖励</t>
  </si>
  <si>
    <t>军械库等级22首杀奖励</t>
  </si>
  <si>
    <t>军械库等级23首杀奖励</t>
  </si>
  <si>
    <t>军械库等级24首杀奖励</t>
  </si>
  <si>
    <t>军械库等级25首杀奖励</t>
  </si>
  <si>
    <t>军械库等级26首杀奖励</t>
  </si>
  <si>
    <t>军械库等级27首杀奖励</t>
  </si>
  <si>
    <t>军械库等级28首杀奖励</t>
  </si>
  <si>
    <t>军械库等级29首杀奖励</t>
  </si>
  <si>
    <t>军械库等级30首杀奖励</t>
  </si>
  <si>
    <t>军械库等级31首杀奖励</t>
  </si>
  <si>
    <t>军械库等级32首杀奖励</t>
  </si>
  <si>
    <t>军械库等级33首杀奖励</t>
  </si>
  <si>
    <t>军械库等级34首杀奖励</t>
  </si>
  <si>
    <t>军械库等级35首杀奖励</t>
  </si>
  <si>
    <t>军械库等级36首杀奖励</t>
  </si>
  <si>
    <t>军械库等级37首杀奖励</t>
  </si>
  <si>
    <t>军械库等级38首杀奖励</t>
  </si>
  <si>
    <t>军械库等级39首杀奖励</t>
  </si>
  <si>
    <t>军械库等级40首杀奖励</t>
  </si>
  <si>
    <t>军械库等级41首杀奖励</t>
  </si>
  <si>
    <t>军械库等级42首杀奖励</t>
  </si>
  <si>
    <t>军械库等级43首杀奖励</t>
  </si>
  <si>
    <t>军械库等级44首杀奖励</t>
  </si>
  <si>
    <t>军械库等级45首杀奖励</t>
  </si>
  <si>
    <t>军械库等级46首杀奖励</t>
  </si>
  <si>
    <t>军械库等级47首杀奖励</t>
  </si>
  <si>
    <t>军械库等级48首杀奖励</t>
  </si>
  <si>
    <t>军械库等级49首杀奖励</t>
  </si>
  <si>
    <t>军械库等级50首杀奖励</t>
  </si>
  <si>
    <t>军械库等级51首杀奖励</t>
  </si>
  <si>
    <t>军械库等级52首杀奖励</t>
  </si>
  <si>
    <t>军械库等级53首杀奖励</t>
  </si>
  <si>
    <t>军械库等级54首杀奖励</t>
  </si>
  <si>
    <t>军械库等级55首杀奖励</t>
  </si>
  <si>
    <t>军械库等级56首杀奖励</t>
  </si>
  <si>
    <t>军械库等级57首杀奖励</t>
  </si>
  <si>
    <t>军械库等级58首杀奖励</t>
  </si>
  <si>
    <t>军械库等级59首杀奖励</t>
  </si>
  <si>
    <t>军械库等级60首杀奖励</t>
  </si>
  <si>
    <t>军械库等级61首杀奖励</t>
  </si>
  <si>
    <t>军械库等级62首杀奖励</t>
  </si>
  <si>
    <t>军械库等级63首杀奖励</t>
  </si>
  <si>
    <t>军械库等级64首杀奖励</t>
  </si>
  <si>
    <t>军械库等级65首杀奖励</t>
  </si>
  <si>
    <t>军械库等级66首杀奖励</t>
  </si>
  <si>
    <t>军械库等级67首杀奖励</t>
  </si>
  <si>
    <t>军械库等级68首杀奖励</t>
  </si>
  <si>
    <t>军械库等级69首杀奖励</t>
  </si>
  <si>
    <t>军械库等级70首杀奖励</t>
  </si>
  <si>
    <t>军械库等级71首杀奖励</t>
  </si>
  <si>
    <t>军械库等级72首杀奖励</t>
  </si>
  <si>
    <t>军械库等级73首杀奖励</t>
  </si>
  <si>
    <t>军械库等级74首杀奖励</t>
  </si>
  <si>
    <t>军械库等级75首杀奖励</t>
  </si>
  <si>
    <t>军械库等级76首杀奖励</t>
  </si>
  <si>
    <t>军械库等级77首杀奖励</t>
  </si>
  <si>
    <t>军械库等级78首杀奖励</t>
  </si>
  <si>
    <t>军械库等级79首杀奖励</t>
  </si>
  <si>
    <t>军械库等级80首杀奖励</t>
  </si>
  <si>
    <t>世界boss排名奖励-低级1-1%</t>
    <phoneticPr fontId="1" type="noConversion"/>
  </si>
  <si>
    <t>世界boss排名奖励-低级1-2%</t>
    <phoneticPr fontId="1" type="noConversion"/>
  </si>
  <si>
    <t>世界boss排名奖励-低级1-3%</t>
    <phoneticPr fontId="1" type="noConversion"/>
  </si>
  <si>
    <t>世界boss排名奖励-低级1-4%</t>
    <phoneticPr fontId="1" type="noConversion"/>
  </si>
  <si>
    <t>世界boss排名奖励-低级1-5%</t>
    <phoneticPr fontId="1" type="noConversion"/>
  </si>
  <si>
    <t>世界boss排名奖励-低级1-6%</t>
    <phoneticPr fontId="1" type="noConversion"/>
  </si>
  <si>
    <t>世界boss排名奖励-低级1-7%</t>
    <phoneticPr fontId="1" type="noConversion"/>
  </si>
  <si>
    <t>世界boss排名奖励-低级1-8%</t>
    <phoneticPr fontId="1" type="noConversion"/>
  </si>
  <si>
    <t>世界boss排名奖励-低级1-9%</t>
    <phoneticPr fontId="1" type="noConversion"/>
  </si>
  <si>
    <t>世界boss排名奖励-低级1-10%</t>
    <phoneticPr fontId="1" type="noConversion"/>
  </si>
  <si>
    <t>世界boss排名奖励-低级1-100%</t>
    <phoneticPr fontId="1" type="noConversion"/>
  </si>
  <si>
    <t>世界boss排名奖励-低级2-1%</t>
    <phoneticPr fontId="1" type="noConversion"/>
  </si>
  <si>
    <t>世界boss排名奖励-低级2-2%</t>
    <phoneticPr fontId="1" type="noConversion"/>
  </si>
  <si>
    <t>世界boss排名奖励-低级2-3%</t>
    <phoneticPr fontId="1" type="noConversion"/>
  </si>
  <si>
    <t>世界boss排名奖励-低级2-4%</t>
    <phoneticPr fontId="1" type="noConversion"/>
  </si>
  <si>
    <t>世界boss排名奖励-低级2-5%</t>
    <phoneticPr fontId="1" type="noConversion"/>
  </si>
  <si>
    <t>世界boss排名奖励-低级2-6%</t>
    <phoneticPr fontId="1" type="noConversion"/>
  </si>
  <si>
    <t>世界boss排名奖励-低级2-7%</t>
    <phoneticPr fontId="1" type="noConversion"/>
  </si>
  <si>
    <t>世界boss排名奖励-低级2-8%</t>
    <phoneticPr fontId="1" type="noConversion"/>
  </si>
  <si>
    <t>世界boss排名奖励-低级2-9%</t>
    <phoneticPr fontId="1" type="noConversion"/>
  </si>
  <si>
    <t>世界boss排名奖励-低级2-10%</t>
    <phoneticPr fontId="1" type="noConversion"/>
  </si>
  <si>
    <t>世界boss排名奖励-低级2-100%</t>
    <phoneticPr fontId="1" type="noConversion"/>
  </si>
  <si>
    <t>世界boss排名奖励-低级3-1%</t>
    <phoneticPr fontId="1" type="noConversion"/>
  </si>
  <si>
    <t>世界boss排名奖励-低级3-2%</t>
    <phoneticPr fontId="1" type="noConversion"/>
  </si>
  <si>
    <t>世界boss排名奖励-低级3-3%</t>
    <phoneticPr fontId="1" type="noConversion"/>
  </si>
  <si>
    <t>世界boss排名奖励-低级3-4%</t>
    <phoneticPr fontId="1" type="noConversion"/>
  </si>
  <si>
    <t>世界boss排名奖励-低级3-5%</t>
    <phoneticPr fontId="1" type="noConversion"/>
  </si>
  <si>
    <t>世界boss排名奖励-低级3-6%</t>
    <phoneticPr fontId="1" type="noConversion"/>
  </si>
  <si>
    <t>世界boss排名奖励-低级3-7%</t>
    <phoneticPr fontId="1" type="noConversion"/>
  </si>
  <si>
    <t>世界boss排名奖励-低级3-8%</t>
    <phoneticPr fontId="1" type="noConversion"/>
  </si>
  <si>
    <t>世界boss排名奖励-低级3-9%</t>
    <phoneticPr fontId="1" type="noConversion"/>
  </si>
  <si>
    <t>世界boss排名奖励-低级3-10%</t>
    <phoneticPr fontId="1" type="noConversion"/>
  </si>
  <si>
    <t>世界boss排名奖励-低级3-100%</t>
    <phoneticPr fontId="1" type="noConversion"/>
  </si>
  <si>
    <t>世界boss排名奖励-高级1-1%</t>
    <phoneticPr fontId="1" type="noConversion"/>
  </si>
  <si>
    <t>世界boss排名奖励-高级1-2%</t>
    <phoneticPr fontId="1" type="noConversion"/>
  </si>
  <si>
    <t>世界boss排名奖励-高级1-3%</t>
    <phoneticPr fontId="1" type="noConversion"/>
  </si>
  <si>
    <t>世界boss排名奖励-高级1-4%</t>
    <phoneticPr fontId="1" type="noConversion"/>
  </si>
  <si>
    <t>世界boss排名奖励-高级1-5%</t>
    <phoneticPr fontId="1" type="noConversion"/>
  </si>
  <si>
    <t>世界boss排名奖励-高级1-6%</t>
    <phoneticPr fontId="1" type="noConversion"/>
  </si>
  <si>
    <t>世界boss排名奖励-高级1-7%</t>
    <phoneticPr fontId="1" type="noConversion"/>
  </si>
  <si>
    <t>世界boss排名奖励-高级1-8%</t>
    <phoneticPr fontId="1" type="noConversion"/>
  </si>
  <si>
    <t>世界boss排名奖励-高级1-9%</t>
    <phoneticPr fontId="1" type="noConversion"/>
  </si>
  <si>
    <t>世界boss排名奖励-高级1-10%</t>
    <phoneticPr fontId="1" type="noConversion"/>
  </si>
  <si>
    <t>世界boss排名奖励-高级1-100%</t>
    <phoneticPr fontId="1" type="noConversion"/>
  </si>
  <si>
    <t>世界boss排名奖励-高级2-1%</t>
    <phoneticPr fontId="1" type="noConversion"/>
  </si>
  <si>
    <t>世界boss排名奖励-高级2-2%</t>
    <phoneticPr fontId="1" type="noConversion"/>
  </si>
  <si>
    <t>世界boss排名奖励-高级2-3%</t>
    <phoneticPr fontId="1" type="noConversion"/>
  </si>
  <si>
    <t>世界boss排名奖励-高级2-4%</t>
    <phoneticPr fontId="1" type="noConversion"/>
  </si>
  <si>
    <t>世界boss排名奖励-高级2-5%</t>
    <phoneticPr fontId="1" type="noConversion"/>
  </si>
  <si>
    <t>世界boss排名奖励-高级2-6%</t>
    <phoneticPr fontId="1" type="noConversion"/>
  </si>
  <si>
    <t>世界boss排名奖励-高级2-7%</t>
    <phoneticPr fontId="1" type="noConversion"/>
  </si>
  <si>
    <t>世界boss排名奖励-高级2-8%</t>
    <phoneticPr fontId="1" type="noConversion"/>
  </si>
  <si>
    <t>世界boss排名奖励-高级2-9%</t>
    <phoneticPr fontId="1" type="noConversion"/>
  </si>
  <si>
    <t>世界boss排名奖励-高级2-10%</t>
    <phoneticPr fontId="1" type="noConversion"/>
  </si>
  <si>
    <t>世界boss排名奖励-高级2-100%</t>
    <phoneticPr fontId="1" type="noConversion"/>
  </si>
  <si>
    <t>世界boss排名奖励-高级3-1%</t>
    <phoneticPr fontId="1" type="noConversion"/>
  </si>
  <si>
    <t>世界boss排名奖励-高级3-2%</t>
    <phoneticPr fontId="1" type="noConversion"/>
  </si>
  <si>
    <t>世界boss排名奖励-高级3-3%</t>
    <phoneticPr fontId="1" type="noConversion"/>
  </si>
  <si>
    <t>世界boss排名奖励-高级3-4%</t>
    <phoneticPr fontId="1" type="noConversion"/>
  </si>
  <si>
    <t>世界boss排名奖励-高级3-5%</t>
    <phoneticPr fontId="1" type="noConversion"/>
  </si>
  <si>
    <t>世界boss排名奖励-高级3-6%</t>
    <phoneticPr fontId="1" type="noConversion"/>
  </si>
  <si>
    <t>世界boss排名奖励-高级3-7%</t>
    <phoneticPr fontId="1" type="noConversion"/>
  </si>
  <si>
    <t>世界boss排名奖励-高级3-8%</t>
    <phoneticPr fontId="1" type="noConversion"/>
  </si>
  <si>
    <t>世界boss排名奖励-高级3-9%</t>
    <phoneticPr fontId="1" type="noConversion"/>
  </si>
  <si>
    <t>世界boss排名奖励-高级3-10%</t>
    <phoneticPr fontId="1" type="noConversion"/>
  </si>
  <si>
    <t>世界boss排名奖励-高级3-100%</t>
    <phoneticPr fontId="1" type="noConversion"/>
  </si>
  <si>
    <t>1</t>
  </si>
  <si>
    <t>2</t>
  </si>
  <si>
    <t>3</t>
  </si>
  <si>
    <t>4</t>
  </si>
  <si>
    <t>5</t>
  </si>
  <si>
    <t>6</t>
  </si>
  <si>
    <t>8</t>
  </si>
  <si>
    <t>7</t>
  </si>
  <si>
    <t>9</t>
  </si>
  <si>
    <t>10</t>
  </si>
  <si>
    <t>11</t>
  </si>
  <si>
    <t>13</t>
  </si>
  <si>
    <t>14</t>
  </si>
  <si>
    <t>12</t>
  </si>
  <si>
    <t>15</t>
  </si>
  <si>
    <t>16</t>
  </si>
  <si>
    <t>18</t>
  </si>
  <si>
    <t>20</t>
  </si>
  <si>
    <t>22</t>
  </si>
  <si>
    <t>24</t>
  </si>
  <si>
    <t>26</t>
  </si>
  <si>
    <t>28</t>
  </si>
  <si>
    <t>30</t>
  </si>
  <si>
    <t>17</t>
  </si>
  <si>
    <t>19</t>
  </si>
  <si>
    <t>21</t>
  </si>
  <si>
    <t>23</t>
  </si>
  <si>
    <t>25</t>
  </si>
  <si>
    <t>27</t>
  </si>
  <si>
    <t>29</t>
  </si>
  <si>
    <t>副玩法成就奖励10</t>
  </si>
  <si>
    <t>副玩法成就奖励11</t>
  </si>
  <si>
    <t>副玩法成就奖励12</t>
  </si>
  <si>
    <t>副玩法成就奖励13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</si>
  <si>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</si>
  <si>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</si>
  <si>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</si>
  <si>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</si>
  <si>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</si>
  <si>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</si>
  <si>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</si>
  <si>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</si>
  <si>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</si>
  <si>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</si>
  <si>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</si>
  <si>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</si>
  <si>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</si>
  <si>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</si>
  <si>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</si>
  <si>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</si>
  <si>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</si>
  <si>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</si>
  <si>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</si>
  <si>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</si>
  <si>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</si>
  <si>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</si>
  <si>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</si>
  <si>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</si>
  <si>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</si>
  <si>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</si>
  <si>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</si>
  <si>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</si>
  <si>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</si>
  <si>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</si>
  <si>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</si>
  <si>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</si>
  <si>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</si>
  <si>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</si>
  <si>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</si>
  <si>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</si>
  <si>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</si>
  <si>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</si>
  <si>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</si>
  <si>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</si>
  <si>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</si>
  <si>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</si>
  <si>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</si>
  <si>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</si>
  <si>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</si>
  <si>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</si>
  <si>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</si>
  <si>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</si>
  <si>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</si>
  <si>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</si>
  <si>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</si>
  <si>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</si>
  <si>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</si>
  <si>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</si>
  <si>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</si>
  <si>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</si>
  <si>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</si>
  <si>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</si>
  <si>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</si>
  <si>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</si>
  <si>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</si>
  <si>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</si>
  <si>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</si>
  <si>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</si>
  <si>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探照灯委托-白奖励</t>
    <phoneticPr fontId="1" type="noConversion"/>
  </si>
  <si>
    <t>探照灯委托-绿奖励</t>
    <phoneticPr fontId="1" type="noConversion"/>
  </si>
  <si>
    <t>探照灯委托-蓝奖励</t>
    <phoneticPr fontId="1" type="noConversion"/>
  </si>
  <si>
    <t>探照灯委托-紫奖励</t>
    <phoneticPr fontId="1" type="noConversion"/>
  </si>
  <si>
    <t>探照灯委托-橙奖励</t>
    <phoneticPr fontId="1" type="noConversion"/>
  </si>
  <si>
    <t>探照灯战斗-橙奖励</t>
    <phoneticPr fontId="1" type="noConversion"/>
  </si>
  <si>
    <t>探照灯战斗-白奖励</t>
    <phoneticPr fontId="1" type="noConversion"/>
  </si>
  <si>
    <t>探照灯战斗-绿奖励</t>
    <phoneticPr fontId="1" type="noConversion"/>
  </si>
  <si>
    <t>探照灯战斗-蓝奖励</t>
    <phoneticPr fontId="1" type="noConversion"/>
  </si>
  <si>
    <t>探照灯战斗-紫奖励</t>
    <phoneticPr fontId="1" type="noConversion"/>
  </si>
  <si>
    <t>探照灯探索-白奖励</t>
    <phoneticPr fontId="1" type="noConversion"/>
  </si>
  <si>
    <t>探照灯探索-绿奖励</t>
    <phoneticPr fontId="1" type="noConversion"/>
  </si>
  <si>
    <t>探照灯探索-蓝奖励</t>
    <phoneticPr fontId="1" type="noConversion"/>
  </si>
  <si>
    <t>探照灯探索-紫奖励</t>
    <phoneticPr fontId="1" type="noConversion"/>
  </si>
  <si>
    <t>探照灯探索-橙奖励</t>
    <phoneticPr fontId="1" type="noConversion"/>
  </si>
  <si>
    <t>探照灯对话-选项1-白奖励</t>
    <phoneticPr fontId="1" type="noConversion"/>
  </si>
  <si>
    <t>探照灯对话-选项1-绿奖励</t>
    <phoneticPr fontId="1" type="noConversion"/>
  </si>
  <si>
    <t>探照灯对话-选项1-蓝奖励</t>
    <phoneticPr fontId="1" type="noConversion"/>
  </si>
  <si>
    <t>探照灯对话-选项1-紫奖励</t>
    <phoneticPr fontId="1" type="noConversion"/>
  </si>
  <si>
    <t>探照灯对话-选项1-橙奖励</t>
    <phoneticPr fontId="1" type="noConversion"/>
  </si>
  <si>
    <t>探照灯对话-选项2-白奖励</t>
    <phoneticPr fontId="1" type="noConversion"/>
  </si>
  <si>
    <t>探照灯对话-选项2-绿奖励</t>
    <phoneticPr fontId="1" type="noConversion"/>
  </si>
  <si>
    <t>探照灯对话-选项2-蓝奖励</t>
    <phoneticPr fontId="1" type="noConversion"/>
  </si>
  <si>
    <t>探照灯对话-选项2-紫奖励</t>
    <phoneticPr fontId="1" type="noConversion"/>
  </si>
  <si>
    <t>探照灯对话-选项2-橙奖励</t>
    <phoneticPr fontId="1" type="noConversion"/>
  </si>
  <si>
    <t>特殊事件1奖励</t>
    <phoneticPr fontId="1" type="noConversion"/>
  </si>
  <si>
    <t>特殊事件2奖励</t>
  </si>
  <si>
    <t>特殊事件3奖励</t>
  </si>
  <si>
    <t>特殊事件4奖励</t>
  </si>
  <si>
    <t>特殊事件5奖励</t>
  </si>
  <si>
    <t>特殊事件6奖励</t>
  </si>
  <si>
    <t>特殊事件7奖励</t>
  </si>
  <si>
    <t>特殊事件8奖励</t>
  </si>
  <si>
    <t>特殊事件9奖励</t>
    <phoneticPr fontId="1" type="noConversion"/>
  </si>
  <si>
    <t>特殊事件10奖励</t>
    <phoneticPr fontId="1" type="noConversion"/>
  </si>
  <si>
    <t>特殊事件11奖励</t>
    <phoneticPr fontId="1" type="noConversion"/>
  </si>
  <si>
    <t>特殊事件12奖励</t>
    <phoneticPr fontId="1" type="noConversion"/>
  </si>
  <si>
    <t>特殊事件13奖励</t>
    <phoneticPr fontId="1" type="noConversion"/>
  </si>
  <si>
    <t>特殊事件14奖励</t>
    <phoneticPr fontId="1" type="noConversion"/>
  </si>
  <si>
    <t>特殊事件15奖励</t>
    <phoneticPr fontId="1" type="noConversion"/>
  </si>
  <si>
    <t>特殊事件16奖励</t>
    <phoneticPr fontId="1" type="noConversion"/>
  </si>
  <si>
    <t>特殊事件17奖励</t>
    <phoneticPr fontId="1" type="noConversion"/>
  </si>
  <si>
    <t>特殊事件18奖励</t>
    <phoneticPr fontId="1" type="noConversion"/>
  </si>
  <si>
    <t>特殊事件19奖励</t>
    <phoneticPr fontId="1" type="noConversion"/>
  </si>
  <si>
    <t>特殊事件20奖励</t>
    <phoneticPr fontId="1" type="noConversion"/>
  </si>
  <si>
    <t>特殊事件21奖励</t>
    <phoneticPr fontId="1" type="noConversion"/>
  </si>
  <si>
    <t>特殊事件22奖励</t>
    <phoneticPr fontId="1" type="noConversion"/>
  </si>
  <si>
    <t>特殊事件23奖励</t>
    <phoneticPr fontId="1" type="noConversion"/>
  </si>
  <si>
    <t>特殊事件24奖励</t>
    <phoneticPr fontId="1" type="noConversion"/>
  </si>
  <si>
    <t>特殊事件25奖励</t>
    <phoneticPr fontId="1" type="noConversion"/>
  </si>
  <si>
    <t>特殊事件29奖励</t>
    <phoneticPr fontId="1" type="noConversion"/>
  </si>
  <si>
    <t>特殊事件26奖励</t>
    <phoneticPr fontId="1" type="noConversion"/>
  </si>
  <si>
    <t>特殊事件27奖励</t>
    <phoneticPr fontId="1" type="noConversion"/>
  </si>
  <si>
    <t>特殊事件28奖励</t>
    <phoneticPr fontId="1" type="noConversion"/>
  </si>
  <si>
    <t>特殊事件30奖励</t>
    <phoneticPr fontId="1" type="noConversion"/>
  </si>
  <si>
    <t>任务奖励-玺戒投放</t>
    <phoneticPr fontId="1" type="noConversion"/>
  </si>
  <si>
    <t>地缘周排行奖励-1</t>
  </si>
  <si>
    <t>地缘周排行奖励-2</t>
  </si>
  <si>
    <t>地缘周排行奖励-3</t>
  </si>
  <si>
    <t>地缘周排行奖励-4</t>
  </si>
  <si>
    <t>地缘周排行奖励-5</t>
  </si>
  <si>
    <t>地缘周排行奖励-6</t>
  </si>
  <si>
    <t>地缘周排行奖励-7</t>
  </si>
  <si>
    <t>地缘周排行奖励-8</t>
  </si>
  <si>
    <t>地缘周排行奖励-9</t>
  </si>
  <si>
    <t>地缘周排行奖励-10</t>
  </si>
  <si>
    <t>地缘周排行奖励-11</t>
  </si>
  <si>
    <t>地缘周排行奖励-12</t>
  </si>
  <si>
    <t>地缘周排行奖励-13</t>
  </si>
  <si>
    <t>地缘周排行奖励-14</t>
  </si>
  <si>
    <t>地缘周排行奖励-15</t>
  </si>
  <si>
    <t>地缘周排行奖励-16</t>
  </si>
  <si>
    <t>地缘周排行奖励-17</t>
  </si>
  <si>
    <t>地缘周排行奖励-18</t>
  </si>
  <si>
    <t>地缘周排行奖励-19</t>
  </si>
  <si>
    <t>地缘周排行奖励-20</t>
  </si>
  <si>
    <t>地缘赛季排行奖励-1</t>
  </si>
  <si>
    <t>地缘赛季排行奖励-2</t>
  </si>
  <si>
    <t>地缘赛季排行奖励-3</t>
  </si>
  <si>
    <t>地缘赛季排行奖励-4</t>
  </si>
  <si>
    <t>地缘赛季排行奖励-5</t>
  </si>
  <si>
    <t>地缘赛季排行奖励-6</t>
  </si>
  <si>
    <t>地缘赛季排行奖励-7</t>
  </si>
  <si>
    <t>地缘赛季排行奖励-8</t>
  </si>
  <si>
    <t>地缘赛季排行奖励-9</t>
  </si>
  <si>
    <t>地缘赛季排行奖励-10</t>
  </si>
  <si>
    <t>地缘赛季排行奖励-11</t>
  </si>
  <si>
    <t>地缘赛季排行奖励-12</t>
  </si>
  <si>
    <t>地缘赛季排行奖励-13</t>
  </si>
  <si>
    <t>地缘赛季排行奖励-14</t>
  </si>
  <si>
    <t>地缘赛季排行奖励-15</t>
  </si>
  <si>
    <t>地缘赛季排行奖励-16</t>
  </si>
  <si>
    <t>地缘赛季排行奖励-17</t>
  </si>
  <si>
    <t>地缘赛季排行奖励-18</t>
  </si>
  <si>
    <t>地缘赛季排行奖励-19</t>
  </si>
  <si>
    <t>地缘赛季排行奖励-20</t>
  </si>
  <si>
    <t>蛮族集结单次奖励-难度1</t>
    <phoneticPr fontId="1" type="noConversion"/>
  </si>
  <si>
    <t>蛮族集结单次奖励-难度2</t>
    <phoneticPr fontId="1" type="noConversion"/>
  </si>
  <si>
    <t>蛮族集结单次奖励-难度3</t>
    <phoneticPr fontId="1" type="noConversion"/>
  </si>
  <si>
    <t>蛮族集结单次奖励-难度4</t>
    <phoneticPr fontId="1" type="noConversion"/>
  </si>
  <si>
    <t>蛮族集结单次奖励-难度5</t>
    <phoneticPr fontId="1" type="noConversion"/>
  </si>
  <si>
    <t>蛮族集结单次奖励-难度6</t>
    <phoneticPr fontId="1" type="noConversion"/>
  </si>
  <si>
    <t>蛮族集结伤害奖励-档位5-1</t>
    <phoneticPr fontId="1" type="noConversion"/>
  </si>
  <si>
    <t>蛮族集结伤害奖励-档位5-2</t>
    <phoneticPr fontId="1" type="noConversion"/>
  </si>
  <si>
    <t>蛮族集结伤害奖励-档位5-3</t>
    <phoneticPr fontId="1" type="noConversion"/>
  </si>
  <si>
    <t>蛮族集结伤害奖励-档位5-4</t>
    <phoneticPr fontId="1" type="noConversion"/>
  </si>
  <si>
    <t>蛮族集结伤害奖励-档位5-5</t>
    <phoneticPr fontId="1" type="noConversion"/>
  </si>
  <si>
    <t>蛮族集结联盟伤害排名-1</t>
    <phoneticPr fontId="1" type="noConversion"/>
  </si>
  <si>
    <t>蛮族集结联盟伤害排名-2</t>
    <phoneticPr fontId="1" type="noConversion"/>
  </si>
  <si>
    <t>蛮族集结联盟伤害排名-3</t>
    <phoneticPr fontId="1" type="noConversion"/>
  </si>
  <si>
    <t>蛮族集结联盟伤害排名-4~5</t>
    <phoneticPr fontId="1" type="noConversion"/>
  </si>
  <si>
    <t>蛮族集结联盟伤害排名-6~10</t>
    <phoneticPr fontId="1" type="noConversion"/>
  </si>
  <si>
    <t>蛮族集结联盟伤害排名-11~20</t>
    <phoneticPr fontId="1" type="noConversion"/>
  </si>
  <si>
    <t>蛮族集结联盟伤害排名-21~50</t>
    <phoneticPr fontId="1" type="noConversion"/>
  </si>
  <si>
    <t>联盟任务章节奖励-1</t>
    <phoneticPr fontId="1" type="noConversion"/>
  </si>
  <si>
    <t>联盟任务章节奖励-2</t>
    <phoneticPr fontId="1" type="noConversion"/>
  </si>
  <si>
    <t>联盟任务章节奖励-3</t>
    <phoneticPr fontId="1" type="noConversion"/>
  </si>
  <si>
    <t>联盟任务章节奖励-4</t>
    <phoneticPr fontId="1" type="noConversion"/>
  </si>
  <si>
    <t>联盟任务章节奖励-5</t>
    <phoneticPr fontId="1" type="noConversion"/>
  </si>
  <si>
    <t>联盟任务章节奖励-6</t>
    <phoneticPr fontId="1" type="noConversion"/>
  </si>
  <si>
    <t>联盟任务章节奖励-7</t>
    <phoneticPr fontId="1" type="noConversion"/>
  </si>
  <si>
    <t>联盟任务成员奖励1</t>
    <phoneticPr fontId="1" type="noConversion"/>
  </si>
  <si>
    <t>联盟任务成员奖励2</t>
    <phoneticPr fontId="1" type="noConversion"/>
  </si>
  <si>
    <t>联盟任务成员奖励3</t>
    <phoneticPr fontId="1" type="noConversion"/>
  </si>
  <si>
    <t>联盟任务成员奖励4</t>
    <phoneticPr fontId="1" type="noConversion"/>
  </si>
  <si>
    <t>联盟任务成员奖励5</t>
    <phoneticPr fontId="1" type="noConversion"/>
  </si>
  <si>
    <t>联盟任务成员奖励6</t>
    <phoneticPr fontId="1" type="noConversion"/>
  </si>
  <si>
    <t>联盟任务成员奖励7</t>
    <phoneticPr fontId="1" type="noConversion"/>
  </si>
  <si>
    <t>联盟任务R4奖励1</t>
    <phoneticPr fontId="1" type="noConversion"/>
  </si>
  <si>
    <t>联盟任务R4奖励2</t>
    <phoneticPr fontId="1" type="noConversion"/>
  </si>
  <si>
    <t>联盟任务R4奖励3</t>
    <phoneticPr fontId="1" type="noConversion"/>
  </si>
  <si>
    <t>联盟任务R4奖励4</t>
    <phoneticPr fontId="1" type="noConversion"/>
  </si>
  <si>
    <t>联盟任务R4奖励5</t>
    <phoneticPr fontId="1" type="noConversion"/>
  </si>
  <si>
    <t>联盟任务R4奖励6</t>
    <phoneticPr fontId="1" type="noConversion"/>
  </si>
  <si>
    <t>联盟任务R4奖励7</t>
    <phoneticPr fontId="1" type="noConversion"/>
  </si>
  <si>
    <t>联盟任务盟主奖励1</t>
    <phoneticPr fontId="1" type="noConversion"/>
  </si>
  <si>
    <t>联盟任务盟主奖励2</t>
    <phoneticPr fontId="1" type="noConversion"/>
  </si>
  <si>
    <t>联盟任务盟主奖励3</t>
    <phoneticPr fontId="1" type="noConversion"/>
  </si>
  <si>
    <t>联盟任务盟主奖励4</t>
    <phoneticPr fontId="1" type="noConversion"/>
  </si>
  <si>
    <t>联盟任务盟主奖励5</t>
    <phoneticPr fontId="1" type="noConversion"/>
  </si>
  <si>
    <t>联盟任务盟主奖励6</t>
    <phoneticPr fontId="1" type="noConversion"/>
  </si>
  <si>
    <t>联盟任务盟主奖励7</t>
    <phoneticPr fontId="1" type="noConversion"/>
  </si>
  <si>
    <t>特殊事件宝箱随机奖励</t>
    <phoneticPr fontId="1" type="noConversion"/>
  </si>
  <si>
    <t>特殊事件奖励</t>
    <phoneticPr fontId="1" type="noConversion"/>
  </si>
  <si>
    <t>特殊事件奖励1</t>
    <phoneticPr fontId="1" type="noConversion"/>
  </si>
  <si>
    <t>押镖奖励-积分档位1（作废）</t>
    <phoneticPr fontId="1" type="noConversion"/>
  </si>
  <si>
    <t>押镖奖励-积分档位2（作废）</t>
    <phoneticPr fontId="1" type="noConversion"/>
  </si>
  <si>
    <t>押镖奖励-积分档位3（作废）</t>
    <phoneticPr fontId="1" type="noConversion"/>
  </si>
  <si>
    <t>押镖奖励-积分档位4（作废）</t>
    <phoneticPr fontId="1" type="noConversion"/>
  </si>
  <si>
    <t>押镖奖励-积分档位5（作废）</t>
    <phoneticPr fontId="1" type="noConversion"/>
  </si>
  <si>
    <t>押镖奖励-积分档位6（作废）</t>
    <phoneticPr fontId="1" type="noConversion"/>
  </si>
  <si>
    <t>押镖奖励-积分档位7（作废）</t>
    <phoneticPr fontId="1" type="noConversion"/>
  </si>
  <si>
    <t>押镖奖励-积分档位8（作废）</t>
    <phoneticPr fontId="1" type="noConversion"/>
  </si>
  <si>
    <t>押镖奖励-积分档位9（作废）</t>
    <phoneticPr fontId="1" type="noConversion"/>
  </si>
  <si>
    <t>押镖奖励-积分档位10（作废）</t>
    <phoneticPr fontId="1" type="noConversion"/>
  </si>
  <si>
    <t>押镖奖励-积分档位11（作废）</t>
    <phoneticPr fontId="1" type="noConversion"/>
  </si>
  <si>
    <t>押镖奖励-小队排名1（作废）</t>
    <phoneticPr fontId="1" type="noConversion"/>
  </si>
  <si>
    <t>押镖奖励-小队排名2~3（作废）</t>
    <phoneticPr fontId="1" type="noConversion"/>
  </si>
  <si>
    <t>押镖奖励-小队排名4~10（作废）</t>
    <phoneticPr fontId="1" type="noConversion"/>
  </si>
  <si>
    <t>押镖奖励-小队排名11~20（作废）</t>
    <phoneticPr fontId="1" type="noConversion"/>
  </si>
  <si>
    <t>押镖奖励-小队排名21~50（作废）</t>
    <phoneticPr fontId="1" type="noConversion"/>
  </si>
  <si>
    <t>押镖奖励-小队排名51~100（作废）</t>
    <phoneticPr fontId="1" type="noConversion"/>
  </si>
  <si>
    <t>押镖奖励-小队排名101~999（作废）</t>
    <phoneticPr fontId="1" type="noConversion"/>
  </si>
  <si>
    <t>押镖奖励-联盟排名1（作废）</t>
    <phoneticPr fontId="1" type="noConversion"/>
  </si>
  <si>
    <t>押镖奖励-联盟排名2（作废）</t>
    <phoneticPr fontId="1" type="noConversion"/>
  </si>
  <si>
    <t>押镖奖励-联盟排名3（作废）</t>
    <phoneticPr fontId="1" type="noConversion"/>
  </si>
  <si>
    <t>押镖奖励-联盟排名4~6（作废）</t>
    <phoneticPr fontId="1" type="noConversion"/>
  </si>
  <si>
    <t>押镖奖励-联盟排名7~10（作废）</t>
    <phoneticPr fontId="1" type="noConversion"/>
  </si>
  <si>
    <t>押镖奖励-联盟排名11~100（作废）</t>
    <phoneticPr fontId="1" type="noConversion"/>
  </si>
  <si>
    <t>锋线护送排名1</t>
    <phoneticPr fontId="1" type="noConversion"/>
  </si>
  <si>
    <t>锋线护送排名2</t>
    <phoneticPr fontId="1" type="noConversion"/>
  </si>
  <si>
    <t>锋线护送排名3</t>
    <phoneticPr fontId="1" type="noConversion"/>
  </si>
  <si>
    <t>锋线护送排名4</t>
    <phoneticPr fontId="1" type="noConversion"/>
  </si>
  <si>
    <t>锋线护送排名5</t>
    <phoneticPr fontId="1" type="noConversion"/>
  </si>
  <si>
    <t>锋线护送排名6</t>
    <phoneticPr fontId="1" type="noConversion"/>
  </si>
  <si>
    <t>副玩法成就奖励14</t>
    <phoneticPr fontId="1" type="noConversion"/>
  </si>
  <si>
    <t>自走棋首通奖励-10</t>
  </si>
  <si>
    <t>自走棋首通奖励-11</t>
  </si>
  <si>
    <t>自走棋首通奖励-12</t>
  </si>
  <si>
    <t>自走棋首通奖励-13</t>
  </si>
  <si>
    <t>自走棋首通奖励-14</t>
  </si>
  <si>
    <t>自走棋首通奖励-15</t>
  </si>
  <si>
    <t>自走棋首通奖励-16</t>
  </si>
  <si>
    <t>自走棋首通奖励-17</t>
  </si>
  <si>
    <t>自走棋首通奖励-18</t>
  </si>
  <si>
    <t>自走棋首通奖励-19</t>
  </si>
  <si>
    <t>自走棋首通奖励-20</t>
  </si>
  <si>
    <t>自走棋首通奖励-21</t>
  </si>
  <si>
    <t>自走棋首通奖励-22</t>
  </si>
  <si>
    <t>自走棋首通奖励-23</t>
  </si>
  <si>
    <t>自走棋首通奖励-24</t>
  </si>
  <si>
    <t>自走棋首通奖励-25</t>
  </si>
  <si>
    <t>自走棋首通奖励-26</t>
  </si>
  <si>
    <t>自走棋首通奖励-27</t>
  </si>
  <si>
    <t>自走棋首通奖励-28</t>
  </si>
  <si>
    <t>自走棋首通奖励-29</t>
  </si>
  <si>
    <t>自走棋首通奖励-30</t>
  </si>
  <si>
    <t>自走棋首通奖励-31</t>
  </si>
  <si>
    <t>自走棋首通奖励-32</t>
  </si>
  <si>
    <t>自走棋首通奖励-33</t>
  </si>
  <si>
    <t>自走棋首通奖励-34</t>
  </si>
  <si>
    <t>自走棋首通奖励-35</t>
  </si>
  <si>
    <t>自走棋首通奖励-36</t>
  </si>
  <si>
    <t>自走棋首通奖励-37</t>
  </si>
  <si>
    <t>自走棋首通奖励-38</t>
  </si>
  <si>
    <t>自走棋首通奖励-39</t>
  </si>
  <si>
    <t>自走棋首通奖励-40</t>
  </si>
  <si>
    <t>自走棋首通奖励-41</t>
  </si>
  <si>
    <t>自走棋首通奖励-42</t>
  </si>
  <si>
    <t>自走棋首通奖励-43</t>
  </si>
  <si>
    <t>自走棋首通奖励-44</t>
  </si>
  <si>
    <t>自走棋首通奖励-45</t>
  </si>
  <si>
    <t>自走棋首通奖励-46</t>
  </si>
  <si>
    <t>自走棋首通奖励-47</t>
  </si>
  <si>
    <t>自走棋首通奖励-48</t>
  </si>
  <si>
    <t>自走棋首通奖励-49</t>
  </si>
  <si>
    <t>自走棋首通奖励-50</t>
  </si>
  <si>
    <t>自走棋首通奖励-51</t>
  </si>
  <si>
    <t>自走棋首通奖励-52</t>
  </si>
  <si>
    <t>自走棋首通奖励-53</t>
  </si>
  <si>
    <t>自走棋首通奖励-54</t>
  </si>
  <si>
    <t>自走棋首通奖励-55</t>
  </si>
  <si>
    <t>自走棋首通奖励-56</t>
  </si>
  <si>
    <t>自走棋首通奖励-57</t>
  </si>
  <si>
    <t>自走棋首通奖励-58</t>
  </si>
  <si>
    <t>自走棋首通奖励-59</t>
  </si>
  <si>
    <t>自走棋首通奖励-60</t>
  </si>
  <si>
    <t>自走棋青铜段位</t>
    <phoneticPr fontId="1" type="noConversion"/>
  </si>
  <si>
    <t>自走棋白银段位</t>
    <phoneticPr fontId="1" type="noConversion"/>
  </si>
  <si>
    <t>自走棋黄金段位</t>
    <phoneticPr fontId="1" type="noConversion"/>
  </si>
  <si>
    <t>自走棋白金段位</t>
    <phoneticPr fontId="1" type="noConversion"/>
  </si>
  <si>
    <t>自走棋翡翠段位</t>
    <phoneticPr fontId="1" type="noConversion"/>
  </si>
  <si>
    <t>自走棋钻石段位</t>
    <phoneticPr fontId="1" type="noConversion"/>
  </si>
  <si>
    <t>自走棋大师段位</t>
    <phoneticPr fontId="1" type="noConversion"/>
  </si>
  <si>
    <t>自走棋宗师段位</t>
    <phoneticPr fontId="1" type="noConversion"/>
  </si>
  <si>
    <t>自走棋王者段位</t>
    <phoneticPr fontId="1" type="noConversion"/>
  </si>
  <si>
    <t>1级装备田宝箱</t>
    <phoneticPr fontId="1" type="noConversion"/>
  </si>
  <si>
    <t>2级装备田宝箱</t>
    <phoneticPr fontId="1" type="noConversion"/>
  </si>
  <si>
    <t>3级装备田宝箱</t>
    <phoneticPr fontId="1" type="noConversion"/>
  </si>
  <si>
    <t>4级装备田宝箱</t>
    <phoneticPr fontId="1" type="noConversion"/>
  </si>
  <si>
    <t>5级装备田宝箱</t>
    <phoneticPr fontId="1" type="noConversion"/>
  </si>
  <si>
    <t>首通奖励-60-主关卡</t>
    <phoneticPr fontId="1" type="noConversion"/>
  </si>
  <si>
    <t>首通奖励-120-主关卡</t>
    <phoneticPr fontId="1" type="noConversion"/>
  </si>
  <si>
    <t>首通奖励-200-主关卡</t>
    <phoneticPr fontId="1" type="noConversion"/>
  </si>
  <si>
    <t>首通奖励-300-主关卡</t>
    <phoneticPr fontId="1" type="noConversion"/>
  </si>
  <si>
    <t>首通奖励-400-主关卡</t>
    <phoneticPr fontId="1" type="noConversion"/>
  </si>
  <si>
    <t>首通奖励-500-主关卡</t>
    <phoneticPr fontId="1" type="noConversion"/>
  </si>
  <si>
    <t>首通奖励-600-主关卡</t>
    <phoneticPr fontId="1" type="noConversion"/>
  </si>
  <si>
    <t>首通奖励-700-主关卡</t>
    <phoneticPr fontId="1" type="noConversion"/>
  </si>
  <si>
    <t>首通奖励-800-主关卡</t>
    <phoneticPr fontId="1" type="noConversion"/>
  </si>
  <si>
    <t>首通奖励-120-子关卡</t>
  </si>
  <si>
    <t>首通奖励-200-子关卡</t>
  </si>
  <si>
    <t>首通奖励-300-子关卡</t>
  </si>
  <si>
    <t>首通奖励-400-子关卡</t>
  </si>
  <si>
    <t>首通奖励-500-子关卡</t>
  </si>
  <si>
    <t>首通奖励-600-子关卡</t>
  </si>
  <si>
    <t>首通奖励-700-子关卡</t>
  </si>
  <si>
    <t>首通奖励-800-子关卡</t>
  </si>
  <si>
    <t>日常奖励-主城11-15-阶段2</t>
    <phoneticPr fontId="1" type="noConversion"/>
  </si>
  <si>
    <t>10;10</t>
    <phoneticPr fontId="1" type="noConversion"/>
  </si>
  <si>
    <t>装备地缘活动-积分档1</t>
    <phoneticPr fontId="1" type="noConversion"/>
  </si>
  <si>
    <t>装备地缘活动-积分档2</t>
    <phoneticPr fontId="1" type="noConversion"/>
  </si>
  <si>
    <t>装备地缘活动-积分档3</t>
    <phoneticPr fontId="1" type="noConversion"/>
  </si>
  <si>
    <t>装备地缘活动-积分档4</t>
    <phoneticPr fontId="1" type="noConversion"/>
  </si>
  <si>
    <t>装备地缘活动-积分档5</t>
    <phoneticPr fontId="1" type="noConversion"/>
  </si>
  <si>
    <t>装备地缘活动-联盟排行1</t>
    <phoneticPr fontId="1" type="noConversion"/>
  </si>
  <si>
    <t>装备地缘活动-联盟排行2</t>
    <phoneticPr fontId="1" type="noConversion"/>
  </si>
  <si>
    <t>装备地缘活动-联盟排行3</t>
    <phoneticPr fontId="1" type="noConversion"/>
  </si>
  <si>
    <t>装备地缘活动-联盟排行4~5</t>
    <phoneticPr fontId="1" type="noConversion"/>
  </si>
  <si>
    <t>装备地缘活动-联盟排行6~10</t>
    <phoneticPr fontId="1" type="noConversion"/>
  </si>
  <si>
    <t>装备地缘活动-联盟排行11~20</t>
    <phoneticPr fontId="1" type="noConversion"/>
  </si>
  <si>
    <t>装备地缘活动-联盟排行21~50</t>
    <phoneticPr fontId="1" type="noConversion"/>
  </si>
  <si>
    <t>装备地缘活动-联盟排行51~100</t>
    <phoneticPr fontId="1" type="noConversion"/>
  </si>
  <si>
    <t>自走棋首通奖励-01</t>
  </si>
  <si>
    <t>自走棋首通奖励-02</t>
  </si>
  <si>
    <t>自走棋首通奖励-03</t>
  </si>
  <si>
    <t>自走棋首通奖励-04</t>
  </si>
  <si>
    <t>自走棋首通奖励-05</t>
  </si>
  <si>
    <t>自走棋首通奖励-06</t>
  </si>
  <si>
    <t>自走棋首通奖励-07</t>
  </si>
  <si>
    <t>自走棋首通奖励-08</t>
  </si>
  <si>
    <t>自走棋首通奖励-09</t>
  </si>
  <si>
    <t>自走棋首通奖励-61</t>
  </si>
  <si>
    <t>自走棋首通奖励-62</t>
  </si>
  <si>
    <t>自走棋首通奖励-63</t>
  </si>
  <si>
    <t>自走棋首通奖励-64</t>
  </si>
  <si>
    <t>自走棋首通奖励-65</t>
  </si>
  <si>
    <t>自走棋首通奖励-66</t>
  </si>
  <si>
    <t>自走棋首通奖励-67</t>
  </si>
  <si>
    <t>自走棋首通奖励-68</t>
  </si>
  <si>
    <t>自走棋首通奖励-69</t>
  </si>
  <si>
    <t>自走棋首通奖励-70</t>
  </si>
  <si>
    <t>自走棋首通奖励-71</t>
  </si>
  <si>
    <t>自走棋首通奖励-72</t>
  </si>
  <si>
    <t>自走棋首通奖励-73</t>
  </si>
  <si>
    <t>自走棋首通奖励-74</t>
  </si>
  <si>
    <t>自走棋首通奖励-75</t>
  </si>
  <si>
    <t>自走棋首通奖励-76</t>
  </si>
  <si>
    <t>自走棋首通奖励-77</t>
  </si>
  <si>
    <t>自走棋首通奖励-78</t>
  </si>
  <si>
    <t>自走棋首通奖励-79</t>
  </si>
  <si>
    <t>自走棋首通奖励-80</t>
  </si>
  <si>
    <t>自走棋首通奖励-81</t>
  </si>
  <si>
    <t>自走棋首通奖励-82</t>
  </si>
  <si>
    <t>自走棋首通奖励-83</t>
  </si>
  <si>
    <t>自走棋首通奖励-84</t>
  </si>
  <si>
    <t>自走棋首通奖励-85</t>
  </si>
  <si>
    <t>自走棋首通奖励-86</t>
  </si>
  <si>
    <t>自走棋首通奖励-87</t>
  </si>
  <si>
    <t>自走棋首通奖励-88</t>
  </si>
  <si>
    <t>自走棋首通奖励-89</t>
  </si>
  <si>
    <t>自走棋首通奖励-90</t>
  </si>
  <si>
    <t>自走棋首通奖励-91</t>
  </si>
  <si>
    <t>自走棋首通奖励-92</t>
  </si>
  <si>
    <t>自走棋首通奖励-93</t>
  </si>
  <si>
    <t>自走棋首通奖励-94</t>
  </si>
  <si>
    <t>自走棋首通奖励-95</t>
  </si>
  <si>
    <t>自走棋首通奖励-96</t>
  </si>
  <si>
    <t>自走棋首通奖励-97</t>
  </si>
  <si>
    <t>自走棋首通奖励-98</t>
  </si>
  <si>
    <t>自走棋首通奖励-99</t>
  </si>
  <si>
    <t>自走棋首通奖励-100</t>
    <phoneticPr fontId="1" type="noConversion"/>
  </si>
  <si>
    <t>装备田活动展示奖励</t>
    <phoneticPr fontId="1" type="noConversion"/>
  </si>
  <si>
    <t>奇迹低级场胜利联盟奖励</t>
    <phoneticPr fontId="1" type="noConversion"/>
  </si>
  <si>
    <t>奇迹低级场失败联盟奖励</t>
    <phoneticPr fontId="1" type="noConversion"/>
  </si>
  <si>
    <t>奇迹高级场胜利联盟奖励</t>
    <phoneticPr fontId="1" type="noConversion"/>
  </si>
  <si>
    <t>奇迹低高级场失败联盟奖励</t>
    <phoneticPr fontId="1" type="noConversion"/>
  </si>
  <si>
    <t>副玩法无尽关卡1-4通关奖励</t>
    <phoneticPr fontId="1" type="noConversion"/>
  </si>
  <si>
    <t>副玩法无尽关卡2-4通关奖励</t>
    <phoneticPr fontId="1" type="noConversion"/>
  </si>
  <si>
    <t>副玩法无尽关卡3-4通关奖励</t>
    <phoneticPr fontId="1" type="noConversion"/>
  </si>
  <si>
    <t>副玩法无尽关卡4-4通关奖励</t>
    <phoneticPr fontId="1" type="noConversion"/>
  </si>
  <si>
    <t>副玩法成就奖励15</t>
    <phoneticPr fontId="1" type="noConversion"/>
  </si>
  <si>
    <t>奇迹赛季结算第1名</t>
    <phoneticPr fontId="1" type="noConversion"/>
  </si>
  <si>
    <t>奇迹赛季结算第2名</t>
    <phoneticPr fontId="1" type="noConversion"/>
  </si>
  <si>
    <t>奇迹赛季结算第3名</t>
    <phoneticPr fontId="1" type="noConversion"/>
  </si>
  <si>
    <t>奇迹赛季结算第4名</t>
    <phoneticPr fontId="1" type="noConversion"/>
  </si>
  <si>
    <t>奇迹赛季结算第5名</t>
    <phoneticPr fontId="1" type="noConversion"/>
  </si>
  <si>
    <t>奇迹赛季结算第6-8名</t>
    <phoneticPr fontId="1" type="noConversion"/>
  </si>
  <si>
    <t>奇迹赛季结算第9-10名</t>
    <phoneticPr fontId="1" type="noConversion"/>
  </si>
  <si>
    <t>奇迹赛季结算第11-20名</t>
    <phoneticPr fontId="1" type="noConversion"/>
  </si>
  <si>
    <t>奇迹赛季结算第21-50名</t>
    <phoneticPr fontId="1" type="noConversion"/>
  </si>
  <si>
    <t>奇迹低级场个人奖励-仅展示</t>
    <phoneticPr fontId="1" type="noConversion"/>
  </si>
  <si>
    <t>奇迹高级场个人奖励-仅展示</t>
    <phoneticPr fontId="1" type="noConversion"/>
  </si>
  <si>
    <t>奇迹高级场军团-胜利奖励</t>
    <phoneticPr fontId="1" type="noConversion"/>
  </si>
  <si>
    <t>奇迹低级场军团-胜利奖励</t>
    <phoneticPr fontId="1" type="noConversion"/>
  </si>
  <si>
    <t>奇迹低级场军团-失败奖励</t>
    <phoneticPr fontId="1" type="noConversion"/>
  </si>
  <si>
    <t>奇迹搞级场军团-失败奖励</t>
    <phoneticPr fontId="1" type="noConversion"/>
  </si>
  <si>
    <t>奇迹S0赛季结算第1名</t>
    <phoneticPr fontId="1" type="noConversion"/>
  </si>
  <si>
    <t>奇迹S0赛季结算第2名</t>
    <phoneticPr fontId="1" type="noConversion"/>
  </si>
  <si>
    <t>奇迹S0赛季结算第3名</t>
    <phoneticPr fontId="1" type="noConversion"/>
  </si>
  <si>
    <t>奇迹S0赛季结算第4名</t>
    <phoneticPr fontId="1" type="noConversion"/>
  </si>
  <si>
    <t>奇迹S0赛季结算第5名</t>
    <phoneticPr fontId="1" type="noConversion"/>
  </si>
  <si>
    <t>奇迹S0赛季结算第6-8名</t>
    <phoneticPr fontId="1" type="noConversion"/>
  </si>
  <si>
    <t>奇迹S0赛季结算第9-10名</t>
    <phoneticPr fontId="1" type="noConversion"/>
  </si>
  <si>
    <t>奇迹S0赛季结算第11-20名</t>
    <phoneticPr fontId="1" type="noConversion"/>
  </si>
  <si>
    <t>奇迹S0赛季结算第21-50名</t>
    <phoneticPr fontId="1" type="noConversion"/>
  </si>
  <si>
    <t>自走棋新手关1</t>
    <phoneticPr fontId="1" type="noConversion"/>
  </si>
  <si>
    <t>自走棋新手关2</t>
    <phoneticPr fontId="1" type="noConversion"/>
  </si>
  <si>
    <t>自走棋新手关3</t>
    <phoneticPr fontId="1" type="noConversion"/>
  </si>
  <si>
    <t>自走棋新手关4</t>
    <phoneticPr fontId="1" type="noConversion"/>
  </si>
  <si>
    <t>自走棋新手关5</t>
    <phoneticPr fontId="1" type="noConversion"/>
  </si>
  <si>
    <t>自走棋新手关6</t>
    <phoneticPr fontId="1" type="noConversion"/>
  </si>
  <si>
    <t>自走棋新手关7</t>
    <phoneticPr fontId="1" type="noConversion"/>
  </si>
  <si>
    <t>自走棋新手关8</t>
    <phoneticPr fontId="1" type="noConversion"/>
  </si>
  <si>
    <t>自走棋新手关9</t>
    <phoneticPr fontId="1" type="noConversion"/>
  </si>
  <si>
    <t>自走棋新手关10</t>
    <phoneticPr fontId="1" type="noConversion"/>
  </si>
  <si>
    <t>自走棋新手关11</t>
  </si>
  <si>
    <t>自走棋新手关12</t>
  </si>
  <si>
    <t>自走棋新手关13</t>
  </si>
  <si>
    <t>自走棋新手关14</t>
  </si>
  <si>
    <t>自走棋新手关15</t>
  </si>
  <si>
    <t>自走棋新手关16</t>
  </si>
  <si>
    <t>自走棋新手关17</t>
  </si>
  <si>
    <t>自走棋新手关18</t>
  </si>
  <si>
    <t>自走棋新手关19</t>
  </si>
  <si>
    <t>自走棋新手关20</t>
  </si>
  <si>
    <t>自走棋新手关21</t>
  </si>
  <si>
    <t>自走棋新手关22</t>
  </si>
  <si>
    <t>自走棋新手关23</t>
  </si>
  <si>
    <t>自走棋新手关24</t>
  </si>
  <si>
    <t>自走棋新手关25</t>
  </si>
  <si>
    <t>自走棋新手关26</t>
  </si>
  <si>
    <t>自走棋新手关27</t>
  </si>
  <si>
    <t>自走棋新手关28</t>
  </si>
  <si>
    <t>自走棋新手关29</t>
  </si>
  <si>
    <t>自走棋新手关30</t>
  </si>
  <si>
    <t>自走棋新手关31</t>
  </si>
  <si>
    <t>自走棋新手关32</t>
  </si>
  <si>
    <t>自走棋新手关33</t>
  </si>
  <si>
    <t>自走棋新手关34</t>
  </si>
  <si>
    <t>自走棋新手关35</t>
  </si>
  <si>
    <t>自走棋新手关36</t>
  </si>
  <si>
    <t>自走棋新手关37</t>
  </si>
  <si>
    <t>自走棋新手关38</t>
  </si>
  <si>
    <t>自走棋新手关39</t>
  </si>
  <si>
    <t>自走棋新手关40</t>
  </si>
  <si>
    <t>自走棋新手关41</t>
    <phoneticPr fontId="1" type="noConversion"/>
  </si>
  <si>
    <t>自走棋新手关42</t>
  </si>
  <si>
    <t>自走棋新手关43</t>
  </si>
  <si>
    <t>自走棋新手关44</t>
  </si>
  <si>
    <t>自走棋新手关45</t>
  </si>
  <si>
    <t>自走棋新手关46</t>
  </si>
  <si>
    <t>自走棋新手关47</t>
  </si>
  <si>
    <t>自走棋新手关48</t>
  </si>
  <si>
    <t>自走棋新手关49</t>
  </si>
  <si>
    <t>自走棋新手关50</t>
  </si>
  <si>
    <t>自走棋新手关51</t>
  </si>
  <si>
    <t>自走棋新手关52</t>
  </si>
  <si>
    <t>自走棋新手关53</t>
  </si>
  <si>
    <t>自走棋新手关54</t>
  </si>
  <si>
    <t>自走棋新手关55</t>
  </si>
  <si>
    <t>自走棋新手关56</t>
  </si>
  <si>
    <t>自走棋新手关57</t>
  </si>
  <si>
    <t>自走棋新手关58</t>
  </si>
  <si>
    <t>自走棋新手关59</t>
  </si>
  <si>
    <t>自走棋新手关60</t>
  </si>
  <si>
    <t>自走棋新手关61</t>
  </si>
  <si>
    <t>自走棋新手关62</t>
  </si>
  <si>
    <t>自走棋新手关63</t>
  </si>
  <si>
    <t>自走棋新手关64</t>
  </si>
  <si>
    <t>自走棋新手关65</t>
  </si>
  <si>
    <t>自走棋新手关66</t>
  </si>
  <si>
    <t>自走棋新手关67</t>
  </si>
  <si>
    <t>自走棋新手关68</t>
  </si>
  <si>
    <t>自走棋新手关69</t>
  </si>
  <si>
    <t>自走棋新手关70</t>
  </si>
  <si>
    <t>自走棋新手关71</t>
  </si>
  <si>
    <t>自走棋新手关72</t>
  </si>
  <si>
    <t>自走棋新手关73</t>
  </si>
  <si>
    <t>自走棋新手关74</t>
  </si>
  <si>
    <t>自走棋新手关75</t>
  </si>
  <si>
    <t>自走棋新手关76</t>
  </si>
  <si>
    <t>自走棋新手关77</t>
  </si>
  <si>
    <t>自走棋新手关78</t>
  </si>
  <si>
    <t>自走棋新手关79</t>
  </si>
  <si>
    <t>自走棋新手关80</t>
  </si>
  <si>
    <t>自走棋新手关81</t>
  </si>
  <si>
    <t>自走棋新手关82</t>
  </si>
  <si>
    <t>自走棋新手关83</t>
  </si>
  <si>
    <t>自走棋新手关84</t>
  </si>
  <si>
    <t>自走棋新手关85</t>
  </si>
  <si>
    <t>自走棋新手关86</t>
  </si>
  <si>
    <t>自走棋新手关87</t>
  </si>
  <si>
    <t>自走棋新手关88</t>
  </si>
  <si>
    <t>自走棋新手关89</t>
  </si>
  <si>
    <t>自走棋新手关90</t>
  </si>
  <si>
    <t>自走棋新手关91</t>
  </si>
  <si>
    <t>自走棋新手关92</t>
  </si>
  <si>
    <t>自走棋新手关93</t>
  </si>
  <si>
    <t>自走棋新手关94</t>
  </si>
  <si>
    <t>自走棋新手关95</t>
  </si>
  <si>
    <t>自走棋新手关96</t>
  </si>
  <si>
    <t>自走棋新手关97</t>
  </si>
  <si>
    <t>自走棋新手关98</t>
  </si>
  <si>
    <t>自走棋新手关99</t>
  </si>
  <si>
    <t>自走棋新手关100</t>
    <phoneticPr fontId="1" type="noConversion"/>
  </si>
  <si>
    <t>新手剧情关卡-1</t>
    <phoneticPr fontId="1" type="noConversion"/>
  </si>
  <si>
    <t>新手剧情关卡-2</t>
    <phoneticPr fontId="1" type="noConversion"/>
  </si>
  <si>
    <t>新手剧情关卡-3</t>
  </si>
  <si>
    <t>新手剧情关卡-4</t>
  </si>
  <si>
    <t>新手剧情关卡-5</t>
  </si>
  <si>
    <t>新手剧情关卡-6</t>
  </si>
  <si>
    <t>新手剧情关卡-7</t>
  </si>
  <si>
    <t>新手剧情关卡-8</t>
  </si>
  <si>
    <t>新手剧情关卡-9</t>
  </si>
  <si>
    <t>新手剧情关卡-10</t>
  </si>
  <si>
    <t>新手剧情关卡-11</t>
  </si>
  <si>
    <t>新手剧情关卡-12</t>
  </si>
  <si>
    <t>新手剧情关卡-13</t>
  </si>
  <si>
    <t>新手剧情关卡-14</t>
  </si>
  <si>
    <t>新手剧情关卡-15</t>
  </si>
  <si>
    <t>新手剧情关卡-16</t>
  </si>
  <si>
    <t>新手剧情关卡-17</t>
  </si>
  <si>
    <t>新手剧情关卡-18</t>
  </si>
  <si>
    <t>新手剧情关卡-19</t>
  </si>
  <si>
    <t>新手剧情关卡-20</t>
  </si>
  <si>
    <t>世界地图资源包奖励</t>
  </si>
  <si>
    <t>额外下载奖励4</t>
    <phoneticPr fontId="1" type="noConversion"/>
  </si>
  <si>
    <t>祈愿占卜礼包-1</t>
    <phoneticPr fontId="1" type="noConversion"/>
  </si>
  <si>
    <t>祈愿占卜礼包-2</t>
    <phoneticPr fontId="1" type="noConversion"/>
  </si>
  <si>
    <t>祈愿占卜礼包-3</t>
    <phoneticPr fontId="1" type="noConversion"/>
  </si>
  <si>
    <t>祈愿占卜礼包-4</t>
    <phoneticPr fontId="1" type="noConversion"/>
  </si>
  <si>
    <t>祈愿占卜礼包-5</t>
    <phoneticPr fontId="1" type="noConversion"/>
  </si>
  <si>
    <t>祈愿占卜礼包-6</t>
    <phoneticPr fontId="1" type="noConversion"/>
  </si>
  <si>
    <t>祈愿占卜礼包-7</t>
    <phoneticPr fontId="1" type="noConversion"/>
  </si>
  <si>
    <t>锋线护送新版难度1奖励</t>
  </si>
  <si>
    <t>锋线护送新版难度2奖励</t>
  </si>
  <si>
    <t>锋线护送新版难度3奖励</t>
  </si>
  <si>
    <t>锋线护送新版难度4奖励</t>
  </si>
  <si>
    <t>锋线护送新版难度5奖励</t>
  </si>
  <si>
    <t>锋线护送新版难度6奖励</t>
  </si>
  <si>
    <t>锋线护送新版难度7奖励</t>
  </si>
  <si>
    <t>锋线护送新版难度8奖励</t>
  </si>
  <si>
    <t>锋线护送新版难度9奖励</t>
  </si>
  <si>
    <t>锋线护送新版难度10奖励</t>
  </si>
  <si>
    <t>锋线护送新版难度11奖励</t>
  </si>
  <si>
    <t>锋线护送新版难度12奖励</t>
  </si>
  <si>
    <t>锋线护送新版难度13奖励</t>
  </si>
  <si>
    <t>锋线护送新版难度14奖励</t>
  </si>
  <si>
    <t>锋线护送新版难度15奖励</t>
  </si>
  <si>
    <t>锋线护送新版难度16奖励</t>
  </si>
  <si>
    <t>锋线护送新版难度17奖励</t>
  </si>
  <si>
    <t>锋线护送新版难度18奖励</t>
  </si>
  <si>
    <t>锋线护送新版难度19奖励</t>
  </si>
  <si>
    <t>锋线护送新版难度20奖励</t>
  </si>
  <si>
    <t>锋线护送新版难度21奖励</t>
  </si>
  <si>
    <t>锋线护送新版难度22奖励</t>
  </si>
  <si>
    <t>锋线护送新版难度23奖励</t>
  </si>
  <si>
    <t>锋线护送新版难度24奖励</t>
  </si>
  <si>
    <t>锋线护送新版难度25奖励</t>
  </si>
  <si>
    <t>锋线护送新版难度26奖励</t>
  </si>
  <si>
    <t>锋线护送新版难度27奖励</t>
  </si>
  <si>
    <t>锋线护送新版难度28奖励</t>
  </si>
  <si>
    <t>锋线护送新版难度29奖励</t>
  </si>
  <si>
    <t>锋线护送新版难度30奖励</t>
  </si>
  <si>
    <t>锋线护送新版难度31奖励</t>
  </si>
  <si>
    <t>锋线护送新版难度32奖励</t>
  </si>
  <si>
    <t>锋线护送新版难度33奖励</t>
  </si>
  <si>
    <t>锋线护送新版难度34奖励</t>
  </si>
  <si>
    <t>锋线护送新版难度35奖励</t>
  </si>
  <si>
    <t>锋线护送新版难度36奖励</t>
  </si>
  <si>
    <t>锋线护送新版难度37奖励</t>
  </si>
  <si>
    <t>锋线护送新版难度38奖励</t>
  </si>
  <si>
    <t>锋线护送新版难度39奖励</t>
  </si>
  <si>
    <t>锋线护送新版难度40奖励</t>
  </si>
  <si>
    <t>日常奖励-主城18-20阶段1</t>
  </si>
  <si>
    <t>日常奖励-主城18-20阶段2</t>
  </si>
  <si>
    <t>日常奖励-主城18-20阶段3</t>
  </si>
  <si>
    <t>日常奖励-主城18-20阶段4</t>
  </si>
  <si>
    <t>叛军来袭积分档-1</t>
    <phoneticPr fontId="1" type="noConversion"/>
  </si>
  <si>
    <t>叛军来袭积分档-2</t>
    <phoneticPr fontId="1" type="noConversion"/>
  </si>
  <si>
    <t>叛军来袭积分档-3</t>
    <phoneticPr fontId="1" type="noConversion"/>
  </si>
  <si>
    <t>叛军来袭积分档-4</t>
    <phoneticPr fontId="1" type="noConversion"/>
  </si>
  <si>
    <t>叛军来袭积分档-5</t>
    <phoneticPr fontId="1" type="noConversion"/>
  </si>
  <si>
    <t>叛军来袭积分档-6</t>
    <phoneticPr fontId="1" type="noConversion"/>
  </si>
  <si>
    <t>叛军来袭积分档-7</t>
    <phoneticPr fontId="1" type="noConversion"/>
  </si>
  <si>
    <t>叛军来袭积分档-8</t>
    <phoneticPr fontId="1" type="noConversion"/>
  </si>
  <si>
    <t>叛军来袭积分档-9</t>
    <phoneticPr fontId="1" type="noConversion"/>
  </si>
  <si>
    <t>叛军来袭积分档-10</t>
    <phoneticPr fontId="1" type="noConversion"/>
  </si>
  <si>
    <t>叛军来袭个人排名-1</t>
    <phoneticPr fontId="1" type="noConversion"/>
  </si>
  <si>
    <t>叛军来袭个人排名-2</t>
    <phoneticPr fontId="1" type="noConversion"/>
  </si>
  <si>
    <t>叛军来袭个人排名-3</t>
    <phoneticPr fontId="1" type="noConversion"/>
  </si>
  <si>
    <t>叛军来袭个人排名-4</t>
    <phoneticPr fontId="1" type="noConversion"/>
  </si>
  <si>
    <t>叛军来袭个人排名-5</t>
    <phoneticPr fontId="1" type="noConversion"/>
  </si>
  <si>
    <t>叛军来袭个人排名-6~10</t>
    <phoneticPr fontId="1" type="noConversion"/>
  </si>
  <si>
    <t>叛军来袭联盟排名-1</t>
    <phoneticPr fontId="1" type="noConversion"/>
  </si>
  <si>
    <t>叛军来袭联盟排名-2</t>
    <phoneticPr fontId="1" type="noConversion"/>
  </si>
  <si>
    <t>叛军来袭联盟排名-3</t>
    <phoneticPr fontId="1" type="noConversion"/>
  </si>
  <si>
    <t>叛军来袭联盟排名-4</t>
    <phoneticPr fontId="1" type="noConversion"/>
  </si>
  <si>
    <t>叛军来袭联盟排名-5</t>
    <phoneticPr fontId="1" type="noConversion"/>
  </si>
  <si>
    <t>叛军来袭联盟排名-6~10</t>
    <phoneticPr fontId="1" type="noConversion"/>
  </si>
  <si>
    <t>叛军来袭联盟排名-11~20</t>
    <phoneticPr fontId="1" type="noConversion"/>
  </si>
  <si>
    <t>叛军来袭联盟排名-100+</t>
    <phoneticPr fontId="1" type="noConversion"/>
  </si>
  <si>
    <t>叛军来袭奖励展示</t>
    <phoneticPr fontId="1" type="noConversion"/>
  </si>
  <si>
    <t>叛军来袭积分档-11</t>
    <phoneticPr fontId="1" type="noConversion"/>
  </si>
  <si>
    <t>叛军来袭积分档-12</t>
    <phoneticPr fontId="1" type="noConversion"/>
  </si>
  <si>
    <t>叛军来袭积分档-13</t>
    <phoneticPr fontId="1" type="noConversion"/>
  </si>
  <si>
    <t>叛军来袭积分档-14</t>
    <phoneticPr fontId="1" type="noConversion"/>
  </si>
  <si>
    <t>叛军来袭积分档-15</t>
    <phoneticPr fontId="1" type="noConversion"/>
  </si>
  <si>
    <t>叛军来袭积分档-16</t>
    <phoneticPr fontId="1" type="noConversion"/>
  </si>
  <si>
    <t>叛军来袭积分档-17</t>
    <phoneticPr fontId="1" type="noConversion"/>
  </si>
  <si>
    <t>叛军来袭积分档-18</t>
    <phoneticPr fontId="1" type="noConversion"/>
  </si>
  <si>
    <t>叛军来袭积分档-19</t>
    <phoneticPr fontId="1" type="noConversion"/>
  </si>
  <si>
    <t>叛军来袭积分档-20</t>
    <phoneticPr fontId="1" type="noConversion"/>
  </si>
  <si>
    <t>叛军来袭积分档-21</t>
    <phoneticPr fontId="1" type="noConversion"/>
  </si>
  <si>
    <t>叛军来袭积分档-22</t>
    <phoneticPr fontId="1" type="noConversion"/>
  </si>
  <si>
    <t>叛军来袭积分档-23</t>
    <phoneticPr fontId="1" type="noConversion"/>
  </si>
  <si>
    <t>叛军来袭积分档-24</t>
    <phoneticPr fontId="1" type="noConversion"/>
  </si>
  <si>
    <t>叛军来袭个人排名-11~20</t>
    <phoneticPr fontId="1" type="noConversion"/>
  </si>
  <si>
    <t>叛军来袭个人排名-21~50</t>
    <phoneticPr fontId="1" type="noConversion"/>
  </si>
  <si>
    <t>叛军来袭个人排名-51~100</t>
    <phoneticPr fontId="1" type="noConversion"/>
  </si>
  <si>
    <t>叛军来袭个人排名-101~9999</t>
    <phoneticPr fontId="1" type="noConversion"/>
  </si>
  <si>
    <t>叛军来袭联盟排名-21~50</t>
    <phoneticPr fontId="1" type="noConversion"/>
  </si>
  <si>
    <t>叛军来袭联盟排名-51~100</t>
    <phoneticPr fontId="1" type="noConversion"/>
  </si>
  <si>
    <t>自走棋青铜段位基金奖励</t>
    <phoneticPr fontId="1" type="noConversion"/>
  </si>
  <si>
    <t>自走棋白银段位基金奖励</t>
  </si>
  <si>
    <t>自走棋黄金段位基金奖励</t>
  </si>
  <si>
    <t>自走棋白金段位基金奖励</t>
  </si>
  <si>
    <t>自走棋翡翠段位基金奖励</t>
  </si>
  <si>
    <t>自走棋钻石段位基金奖励</t>
  </si>
  <si>
    <t>自走棋大师段位基金奖励</t>
  </si>
  <si>
    <t>自走棋宗师段位基金奖励</t>
  </si>
  <si>
    <t>自走棋王者段位基金奖励</t>
  </si>
  <si>
    <t>主线剧情奖励-1</t>
    <phoneticPr fontId="1" type="noConversion"/>
  </si>
  <si>
    <t>主线剧情奖励-2</t>
    <phoneticPr fontId="1" type="noConversion"/>
  </si>
  <si>
    <t>主线剧情奖励-3</t>
    <phoneticPr fontId="1" type="noConversion"/>
  </si>
  <si>
    <t>主线剧情奖励-4</t>
    <phoneticPr fontId="1" type="noConversion"/>
  </si>
  <si>
    <t>主线剧情奖励-5</t>
    <phoneticPr fontId="1" type="noConversion"/>
  </si>
  <si>
    <t>主线剧情奖励-6</t>
    <phoneticPr fontId="1" type="noConversion"/>
  </si>
  <si>
    <t>主线剧情奖励-7</t>
    <phoneticPr fontId="1" type="noConversion"/>
  </si>
  <si>
    <t>主线剧情奖励-8</t>
    <phoneticPr fontId="1" type="noConversion"/>
  </si>
  <si>
    <t>主线剧情奖励-9</t>
    <phoneticPr fontId="1" type="noConversion"/>
  </si>
  <si>
    <t>主线剧情奖励-10</t>
    <phoneticPr fontId="1" type="noConversion"/>
  </si>
  <si>
    <t>主线剧情奖励-11</t>
    <phoneticPr fontId="1" type="noConversion"/>
  </si>
  <si>
    <t>主线剧情奖励-12</t>
    <phoneticPr fontId="1" type="noConversion"/>
  </si>
  <si>
    <t>主线剧情奖励-13</t>
    <phoneticPr fontId="1" type="noConversion"/>
  </si>
  <si>
    <t>主线剧情奖励-14</t>
    <phoneticPr fontId="1" type="noConversion"/>
  </si>
  <si>
    <t>主线剧情奖励-15</t>
    <phoneticPr fontId="1" type="noConversion"/>
  </si>
  <si>
    <t>最强王国恢复互助</t>
    <phoneticPr fontId="1" type="noConversion"/>
  </si>
  <si>
    <t>最强领主自选1</t>
    <phoneticPr fontId="1" type="noConversion"/>
  </si>
  <si>
    <t>最强领主自选2</t>
    <phoneticPr fontId="1" type="noConversion"/>
  </si>
  <si>
    <t>副玩法伴随活动奖励-1</t>
    <phoneticPr fontId="1" type="noConversion"/>
  </si>
  <si>
    <t>副玩法伴随活动奖励-2</t>
    <phoneticPr fontId="1" type="noConversion"/>
  </si>
  <si>
    <t>副玩法伴随活动奖励-3</t>
    <phoneticPr fontId="1" type="noConversion"/>
  </si>
  <si>
    <t>A级橙英雄随机宝箱</t>
    <phoneticPr fontId="1" type="noConversion"/>
  </si>
  <si>
    <t>跨服排行榜每日奖励</t>
    <phoneticPr fontId="1" type="noConversion"/>
  </si>
  <si>
    <t>跨服排行榜联盟周排名1</t>
    <phoneticPr fontId="1" type="noConversion"/>
  </si>
  <si>
    <t>跨服排行榜联盟周排名2</t>
    <phoneticPr fontId="1" type="noConversion"/>
  </si>
  <si>
    <t>跨服排行榜联盟周排名3</t>
    <phoneticPr fontId="1" type="noConversion"/>
  </si>
  <si>
    <t>跨服排行榜联盟周排名6-10</t>
    <phoneticPr fontId="1" type="noConversion"/>
  </si>
  <si>
    <t>跨服排行榜联盟周排名4-5</t>
    <phoneticPr fontId="1" type="noConversion"/>
  </si>
  <si>
    <t>跨服排行榜联盟周排名11-20</t>
    <phoneticPr fontId="1" type="noConversion"/>
  </si>
  <si>
    <t>跨服排行榜联盟周排名21-30</t>
    <phoneticPr fontId="1" type="noConversion"/>
  </si>
  <si>
    <t>跨服排行榜联盟周排名31-40</t>
    <phoneticPr fontId="1" type="noConversion"/>
  </si>
  <si>
    <t>跨服排行榜联盟周排名41-60</t>
    <phoneticPr fontId="1" type="noConversion"/>
  </si>
  <si>
    <t>跨服排行榜联盟周排名61-80</t>
    <phoneticPr fontId="1" type="noConversion"/>
  </si>
  <si>
    <t>跨服排行榜联盟周排名81-100</t>
    <phoneticPr fontId="1" type="noConversion"/>
  </si>
  <si>
    <t>跨服排行榜联盟周排名101-120</t>
    <phoneticPr fontId="1" type="noConversion"/>
  </si>
  <si>
    <t>跨服排行榜联盟周排名121-160</t>
    <phoneticPr fontId="1" type="noConversion"/>
  </si>
  <si>
    <t>跨服排行榜联盟周排名161-200</t>
    <phoneticPr fontId="1" type="noConversion"/>
  </si>
  <si>
    <t>跨服排行榜联盟周排名201-300</t>
    <phoneticPr fontId="1" type="noConversion"/>
  </si>
  <si>
    <t>跨服排行榜联盟周排名301-999</t>
    <phoneticPr fontId="1" type="noConversion"/>
  </si>
  <si>
    <t>跨服排行榜服务器周排名1</t>
    <phoneticPr fontId="1" type="noConversion"/>
  </si>
  <si>
    <t>跨服排行榜服务器周排名2</t>
    <phoneticPr fontId="1" type="noConversion"/>
  </si>
  <si>
    <t>跨服排行榜服务器周排名3</t>
    <phoneticPr fontId="1" type="noConversion"/>
  </si>
  <si>
    <t>跨服排行榜服务器周排名4</t>
    <phoneticPr fontId="1" type="noConversion"/>
  </si>
  <si>
    <t>跨服排行榜服务器周排名5</t>
    <phoneticPr fontId="1" type="noConversion"/>
  </si>
  <si>
    <t>跨服排行榜服务器周排名6</t>
    <phoneticPr fontId="1" type="noConversion"/>
  </si>
  <si>
    <t>跨服排行榜服务器周排名7</t>
    <phoneticPr fontId="1" type="noConversion"/>
  </si>
  <si>
    <t>跨服排行榜服务器周排名8</t>
    <phoneticPr fontId="1" type="noConversion"/>
  </si>
  <si>
    <t>跨服排行榜服务器周排名9</t>
    <phoneticPr fontId="1" type="noConversion"/>
  </si>
  <si>
    <t>跨服排行榜服务器周排名10</t>
    <phoneticPr fontId="1" type="noConversion"/>
  </si>
  <si>
    <t>跨服排行榜服务器周排名11</t>
    <phoneticPr fontId="1" type="noConversion"/>
  </si>
  <si>
    <t>跨服排行榜服务器周排名12</t>
    <phoneticPr fontId="1" type="noConversion"/>
  </si>
  <si>
    <t>跨服排行榜结算服务器全员奖1</t>
    <phoneticPr fontId="1" type="noConversion"/>
  </si>
  <si>
    <t>跨服排行榜结算服务器全员奖2</t>
    <phoneticPr fontId="1" type="noConversion"/>
  </si>
  <si>
    <t>跨服排行榜结算服务器全员奖3</t>
    <phoneticPr fontId="1" type="noConversion"/>
  </si>
  <si>
    <t>跨服排行榜结算服务器全员奖4</t>
    <phoneticPr fontId="1" type="noConversion"/>
  </si>
  <si>
    <t>跨服排行榜结算服务器全员奖5</t>
    <phoneticPr fontId="1" type="noConversion"/>
  </si>
  <si>
    <t>跨服排行榜结算服务器全员奖6</t>
    <phoneticPr fontId="1" type="noConversion"/>
  </si>
  <si>
    <t>跨服排行榜结算服务器全员奖7</t>
    <phoneticPr fontId="1" type="noConversion"/>
  </si>
  <si>
    <t>跨服排行榜结算服务器全员奖8</t>
    <phoneticPr fontId="1" type="noConversion"/>
  </si>
  <si>
    <t>跨服排行榜结算服务器全员奖9</t>
    <phoneticPr fontId="1" type="noConversion"/>
  </si>
  <si>
    <t>跨服排行榜结算服务器全员奖10</t>
    <phoneticPr fontId="1" type="noConversion"/>
  </si>
  <si>
    <t>跨服排行榜结算服务器全员奖11</t>
    <phoneticPr fontId="1" type="noConversion"/>
  </si>
  <si>
    <t>跨服排行榜结算服务器全员奖12</t>
    <phoneticPr fontId="1" type="noConversion"/>
  </si>
  <si>
    <t>最强王国主题1档位1</t>
  </si>
  <si>
    <t>最强王国主题1档位2</t>
  </si>
  <si>
    <t>最强王国主题1档位3</t>
  </si>
  <si>
    <t>最强王国主题2档位1</t>
  </si>
  <si>
    <t>最强王国主题2档位2</t>
  </si>
  <si>
    <t>最强王国主题2档位3</t>
  </si>
  <si>
    <t>最强王国主题3档位1</t>
  </si>
  <si>
    <t>最强王国主题3档位2</t>
  </si>
  <si>
    <t>最强王国主题3档位3</t>
  </si>
  <si>
    <t>最强王国主题4档位1</t>
  </si>
  <si>
    <t>最强王国主题4档位2</t>
  </si>
  <si>
    <t>最强王国主题4档位3</t>
  </si>
  <si>
    <t>最强王国主题5档位1</t>
  </si>
  <si>
    <t>最强王国主题5档位2</t>
  </si>
  <si>
    <t>最强王国主题5档位3</t>
  </si>
  <si>
    <t>最强王国主题6档位1</t>
  </si>
  <si>
    <t>最强王国主题6档位2</t>
  </si>
  <si>
    <t>最强王国主题6档位3</t>
  </si>
  <si>
    <t>最强王国主题1联盟1</t>
  </si>
  <si>
    <t>最强王国主题1联盟2</t>
  </si>
  <si>
    <t>最强王国主题1联盟3</t>
  </si>
  <si>
    <t>最强王国主题2联盟1</t>
  </si>
  <si>
    <t>最强王国主题2联盟2</t>
  </si>
  <si>
    <t>最强王国主题2联盟3</t>
  </si>
  <si>
    <t>最强王国每日个人排名奖励1</t>
  </si>
  <si>
    <t>最强王国每日个人排名奖励2</t>
  </si>
  <si>
    <t>最强王国每日个人排名奖励3</t>
  </si>
  <si>
    <t>最强王国每日个人排名奖励4~5</t>
  </si>
  <si>
    <t>最强王国每日个人排名奖励6~10</t>
  </si>
  <si>
    <t>最强王国每日个人排名奖励11~20</t>
  </si>
  <si>
    <t>最强王国每日个人排名奖励21~30</t>
  </si>
  <si>
    <t>最强王国每日个人排名奖励31~50</t>
  </si>
  <si>
    <t>最强王国每日个人排名奖励51~100</t>
  </si>
  <si>
    <t>最强王国每日个人排名奖励101~200</t>
  </si>
  <si>
    <t>最强王国每日个人排名奖励201~300</t>
  </si>
  <si>
    <t>最强王国每日个人排名奖励301~500</t>
  </si>
  <si>
    <t>最强王国每日个人排名奖励501~1000</t>
  </si>
  <si>
    <t>最强王国每日联盟排名奖励1</t>
  </si>
  <si>
    <t>最强王国每日联盟排名奖励2</t>
  </si>
  <si>
    <t>最强王国每日联盟排名奖励3</t>
  </si>
  <si>
    <t>最强王国每日联盟排名奖励4~5</t>
  </si>
  <si>
    <t>最强王国每日联盟排名奖励6~10</t>
  </si>
  <si>
    <t>最强王国每日联盟排名奖励11~20</t>
  </si>
  <si>
    <t>最强王国每日联盟排名奖励21~30</t>
  </si>
  <si>
    <t>最强王国每日联盟排名奖励31~50</t>
  </si>
  <si>
    <t>最强王国每日联盟排名奖励51~100</t>
  </si>
  <si>
    <t>最强王国杀敌排名奖励1</t>
  </si>
  <si>
    <t>最强王国杀敌排名奖励2</t>
  </si>
  <si>
    <t>最强王国杀敌排名奖励3</t>
  </si>
  <si>
    <t>最强王国杀敌排名奖励4~5</t>
  </si>
  <si>
    <t>最强王国杀敌排名奖励6~10</t>
  </si>
  <si>
    <t>最强王国杀敌排名奖励11~20</t>
  </si>
  <si>
    <t>最强王国杀敌排名奖励21~30</t>
  </si>
  <si>
    <t>最强王国杀敌排名奖励31~50</t>
  </si>
  <si>
    <t>最强王国杀敌排名奖励51~100</t>
  </si>
  <si>
    <t>最强王国杀敌排名奖励101~200</t>
  </si>
  <si>
    <t>最强王国杀敌排名奖励201~300</t>
  </si>
  <si>
    <t>最强王国杀敌排名奖励301~500</t>
  </si>
  <si>
    <t>最强王国杀敌排名奖励501~1000</t>
  </si>
  <si>
    <t>最强王国杀敌联盟排名奖励1</t>
  </si>
  <si>
    <t>最强王国杀敌联盟排名奖励2</t>
  </si>
  <si>
    <t>最强王国杀敌联盟排名奖励3</t>
  </si>
  <si>
    <t>最强王国杀敌联盟排名奖励4~5</t>
  </si>
  <si>
    <t>最强王国杀敌联盟排名奖励6~10</t>
  </si>
  <si>
    <t>最强王国杀敌联盟排名奖励11~20</t>
  </si>
  <si>
    <t>最强王国杀敌联盟排名奖励21~30</t>
  </si>
  <si>
    <t>最强王国杀敌联盟排名奖励31~50</t>
  </si>
  <si>
    <t>最强王国杀敌联盟排名奖励51~100</t>
  </si>
  <si>
    <t>最强王国结算个人排名奖励1</t>
  </si>
  <si>
    <t>最强王国结算个人排名奖励2</t>
  </si>
  <si>
    <t>最强王国结算个人排名奖励3</t>
  </si>
  <si>
    <t>最强王国结算个人排名奖励4~5</t>
  </si>
  <si>
    <t>最强王国结算个人排名奖励6~10</t>
  </si>
  <si>
    <t>最强王国结算个人排名奖励11~20</t>
  </si>
  <si>
    <t>最强王国结算个人排名奖励21~30</t>
  </si>
  <si>
    <t>最强王国结算个人排名奖励31~50</t>
  </si>
  <si>
    <t>最强王国结算个人排名奖励51~100</t>
  </si>
  <si>
    <t>最强王国结算个人排名奖励101~200</t>
  </si>
  <si>
    <t>最强王国结算个人排名奖励201~300</t>
  </si>
  <si>
    <t>最强王国结算个人排名奖励301~500</t>
  </si>
  <si>
    <t>最强王国结算个人排名奖励501~1000</t>
  </si>
  <si>
    <t>最强王国结算联盟排名奖励1</t>
  </si>
  <si>
    <t>最强王国结算联盟排名奖励2</t>
  </si>
  <si>
    <t>最强王国结算联盟排名奖励3</t>
  </si>
  <si>
    <t>最强王国结算联盟排名奖励4~5</t>
  </si>
  <si>
    <t>最强王国结算联盟排名奖励6~10</t>
  </si>
  <si>
    <t>最强王国结算联盟排名奖励11~20</t>
  </si>
  <si>
    <t>最强王国结算联盟排名奖励21~30</t>
  </si>
  <si>
    <t>最强王国结算联盟排名奖励31~50</t>
  </si>
  <si>
    <t>最强王国结算联盟排名奖励51~100</t>
  </si>
  <si>
    <t>参战勋章获得档位1</t>
  </si>
  <si>
    <t>参战勋章获得档位2</t>
  </si>
  <si>
    <t>参战勋章获得档位3</t>
  </si>
  <si>
    <t>参战勋章获得档位4</t>
  </si>
  <si>
    <t>参战勋章获得档位5</t>
  </si>
  <si>
    <t>参战勋章获得档位6</t>
  </si>
  <si>
    <t>最强王国胜利方</t>
  </si>
  <si>
    <t>最强王国失败方</t>
  </si>
  <si>
    <t>最强王国轮空</t>
  </si>
  <si>
    <t>最强王国英雄自选箱1期</t>
  </si>
  <si>
    <t>最强王国英雄自选箱2期</t>
  </si>
  <si>
    <t>最强王国英雄自选箱3期</t>
  </si>
  <si>
    <t>预告邮件</t>
  </si>
  <si>
    <t>奖励展示用</t>
  </si>
  <si>
    <t>联盟木桩个人伤害奖励-21</t>
    <phoneticPr fontId="1" type="noConversion"/>
  </si>
  <si>
    <t>联盟木桩个人伤害奖励-22</t>
    <phoneticPr fontId="1" type="noConversion"/>
  </si>
  <si>
    <t>联盟木桩个人伤害奖励-23</t>
    <phoneticPr fontId="1" type="noConversion"/>
  </si>
  <si>
    <t>联盟木桩个人伤害奖励-24</t>
    <phoneticPr fontId="1" type="noConversion"/>
  </si>
  <si>
    <t>联盟木桩联盟伤害奖励-21</t>
    <phoneticPr fontId="1" type="noConversion"/>
  </si>
  <si>
    <t>联盟木桩联盟伤害奖励-22</t>
    <phoneticPr fontId="1" type="noConversion"/>
  </si>
  <si>
    <t>联盟木桩联盟伤害奖励-23</t>
    <phoneticPr fontId="1" type="noConversion"/>
  </si>
  <si>
    <t>联盟木桩联盟伤害奖励-24</t>
    <phoneticPr fontId="1" type="noConversion"/>
  </si>
  <si>
    <t>蛮族哨塔低级杂兵1击杀奖励</t>
    <phoneticPr fontId="1" type="noConversion"/>
  </si>
  <si>
    <t>蛮族哨塔低级杂兵2击杀奖励</t>
    <phoneticPr fontId="1" type="noConversion"/>
  </si>
  <si>
    <t>蛮族哨塔低级哨塔击杀奖励</t>
    <phoneticPr fontId="1" type="noConversion"/>
  </si>
  <si>
    <t>蛮族哨塔中级杂兵1击杀奖励</t>
    <phoneticPr fontId="1" type="noConversion"/>
  </si>
  <si>
    <t>蛮族哨塔中级杂兵2击杀奖励</t>
    <phoneticPr fontId="1" type="noConversion"/>
  </si>
  <si>
    <t>蛮族哨塔中级哨塔击杀奖励</t>
    <phoneticPr fontId="1" type="noConversion"/>
  </si>
  <si>
    <t>蛮族哨塔高级杂兵1击杀奖励</t>
    <phoneticPr fontId="1" type="noConversion"/>
  </si>
  <si>
    <t>蛮族哨塔高级杂兵2击杀奖励</t>
    <phoneticPr fontId="1" type="noConversion"/>
  </si>
  <si>
    <t>蛮族哨塔高级哨塔击杀奖励</t>
    <phoneticPr fontId="1" type="noConversion"/>
  </si>
  <si>
    <t>蛮族哨塔低级宝箱</t>
    <phoneticPr fontId="1" type="noConversion"/>
  </si>
  <si>
    <t>蛮族哨塔中级宝箱</t>
    <phoneticPr fontId="1" type="noConversion"/>
  </si>
  <si>
    <t>蛮族哨塔高级宝箱</t>
    <phoneticPr fontId="1" type="noConversion"/>
  </si>
  <si>
    <t>蛮族哨塔联盟排名1</t>
    <phoneticPr fontId="1" type="noConversion"/>
  </si>
  <si>
    <t>蛮族哨塔联盟排名2</t>
    <phoneticPr fontId="1" type="noConversion"/>
  </si>
  <si>
    <t>蛮族哨塔联盟排名3</t>
    <phoneticPr fontId="1" type="noConversion"/>
  </si>
  <si>
    <t>蛮族哨塔联盟排名4</t>
    <phoneticPr fontId="1" type="noConversion"/>
  </si>
  <si>
    <t>蛮族哨塔联盟排名5</t>
    <phoneticPr fontId="1" type="noConversion"/>
  </si>
  <si>
    <t>蛮族哨塔联盟排名6</t>
    <phoneticPr fontId="1" type="noConversion"/>
  </si>
  <si>
    <t>蛮族哨塔联盟排名7</t>
    <phoneticPr fontId="1" type="noConversion"/>
  </si>
  <si>
    <t>蛮族哨塔联盟排名8</t>
    <phoneticPr fontId="1" type="noConversion"/>
  </si>
  <si>
    <t>蛮族哨塔联盟排名9</t>
    <phoneticPr fontId="1" type="noConversion"/>
  </si>
  <si>
    <t>蛮族哨塔联盟排名10</t>
    <phoneticPr fontId="1" type="noConversion"/>
  </si>
  <si>
    <t>蛮族哨塔联盟排名11~15</t>
    <phoneticPr fontId="1" type="noConversion"/>
  </si>
  <si>
    <t>蛮族哨塔联盟排名16~20</t>
    <phoneticPr fontId="1" type="noConversion"/>
  </si>
  <si>
    <t>蛮族哨塔联盟排名21~30</t>
    <phoneticPr fontId="1" type="noConversion"/>
  </si>
  <si>
    <t>蛮族哨塔联盟排名31~50</t>
    <phoneticPr fontId="1" type="noConversion"/>
  </si>
  <si>
    <t>蛮族哨塔联盟排名51~100</t>
    <phoneticPr fontId="1" type="noConversion"/>
  </si>
  <si>
    <t>城堡设施-佣兵营地奖励</t>
    <phoneticPr fontId="1" type="noConversion"/>
  </si>
  <si>
    <t>联盟资源仓特殊1档奖励</t>
  </si>
  <si>
    <t>联盟资源仓特殊2档奖励</t>
  </si>
  <si>
    <t>联盟资源仓特殊3档奖励</t>
  </si>
  <si>
    <t>联盟资源仓特殊4档奖励</t>
  </si>
  <si>
    <t>黎明圣战任务奖励档位1</t>
    <phoneticPr fontId="1" type="noConversion"/>
  </si>
  <si>
    <t>黎明圣战任务奖励档位2</t>
    <phoneticPr fontId="1" type="noConversion"/>
  </si>
  <si>
    <t>黎明圣战任务奖励档位3</t>
    <phoneticPr fontId="1" type="noConversion"/>
  </si>
  <si>
    <t>黎明圣战任务奖励档位4</t>
    <phoneticPr fontId="1" type="noConversion"/>
  </si>
  <si>
    <t>黎明圣战任务奖励档位5</t>
    <phoneticPr fontId="1" type="noConversion"/>
  </si>
  <si>
    <t>黎明圣战任务奖励档位6</t>
    <phoneticPr fontId="1" type="noConversion"/>
  </si>
  <si>
    <t>黎明圣战胜方奖励</t>
    <phoneticPr fontId="1" type="noConversion"/>
  </si>
  <si>
    <t>黎明圣战负方奖励</t>
    <phoneticPr fontId="1" type="noConversion"/>
  </si>
  <si>
    <t>联盟资源仓单次搬运-食物</t>
    <phoneticPr fontId="1" type="noConversion"/>
  </si>
  <si>
    <t>联盟资源仓单次搬运-木材</t>
    <phoneticPr fontId="1" type="noConversion"/>
  </si>
  <si>
    <t>联盟资源仓单次搬运-石头</t>
    <phoneticPr fontId="1" type="noConversion"/>
  </si>
  <si>
    <t>联盟资源仓单次搬运-黄金</t>
    <phoneticPr fontId="1" type="noConversion"/>
  </si>
  <si>
    <t>跨服排行榜Z1赛季结算全员奖1</t>
    <phoneticPr fontId="1" type="noConversion"/>
  </si>
  <si>
    <t>跨服排行榜Z1赛季结算全员奖2</t>
    <phoneticPr fontId="1" type="noConversion"/>
  </si>
  <si>
    <t>跨服排行榜Z1赛季结算全员奖3</t>
    <phoneticPr fontId="1" type="noConversion"/>
  </si>
  <si>
    <t>跨服排行榜Z1赛季结算全员奖4</t>
    <phoneticPr fontId="1" type="noConversion"/>
  </si>
  <si>
    <t>跨服排行榜Z1赛季结算全员奖5</t>
    <phoneticPr fontId="1" type="noConversion"/>
  </si>
  <si>
    <t>跨服排行榜Z1赛季结算全员奖6</t>
    <phoneticPr fontId="1" type="noConversion"/>
  </si>
  <si>
    <t>跨服排行榜Z1赛季结算全员奖7</t>
    <phoneticPr fontId="1" type="noConversion"/>
  </si>
  <si>
    <t>跨服排行榜Z1赛季结算全员奖8</t>
    <phoneticPr fontId="1" type="noConversion"/>
  </si>
  <si>
    <t>跨服排行榜Z1赛季结算全员奖9</t>
    <phoneticPr fontId="1" type="noConversion"/>
  </si>
  <si>
    <t>跨服排行榜Z1赛季结算全员奖10</t>
    <phoneticPr fontId="1" type="noConversion"/>
  </si>
  <si>
    <t>跨服排行榜Z1赛季结算全员奖11</t>
    <phoneticPr fontId="1" type="noConversion"/>
  </si>
  <si>
    <t>跨服排行榜Z1赛季结算全员奖12</t>
    <phoneticPr fontId="1" type="noConversion"/>
  </si>
  <si>
    <t>跨服排行榜Z1赛季结算全员奖13</t>
    <phoneticPr fontId="1" type="noConversion"/>
  </si>
  <si>
    <t>跨服排行榜Z1赛季结算全员奖14</t>
    <phoneticPr fontId="1" type="noConversion"/>
  </si>
  <si>
    <t>跨服排行榜结算服务器全员奖13</t>
    <phoneticPr fontId="1" type="noConversion"/>
  </si>
  <si>
    <t>跨服排行榜结算服务器全员奖14</t>
    <phoneticPr fontId="1" type="noConversion"/>
  </si>
  <si>
    <t>跨服排行榜服务器周排名13</t>
    <phoneticPr fontId="1" type="noConversion"/>
  </si>
  <si>
    <t>跨服排行榜服务器周排名14</t>
    <phoneticPr fontId="1" type="noConversion"/>
  </si>
  <si>
    <t>跨服排行榜国王下发奖励</t>
    <phoneticPr fontId="1" type="noConversion"/>
  </si>
  <si>
    <t>跨服排行榜Z1赛季结算头像框1档</t>
    <phoneticPr fontId="1" type="noConversion"/>
  </si>
  <si>
    <t>跨服排行榜Z1赛季结算头像框2档</t>
  </si>
  <si>
    <t>跨服排行榜Z1赛季结算头像框3档</t>
  </si>
  <si>
    <t>跨服排行榜国王奖励排名1</t>
    <phoneticPr fontId="1" type="noConversion"/>
  </si>
  <si>
    <t>城堡科技里程碑1级</t>
  </si>
  <si>
    <t>城堡科技里程碑2级</t>
    <phoneticPr fontId="1" type="noConversion"/>
  </si>
  <si>
    <t>城堡科技里程碑3级</t>
    <phoneticPr fontId="1" type="noConversion"/>
  </si>
  <si>
    <t>城堡科技里程碑4级</t>
    <phoneticPr fontId="1" type="noConversion"/>
  </si>
  <si>
    <t>城堡科技里程碑5级</t>
    <phoneticPr fontId="1" type="noConversion"/>
  </si>
  <si>
    <t>城堡科技里程碑6级</t>
    <phoneticPr fontId="1" type="noConversion"/>
  </si>
  <si>
    <t>城堡科技里程碑7级</t>
    <phoneticPr fontId="1" type="noConversion"/>
  </si>
  <si>
    <t>城堡科技里程碑8级</t>
    <phoneticPr fontId="1" type="noConversion"/>
  </si>
  <si>
    <t>城堡科技里程碑9级</t>
    <phoneticPr fontId="1" type="noConversion"/>
  </si>
  <si>
    <t>城堡科技里程碑10级</t>
    <phoneticPr fontId="1" type="noConversion"/>
  </si>
  <si>
    <t>城堡科技里程碑11级</t>
    <phoneticPr fontId="1" type="noConversion"/>
  </si>
  <si>
    <t>城堡科技里程碑12级</t>
    <phoneticPr fontId="1" type="noConversion"/>
  </si>
  <si>
    <t>城堡科技里程碑13级</t>
    <phoneticPr fontId="1" type="noConversion"/>
  </si>
  <si>
    <t>城堡科技里程碑14级</t>
    <phoneticPr fontId="1" type="noConversion"/>
  </si>
  <si>
    <t>城堡科技里程碑15级</t>
    <phoneticPr fontId="1" type="noConversion"/>
  </si>
  <si>
    <t>解锁城堡设施-木材产量增加</t>
  </si>
  <si>
    <t>建造1个佣兵营地</t>
  </si>
  <si>
    <t>部队使用任意佣兵</t>
  </si>
  <si>
    <t>查看装扮图鉴</t>
  </si>
  <si>
    <t>黎明圣战段位奖励-青铜1</t>
  </si>
  <si>
    <t>黎明圣战段位奖励-青铜2</t>
  </si>
  <si>
    <t>黎明圣战段位奖励-青铜3</t>
  </si>
  <si>
    <t>黎明圣战段位奖励-青铜4</t>
  </si>
  <si>
    <t>黎明圣战段位奖励-青铜5</t>
  </si>
  <si>
    <t>黎明圣战段位奖励-白银0</t>
  </si>
  <si>
    <t>黎明圣战段位奖励-白银1</t>
  </si>
  <si>
    <t>黎明圣战段位奖励-白银2</t>
  </si>
  <si>
    <t>黎明圣战段位奖励-白银3</t>
  </si>
  <si>
    <t>黎明圣战段位奖励-白银4</t>
  </si>
  <si>
    <t>黎明圣战段位奖励-白银5</t>
  </si>
  <si>
    <t>黎明圣战段位奖励-黄金0</t>
  </si>
  <si>
    <t>黎明圣战段位奖励-黄金1</t>
  </si>
  <si>
    <t>黎明圣战段位奖励-黄金2</t>
  </si>
  <si>
    <t>黎明圣战段位奖励-黄金3</t>
  </si>
  <si>
    <t>黎明圣战段位奖励-黄金4</t>
  </si>
  <si>
    <t>黎明圣战段位奖励-黄金5</t>
  </si>
  <si>
    <t>黎明圣战段位奖励-白金0</t>
  </si>
  <si>
    <t>黎明圣战段位奖励-白金1</t>
  </si>
  <si>
    <t>黎明圣战段位奖励-白金2</t>
  </si>
  <si>
    <t>黎明圣战段位奖励-白金3</t>
  </si>
  <si>
    <t>黎明圣战段位奖励-白金4</t>
  </si>
  <si>
    <t>黎明圣战段位奖励-白金5</t>
  </si>
  <si>
    <t>黎明圣战段位奖励-钻石0</t>
  </si>
  <si>
    <t>黎明圣战段位奖励-钻石1</t>
  </si>
  <si>
    <t>黎明圣战段位奖励-钻石2</t>
  </si>
  <si>
    <t>黎明圣战段位奖励-钻石3</t>
  </si>
  <si>
    <t>黎明圣战段位奖励-钻石4</t>
  </si>
  <si>
    <t>黎明圣战段位奖励-钻石5</t>
  </si>
  <si>
    <t>黎明圣战段位奖励-宗师0</t>
  </si>
  <si>
    <t>黎明圣战段位奖励-宗师1</t>
  </si>
  <si>
    <t>黎明圣战段位奖励-宗师2</t>
  </si>
  <si>
    <t>黎明圣战段位奖励-宗师3</t>
  </si>
  <si>
    <t>黎明圣战段位奖励-宗师4</t>
  </si>
  <si>
    <t>黎明圣战段位奖励-宗师5</t>
  </si>
  <si>
    <t>黎明圣战段位奖励-传说0</t>
  </si>
  <si>
    <t>黎明圣战段位奖励-传说1</t>
  </si>
  <si>
    <t>黎明圣战段位奖励-传说2</t>
  </si>
  <si>
    <t>黎明圣战段位奖励-传说3</t>
  </si>
  <si>
    <t>黎明圣战段位奖励-传说4</t>
  </si>
  <si>
    <t>黎明圣战段位奖励-传说5</t>
  </si>
  <si>
    <t>军械库奖励-挑战等级81</t>
    <phoneticPr fontId="1" type="noConversion"/>
  </si>
  <si>
    <t>军械库奖励-挑战等级82</t>
    <phoneticPr fontId="1" type="noConversion"/>
  </si>
  <si>
    <t>军械库奖励-挑战等级83</t>
    <phoneticPr fontId="1" type="noConversion"/>
  </si>
  <si>
    <t>军械库奖励-挑战等级84</t>
    <phoneticPr fontId="1" type="noConversion"/>
  </si>
  <si>
    <t>军械库奖励-挑战等级85</t>
    <phoneticPr fontId="1" type="noConversion"/>
  </si>
  <si>
    <t>军械库奖励-挑战等级86</t>
    <phoneticPr fontId="1" type="noConversion"/>
  </si>
  <si>
    <t>军械库奖励-挑战等级87</t>
    <phoneticPr fontId="1" type="noConversion"/>
  </si>
  <si>
    <t>军械库奖励-挑战等级88</t>
    <phoneticPr fontId="1" type="noConversion"/>
  </si>
  <si>
    <t>军械库奖励-挑战等级89</t>
    <phoneticPr fontId="1" type="noConversion"/>
  </si>
  <si>
    <t>军械库奖励-挑战等级90</t>
    <phoneticPr fontId="1" type="noConversion"/>
  </si>
  <si>
    <t>军械库奖励-挑战等级91</t>
    <phoneticPr fontId="1" type="noConversion"/>
  </si>
  <si>
    <t>军械库奖励-挑战等级92</t>
    <phoneticPr fontId="1" type="noConversion"/>
  </si>
  <si>
    <t>军械库奖励-挑战等级93</t>
    <phoneticPr fontId="1" type="noConversion"/>
  </si>
  <si>
    <t>军械库奖励-挑战等级94</t>
    <phoneticPr fontId="1" type="noConversion"/>
  </si>
  <si>
    <t>军械库奖励-挑战等级95</t>
    <phoneticPr fontId="1" type="noConversion"/>
  </si>
  <si>
    <t>军械库奖励-挑战等级96</t>
    <phoneticPr fontId="1" type="noConversion"/>
  </si>
  <si>
    <t>军械库奖励-挑战等级97</t>
    <phoneticPr fontId="1" type="noConversion"/>
  </si>
  <si>
    <t>军械库奖励-挑战等级98</t>
    <phoneticPr fontId="1" type="noConversion"/>
  </si>
  <si>
    <t>军械库奖励-挑战等级99</t>
    <phoneticPr fontId="1" type="noConversion"/>
  </si>
  <si>
    <t>军械库奖励-挑战等级100</t>
    <phoneticPr fontId="1" type="noConversion"/>
  </si>
  <si>
    <t>军械库奖励-挑战等级101</t>
    <phoneticPr fontId="1" type="noConversion"/>
  </si>
  <si>
    <t>军械库奖励-挑战等级102</t>
    <phoneticPr fontId="1" type="noConversion"/>
  </si>
  <si>
    <t>军械库奖励-挑战等级103</t>
    <phoneticPr fontId="1" type="noConversion"/>
  </si>
  <si>
    <t>军械库奖励-挑战等级104</t>
    <phoneticPr fontId="1" type="noConversion"/>
  </si>
  <si>
    <t>军械库奖励-挑战等级105</t>
    <phoneticPr fontId="1" type="noConversion"/>
  </si>
  <si>
    <t>军械库奖励-挑战等级106</t>
    <phoneticPr fontId="1" type="noConversion"/>
  </si>
  <si>
    <t>军械库奖励-挑战等级107</t>
    <phoneticPr fontId="1" type="noConversion"/>
  </si>
  <si>
    <t>军械库奖励-挑战等级108</t>
    <phoneticPr fontId="1" type="noConversion"/>
  </si>
  <si>
    <t>军械库奖励-挑战等级109</t>
    <phoneticPr fontId="1" type="noConversion"/>
  </si>
  <si>
    <t>军械库奖励-挑战等级110</t>
    <phoneticPr fontId="1" type="noConversion"/>
  </si>
  <si>
    <t>军械库奖励-挑战等级111</t>
    <phoneticPr fontId="1" type="noConversion"/>
  </si>
  <si>
    <t>军械库奖励-挑战等级112</t>
    <phoneticPr fontId="1" type="noConversion"/>
  </si>
  <si>
    <t>军械库奖励-挑战等级113</t>
    <phoneticPr fontId="1" type="noConversion"/>
  </si>
  <si>
    <t>军械库奖励-挑战等级114</t>
    <phoneticPr fontId="1" type="noConversion"/>
  </si>
  <si>
    <t>军械库奖励-挑战等级115</t>
    <phoneticPr fontId="1" type="noConversion"/>
  </si>
  <si>
    <t>军械库奖励-挑战等级116</t>
    <phoneticPr fontId="1" type="noConversion"/>
  </si>
  <si>
    <t>军械库奖励-挑战等级117</t>
    <phoneticPr fontId="1" type="noConversion"/>
  </si>
  <si>
    <t>军械库奖励-挑战等级118</t>
    <phoneticPr fontId="1" type="noConversion"/>
  </si>
  <si>
    <t>军械库奖励-挑战等级119</t>
    <phoneticPr fontId="1" type="noConversion"/>
  </si>
  <si>
    <t>军械库奖励-挑战等级120</t>
    <phoneticPr fontId="1" type="noConversion"/>
  </si>
  <si>
    <t>副玩法首通奖励1-1</t>
    <phoneticPr fontId="1" type="noConversion"/>
  </si>
  <si>
    <t>副玩法首通奖励2-2</t>
    <phoneticPr fontId="1" type="noConversion"/>
  </si>
  <si>
    <t>首通奖励-900-主关卡</t>
    <phoneticPr fontId="1" type="noConversion"/>
  </si>
  <si>
    <t>首通奖励-60-子关卡</t>
    <phoneticPr fontId="1" type="noConversion"/>
  </si>
  <si>
    <t>首通奖励-900-子关卡</t>
  </si>
  <si>
    <t>军械库等级81首杀奖励</t>
  </si>
  <si>
    <t>军械库等级82首杀奖励</t>
  </si>
  <si>
    <t>军械库等级83首杀奖励</t>
  </si>
  <si>
    <t>军械库等级84首杀奖励</t>
  </si>
  <si>
    <t>军械库等级85首杀奖励</t>
  </si>
  <si>
    <t>军械库等级86首杀奖励</t>
  </si>
  <si>
    <t>军械库等级87首杀奖励</t>
  </si>
  <si>
    <t>军械库等级88首杀奖励</t>
  </si>
  <si>
    <t>军械库等级89首杀奖励</t>
  </si>
  <si>
    <t>军械库等级90首杀奖励</t>
  </si>
  <si>
    <t>军械库等级91首杀奖励</t>
  </si>
  <si>
    <t>军械库等级92首杀奖励</t>
  </si>
  <si>
    <t>军械库等级93首杀奖励</t>
  </si>
  <si>
    <t>军械库等级94首杀奖励</t>
  </si>
  <si>
    <t>军械库等级95首杀奖励</t>
  </si>
  <si>
    <t>军械库等级96首杀奖励</t>
  </si>
  <si>
    <t>军械库等级97首杀奖励</t>
  </si>
  <si>
    <t>军械库等级98首杀奖励</t>
  </si>
  <si>
    <t>军械库等级99首杀奖励</t>
  </si>
  <si>
    <t>军械库等级100首杀奖励</t>
  </si>
  <si>
    <t>军械库等级101首杀奖励</t>
  </si>
  <si>
    <t>军械库等级102首杀奖励</t>
  </si>
  <si>
    <t>军械库等级103首杀奖励</t>
  </si>
  <si>
    <t>军械库等级104首杀奖励</t>
  </si>
  <si>
    <t>军械库等级105首杀奖励</t>
  </si>
  <si>
    <t>军械库等级106首杀奖励</t>
  </si>
  <si>
    <t>军械库等级107首杀奖励</t>
  </si>
  <si>
    <t>军械库等级108首杀奖励</t>
  </si>
  <si>
    <t>军械库等级109首杀奖励</t>
  </si>
  <si>
    <t>军械库等级110首杀奖励</t>
  </si>
  <si>
    <t>军械库等级111首杀奖励</t>
  </si>
  <si>
    <t>军械库等级112首杀奖励</t>
  </si>
  <si>
    <t>军械库等级113首杀奖励</t>
  </si>
  <si>
    <t>军械库等级114首杀奖励</t>
  </si>
  <si>
    <t>军械库等级115首杀奖励</t>
  </si>
  <si>
    <t>军械库等级116首杀奖励</t>
  </si>
  <si>
    <t>军械库等级117首杀奖励</t>
  </si>
  <si>
    <t>军械库等级118首杀奖励</t>
  </si>
  <si>
    <t>军械库等级119首杀奖励</t>
  </si>
  <si>
    <t>军械库等级120首杀奖励</t>
  </si>
  <si>
    <t>15级探照灯探索-橙奖励</t>
  </si>
  <si>
    <t>城堡科技消耗道具</t>
  </si>
  <si>
    <t>16级探照灯探索-橙奖励</t>
  </si>
  <si>
    <t>17级探照灯探索-橙奖励</t>
  </si>
  <si>
    <t>18级探照灯探索-橙奖励</t>
  </si>
  <si>
    <t>19级探照灯探索-橙奖励</t>
  </si>
  <si>
    <t>15级探照灯战斗-橙奖励</t>
  </si>
  <si>
    <t>经验书*10000</t>
  </si>
  <si>
    <t>技能点*200</t>
  </si>
  <si>
    <t>16级探照灯战斗-橙奖励</t>
  </si>
  <si>
    <t>17级探照灯战斗-橙奖励</t>
  </si>
  <si>
    <t>18级探照灯战斗-橙奖励</t>
  </si>
  <si>
    <t>19级探照灯战斗-橙奖励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</si>
</sst>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0_);[Red]\(0\)"/>
    <numFmt numFmtId="178" formatCode="0.00_);[Red]\(0.00\)"/>
  </numFmts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i/>
      <sz val="10"/>
      <color theme="1"/>
      <name val="微软雅黑"/>
      <family val="2"/>
      <charset val="134"/>
    </font>
    <font>
      <i/>
      <sz val="10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2" fillId="0" borderId="0"/>
  </cellStyleXfs>
  <cellXfs count="140"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2" fillId="0" borderId="0" xfId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176" fontId="2" fillId="0" borderId="0" xfId="1" applyNumberFormat="1" applyAlignment="1">
      <alignment vertical="center" wrapText="1"/>
    </xf>
    <xf numFmtId="177" fontId="2" fillId="0" borderId="0" xfId="1" applyNumberFormat="1" applyAlignment="1">
      <alignment vertical="center"/>
    </xf>
    <xf numFmtId="176" fontId="2" fillId="2" borderId="0" xfId="1" applyNumberFormat="1" applyFill="1" applyAlignment="1">
      <alignment vertical="center" wrapText="1"/>
    </xf>
    <xf numFmtId="176" fontId="2" fillId="3" borderId="0" xfId="1" applyNumberFormat="1" applyFill="1" applyAlignment="1">
      <alignment vertical="center" wrapText="1"/>
    </xf>
    <xf numFmtId="176" fontId="2" fillId="4" borderId="0" xfId="1" applyNumberForma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2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/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213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runk\excel\xls\Main\D_&#36947;&#20855;&#37197;&#32622;.xlsx" TargetMode="External"/><Relationship Id="rId1" Type="http://schemas.openxmlformats.org/officeDocument/2006/relationships/externalLinkPath" Target="D_&#36947;&#20855;&#37197;&#3262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道具配置表"/>
      <sheetName val="#道具表备份20240617"/>
      <sheetName val="科技道具组"/>
      <sheetName val="道具合成表"/>
      <sheetName val="#旧道具备份"/>
      <sheetName val="#配表须知"/>
      <sheetName val="#TID_base_up"/>
      <sheetName val="#道具类型枚举说明"/>
    </sheetNames>
    <sheetDataSet>
      <sheetData sheetId="0">
        <row r="1">
          <cell r="A1" t="str">
            <v>convert(ResItem.proto, table_ItemConfData, ItemConfData.pbin)</v>
          </cell>
          <cell r="D1"/>
        </row>
        <row r="2">
          <cell r="A2" t="str">
            <v>道具ID</v>
          </cell>
          <cell r="D2" t="str">
            <v>备注</v>
          </cell>
        </row>
        <row r="3">
          <cell r="A3" t="str">
            <v>id</v>
          </cell>
          <cell r="D3"/>
        </row>
        <row r="4">
          <cell r="A4"/>
          <cell r="D4"/>
        </row>
        <row r="5">
          <cell r="A5">
            <v>101</v>
          </cell>
          <cell r="D5" t="str">
            <v>1木材</v>
          </cell>
        </row>
        <row r="6">
          <cell r="A6">
            <v>102</v>
          </cell>
          <cell r="D6" t="str">
            <v>1食物</v>
          </cell>
        </row>
        <row r="7">
          <cell r="A7">
            <v>103</v>
          </cell>
          <cell r="D7" t="str">
            <v>1石头</v>
          </cell>
        </row>
        <row r="8">
          <cell r="A8">
            <v>104</v>
          </cell>
          <cell r="D8" t="str">
            <v>1黄金</v>
          </cell>
        </row>
        <row r="9">
          <cell r="A9">
            <v>111</v>
          </cell>
          <cell r="D9" t="str">
            <v>1千木材</v>
          </cell>
        </row>
        <row r="10">
          <cell r="A10">
            <v>112</v>
          </cell>
          <cell r="D10" t="str">
            <v>1千食物</v>
          </cell>
        </row>
        <row r="11">
          <cell r="A11">
            <v>113</v>
          </cell>
          <cell r="D11" t="str">
            <v>1千石头</v>
          </cell>
        </row>
        <row r="12">
          <cell r="A12">
            <v>114</v>
          </cell>
          <cell r="D12" t="str">
            <v>1千黄金</v>
          </cell>
        </row>
        <row r="13">
          <cell r="A13">
            <v>121</v>
          </cell>
          <cell r="D13" t="str">
            <v>1万木材</v>
          </cell>
        </row>
        <row r="14">
          <cell r="A14">
            <v>122</v>
          </cell>
          <cell r="D14" t="str">
            <v>1万食物</v>
          </cell>
        </row>
        <row r="15">
          <cell r="A15">
            <v>123</v>
          </cell>
          <cell r="D15" t="str">
            <v>1万石头</v>
          </cell>
        </row>
        <row r="16">
          <cell r="A16">
            <v>124</v>
          </cell>
          <cell r="D16" t="str">
            <v>1万黄金</v>
          </cell>
        </row>
        <row r="17">
          <cell r="A17">
            <v>131</v>
          </cell>
          <cell r="D17" t="str">
            <v>5万木材</v>
          </cell>
        </row>
        <row r="18">
          <cell r="A18">
            <v>132</v>
          </cell>
          <cell r="D18" t="str">
            <v>5万食物</v>
          </cell>
        </row>
        <row r="19">
          <cell r="A19">
            <v>133</v>
          </cell>
          <cell r="D19" t="str">
            <v>5万石头</v>
          </cell>
        </row>
        <row r="20">
          <cell r="A20">
            <v>134</v>
          </cell>
          <cell r="D20" t="str">
            <v>5万黄金</v>
          </cell>
        </row>
        <row r="21">
          <cell r="A21">
            <v>141</v>
          </cell>
          <cell r="D21" t="str">
            <v>10万木材</v>
          </cell>
        </row>
        <row r="22">
          <cell r="A22">
            <v>142</v>
          </cell>
          <cell r="D22" t="str">
            <v>10万食物</v>
          </cell>
        </row>
        <row r="23">
          <cell r="A23">
            <v>143</v>
          </cell>
          <cell r="D23" t="str">
            <v>10万石头</v>
          </cell>
        </row>
        <row r="24">
          <cell r="A24">
            <v>144</v>
          </cell>
          <cell r="D24" t="str">
            <v>10万黄金</v>
          </cell>
        </row>
        <row r="25">
          <cell r="A25">
            <v>151</v>
          </cell>
          <cell r="D25" t="str">
            <v>20万木材</v>
          </cell>
        </row>
        <row r="26">
          <cell r="A26">
            <v>152</v>
          </cell>
          <cell r="D26" t="str">
            <v>20万食物</v>
          </cell>
        </row>
        <row r="27">
          <cell r="A27">
            <v>153</v>
          </cell>
          <cell r="D27" t="str">
            <v>20万石头</v>
          </cell>
        </row>
        <row r="28">
          <cell r="A28">
            <v>154</v>
          </cell>
          <cell r="D28" t="str">
            <v>20万黄金</v>
          </cell>
        </row>
        <row r="29">
          <cell r="A29">
            <v>156</v>
          </cell>
          <cell r="D29" t="str">
            <v>50万木材</v>
          </cell>
        </row>
        <row r="30">
          <cell r="A30">
            <v>157</v>
          </cell>
          <cell r="D30" t="str">
            <v>50万食物</v>
          </cell>
        </row>
        <row r="31">
          <cell r="A31">
            <v>158</v>
          </cell>
          <cell r="D31" t="str">
            <v>50万石头</v>
          </cell>
        </row>
        <row r="32">
          <cell r="A32">
            <v>159</v>
          </cell>
          <cell r="D32" t="str">
            <v>50万黄金</v>
          </cell>
        </row>
        <row r="33">
          <cell r="A33">
            <v>161</v>
          </cell>
          <cell r="D33" t="str">
            <v>100万木材</v>
          </cell>
        </row>
        <row r="34">
          <cell r="A34">
            <v>162</v>
          </cell>
          <cell r="D34" t="str">
            <v>100万食物</v>
          </cell>
        </row>
        <row r="35">
          <cell r="A35">
            <v>163</v>
          </cell>
          <cell r="D35" t="str">
            <v>100万石头</v>
          </cell>
        </row>
        <row r="36">
          <cell r="A36">
            <v>164</v>
          </cell>
          <cell r="D36" t="str">
            <v>100万黄金</v>
          </cell>
        </row>
        <row r="37">
          <cell r="A37">
            <v>171</v>
          </cell>
          <cell r="D37" t="str">
            <v>200万木材</v>
          </cell>
        </row>
        <row r="38">
          <cell r="A38">
            <v>172</v>
          </cell>
          <cell r="D38" t="str">
            <v>200万食物</v>
          </cell>
        </row>
        <row r="39">
          <cell r="A39">
            <v>173</v>
          </cell>
          <cell r="D39" t="str">
            <v>200万石头</v>
          </cell>
        </row>
        <row r="40">
          <cell r="A40">
            <v>174</v>
          </cell>
          <cell r="D40" t="str">
            <v>200万黄金</v>
          </cell>
        </row>
        <row r="41">
          <cell r="A41">
            <v>181</v>
          </cell>
          <cell r="D41" t="str">
            <v>500万木材</v>
          </cell>
        </row>
        <row r="42">
          <cell r="A42">
            <v>182</v>
          </cell>
          <cell r="D42" t="str">
            <v>500万食物</v>
          </cell>
        </row>
        <row r="43">
          <cell r="A43">
            <v>183</v>
          </cell>
          <cell r="D43" t="str">
            <v>500万石头</v>
          </cell>
        </row>
        <row r="44">
          <cell r="A44">
            <v>184</v>
          </cell>
          <cell r="D44" t="str">
            <v>500万黄金</v>
          </cell>
        </row>
        <row r="45">
          <cell r="A45">
            <v>191</v>
          </cell>
          <cell r="D45" t="str">
            <v>1000万木材</v>
          </cell>
        </row>
        <row r="46">
          <cell r="A46">
            <v>192</v>
          </cell>
          <cell r="D46" t="str">
            <v>1000万食物</v>
          </cell>
        </row>
        <row r="47">
          <cell r="A47">
            <v>193</v>
          </cell>
          <cell r="D47" t="str">
            <v>1000万石头</v>
          </cell>
        </row>
        <row r="48">
          <cell r="A48">
            <v>194</v>
          </cell>
          <cell r="D48" t="str">
            <v>1000万黄金</v>
          </cell>
        </row>
        <row r="49">
          <cell r="A49">
            <v>201</v>
          </cell>
          <cell r="D49" t="str">
            <v>1级资源宝箱2千（木材、食物）</v>
          </cell>
        </row>
        <row r="50">
          <cell r="A50">
            <v>202</v>
          </cell>
          <cell r="D50" t="str">
            <v>2级资源宝箱3千（木材、食物、石头）</v>
          </cell>
        </row>
        <row r="51">
          <cell r="A51">
            <v>203</v>
          </cell>
          <cell r="D51" t="str">
            <v>3级资源宝箱4千（木材、食物、石头、黄金）</v>
          </cell>
        </row>
        <row r="52">
          <cell r="A52">
            <v>211</v>
          </cell>
          <cell r="D52" t="str">
            <v>1木材</v>
          </cell>
        </row>
        <row r="53">
          <cell r="A53">
            <v>212</v>
          </cell>
          <cell r="D53" t="str">
            <v>1食物</v>
          </cell>
        </row>
        <row r="54">
          <cell r="A54">
            <v>213</v>
          </cell>
          <cell r="D54" t="str">
            <v>1石头</v>
          </cell>
        </row>
        <row r="55">
          <cell r="A55">
            <v>214</v>
          </cell>
          <cell r="D55" t="str">
            <v>1黄金</v>
          </cell>
        </row>
        <row r="56">
          <cell r="A56">
            <v>221</v>
          </cell>
          <cell r="D56" t="str">
            <v>1千木材</v>
          </cell>
        </row>
        <row r="57">
          <cell r="A57">
            <v>222</v>
          </cell>
          <cell r="D57" t="str">
            <v>1千食物</v>
          </cell>
        </row>
        <row r="58">
          <cell r="A58">
            <v>223</v>
          </cell>
          <cell r="D58" t="str">
            <v>1千石头</v>
          </cell>
        </row>
        <row r="59">
          <cell r="A59">
            <v>224</v>
          </cell>
          <cell r="D59" t="str">
            <v>1千黄金</v>
          </cell>
        </row>
        <row r="60">
          <cell r="A60">
            <v>231</v>
          </cell>
          <cell r="D60" t="str">
            <v>1万木材</v>
          </cell>
        </row>
        <row r="61">
          <cell r="A61">
            <v>232</v>
          </cell>
          <cell r="D61" t="str">
            <v>1万食物</v>
          </cell>
        </row>
        <row r="62">
          <cell r="A62">
            <v>233</v>
          </cell>
          <cell r="D62" t="str">
            <v>1万石头</v>
          </cell>
        </row>
        <row r="63">
          <cell r="A63">
            <v>234</v>
          </cell>
          <cell r="D63" t="str">
            <v>1万黄金</v>
          </cell>
        </row>
        <row r="64">
          <cell r="A64">
            <v>241</v>
          </cell>
          <cell r="D64" t="str">
            <v>5万木材</v>
          </cell>
        </row>
        <row r="65">
          <cell r="A65">
            <v>242</v>
          </cell>
          <cell r="D65" t="str">
            <v>5万食物</v>
          </cell>
        </row>
        <row r="66">
          <cell r="A66">
            <v>243</v>
          </cell>
          <cell r="D66" t="str">
            <v>5万石头</v>
          </cell>
        </row>
        <row r="67">
          <cell r="A67">
            <v>244</v>
          </cell>
          <cell r="D67" t="str">
            <v>5万黄金</v>
          </cell>
        </row>
        <row r="68">
          <cell r="A68">
            <v>251</v>
          </cell>
          <cell r="D68" t="str">
            <v>10万木材</v>
          </cell>
        </row>
        <row r="69">
          <cell r="A69">
            <v>252</v>
          </cell>
          <cell r="D69" t="str">
            <v>10万食物</v>
          </cell>
        </row>
        <row r="70">
          <cell r="A70">
            <v>253</v>
          </cell>
          <cell r="D70" t="str">
            <v>10万石头</v>
          </cell>
        </row>
        <row r="71">
          <cell r="A71">
            <v>254</v>
          </cell>
          <cell r="D71" t="str">
            <v>10万黄金</v>
          </cell>
        </row>
        <row r="72">
          <cell r="A72">
            <v>261</v>
          </cell>
          <cell r="D72" t="str">
            <v>20万木材</v>
          </cell>
        </row>
        <row r="73">
          <cell r="A73">
            <v>262</v>
          </cell>
          <cell r="D73" t="str">
            <v>20万食物</v>
          </cell>
        </row>
        <row r="74">
          <cell r="A74">
            <v>263</v>
          </cell>
          <cell r="D74" t="str">
            <v>20万石头</v>
          </cell>
        </row>
        <row r="75">
          <cell r="A75">
            <v>264</v>
          </cell>
          <cell r="D75" t="str">
            <v>20万黄金</v>
          </cell>
        </row>
        <row r="76">
          <cell r="A76">
            <v>271</v>
          </cell>
          <cell r="D76" t="str">
            <v>50万木材</v>
          </cell>
        </row>
        <row r="77">
          <cell r="A77">
            <v>272</v>
          </cell>
          <cell r="D77" t="str">
            <v>50万食物</v>
          </cell>
        </row>
        <row r="78">
          <cell r="A78">
            <v>273</v>
          </cell>
          <cell r="D78" t="str">
            <v>50万石头</v>
          </cell>
        </row>
        <row r="79">
          <cell r="A79">
            <v>274</v>
          </cell>
          <cell r="D79" t="str">
            <v>50万黄金</v>
          </cell>
        </row>
        <row r="80">
          <cell r="A80">
            <v>281</v>
          </cell>
          <cell r="D80" t="str">
            <v>100万木材</v>
          </cell>
        </row>
        <row r="81">
          <cell r="A81">
            <v>282</v>
          </cell>
          <cell r="D81" t="str">
            <v>100万食物</v>
          </cell>
        </row>
        <row r="82">
          <cell r="A82">
            <v>283</v>
          </cell>
          <cell r="D82" t="str">
            <v>100万石头</v>
          </cell>
        </row>
        <row r="83">
          <cell r="A83">
            <v>284</v>
          </cell>
          <cell r="D83" t="str">
            <v>100万黄金</v>
          </cell>
        </row>
        <row r="84">
          <cell r="A84">
            <v>291</v>
          </cell>
          <cell r="D84" t="str">
            <v>200万木材</v>
          </cell>
        </row>
        <row r="85">
          <cell r="A85">
            <v>292</v>
          </cell>
          <cell r="D85" t="str">
            <v>200万食物</v>
          </cell>
        </row>
        <row r="86">
          <cell r="A86">
            <v>293</v>
          </cell>
          <cell r="D86" t="str">
            <v>200万石头</v>
          </cell>
        </row>
        <row r="87">
          <cell r="A87">
            <v>294</v>
          </cell>
          <cell r="D87" t="str">
            <v>200万黄金</v>
          </cell>
        </row>
        <row r="88">
          <cell r="A88">
            <v>301</v>
          </cell>
          <cell r="D88" t="str">
            <v>500万木材</v>
          </cell>
        </row>
        <row r="89">
          <cell r="A89">
            <v>302</v>
          </cell>
          <cell r="D89" t="str">
            <v>500万食物</v>
          </cell>
        </row>
        <row r="90">
          <cell r="A90">
            <v>303</v>
          </cell>
          <cell r="D90" t="str">
            <v>500万石头</v>
          </cell>
        </row>
        <row r="91">
          <cell r="A91">
            <v>304</v>
          </cell>
          <cell r="D91" t="str">
            <v>500万黄金</v>
          </cell>
        </row>
        <row r="92">
          <cell r="A92">
            <v>311</v>
          </cell>
          <cell r="D92" t="str">
            <v>1000万木材</v>
          </cell>
        </row>
        <row r="93">
          <cell r="A93">
            <v>312</v>
          </cell>
          <cell r="D93" t="str">
            <v>1000万食物</v>
          </cell>
        </row>
        <row r="94">
          <cell r="A94">
            <v>313</v>
          </cell>
          <cell r="D94" t="str">
            <v>1000万石头</v>
          </cell>
        </row>
        <row r="95">
          <cell r="A95">
            <v>314</v>
          </cell>
          <cell r="D95" t="str">
            <v>1000万黄金</v>
          </cell>
        </row>
        <row r="96">
          <cell r="A96">
            <v>501</v>
          </cell>
          <cell r="D96" t="str">
            <v>1千资源自选宝箱</v>
          </cell>
        </row>
        <row r="97">
          <cell r="A97">
            <v>502</v>
          </cell>
          <cell r="D97" t="str">
            <v>1万资源自选宝箱</v>
          </cell>
        </row>
        <row r="98">
          <cell r="A98">
            <v>503</v>
          </cell>
          <cell r="D98" t="str">
            <v>5万资源自选宝箱</v>
          </cell>
        </row>
        <row r="99">
          <cell r="A99">
            <v>504</v>
          </cell>
          <cell r="D99" t="str">
            <v>10万资源自选宝箱</v>
          </cell>
        </row>
        <row r="100">
          <cell r="A100">
            <v>505</v>
          </cell>
          <cell r="D100" t="str">
            <v>20万资源自选宝箱</v>
          </cell>
        </row>
        <row r="101">
          <cell r="A101">
            <v>506</v>
          </cell>
          <cell r="D101" t="str">
            <v>50万资源自选宝箱</v>
          </cell>
        </row>
        <row r="102">
          <cell r="A102">
            <v>507</v>
          </cell>
          <cell r="D102" t="str">
            <v>100万资源自选宝箱</v>
          </cell>
        </row>
        <row r="103">
          <cell r="A103">
            <v>508</v>
          </cell>
          <cell r="D103" t="str">
            <v>200万资源自选宝箱</v>
          </cell>
        </row>
        <row r="104">
          <cell r="A104">
            <v>509</v>
          </cell>
          <cell r="D104" t="str">
            <v>500万资源自选宝箱</v>
          </cell>
        </row>
        <row r="105">
          <cell r="A105">
            <v>510</v>
          </cell>
          <cell r="D105" t="str">
            <v>1000万资源自选宝箱</v>
          </cell>
        </row>
        <row r="106">
          <cell r="A106">
            <v>511</v>
          </cell>
          <cell r="D106" t="str">
            <v>1千资源自选宝箱（安全）</v>
          </cell>
        </row>
        <row r="107">
          <cell r="A107">
            <v>512</v>
          </cell>
          <cell r="D107" t="str">
            <v>1万资源自选宝箱（安全）</v>
          </cell>
        </row>
        <row r="108">
          <cell r="A108">
            <v>513</v>
          </cell>
          <cell r="D108" t="str">
            <v>5万资源自选宝箱（安全）</v>
          </cell>
        </row>
        <row r="109">
          <cell r="A109">
            <v>514</v>
          </cell>
          <cell r="D109" t="str">
            <v>10万资源自选宝箱（安全）</v>
          </cell>
        </row>
        <row r="110">
          <cell r="A110">
            <v>515</v>
          </cell>
          <cell r="D110" t="str">
            <v>20万资源自选宝箱（安全）</v>
          </cell>
        </row>
        <row r="111">
          <cell r="A111">
            <v>516</v>
          </cell>
          <cell r="D111" t="str">
            <v>50万资源自选宝箱（安全）</v>
          </cell>
        </row>
        <row r="112">
          <cell r="A112">
            <v>517</v>
          </cell>
          <cell r="D112" t="str">
            <v>100万资源自选宝箱（安全）</v>
          </cell>
        </row>
        <row r="113">
          <cell r="A113">
            <v>518</v>
          </cell>
          <cell r="D113" t="str">
            <v>200万资源自选宝箱（安全）</v>
          </cell>
        </row>
        <row r="114">
          <cell r="A114">
            <v>519</v>
          </cell>
          <cell r="D114" t="str">
            <v>500万资源自选宝箱（安全）</v>
          </cell>
        </row>
        <row r="115">
          <cell r="A115">
            <v>520</v>
          </cell>
          <cell r="D115" t="str">
            <v>1000万资源自选宝箱（安全）</v>
          </cell>
        </row>
        <row r="116">
          <cell r="A116">
            <v>600</v>
          </cell>
          <cell r="D116" t="str">
            <v>定点迁城</v>
          </cell>
        </row>
        <row r="117">
          <cell r="A117">
            <v>601</v>
          </cell>
          <cell r="D117" t="str">
            <v>定点迁城（限时）</v>
          </cell>
        </row>
        <row r="118">
          <cell r="A118">
            <v>602</v>
          </cell>
          <cell r="D118" t="str">
            <v>领地迁城</v>
          </cell>
        </row>
        <row r="119">
          <cell r="A119">
            <v>603</v>
          </cell>
          <cell r="D119" t="str">
            <v>随机迁城</v>
          </cell>
        </row>
        <row r="120">
          <cell r="A120">
            <v>604</v>
          </cell>
          <cell r="D120" t="str">
            <v>免费迁城</v>
          </cell>
        </row>
        <row r="121">
          <cell r="A121">
            <v>605</v>
          </cell>
          <cell r="D121" t="str">
            <v>跨国迁城</v>
          </cell>
        </row>
        <row r="122">
          <cell r="A122">
            <v>606</v>
          </cell>
          <cell r="D122" t="str">
            <v>出生州随机迁城</v>
          </cell>
        </row>
        <row r="123">
          <cell r="A123">
            <v>611</v>
          </cell>
          <cell r="D123" t="str">
            <v>1木材（安全）</v>
          </cell>
        </row>
        <row r="124">
          <cell r="A124">
            <v>612</v>
          </cell>
          <cell r="D124" t="str">
            <v>1食物（安全）</v>
          </cell>
        </row>
        <row r="125">
          <cell r="A125">
            <v>613</v>
          </cell>
          <cell r="D125" t="str">
            <v>1石头（安全）</v>
          </cell>
        </row>
        <row r="126">
          <cell r="A126">
            <v>614</v>
          </cell>
          <cell r="D126" t="str">
            <v>1黄金（安全）</v>
          </cell>
        </row>
        <row r="127">
          <cell r="A127">
            <v>621</v>
          </cell>
          <cell r="D127" t="str">
            <v>1千木材（安全）</v>
          </cell>
        </row>
        <row r="128">
          <cell r="A128">
            <v>622</v>
          </cell>
          <cell r="D128" t="str">
            <v>1千食物（安全）</v>
          </cell>
        </row>
        <row r="129">
          <cell r="A129">
            <v>623</v>
          </cell>
          <cell r="D129" t="str">
            <v>1千石头（安全）</v>
          </cell>
        </row>
        <row r="130">
          <cell r="A130">
            <v>624</v>
          </cell>
          <cell r="D130" t="str">
            <v>1千黄金（安全）</v>
          </cell>
        </row>
        <row r="131">
          <cell r="A131">
            <v>631</v>
          </cell>
          <cell r="D131" t="str">
            <v>1万木材（安全）</v>
          </cell>
        </row>
        <row r="132">
          <cell r="A132">
            <v>632</v>
          </cell>
          <cell r="D132" t="str">
            <v>1万食物（安全）</v>
          </cell>
        </row>
        <row r="133">
          <cell r="A133">
            <v>633</v>
          </cell>
          <cell r="D133" t="str">
            <v>1万石头（安全）</v>
          </cell>
        </row>
        <row r="134">
          <cell r="A134">
            <v>634</v>
          </cell>
          <cell r="D134" t="str">
            <v>1万黄金（安全）</v>
          </cell>
        </row>
        <row r="135">
          <cell r="A135">
            <v>641</v>
          </cell>
          <cell r="D135" t="str">
            <v>5万木材（安全）</v>
          </cell>
        </row>
        <row r="136">
          <cell r="A136">
            <v>642</v>
          </cell>
          <cell r="D136" t="str">
            <v>5万食物（安全）</v>
          </cell>
        </row>
        <row r="137">
          <cell r="A137">
            <v>643</v>
          </cell>
          <cell r="D137" t="str">
            <v>5万石头（安全）</v>
          </cell>
        </row>
        <row r="138">
          <cell r="A138">
            <v>644</v>
          </cell>
          <cell r="D138" t="str">
            <v>5万黄金（安全）</v>
          </cell>
        </row>
        <row r="139">
          <cell r="A139">
            <v>651</v>
          </cell>
          <cell r="D139" t="str">
            <v>10万木材（安全）</v>
          </cell>
        </row>
        <row r="140">
          <cell r="A140">
            <v>652</v>
          </cell>
          <cell r="D140" t="str">
            <v>10万食物（安全）</v>
          </cell>
        </row>
        <row r="141">
          <cell r="A141">
            <v>653</v>
          </cell>
          <cell r="D141" t="str">
            <v>10万石头（安全）</v>
          </cell>
        </row>
        <row r="142">
          <cell r="A142">
            <v>654</v>
          </cell>
          <cell r="D142" t="str">
            <v>10万黄金（安全）</v>
          </cell>
        </row>
        <row r="143">
          <cell r="A143">
            <v>661</v>
          </cell>
          <cell r="D143" t="str">
            <v>20万木材（安全）</v>
          </cell>
        </row>
        <row r="144">
          <cell r="A144">
            <v>662</v>
          </cell>
          <cell r="D144" t="str">
            <v>20万食物（安全）</v>
          </cell>
        </row>
        <row r="145">
          <cell r="A145">
            <v>663</v>
          </cell>
          <cell r="D145" t="str">
            <v>20万石头（安全）</v>
          </cell>
        </row>
        <row r="146">
          <cell r="A146">
            <v>664</v>
          </cell>
          <cell r="D146" t="str">
            <v>20万黄金（安全）</v>
          </cell>
        </row>
        <row r="147">
          <cell r="A147">
            <v>671</v>
          </cell>
          <cell r="D147" t="str">
            <v>50万木材（安全）</v>
          </cell>
        </row>
        <row r="148">
          <cell r="A148">
            <v>672</v>
          </cell>
          <cell r="D148" t="str">
            <v>50万食物（安全）</v>
          </cell>
        </row>
        <row r="149">
          <cell r="A149">
            <v>673</v>
          </cell>
          <cell r="D149" t="str">
            <v>50万石头（安全）</v>
          </cell>
        </row>
        <row r="150">
          <cell r="A150">
            <v>674</v>
          </cell>
          <cell r="D150" t="str">
            <v>50万黄金（安全）</v>
          </cell>
        </row>
        <row r="151">
          <cell r="A151">
            <v>681</v>
          </cell>
          <cell r="D151" t="str">
            <v>100万木材（安全）</v>
          </cell>
        </row>
        <row r="152">
          <cell r="A152">
            <v>682</v>
          </cell>
          <cell r="D152" t="str">
            <v>100万食物（安全）</v>
          </cell>
        </row>
        <row r="153">
          <cell r="A153">
            <v>683</v>
          </cell>
          <cell r="D153" t="str">
            <v>100万石头（安全）</v>
          </cell>
        </row>
        <row r="154">
          <cell r="A154">
            <v>684</v>
          </cell>
          <cell r="D154" t="str">
            <v>100万黄金（安全）</v>
          </cell>
        </row>
        <row r="155">
          <cell r="A155">
            <v>691</v>
          </cell>
          <cell r="D155" t="str">
            <v>200万木材（安全）</v>
          </cell>
        </row>
        <row r="156">
          <cell r="A156">
            <v>692</v>
          </cell>
          <cell r="D156" t="str">
            <v>200万食物（安全）</v>
          </cell>
        </row>
        <row r="157">
          <cell r="A157">
            <v>693</v>
          </cell>
          <cell r="D157" t="str">
            <v>200万石头（安全）</v>
          </cell>
        </row>
        <row r="158">
          <cell r="A158">
            <v>694</v>
          </cell>
          <cell r="D158" t="str">
            <v>200万黄金（安全）</v>
          </cell>
        </row>
        <row r="159">
          <cell r="A159">
            <v>701</v>
          </cell>
          <cell r="D159" t="str">
            <v>500万木材（安全）</v>
          </cell>
        </row>
        <row r="160">
          <cell r="A160">
            <v>702</v>
          </cell>
          <cell r="D160" t="str">
            <v>500万食物（安全）</v>
          </cell>
        </row>
        <row r="161">
          <cell r="A161">
            <v>703</v>
          </cell>
          <cell r="D161" t="str">
            <v>500万石头（安全）</v>
          </cell>
        </row>
        <row r="162">
          <cell r="A162">
            <v>704</v>
          </cell>
          <cell r="D162" t="str">
            <v>500万黄金（安全）</v>
          </cell>
        </row>
        <row r="163">
          <cell r="A163">
            <v>711</v>
          </cell>
          <cell r="D163" t="str">
            <v>1000万木材（安全）</v>
          </cell>
        </row>
        <row r="164">
          <cell r="A164">
            <v>712</v>
          </cell>
          <cell r="D164" t="str">
            <v>1000万食物（安全）</v>
          </cell>
        </row>
        <row r="165">
          <cell r="A165">
            <v>713</v>
          </cell>
          <cell r="D165" t="str">
            <v>1000万石头（安全）</v>
          </cell>
        </row>
        <row r="166">
          <cell r="A166">
            <v>714</v>
          </cell>
          <cell r="D166" t="str">
            <v>1000万黄金（安全）</v>
          </cell>
        </row>
        <row r="167">
          <cell r="A167">
            <v>811</v>
          </cell>
          <cell r="D167" t="str">
            <v>1木材（安全）</v>
          </cell>
        </row>
        <row r="168">
          <cell r="A168">
            <v>812</v>
          </cell>
          <cell r="D168" t="str">
            <v>1食物（安全）</v>
          </cell>
        </row>
        <row r="169">
          <cell r="A169">
            <v>813</v>
          </cell>
          <cell r="D169" t="str">
            <v>1石头（安全）</v>
          </cell>
        </row>
        <row r="170">
          <cell r="A170">
            <v>814</v>
          </cell>
          <cell r="D170" t="str">
            <v>1黄金（安全）</v>
          </cell>
        </row>
        <row r="171">
          <cell r="A171">
            <v>821</v>
          </cell>
          <cell r="D171" t="str">
            <v>1千木材（安全）</v>
          </cell>
        </row>
        <row r="172">
          <cell r="A172">
            <v>822</v>
          </cell>
          <cell r="D172" t="str">
            <v>1千食物（安全）</v>
          </cell>
        </row>
        <row r="173">
          <cell r="A173">
            <v>823</v>
          </cell>
          <cell r="D173" t="str">
            <v>1千石头（安全）</v>
          </cell>
        </row>
        <row r="174">
          <cell r="A174">
            <v>824</v>
          </cell>
          <cell r="D174" t="str">
            <v>1千黄金（安全）</v>
          </cell>
        </row>
        <row r="175">
          <cell r="A175">
            <v>831</v>
          </cell>
          <cell r="D175" t="str">
            <v>1万木材（安全）</v>
          </cell>
        </row>
        <row r="176">
          <cell r="A176">
            <v>832</v>
          </cell>
          <cell r="D176" t="str">
            <v>1万食物（安全）</v>
          </cell>
        </row>
        <row r="177">
          <cell r="A177">
            <v>833</v>
          </cell>
          <cell r="D177" t="str">
            <v>1万石头（安全）</v>
          </cell>
        </row>
        <row r="178">
          <cell r="A178">
            <v>834</v>
          </cell>
          <cell r="D178" t="str">
            <v>1万黄金（安全）</v>
          </cell>
        </row>
        <row r="179">
          <cell r="A179">
            <v>841</v>
          </cell>
          <cell r="D179" t="str">
            <v>5万木材（安全）</v>
          </cell>
        </row>
        <row r="180">
          <cell r="A180">
            <v>842</v>
          </cell>
          <cell r="D180" t="str">
            <v>5万食物（安全）</v>
          </cell>
        </row>
        <row r="181">
          <cell r="A181">
            <v>843</v>
          </cell>
          <cell r="D181" t="str">
            <v>5万石头（安全）</v>
          </cell>
        </row>
        <row r="182">
          <cell r="A182">
            <v>844</v>
          </cell>
          <cell r="D182" t="str">
            <v>5万黄金（安全）</v>
          </cell>
        </row>
        <row r="183">
          <cell r="A183">
            <v>851</v>
          </cell>
          <cell r="D183" t="str">
            <v>10万木材（安全）</v>
          </cell>
        </row>
        <row r="184">
          <cell r="A184">
            <v>852</v>
          </cell>
          <cell r="D184" t="str">
            <v>10万食物（安全）</v>
          </cell>
        </row>
        <row r="185">
          <cell r="A185">
            <v>853</v>
          </cell>
          <cell r="D185" t="str">
            <v>10万石头（安全）</v>
          </cell>
        </row>
        <row r="186">
          <cell r="A186">
            <v>854</v>
          </cell>
          <cell r="D186" t="str">
            <v>10万黄金（安全）</v>
          </cell>
        </row>
        <row r="187">
          <cell r="A187">
            <v>861</v>
          </cell>
          <cell r="D187" t="str">
            <v>20万木材（安全）</v>
          </cell>
        </row>
        <row r="188">
          <cell r="A188">
            <v>862</v>
          </cell>
          <cell r="D188" t="str">
            <v>20万食物（安全）</v>
          </cell>
        </row>
        <row r="189">
          <cell r="A189">
            <v>863</v>
          </cell>
          <cell r="D189" t="str">
            <v>20万石头（安全）</v>
          </cell>
        </row>
        <row r="190">
          <cell r="A190">
            <v>864</v>
          </cell>
          <cell r="D190" t="str">
            <v>20万黄金（安全）</v>
          </cell>
        </row>
        <row r="191">
          <cell r="A191">
            <v>871</v>
          </cell>
          <cell r="D191" t="str">
            <v>50万木材（安全）</v>
          </cell>
        </row>
        <row r="192">
          <cell r="A192">
            <v>872</v>
          </cell>
          <cell r="D192" t="str">
            <v>50万食物（安全）</v>
          </cell>
        </row>
        <row r="193">
          <cell r="A193">
            <v>873</v>
          </cell>
          <cell r="D193" t="str">
            <v>50万石头（安全）</v>
          </cell>
        </row>
        <row r="194">
          <cell r="A194">
            <v>874</v>
          </cell>
          <cell r="D194" t="str">
            <v>50万黄金（安全）</v>
          </cell>
        </row>
        <row r="195">
          <cell r="A195">
            <v>881</v>
          </cell>
          <cell r="D195" t="str">
            <v>100万木材（安全）</v>
          </cell>
        </row>
        <row r="196">
          <cell r="A196">
            <v>882</v>
          </cell>
          <cell r="D196" t="str">
            <v>100万食物（安全）</v>
          </cell>
        </row>
        <row r="197">
          <cell r="A197">
            <v>883</v>
          </cell>
          <cell r="D197" t="str">
            <v>100万石头（安全）</v>
          </cell>
        </row>
        <row r="198">
          <cell r="A198">
            <v>884</v>
          </cell>
          <cell r="D198" t="str">
            <v>100万黄金（安全）</v>
          </cell>
        </row>
        <row r="199">
          <cell r="A199">
            <v>891</v>
          </cell>
          <cell r="D199" t="str">
            <v>200万木材（安全）</v>
          </cell>
        </row>
        <row r="200">
          <cell r="A200">
            <v>892</v>
          </cell>
          <cell r="D200" t="str">
            <v>200万食物（安全）</v>
          </cell>
        </row>
        <row r="201">
          <cell r="A201">
            <v>893</v>
          </cell>
          <cell r="D201" t="str">
            <v>200万石头（安全）</v>
          </cell>
        </row>
        <row r="202">
          <cell r="A202">
            <v>894</v>
          </cell>
          <cell r="D202" t="str">
            <v>200万黄金（安全）</v>
          </cell>
        </row>
        <row r="203">
          <cell r="A203">
            <v>901</v>
          </cell>
          <cell r="D203" t="str">
            <v>500万木材（安全）</v>
          </cell>
        </row>
        <row r="204">
          <cell r="A204">
            <v>902</v>
          </cell>
          <cell r="D204" t="str">
            <v>500万食物（安全）</v>
          </cell>
        </row>
        <row r="205">
          <cell r="A205">
            <v>903</v>
          </cell>
          <cell r="D205" t="str">
            <v>500万石头（安全）</v>
          </cell>
        </row>
        <row r="206">
          <cell r="A206">
            <v>904</v>
          </cell>
          <cell r="D206" t="str">
            <v>500万黄金（安全）</v>
          </cell>
        </row>
        <row r="207">
          <cell r="A207">
            <v>911</v>
          </cell>
          <cell r="D207" t="str">
            <v>1000万木材（安全）</v>
          </cell>
        </row>
        <row r="208">
          <cell r="A208">
            <v>912</v>
          </cell>
          <cell r="D208" t="str">
            <v>1000万食物（安全）</v>
          </cell>
        </row>
        <row r="209">
          <cell r="A209">
            <v>913</v>
          </cell>
          <cell r="D209" t="str">
            <v>1000万石头（安全）</v>
          </cell>
        </row>
        <row r="210">
          <cell r="A210">
            <v>914</v>
          </cell>
          <cell r="D210" t="str">
            <v>1000万黄金（安全）</v>
          </cell>
        </row>
        <row r="211">
          <cell r="A211">
            <v>1001</v>
          </cell>
          <cell r="D211" t="str">
            <v>贞德（完整英雄）</v>
          </cell>
        </row>
        <row r="212">
          <cell r="A212">
            <v>1002</v>
          </cell>
          <cell r="D212" t="str">
            <v>织田信长（完整英雄）</v>
          </cell>
        </row>
        <row r="213">
          <cell r="A213">
            <v>1003</v>
          </cell>
          <cell r="D213" t="str">
            <v>凯撒（完整英雄）</v>
          </cell>
        </row>
        <row r="214">
          <cell r="A214">
            <v>1004</v>
          </cell>
          <cell r="D214" t="str">
            <v>克里奥帕特拉（完整英雄）</v>
          </cell>
        </row>
        <row r="215">
          <cell r="A215">
            <v>1005</v>
          </cell>
          <cell r="D215" t="str">
            <v>关羽（完整英雄）</v>
          </cell>
        </row>
        <row r="216">
          <cell r="A216">
            <v>1006</v>
          </cell>
          <cell r="D216" t="str">
            <v>亨利五世（完整英雄）</v>
          </cell>
        </row>
        <row r="217">
          <cell r="A217">
            <v>1007</v>
          </cell>
          <cell r="D217" t="str">
            <v>项羽（完整英雄）</v>
          </cell>
        </row>
        <row r="218">
          <cell r="A218">
            <v>1008</v>
          </cell>
          <cell r="D218" t="str">
            <v>君士坦丁大帝（完整英雄）</v>
          </cell>
        </row>
        <row r="219">
          <cell r="A219">
            <v>1009</v>
          </cell>
          <cell r="D219" t="str">
            <v>花木兰（完整英雄）</v>
          </cell>
        </row>
        <row r="220">
          <cell r="A220">
            <v>1010</v>
          </cell>
          <cell r="D220" t="str">
            <v>查士丁尼一世（完整英雄）</v>
          </cell>
        </row>
        <row r="221">
          <cell r="A221">
            <v>1011</v>
          </cell>
          <cell r="D221" t="str">
            <v>布狄卡（完整英雄）</v>
          </cell>
        </row>
        <row r="222">
          <cell r="A222">
            <v>1012</v>
          </cell>
          <cell r="D222" t="str">
            <v>萨拉丁（完整英雄）</v>
          </cell>
        </row>
        <row r="223">
          <cell r="A223">
            <v>1013</v>
          </cell>
          <cell r="D223" t="str">
            <v>列奥尼达一世（完整英雄）</v>
          </cell>
        </row>
        <row r="224">
          <cell r="A224">
            <v>1014</v>
          </cell>
          <cell r="D224" t="str">
            <v>孙武（完整英雄）</v>
          </cell>
        </row>
        <row r="225">
          <cell r="A225">
            <v>1015</v>
          </cell>
          <cell r="D225" t="str">
            <v>武则天（完整英雄）</v>
          </cell>
        </row>
        <row r="226">
          <cell r="A226">
            <v>1016</v>
          </cell>
          <cell r="D226" t="str">
            <v>腓力四世（完整英雄）</v>
          </cell>
        </row>
        <row r="227">
          <cell r="A227">
            <v>1017</v>
          </cell>
          <cell r="D227" t="str">
            <v>巴巴罗萨（完整英雄）</v>
          </cell>
        </row>
        <row r="228">
          <cell r="A228">
            <v>1018</v>
          </cell>
          <cell r="D228" t="str">
            <v>曹操（完整英雄）</v>
          </cell>
        </row>
        <row r="229">
          <cell r="A229">
            <v>1019</v>
          </cell>
          <cell r="D229" t="str">
            <v>大流士一世（完整英雄）</v>
          </cell>
        </row>
        <row r="230">
          <cell r="A230">
            <v>1020</v>
          </cell>
          <cell r="D230" t="str">
            <v>李舜臣（完整英雄）</v>
          </cell>
        </row>
        <row r="231">
          <cell r="A231">
            <v>1021</v>
          </cell>
          <cell r="D231" t="str">
            <v>亚瑟王（完整英雄）</v>
          </cell>
        </row>
        <row r="232">
          <cell r="A232">
            <v>1022</v>
          </cell>
          <cell r="D232" t="str">
            <v>亚历山大大帝（完整英雄）</v>
          </cell>
        </row>
        <row r="233">
          <cell r="A233">
            <v>1023</v>
          </cell>
          <cell r="D233" t="str">
            <v>汉尼拔（完整英雄）</v>
          </cell>
        </row>
        <row r="234">
          <cell r="A234">
            <v>1024</v>
          </cell>
          <cell r="D234" t="str">
            <v>黄月英（完整英雄）</v>
          </cell>
        </row>
        <row r="235">
          <cell r="A235">
            <v>1025</v>
          </cell>
          <cell r="D235" t="str">
            <v>穆桂英（完整英雄）</v>
          </cell>
        </row>
        <row r="236">
          <cell r="A236">
            <v>1026</v>
          </cell>
          <cell r="D236" t="str">
            <v>赵云（完整英雄）</v>
          </cell>
        </row>
        <row r="237">
          <cell r="A237">
            <v>1027</v>
          </cell>
          <cell r="D237" t="str">
            <v>兰陵王（完整英雄）</v>
          </cell>
        </row>
        <row r="238">
          <cell r="A238">
            <v>1028</v>
          </cell>
          <cell r="D238" t="str">
            <v>虞姬（完整英雄）</v>
          </cell>
        </row>
        <row r="239">
          <cell r="A239">
            <v>1029</v>
          </cell>
          <cell r="D239" t="str">
            <v>白起（完整英雄）</v>
          </cell>
        </row>
        <row r="240">
          <cell r="A240">
            <v>1030</v>
          </cell>
          <cell r="D240" t="str">
            <v>秦琼（完整英雄）</v>
          </cell>
        </row>
        <row r="241">
          <cell r="A241">
            <v>1031</v>
          </cell>
          <cell r="D241" t="str">
            <v>尉迟恭（完整英雄）</v>
          </cell>
        </row>
        <row r="242">
          <cell r="A242">
            <v>1032</v>
          </cell>
          <cell r="D242" t="str">
            <v>阿提拉（完整英雄）</v>
          </cell>
        </row>
        <row r="243">
          <cell r="A243">
            <v>1033</v>
          </cell>
          <cell r="D243" t="str">
            <v>诸葛亮（完整英雄）</v>
          </cell>
        </row>
        <row r="244">
          <cell r="A244">
            <v>1034</v>
          </cell>
          <cell r="D244" t="str">
            <v>屋大维（完整英雄）</v>
          </cell>
        </row>
        <row r="245">
          <cell r="A245">
            <v>1035</v>
          </cell>
          <cell r="D245" t="str">
            <v>韩信（完整英雄）</v>
          </cell>
        </row>
        <row r="246">
          <cell r="A246">
            <v>1036</v>
          </cell>
          <cell r="D246" t="str">
            <v>约瑟芬（完整英雄）</v>
          </cell>
        </row>
        <row r="247">
          <cell r="A247">
            <v>1037</v>
          </cell>
          <cell r="D247" t="str">
            <v>吕布（完整英雄）</v>
          </cell>
        </row>
        <row r="248">
          <cell r="A248">
            <v>1038</v>
          </cell>
          <cell r="D248" t="str">
            <v>貂蝉（完整英雄）</v>
          </cell>
        </row>
        <row r="249">
          <cell r="A249">
            <v>1039</v>
          </cell>
          <cell r="D249" t="str">
            <v>李白（完整英雄）</v>
          </cell>
        </row>
        <row r="250">
          <cell r="A250">
            <v>1040</v>
          </cell>
          <cell r="D250" t="str">
            <v>孙尚香（完整英雄）</v>
          </cell>
        </row>
        <row r="251">
          <cell r="A251">
            <v>1041</v>
          </cell>
          <cell r="D251" t="str">
            <v>查理曼大帝（完整英雄）</v>
          </cell>
        </row>
        <row r="252">
          <cell r="A252">
            <v>1042</v>
          </cell>
          <cell r="D252" t="str">
            <v>理查一世（完整英雄）</v>
          </cell>
        </row>
        <row r="253">
          <cell r="A253">
            <v>1043</v>
          </cell>
          <cell r="D253" t="str">
            <v>樊梨花（完整英雄）</v>
          </cell>
        </row>
        <row r="254">
          <cell r="A254">
            <v>1044</v>
          </cell>
          <cell r="D254" t="str">
            <v>左慈（完整英雄）</v>
          </cell>
        </row>
        <row r="255">
          <cell r="A255">
            <v>1045</v>
          </cell>
          <cell r="D255" t="str">
            <v>马超（完整英雄）</v>
          </cell>
        </row>
        <row r="256">
          <cell r="A256">
            <v>1046</v>
          </cell>
          <cell r="D256" t="str">
            <v>妇好（完整英雄）</v>
          </cell>
        </row>
        <row r="257">
          <cell r="A257">
            <v>1047</v>
          </cell>
          <cell r="D257" t="str">
            <v>熙德（完整英雄）</v>
          </cell>
        </row>
        <row r="258">
          <cell r="A258">
            <v>1048</v>
          </cell>
          <cell r="D258" t="str">
            <v>李广（完整英雄）</v>
          </cell>
        </row>
        <row r="259">
          <cell r="A259">
            <v>1049</v>
          </cell>
          <cell r="D259" t="str">
            <v>蒙特祖玛一世（完整英雄）</v>
          </cell>
        </row>
        <row r="260">
          <cell r="A260">
            <v>1050</v>
          </cell>
          <cell r="D260" t="str">
            <v>李元霸（完整英雄）</v>
          </cell>
        </row>
        <row r="261">
          <cell r="A261">
            <v>1051</v>
          </cell>
          <cell r="D261" t="str">
            <v>司马懿（完整英雄）</v>
          </cell>
        </row>
        <row r="262">
          <cell r="A262">
            <v>1052</v>
          </cell>
          <cell r="D262" t="str">
            <v>芈月（完整英雄）</v>
          </cell>
        </row>
        <row r="263">
          <cell r="A263">
            <v>1053</v>
          </cell>
          <cell r="D263" t="str">
            <v>张飞（完整英雄）</v>
          </cell>
        </row>
        <row r="264">
          <cell r="A264">
            <v>1054</v>
          </cell>
          <cell r="D264" t="str">
            <v>鬼谷子（完整英雄）</v>
          </cell>
        </row>
        <row r="265">
          <cell r="A265">
            <v>1055</v>
          </cell>
          <cell r="D265" t="str">
            <v>大卫王（完整英雄）</v>
          </cell>
        </row>
        <row r="266">
          <cell r="A266">
            <v>1056</v>
          </cell>
          <cell r="D266" t="str">
            <v>哈拉尔（完整英雄）</v>
          </cell>
        </row>
        <row r="267">
          <cell r="A267">
            <v>1057</v>
          </cell>
          <cell r="D267" t="str">
            <v>SP赵云（完整英雄）</v>
          </cell>
        </row>
        <row r="268">
          <cell r="A268">
            <v>1058</v>
          </cell>
          <cell r="D268" t="str">
            <v>廉颇（完整英雄）</v>
          </cell>
        </row>
        <row r="269">
          <cell r="A269">
            <v>1059</v>
          </cell>
          <cell r="D269" t="str">
            <v>张良（完整英雄）</v>
          </cell>
        </row>
        <row r="270">
          <cell r="A270">
            <v>1060</v>
          </cell>
          <cell r="D270" t="str">
            <v>秦良玉（完整英雄）</v>
          </cell>
        </row>
        <row r="271">
          <cell r="A271">
            <v>1061</v>
          </cell>
          <cell r="D271" t="str">
            <v>汉谟拉比（完整英雄）</v>
          </cell>
        </row>
        <row r="272">
          <cell r="A272">
            <v>1062</v>
          </cell>
          <cell r="D272" t="str">
            <v>狄奥多拉（完整英雄）</v>
          </cell>
        </row>
        <row r="273">
          <cell r="A273">
            <v>1063</v>
          </cell>
          <cell r="D273" t="str">
            <v>哈立德（完整英雄）</v>
          </cell>
        </row>
        <row r="274">
          <cell r="A274">
            <v>1064</v>
          </cell>
          <cell r="D274" t="str">
            <v>示巴女王（完整英雄）</v>
          </cell>
        </row>
        <row r="275">
          <cell r="A275">
            <v>1069</v>
          </cell>
          <cell r="D275" t="str">
            <v>贝利薇（完整英雄）</v>
          </cell>
        </row>
        <row r="276">
          <cell r="A276">
            <v>1074</v>
          </cell>
          <cell r="D276" t="str">
            <v>哈特舍普苏特（完整英雄）</v>
          </cell>
        </row>
        <row r="277">
          <cell r="A277">
            <v>1075</v>
          </cell>
          <cell r="D277" t="str">
            <v>阿育王（完整英雄）</v>
          </cell>
        </row>
        <row r="278">
          <cell r="A278">
            <v>1076</v>
          </cell>
          <cell r="D278" t="str">
            <v>杜加瓦蒂（完整英雄）</v>
          </cell>
        </row>
        <row r="279">
          <cell r="A279">
            <v>1077</v>
          </cell>
          <cell r="D279" t="str">
            <v>崔布瓦娜（完整英雄）</v>
          </cell>
        </row>
        <row r="280">
          <cell r="A280">
            <v>1078</v>
          </cell>
          <cell r="D280" t="str">
            <v>兰甘亨（完整英雄）</v>
          </cell>
        </row>
        <row r="281">
          <cell r="A281">
            <v>1091</v>
          </cell>
          <cell r="D281" t="str">
            <v>宫本武藏（完整英雄）</v>
          </cell>
        </row>
        <row r="282">
          <cell r="A282">
            <v>1092</v>
          </cell>
          <cell r="D282" t="str">
            <v>善德女王（完整英雄）</v>
          </cell>
        </row>
        <row r="283">
          <cell r="A283">
            <v>1093</v>
          </cell>
          <cell r="D283" t="str">
            <v>苏莱曼一世（完整英雄）</v>
          </cell>
        </row>
        <row r="284">
          <cell r="A284">
            <v>1102</v>
          </cell>
          <cell r="D284" t="str">
            <v>德川家康（完整英雄）</v>
          </cell>
        </row>
        <row r="285">
          <cell r="A285">
            <v>1103</v>
          </cell>
          <cell r="D285" t="str">
            <v>李陶（完整英雄）</v>
          </cell>
        </row>
        <row r="286">
          <cell r="A286">
            <v>1104</v>
          </cell>
          <cell r="D286" t="str">
            <v>丰臣秀吉（完整英雄）</v>
          </cell>
        </row>
        <row r="287">
          <cell r="A287">
            <v>1105</v>
          </cell>
          <cell r="D287" t="str">
            <v>李成桂（完整英雄）</v>
          </cell>
        </row>
        <row r="288">
          <cell r="A288">
            <v>1106</v>
          </cell>
          <cell r="D288" t="str">
            <v>游娣特（完整英雄）</v>
          </cell>
        </row>
        <row r="289">
          <cell r="A289">
            <v>1107</v>
          </cell>
          <cell r="D289" t="str">
            <v>曼萨穆萨（完整英雄）</v>
          </cell>
        </row>
        <row r="290">
          <cell r="A290">
            <v>1115</v>
          </cell>
          <cell r="D290" t="str">
            <v>穆罕默德二世（完整英雄）</v>
          </cell>
        </row>
        <row r="291">
          <cell r="A291">
            <v>1116</v>
          </cell>
          <cell r="D291" t="str">
            <v>拉美西斯二世（完整英雄）</v>
          </cell>
        </row>
        <row r="292">
          <cell r="A292">
            <v>1121</v>
          </cell>
          <cell r="D292" t="str">
            <v>居鲁士大帝（完整英雄）</v>
          </cell>
        </row>
        <row r="293">
          <cell r="A293">
            <v>1122</v>
          </cell>
          <cell r="D293" t="str">
            <v>拉葛莎（完整英雄）</v>
          </cell>
        </row>
        <row r="294">
          <cell r="A294">
            <v>1123</v>
          </cell>
          <cell r="D294" t="str">
            <v>罗宾汉（完整英雄）</v>
          </cell>
        </row>
        <row r="295">
          <cell r="A295">
            <v>1124</v>
          </cell>
          <cell r="D295" t="str">
            <v>贝利撒留（完整英雄）</v>
          </cell>
        </row>
        <row r="296">
          <cell r="A296">
            <v>1125</v>
          </cell>
          <cell r="D296" t="str">
            <v>伊丽莎白一世（完整英雄）</v>
          </cell>
        </row>
        <row r="297">
          <cell r="A297">
            <v>1201</v>
          </cell>
          <cell r="D297" t="str">
            <v>李道玄（完整英雄）</v>
          </cell>
        </row>
        <row r="298">
          <cell r="A298">
            <v>1202</v>
          </cell>
          <cell r="D298" t="str">
            <v>纳尔西斯（完整英雄）</v>
          </cell>
        </row>
        <row r="299">
          <cell r="A299">
            <v>1203</v>
          </cell>
          <cell r="D299" t="str">
            <v>雷欧（完整英雄）</v>
          </cell>
        </row>
        <row r="300">
          <cell r="A300">
            <v>1204</v>
          </cell>
          <cell r="D300" t="str">
            <v>莱昂（完整英雄）</v>
          </cell>
        </row>
        <row r="301">
          <cell r="A301">
            <v>1205</v>
          </cell>
          <cell r="D301" t="str">
            <v>巴尔达斯（完整英雄）</v>
          </cell>
        </row>
        <row r="302">
          <cell r="A302">
            <v>1206</v>
          </cell>
          <cell r="D302" t="str">
            <v>阿克塞尔（完整英雄）</v>
          </cell>
        </row>
        <row r="303">
          <cell r="A303">
            <v>1207</v>
          </cell>
          <cell r="D303" t="str">
            <v>武威（完整英雄）</v>
          </cell>
        </row>
        <row r="304">
          <cell r="A304">
            <v>1208</v>
          </cell>
          <cell r="D304" t="str">
            <v>崔如意（完整英雄）</v>
          </cell>
        </row>
        <row r="305">
          <cell r="A305">
            <v>1209</v>
          </cell>
          <cell r="D305" t="str">
            <v>尼诺（完整英雄）</v>
          </cell>
        </row>
        <row r="306">
          <cell r="A306">
            <v>1210</v>
          </cell>
          <cell r="D306" t="str">
            <v>克洛特（完整英雄）</v>
          </cell>
        </row>
        <row r="307">
          <cell r="A307">
            <v>1211</v>
          </cell>
          <cell r="D307" t="str">
            <v>高猛（完整英雄）</v>
          </cell>
        </row>
        <row r="308">
          <cell r="A308">
            <v>1212</v>
          </cell>
          <cell r="D308" t="str">
            <v>袁夏（完整英雄）</v>
          </cell>
        </row>
        <row r="309">
          <cell r="A309">
            <v>1213</v>
          </cell>
          <cell r="D309" t="str">
            <v>泰尼乌斯（完整英雄）</v>
          </cell>
        </row>
        <row r="310">
          <cell r="A310">
            <v>1214</v>
          </cell>
          <cell r="D310" t="str">
            <v>加图斯（完整英雄）</v>
          </cell>
        </row>
        <row r="311">
          <cell r="A311">
            <v>1215</v>
          </cell>
          <cell r="D311" t="str">
            <v>凯索（完整英雄）</v>
          </cell>
        </row>
        <row r="312">
          <cell r="A312">
            <v>1216</v>
          </cell>
          <cell r="D312" t="str">
            <v>卢基（完整英雄）</v>
          </cell>
        </row>
        <row r="313">
          <cell r="A313">
            <v>1999</v>
          </cell>
          <cell r="D313" t="str">
            <v>木桩英雄</v>
          </cell>
        </row>
        <row r="314">
          <cell r="A314">
            <v>2005</v>
          </cell>
          <cell r="D314" t="str">
            <v>新手奖池招募券</v>
          </cell>
        </row>
        <row r="315">
          <cell r="A315">
            <v>2006</v>
          </cell>
          <cell r="D315" t="str">
            <v>铜币奖池招募券</v>
          </cell>
        </row>
        <row r="316">
          <cell r="A316">
            <v>2007</v>
          </cell>
          <cell r="D316" t="str">
            <v>大奖池招募券</v>
          </cell>
        </row>
        <row r="317">
          <cell r="A317">
            <v>2020</v>
          </cell>
          <cell r="D317" t="str">
            <v>技术点数</v>
          </cell>
        </row>
        <row r="318">
          <cell r="A318">
            <v>2021</v>
          </cell>
          <cell r="D318" t="str">
            <v>文化点数</v>
          </cell>
        </row>
        <row r="319">
          <cell r="A319">
            <v>2022</v>
          </cell>
          <cell r="D319" t="str">
            <v>传承点数</v>
          </cell>
        </row>
        <row r="320">
          <cell r="A320">
            <v>2023</v>
          </cell>
          <cell r="D320" t="str">
            <v>名将笔记</v>
          </cell>
        </row>
        <row r="321">
          <cell r="A321">
            <v>2025</v>
          </cell>
          <cell r="D321" t="str">
            <v>英雄祈愿券（限时）</v>
          </cell>
        </row>
        <row r="322">
          <cell r="A322">
            <v>2026</v>
          </cell>
          <cell r="D322" t="str">
            <v>英雄祈愿券</v>
          </cell>
        </row>
        <row r="323">
          <cell r="A323">
            <v>2028</v>
          </cell>
          <cell r="D323" t="str">
            <v>精锐招募令</v>
          </cell>
        </row>
        <row r="324">
          <cell r="A324">
            <v>2050</v>
          </cell>
          <cell r="D324" t="str">
            <v>功勋道具占位</v>
          </cell>
        </row>
        <row r="325">
          <cell r="A325">
            <v>2055</v>
          </cell>
          <cell r="D325" t="str">
            <v>传奇英杰招募券</v>
          </cell>
        </row>
        <row r="326">
          <cell r="A326">
            <v>2056</v>
          </cell>
          <cell r="D326" t="str">
            <v>英雄重置券</v>
          </cell>
        </row>
        <row r="327">
          <cell r="A327">
            <v>2059</v>
          </cell>
          <cell r="D327" t="str">
            <v>英雄继承券</v>
          </cell>
        </row>
        <row r="328">
          <cell r="A328">
            <v>2060</v>
          </cell>
          <cell r="D328" t="str">
            <v>藏宝图碎片</v>
          </cell>
        </row>
        <row r="329">
          <cell r="A329">
            <v>2061</v>
          </cell>
          <cell r="D329" t="str">
            <v>伟大蓝图</v>
          </cell>
        </row>
        <row r="330">
          <cell r="A330">
            <v>2062</v>
          </cell>
          <cell r="D330" t="str">
            <v>48h雇佣合同</v>
          </cell>
        </row>
        <row r="331">
          <cell r="A331">
            <v>2063</v>
          </cell>
          <cell r="D331" t="str">
            <v>技能点*2500</v>
          </cell>
        </row>
        <row r="332">
          <cell r="A332">
            <v>2064</v>
          </cell>
          <cell r="D332" t="str">
            <v>技能点*1000</v>
          </cell>
        </row>
        <row r="333">
          <cell r="A333">
            <v>2065</v>
          </cell>
          <cell r="D333" t="str">
            <v>技能点*500</v>
          </cell>
        </row>
        <row r="334">
          <cell r="A334">
            <v>2066</v>
          </cell>
          <cell r="D334" t="str">
            <v>技能点*200</v>
          </cell>
        </row>
        <row r="335">
          <cell r="A335">
            <v>2067</v>
          </cell>
          <cell r="D335" t="str">
            <v>永久解锁队列</v>
          </cell>
        </row>
        <row r="336">
          <cell r="A336">
            <v>2068</v>
          </cell>
          <cell r="D336" t="str">
            <v>庇佑蓝图</v>
          </cell>
        </row>
        <row r="337">
          <cell r="A337">
            <v>3006</v>
          </cell>
          <cell r="D337" t="str">
            <v>1行动令</v>
          </cell>
        </row>
        <row r="338">
          <cell r="A338">
            <v>3010</v>
          </cell>
          <cell r="D338" t="str">
            <v>每日免费君主体力（50）</v>
          </cell>
        </row>
        <row r="339">
          <cell r="A339">
            <v>3011</v>
          </cell>
          <cell r="D339" t="str">
            <v>君主体力补给（1）</v>
          </cell>
        </row>
        <row r="340">
          <cell r="A340">
            <v>3012</v>
          </cell>
          <cell r="D340" t="str">
            <v>君主体力补给（5）</v>
          </cell>
        </row>
        <row r="341">
          <cell r="A341">
            <v>3013</v>
          </cell>
          <cell r="D341" t="str">
            <v>君主体力补给（10）</v>
          </cell>
        </row>
        <row r="342">
          <cell r="A342">
            <v>3014</v>
          </cell>
          <cell r="D342" t="str">
            <v>君主体力补给（50）</v>
          </cell>
        </row>
        <row r="343">
          <cell r="A343">
            <v>3015</v>
          </cell>
          <cell r="D343" t="str">
            <v>君主体力补给（100）</v>
          </cell>
        </row>
        <row r="344">
          <cell r="A344">
            <v>3080</v>
          </cell>
          <cell r="D344" t="str">
            <v>君主改名券</v>
          </cell>
        </row>
        <row r="345">
          <cell r="A345">
            <v>4000</v>
          </cell>
          <cell r="D345" t="str">
            <v>知识卷轴X1</v>
          </cell>
        </row>
        <row r="346">
          <cell r="A346">
            <v>4001</v>
          </cell>
          <cell r="D346" t="str">
            <v>新手迁城</v>
          </cell>
        </row>
        <row r="347">
          <cell r="A347">
            <v>4002</v>
          </cell>
          <cell r="D347" t="str">
            <v>知识卷轴X1000</v>
          </cell>
        </row>
        <row r="348">
          <cell r="A348">
            <v>4003</v>
          </cell>
          <cell r="D348" t="str">
            <v>知识卷轴X100（暂时不要使用，无效）</v>
          </cell>
        </row>
        <row r="349">
          <cell r="A349">
            <v>4004</v>
          </cell>
          <cell r="D349" t="str">
            <v>知识卷轴X200（暂时不要使用，无效）</v>
          </cell>
        </row>
        <row r="350">
          <cell r="A350">
            <v>4005</v>
          </cell>
          <cell r="D350" t="str">
            <v>知识卷轴X500（暂时不要使用，无效）</v>
          </cell>
        </row>
        <row r="351">
          <cell r="A351">
            <v>4006</v>
          </cell>
          <cell r="D351" t="str">
            <v>民心选票</v>
          </cell>
        </row>
        <row r="352">
          <cell r="A352">
            <v>4007</v>
          </cell>
          <cell r="D352" t="str">
            <v>新手迁城（限时）</v>
          </cell>
        </row>
        <row r="353">
          <cell r="A353">
            <v>4008</v>
          </cell>
          <cell r="D353" t="str">
            <v>回归迁城（限时）</v>
          </cell>
        </row>
        <row r="354">
          <cell r="A354">
            <v>4009</v>
          </cell>
          <cell r="D354" t="str">
            <v>奇迹碎片</v>
          </cell>
        </row>
        <row r="355">
          <cell r="A355">
            <v>4010</v>
          </cell>
          <cell r="D355" t="str">
            <v>奇迹建造图纸</v>
          </cell>
        </row>
        <row r="356">
          <cell r="A356">
            <v>4011</v>
          </cell>
          <cell r="D356" t="str">
            <v>奇迹升阶图纸</v>
          </cell>
        </row>
        <row r="357">
          <cell r="A357">
            <v>4012</v>
          </cell>
          <cell r="D357" t="str">
            <v>奇迹祝福道具</v>
          </cell>
        </row>
        <row r="358">
          <cell r="A358">
            <v>5005</v>
          </cell>
          <cell r="D358" t="str">
            <v>随机迁城（有效，但暂不考虑投放）</v>
          </cell>
        </row>
        <row r="359">
          <cell r="A359">
            <v>5006</v>
          </cell>
          <cell r="D359" t="str">
            <v>免战声明</v>
          </cell>
        </row>
        <row r="360">
          <cell r="A360">
            <v>5007</v>
          </cell>
          <cell r="D360" t="str">
            <v>3小时紧急免战声明</v>
          </cell>
        </row>
        <row r="361">
          <cell r="A361">
            <v>5008</v>
          </cell>
          <cell r="D361" t="str">
            <v>8小时紧急免战声明</v>
          </cell>
        </row>
        <row r="362">
          <cell r="A362">
            <v>5010</v>
          </cell>
          <cell r="D362" t="str">
            <v>12小时紧急免战声明</v>
          </cell>
        </row>
        <row r="363">
          <cell r="A363">
            <v>5011</v>
          </cell>
          <cell r="D363" t="str">
            <v>3小时紧急免战声明</v>
          </cell>
        </row>
        <row r="364">
          <cell r="A364">
            <v>5014</v>
          </cell>
          <cell r="D364" t="str">
            <v>城内木材24小时增产</v>
          </cell>
        </row>
        <row r="365">
          <cell r="A365">
            <v>5015</v>
          </cell>
          <cell r="D365" t="str">
            <v>城内食物24小时增产</v>
          </cell>
        </row>
        <row r="366">
          <cell r="A366">
            <v>5016</v>
          </cell>
          <cell r="D366" t="str">
            <v>城内石头24小时增产</v>
          </cell>
        </row>
        <row r="367">
          <cell r="A367">
            <v>5017</v>
          </cell>
          <cell r="D367" t="str">
            <v>城内黄金24小时增产</v>
          </cell>
        </row>
        <row r="368">
          <cell r="A368">
            <v>5018</v>
          </cell>
          <cell r="D368" t="str">
            <v>城内木材8小时增产</v>
          </cell>
        </row>
        <row r="369">
          <cell r="A369">
            <v>5019</v>
          </cell>
          <cell r="D369" t="str">
            <v>城内食物8小时增产</v>
          </cell>
        </row>
        <row r="370">
          <cell r="A370">
            <v>5020</v>
          </cell>
          <cell r="D370" t="str">
            <v>城内石头8小时增产</v>
          </cell>
        </row>
        <row r="371">
          <cell r="A371">
            <v>5021</v>
          </cell>
          <cell r="D371" t="str">
            <v>城内黄金8小时增产</v>
          </cell>
        </row>
        <row r="372">
          <cell r="A372">
            <v>5031</v>
          </cell>
          <cell r="D372" t="str">
            <v>屯兵上限（1万）</v>
          </cell>
        </row>
        <row r="373">
          <cell r="A373">
            <v>5032</v>
          </cell>
          <cell r="D373" t="str">
            <v>屯兵上限（3万）</v>
          </cell>
        </row>
        <row r="374">
          <cell r="A374">
            <v>5033</v>
          </cell>
          <cell r="D374" t="str">
            <v>屯兵上限（6万）</v>
          </cell>
        </row>
        <row r="375">
          <cell r="A375">
            <v>5034</v>
          </cell>
          <cell r="D375" t="str">
            <v>屯兵上限（9万）</v>
          </cell>
        </row>
        <row r="376">
          <cell r="A376">
            <v>5035</v>
          </cell>
          <cell r="D376" t="str">
            <v>屯兵上限（12万）</v>
          </cell>
        </row>
        <row r="377">
          <cell r="A377">
            <v>5036</v>
          </cell>
          <cell r="D377" t="str">
            <v>屯兵上限（4万）</v>
          </cell>
        </row>
        <row r="378">
          <cell r="A378">
            <v>5037</v>
          </cell>
          <cell r="D378" t="str">
            <v>屯兵上限（5万）</v>
          </cell>
        </row>
        <row r="379">
          <cell r="A379">
            <v>5038</v>
          </cell>
          <cell r="D379" t="str">
            <v>屯兵上限（8万）</v>
          </cell>
        </row>
        <row r="380">
          <cell r="A380">
            <v>5041</v>
          </cell>
          <cell r="D380" t="str">
            <v>英雄体力上限（20）</v>
          </cell>
        </row>
        <row r="381">
          <cell r="A381">
            <v>5042</v>
          </cell>
          <cell r="D381" t="str">
            <v>英雄体力上限（40）</v>
          </cell>
        </row>
        <row r="382">
          <cell r="A382">
            <v>5043</v>
          </cell>
          <cell r="D382" t="str">
            <v>英雄体力上限（60）</v>
          </cell>
        </row>
        <row r="383">
          <cell r="A383">
            <v>5044</v>
          </cell>
          <cell r="D383" t="str">
            <v>英雄体力上限（30）</v>
          </cell>
        </row>
        <row r="384">
          <cell r="A384">
            <v>5045</v>
          </cell>
          <cell r="D384" t="str">
            <v>英雄体力上限（15）</v>
          </cell>
        </row>
        <row r="385">
          <cell r="A385">
            <v>5046</v>
          </cell>
          <cell r="D385" t="str">
            <v>英雄体力上限（25）</v>
          </cell>
        </row>
        <row r="386">
          <cell r="A386">
            <v>5101</v>
          </cell>
          <cell r="D386" t="str">
            <v>1小时战争扩编（10%）</v>
          </cell>
        </row>
        <row r="387">
          <cell r="A387">
            <v>5102</v>
          </cell>
          <cell r="D387" t="str">
            <v>1小时战争扩编（20%）</v>
          </cell>
        </row>
        <row r="388">
          <cell r="A388">
            <v>5103</v>
          </cell>
          <cell r="D388" t="str">
            <v>1小时战争扩编（30%）</v>
          </cell>
        </row>
        <row r="389">
          <cell r="A389">
            <v>5104</v>
          </cell>
          <cell r="D389" t="str">
            <v>1小时战争扩编（40%）</v>
          </cell>
        </row>
        <row r="390">
          <cell r="A390">
            <v>5111</v>
          </cell>
          <cell r="D390" t="str">
            <v>训练容量提升（100%）</v>
          </cell>
        </row>
        <row r="391">
          <cell r="A391">
            <v>5112</v>
          </cell>
          <cell r="D391" t="str">
            <v>训练容量提升（200%）</v>
          </cell>
        </row>
        <row r="392">
          <cell r="A392">
            <v>5113</v>
          </cell>
          <cell r="D392" t="str">
            <v>训练容量提升（300%）</v>
          </cell>
        </row>
        <row r="393">
          <cell r="A393">
            <v>5114</v>
          </cell>
          <cell r="D393" t="str">
            <v>训练容量提升（400%）</v>
          </cell>
        </row>
        <row r="394">
          <cell r="A394">
            <v>5200</v>
          </cell>
          <cell r="D394" t="str">
            <v>1小时攻击加成（10%）</v>
          </cell>
        </row>
        <row r="395">
          <cell r="A395">
            <v>5201</v>
          </cell>
          <cell r="D395" t="str">
            <v>1小时攻击加成（30%）</v>
          </cell>
        </row>
        <row r="396">
          <cell r="A396">
            <v>5202</v>
          </cell>
          <cell r="D396" t="str">
            <v>1小时攻击加成（40%）</v>
          </cell>
        </row>
        <row r="397">
          <cell r="A397">
            <v>5300</v>
          </cell>
          <cell r="D397" t="str">
            <v>1小时防御加成（10%）</v>
          </cell>
        </row>
        <row r="398">
          <cell r="A398">
            <v>5301</v>
          </cell>
          <cell r="D398" t="str">
            <v>1小时防御加成（30%）</v>
          </cell>
        </row>
        <row r="399">
          <cell r="A399">
            <v>5302</v>
          </cell>
          <cell r="D399" t="str">
            <v>1小时防御加成（40%）</v>
          </cell>
        </row>
        <row r="400">
          <cell r="A400">
            <v>6002</v>
          </cell>
          <cell r="D400" t="str">
            <v>1分钟科技加速</v>
          </cell>
        </row>
        <row r="401">
          <cell r="A401">
            <v>6003</v>
          </cell>
          <cell r="D401" t="str">
            <v>1分钟训练加速</v>
          </cell>
        </row>
        <row r="402">
          <cell r="A402">
            <v>6020</v>
          </cell>
          <cell r="D402" t="str">
            <v>5分钟建造加速</v>
          </cell>
        </row>
        <row r="403">
          <cell r="A403">
            <v>6021</v>
          </cell>
          <cell r="D403" t="str">
            <v>1小时建造加速</v>
          </cell>
        </row>
        <row r="404">
          <cell r="A404">
            <v>6022</v>
          </cell>
          <cell r="D404" t="str">
            <v>2小时建造加速</v>
          </cell>
        </row>
        <row r="405">
          <cell r="A405">
            <v>6023</v>
          </cell>
          <cell r="D405" t="str">
            <v>8小时建造加速</v>
          </cell>
        </row>
        <row r="406">
          <cell r="A406">
            <v>6024</v>
          </cell>
          <cell r="D406" t="str">
            <v>12小时建造加速</v>
          </cell>
        </row>
        <row r="407">
          <cell r="A407">
            <v>6025</v>
          </cell>
          <cell r="D407" t="str">
            <v>24小时建造加速</v>
          </cell>
        </row>
        <row r="408">
          <cell r="A408">
            <v>6030</v>
          </cell>
          <cell r="D408" t="str">
            <v>5分钟科技加速</v>
          </cell>
        </row>
        <row r="409">
          <cell r="A409">
            <v>6031</v>
          </cell>
          <cell r="D409" t="str">
            <v>1小时科技加速</v>
          </cell>
        </row>
        <row r="410">
          <cell r="A410">
            <v>6032</v>
          </cell>
          <cell r="D410" t="str">
            <v>2小时科技加速</v>
          </cell>
        </row>
        <row r="411">
          <cell r="A411">
            <v>6033</v>
          </cell>
          <cell r="D411" t="str">
            <v>8小时科技加速</v>
          </cell>
        </row>
        <row r="412">
          <cell r="A412">
            <v>6034</v>
          </cell>
          <cell r="D412" t="str">
            <v>12小时科技加速</v>
          </cell>
        </row>
        <row r="413">
          <cell r="A413">
            <v>6035</v>
          </cell>
          <cell r="D413" t="str">
            <v>24小时科技加速</v>
          </cell>
        </row>
        <row r="414">
          <cell r="A414">
            <v>6040</v>
          </cell>
          <cell r="D414" t="str">
            <v>5分钟训练加速</v>
          </cell>
        </row>
        <row r="415">
          <cell r="A415">
            <v>6041</v>
          </cell>
          <cell r="D415" t="str">
            <v>1小时训练加速</v>
          </cell>
        </row>
        <row r="416">
          <cell r="A416">
            <v>6042</v>
          </cell>
          <cell r="D416" t="str">
            <v>2小时训练加速</v>
          </cell>
        </row>
        <row r="417">
          <cell r="A417">
            <v>6043</v>
          </cell>
          <cell r="D417" t="str">
            <v>8小时训练加速</v>
          </cell>
        </row>
        <row r="418">
          <cell r="A418">
            <v>6044</v>
          </cell>
          <cell r="D418" t="str">
            <v>12小时训练加速</v>
          </cell>
        </row>
        <row r="419">
          <cell r="A419">
            <v>6045</v>
          </cell>
          <cell r="D419" t="str">
            <v>24小时训练加速</v>
          </cell>
        </row>
        <row r="420">
          <cell r="A420">
            <v>6050</v>
          </cell>
          <cell r="D420" t="str">
            <v>5分钟治疗加速</v>
          </cell>
        </row>
        <row r="421">
          <cell r="A421">
            <v>6051</v>
          </cell>
          <cell r="D421" t="str">
            <v>1小时治疗加速</v>
          </cell>
        </row>
        <row r="422">
          <cell r="A422">
            <v>6052</v>
          </cell>
          <cell r="D422" t="str">
            <v>2小时治疗加速</v>
          </cell>
        </row>
        <row r="423">
          <cell r="A423">
            <v>6053</v>
          </cell>
          <cell r="D423" t="str">
            <v>8小时治疗加速</v>
          </cell>
        </row>
        <row r="424">
          <cell r="A424">
            <v>6054</v>
          </cell>
          <cell r="D424" t="str">
            <v>12小时治疗加速</v>
          </cell>
        </row>
        <row r="425">
          <cell r="A425">
            <v>6055</v>
          </cell>
          <cell r="D425" t="str">
            <v>24小时治疗加速</v>
          </cell>
        </row>
        <row r="426">
          <cell r="A426">
            <v>6100</v>
          </cell>
          <cell r="D426" t="str">
            <v>1分钟通用加速</v>
          </cell>
        </row>
        <row r="427">
          <cell r="A427">
            <v>6101</v>
          </cell>
          <cell r="D427" t="str">
            <v>5分钟通用加速</v>
          </cell>
        </row>
        <row r="428">
          <cell r="A428">
            <v>6102</v>
          </cell>
          <cell r="D428" t="str">
            <v>10分钟通用加速</v>
          </cell>
        </row>
        <row r="429">
          <cell r="A429">
            <v>6103</v>
          </cell>
          <cell r="D429" t="str">
            <v>15分钟通用加速</v>
          </cell>
        </row>
        <row r="430">
          <cell r="A430">
            <v>6104</v>
          </cell>
          <cell r="D430" t="str">
            <v>30分钟通用加速</v>
          </cell>
        </row>
        <row r="431">
          <cell r="A431">
            <v>6105</v>
          </cell>
          <cell r="D431" t="str">
            <v>60分钟通用加速</v>
          </cell>
        </row>
        <row r="432">
          <cell r="A432">
            <v>6106</v>
          </cell>
          <cell r="D432" t="str">
            <v>2小时通用加速</v>
          </cell>
        </row>
        <row r="433">
          <cell r="A433">
            <v>6107</v>
          </cell>
          <cell r="D433" t="str">
            <v>3小时通用加速</v>
          </cell>
        </row>
        <row r="434">
          <cell r="A434">
            <v>6108</v>
          </cell>
          <cell r="D434" t="str">
            <v>8小时通用加速</v>
          </cell>
        </row>
        <row r="435">
          <cell r="A435">
            <v>6109</v>
          </cell>
          <cell r="D435" t="str">
            <v>12小时通用加速</v>
          </cell>
        </row>
        <row r="436">
          <cell r="A436">
            <v>6110</v>
          </cell>
          <cell r="D436" t="str">
            <v>15小时通用加速</v>
          </cell>
        </row>
        <row r="437">
          <cell r="A437">
            <v>6111</v>
          </cell>
          <cell r="D437" t="str">
            <v>24小时通用加速</v>
          </cell>
        </row>
        <row r="438">
          <cell r="A438">
            <v>6112</v>
          </cell>
          <cell r="D438" t="str">
            <v>3天通用加速</v>
          </cell>
        </row>
        <row r="439">
          <cell r="A439">
            <v>6113</v>
          </cell>
          <cell r="D439" t="str">
            <v>7天通用加速</v>
          </cell>
        </row>
        <row r="440">
          <cell r="A440">
            <v>6114</v>
          </cell>
          <cell r="D440" t="str">
            <v>15天通用加速</v>
          </cell>
        </row>
        <row r="441">
          <cell r="A441">
            <v>6115</v>
          </cell>
          <cell r="D441" t="str">
            <v>30天通用加速</v>
          </cell>
        </row>
        <row r="442">
          <cell r="A442">
            <v>6120</v>
          </cell>
          <cell r="D442" t="str">
            <v>1分钟建造加速</v>
          </cell>
        </row>
        <row r="443">
          <cell r="A443">
            <v>6121</v>
          </cell>
          <cell r="D443" t="str">
            <v>5分钟建造加速</v>
          </cell>
        </row>
        <row r="444">
          <cell r="A444">
            <v>6122</v>
          </cell>
          <cell r="D444" t="str">
            <v>10分钟建造加速</v>
          </cell>
        </row>
        <row r="445">
          <cell r="A445">
            <v>6123</v>
          </cell>
          <cell r="D445" t="str">
            <v>15分钟建造加速</v>
          </cell>
        </row>
        <row r="446">
          <cell r="A446">
            <v>6124</v>
          </cell>
          <cell r="D446" t="str">
            <v>30分钟建造加速</v>
          </cell>
        </row>
        <row r="447">
          <cell r="A447">
            <v>6125</v>
          </cell>
          <cell r="D447" t="str">
            <v>60分钟建造加速</v>
          </cell>
        </row>
        <row r="448">
          <cell r="A448">
            <v>6126</v>
          </cell>
          <cell r="D448" t="str">
            <v>2小时建造加速</v>
          </cell>
        </row>
        <row r="449">
          <cell r="A449">
            <v>6127</v>
          </cell>
          <cell r="D449" t="str">
            <v>3小时建造加速</v>
          </cell>
        </row>
        <row r="450">
          <cell r="A450">
            <v>6128</v>
          </cell>
          <cell r="D450" t="str">
            <v>8小时建造加速</v>
          </cell>
        </row>
        <row r="451">
          <cell r="A451">
            <v>6129</v>
          </cell>
          <cell r="D451" t="str">
            <v>12小时建造加速</v>
          </cell>
        </row>
        <row r="452">
          <cell r="A452">
            <v>6130</v>
          </cell>
          <cell r="D452" t="str">
            <v>15小时建造加速</v>
          </cell>
        </row>
        <row r="453">
          <cell r="A453">
            <v>6131</v>
          </cell>
          <cell r="D453" t="str">
            <v>24小时建造加速</v>
          </cell>
        </row>
        <row r="454">
          <cell r="A454">
            <v>6132</v>
          </cell>
          <cell r="D454" t="str">
            <v>3天建造加速</v>
          </cell>
        </row>
        <row r="455">
          <cell r="A455">
            <v>6133</v>
          </cell>
          <cell r="D455" t="str">
            <v>7天建造加速</v>
          </cell>
        </row>
        <row r="456">
          <cell r="A456">
            <v>6134</v>
          </cell>
          <cell r="D456" t="str">
            <v>15天建造加速</v>
          </cell>
        </row>
        <row r="457">
          <cell r="A457">
            <v>6135</v>
          </cell>
          <cell r="D457" t="str">
            <v>30天建造加速</v>
          </cell>
        </row>
        <row r="458">
          <cell r="A458">
            <v>6140</v>
          </cell>
          <cell r="D458" t="str">
            <v>1分钟科技加速</v>
          </cell>
        </row>
        <row r="459">
          <cell r="A459">
            <v>6141</v>
          </cell>
          <cell r="D459" t="str">
            <v>5分钟科技加速</v>
          </cell>
        </row>
        <row r="460">
          <cell r="A460">
            <v>6142</v>
          </cell>
          <cell r="D460" t="str">
            <v>10分钟科技加速</v>
          </cell>
        </row>
        <row r="461">
          <cell r="A461">
            <v>6143</v>
          </cell>
          <cell r="D461" t="str">
            <v>15分钟科技加速</v>
          </cell>
        </row>
        <row r="462">
          <cell r="A462">
            <v>6144</v>
          </cell>
          <cell r="D462" t="str">
            <v>30分钟科技加速</v>
          </cell>
        </row>
        <row r="463">
          <cell r="A463">
            <v>6145</v>
          </cell>
          <cell r="D463" t="str">
            <v>60分钟科技加速</v>
          </cell>
        </row>
        <row r="464">
          <cell r="A464">
            <v>6146</v>
          </cell>
          <cell r="D464" t="str">
            <v>2小时科技加速</v>
          </cell>
        </row>
        <row r="465">
          <cell r="A465">
            <v>6147</v>
          </cell>
          <cell r="D465" t="str">
            <v>3小时科技加速</v>
          </cell>
        </row>
        <row r="466">
          <cell r="A466">
            <v>6148</v>
          </cell>
          <cell r="D466" t="str">
            <v>8小时科技加速</v>
          </cell>
        </row>
        <row r="467">
          <cell r="A467">
            <v>6149</v>
          </cell>
          <cell r="D467" t="str">
            <v>12小时科技加速</v>
          </cell>
        </row>
        <row r="468">
          <cell r="A468">
            <v>6150</v>
          </cell>
          <cell r="D468" t="str">
            <v>15小时科技加速</v>
          </cell>
        </row>
        <row r="469">
          <cell r="A469">
            <v>6151</v>
          </cell>
          <cell r="D469" t="str">
            <v>24小时科技加速</v>
          </cell>
        </row>
        <row r="470">
          <cell r="A470">
            <v>6152</v>
          </cell>
          <cell r="D470" t="str">
            <v>3天科技加速</v>
          </cell>
        </row>
        <row r="471">
          <cell r="A471">
            <v>6153</v>
          </cell>
          <cell r="D471" t="str">
            <v>7天科技加速</v>
          </cell>
        </row>
        <row r="472">
          <cell r="A472">
            <v>6154</v>
          </cell>
          <cell r="D472" t="str">
            <v>15天科技加速</v>
          </cell>
        </row>
        <row r="473">
          <cell r="A473">
            <v>6155</v>
          </cell>
          <cell r="D473" t="str">
            <v>30天科技加速</v>
          </cell>
        </row>
        <row r="474">
          <cell r="A474">
            <v>6160</v>
          </cell>
          <cell r="D474" t="str">
            <v>1分钟训练加速</v>
          </cell>
        </row>
        <row r="475">
          <cell r="A475">
            <v>6161</v>
          </cell>
          <cell r="D475" t="str">
            <v>5分钟训练加速</v>
          </cell>
        </row>
        <row r="476">
          <cell r="A476">
            <v>6162</v>
          </cell>
          <cell r="D476" t="str">
            <v>10分钟训练加速</v>
          </cell>
        </row>
        <row r="477">
          <cell r="A477">
            <v>6163</v>
          </cell>
          <cell r="D477" t="str">
            <v>15分钟训练加速</v>
          </cell>
        </row>
        <row r="478">
          <cell r="A478">
            <v>6164</v>
          </cell>
          <cell r="D478" t="str">
            <v>30分钟训练加速</v>
          </cell>
        </row>
        <row r="479">
          <cell r="A479">
            <v>6165</v>
          </cell>
          <cell r="D479" t="str">
            <v>60分钟训练加速</v>
          </cell>
        </row>
        <row r="480">
          <cell r="A480">
            <v>6166</v>
          </cell>
          <cell r="D480" t="str">
            <v>2小时训练加速</v>
          </cell>
        </row>
        <row r="481">
          <cell r="A481">
            <v>6167</v>
          </cell>
          <cell r="D481" t="str">
            <v>3小时训练加速</v>
          </cell>
        </row>
        <row r="482">
          <cell r="A482">
            <v>6168</v>
          </cell>
          <cell r="D482" t="str">
            <v>8小时训练加速</v>
          </cell>
        </row>
        <row r="483">
          <cell r="A483">
            <v>6169</v>
          </cell>
          <cell r="D483" t="str">
            <v>12小时训练加速</v>
          </cell>
        </row>
        <row r="484">
          <cell r="A484">
            <v>6170</v>
          </cell>
          <cell r="D484" t="str">
            <v>15小时训练加速</v>
          </cell>
        </row>
        <row r="485">
          <cell r="A485">
            <v>6171</v>
          </cell>
          <cell r="D485" t="str">
            <v>24小时训练加速</v>
          </cell>
        </row>
        <row r="486">
          <cell r="A486">
            <v>6172</v>
          </cell>
          <cell r="D486" t="str">
            <v>3天训练加速</v>
          </cell>
        </row>
        <row r="487">
          <cell r="A487">
            <v>6173</v>
          </cell>
          <cell r="D487" t="str">
            <v>7天训练加速</v>
          </cell>
        </row>
        <row r="488">
          <cell r="A488">
            <v>6174</v>
          </cell>
          <cell r="D488" t="str">
            <v>15天训练加速</v>
          </cell>
        </row>
        <row r="489">
          <cell r="A489">
            <v>6175</v>
          </cell>
          <cell r="D489" t="str">
            <v>30天训练加速</v>
          </cell>
        </row>
        <row r="490">
          <cell r="A490">
            <v>6180</v>
          </cell>
          <cell r="D490" t="str">
            <v>1分钟治疗加速</v>
          </cell>
        </row>
        <row r="491">
          <cell r="A491">
            <v>6181</v>
          </cell>
          <cell r="D491" t="str">
            <v>5分钟治疗加速</v>
          </cell>
        </row>
        <row r="492">
          <cell r="A492">
            <v>6182</v>
          </cell>
          <cell r="D492" t="str">
            <v>10分钟治疗加速</v>
          </cell>
        </row>
        <row r="493">
          <cell r="A493">
            <v>6183</v>
          </cell>
          <cell r="D493" t="str">
            <v>15分钟治疗加速</v>
          </cell>
        </row>
        <row r="494">
          <cell r="A494">
            <v>6184</v>
          </cell>
          <cell r="D494" t="str">
            <v>30分钟治疗加速</v>
          </cell>
        </row>
        <row r="495">
          <cell r="A495">
            <v>6185</v>
          </cell>
          <cell r="D495" t="str">
            <v>60分钟治疗加速</v>
          </cell>
        </row>
        <row r="496">
          <cell r="A496">
            <v>6186</v>
          </cell>
          <cell r="D496" t="str">
            <v>2小时治疗加速</v>
          </cell>
        </row>
        <row r="497">
          <cell r="A497">
            <v>6187</v>
          </cell>
          <cell r="D497" t="str">
            <v>3小时治疗加速</v>
          </cell>
        </row>
        <row r="498">
          <cell r="A498">
            <v>6188</v>
          </cell>
          <cell r="D498" t="str">
            <v>8小时治疗加速</v>
          </cell>
        </row>
        <row r="499">
          <cell r="A499">
            <v>6189</v>
          </cell>
          <cell r="D499" t="str">
            <v>12小时治疗加速</v>
          </cell>
        </row>
        <row r="500">
          <cell r="A500">
            <v>6190</v>
          </cell>
          <cell r="D500" t="str">
            <v>15小时治疗加速</v>
          </cell>
        </row>
        <row r="501">
          <cell r="A501">
            <v>6191</v>
          </cell>
          <cell r="D501" t="str">
            <v>24小时治疗加速</v>
          </cell>
        </row>
        <row r="502">
          <cell r="A502">
            <v>6192</v>
          </cell>
          <cell r="D502" t="str">
            <v>3天治疗加速</v>
          </cell>
        </row>
        <row r="503">
          <cell r="A503">
            <v>6193</v>
          </cell>
          <cell r="D503" t="str">
            <v>7天治疗加速</v>
          </cell>
        </row>
        <row r="504">
          <cell r="A504">
            <v>6194</v>
          </cell>
          <cell r="D504" t="str">
            <v>15天治疗加速</v>
          </cell>
        </row>
        <row r="505">
          <cell r="A505">
            <v>6195</v>
          </cell>
          <cell r="D505" t="str">
            <v>30天治疗加速</v>
          </cell>
        </row>
        <row r="506">
          <cell r="A506">
            <v>6196</v>
          </cell>
          <cell r="D506" t="str">
            <v>1分钟锻造加速</v>
          </cell>
        </row>
        <row r="507">
          <cell r="A507">
            <v>6197</v>
          </cell>
          <cell r="D507" t="str">
            <v>5分钟锻造加速</v>
          </cell>
        </row>
        <row r="508">
          <cell r="A508">
            <v>6198</v>
          </cell>
          <cell r="D508" t="str">
            <v>10分钟锻造加速</v>
          </cell>
        </row>
        <row r="509">
          <cell r="A509">
            <v>6199</v>
          </cell>
          <cell r="D509" t="str">
            <v>15分钟锻造加速</v>
          </cell>
        </row>
        <row r="510">
          <cell r="A510">
            <v>6200</v>
          </cell>
          <cell r="D510" t="str">
            <v>30分钟锻造加速</v>
          </cell>
        </row>
        <row r="511">
          <cell r="A511">
            <v>6201</v>
          </cell>
          <cell r="D511" t="str">
            <v>60分钟锻造加速</v>
          </cell>
        </row>
        <row r="512">
          <cell r="A512">
            <v>6202</v>
          </cell>
          <cell r="D512" t="str">
            <v>2小时锻造加速</v>
          </cell>
        </row>
        <row r="513">
          <cell r="A513">
            <v>6203</v>
          </cell>
          <cell r="D513" t="str">
            <v>3小时锻造加速</v>
          </cell>
        </row>
        <row r="514">
          <cell r="A514">
            <v>6204</v>
          </cell>
          <cell r="D514" t="str">
            <v>8小时锻造加速</v>
          </cell>
        </row>
        <row r="515">
          <cell r="A515">
            <v>6205</v>
          </cell>
          <cell r="D515" t="str">
            <v>12小时锻造加速</v>
          </cell>
        </row>
        <row r="516">
          <cell r="A516">
            <v>6206</v>
          </cell>
          <cell r="D516" t="str">
            <v>15小时锻造加速</v>
          </cell>
        </row>
        <row r="517">
          <cell r="A517">
            <v>6207</v>
          </cell>
          <cell r="D517" t="str">
            <v>24小时锻造加速</v>
          </cell>
        </row>
        <row r="518">
          <cell r="A518">
            <v>6208</v>
          </cell>
          <cell r="D518" t="str">
            <v>3天锻造加速</v>
          </cell>
        </row>
        <row r="519">
          <cell r="A519">
            <v>6209</v>
          </cell>
          <cell r="D519" t="str">
            <v>7天锻造加速</v>
          </cell>
        </row>
        <row r="520">
          <cell r="A520">
            <v>6210</v>
          </cell>
          <cell r="D520" t="str">
            <v>15天锻造加速</v>
          </cell>
        </row>
        <row r="521">
          <cell r="A521">
            <v>6211</v>
          </cell>
          <cell r="D521" t="str">
            <v>30天锻造加速</v>
          </cell>
        </row>
        <row r="522">
          <cell r="A522">
            <v>6501</v>
          </cell>
          <cell r="D522" t="str">
            <v>号角聊天喇叭</v>
          </cell>
        </row>
        <row r="523">
          <cell r="A523">
            <v>6502</v>
          </cell>
          <cell r="D523" t="str">
            <v>一方英主之旗</v>
          </cell>
        </row>
        <row r="524">
          <cell r="A524">
            <v>6503</v>
          </cell>
          <cell r="D524" t="str">
            <v>乱世雄主之旗</v>
          </cell>
        </row>
        <row r="525">
          <cell r="A525">
            <v>6504</v>
          </cell>
          <cell r="D525" t="str">
            <v>天下霸主之旗</v>
          </cell>
        </row>
        <row r="526">
          <cell r="A526">
            <v>6505</v>
          </cell>
          <cell r="D526" t="str">
            <v>威武将军军旗</v>
          </cell>
        </row>
        <row r="527">
          <cell r="A527">
            <v>6506</v>
          </cell>
          <cell r="D527" t="str">
            <v>皇家骑士团之旗</v>
          </cell>
        </row>
        <row r="528">
          <cell r="A528">
            <v>6507</v>
          </cell>
          <cell r="D528" t="str">
            <v>沙漠雄鹰战旗</v>
          </cell>
        </row>
        <row r="529">
          <cell r="A529">
            <v>6508</v>
          </cell>
          <cell r="D529" t="str">
            <v>兵马大元帅帅旗</v>
          </cell>
        </row>
        <row r="530">
          <cell r="A530">
            <v>6509</v>
          </cell>
          <cell r="D530" t="str">
            <v>镶金骑士团之旗</v>
          </cell>
        </row>
        <row r="531">
          <cell r="A531">
            <v>6510</v>
          </cell>
          <cell r="D531" t="str">
            <v>金色庭卫战旗</v>
          </cell>
        </row>
        <row r="532">
          <cell r="A532">
            <v>6511</v>
          </cell>
          <cell r="D532" t="str">
            <v>登峰之旗</v>
          </cell>
        </row>
        <row r="533">
          <cell r="A533">
            <v>6512</v>
          </cell>
          <cell r="D533" t="str">
            <v>登峰问鼎之旗 </v>
          </cell>
        </row>
        <row r="534">
          <cell r="A534">
            <v>6513</v>
          </cell>
          <cell r="D534" t="str">
            <v>金色庭卫战旗</v>
          </cell>
        </row>
        <row r="535">
          <cell r="A535">
            <v>6514</v>
          </cell>
          <cell r="D535" t="str">
            <v>奇迹英杰之旗</v>
          </cell>
        </row>
        <row r="536">
          <cell r="A536">
            <v>6515</v>
          </cell>
          <cell r="D536" t="str">
            <v>奇迹霸主之旗</v>
          </cell>
        </row>
        <row r="537">
          <cell r="A537">
            <v>6516</v>
          </cell>
          <cell r="D537" t="str">
            <v>奇迹王者之旗</v>
          </cell>
        </row>
        <row r="538">
          <cell r="A538">
            <v>6520</v>
          </cell>
          <cell r="D538" t="str">
            <v>博物馆测试藏品碎片</v>
          </cell>
        </row>
        <row r="539">
          <cell r="A539">
            <v>6667</v>
          </cell>
          <cell r="D539" t="str">
            <v>奇迹勋章</v>
          </cell>
        </row>
        <row r="540">
          <cell r="A540">
            <v>6668</v>
          </cell>
          <cell r="D540" t="str">
            <v>奇迹之星</v>
          </cell>
        </row>
        <row r="541">
          <cell r="A541">
            <v>6669</v>
          </cell>
          <cell r="D541" t="str">
            <v>帝国探索之书</v>
          </cell>
        </row>
        <row r="542">
          <cell r="A542">
            <v>6670</v>
          </cell>
          <cell r="D542" t="str">
            <v>帝国奇迹之书</v>
          </cell>
        </row>
        <row r="543">
          <cell r="A543">
            <v>6671</v>
          </cell>
          <cell r="D543" t="str">
            <v>荣耀勋章</v>
          </cell>
        </row>
        <row r="544">
          <cell r="A544">
            <v>6672</v>
          </cell>
          <cell r="D544" t="str">
            <v>帝国之星</v>
          </cell>
        </row>
        <row r="545">
          <cell r="A545">
            <v>6673</v>
          </cell>
          <cell r="D545" t="str">
            <v>更多更多(不会获得的道具,仅用来表示还有更多奖励)</v>
          </cell>
        </row>
        <row r="546">
          <cell r="A546">
            <v>6674</v>
          </cell>
          <cell r="D546" t="str">
            <v>兵法残卷</v>
          </cell>
        </row>
        <row r="547">
          <cell r="A547">
            <v>6675</v>
          </cell>
          <cell r="D547" t="str">
            <v>荣耀积分</v>
          </cell>
        </row>
        <row r="548">
          <cell r="A548">
            <v>6676</v>
          </cell>
          <cell r="D548" t="str">
            <v>随机英雄宝箱兑换券</v>
          </cell>
        </row>
        <row r="549">
          <cell r="A549">
            <v>6677</v>
          </cell>
          <cell r="D549" t="str">
            <v>天启密令</v>
          </cell>
        </row>
        <row r="550">
          <cell r="A550">
            <v>6678</v>
          </cell>
          <cell r="D550" t="str">
            <v>奇迹火光</v>
          </cell>
        </row>
        <row r="551">
          <cell r="A551">
            <v>6679</v>
          </cell>
          <cell r="D551" t="str">
            <v>奇迹权杖</v>
          </cell>
        </row>
        <row r="552">
          <cell r="A552">
            <v>6680</v>
          </cell>
          <cell r="D552" t="str">
            <v>城市风格切换券</v>
          </cell>
        </row>
        <row r="553">
          <cell r="A553">
            <v>6681</v>
          </cell>
          <cell r="D553" t="str">
            <v>1铜币（进背包）</v>
          </cell>
        </row>
        <row r="554">
          <cell r="A554">
            <v>6682</v>
          </cell>
          <cell r="D554" t="str">
            <v>1铜币（立即使用，不进背包）</v>
          </cell>
        </row>
        <row r="555">
          <cell r="A555">
            <v>6998</v>
          </cell>
          <cell r="D555" t="str">
            <v>1付费银币（进背包）</v>
          </cell>
        </row>
        <row r="556">
          <cell r="A556">
            <v>6999</v>
          </cell>
          <cell r="D556" t="str">
            <v>1付费银币（立即使用，不进背包）</v>
          </cell>
        </row>
        <row r="557">
          <cell r="A557">
            <v>7000</v>
          </cell>
          <cell r="D557" t="str">
            <v>1钻石（进背包）</v>
          </cell>
        </row>
        <row r="558">
          <cell r="A558">
            <v>7001</v>
          </cell>
          <cell r="D558" t="str">
            <v>1钻石（立即使用，不进背包）</v>
          </cell>
        </row>
        <row r="559">
          <cell r="A559">
            <v>7002</v>
          </cell>
          <cell r="D559" t="str">
            <v>1银币（进背包）</v>
          </cell>
        </row>
        <row r="560">
          <cell r="A560">
            <v>7003</v>
          </cell>
          <cell r="D560" t="str">
            <v>1银币（立即使用，不进背包）</v>
          </cell>
        </row>
        <row r="561">
          <cell r="A561">
            <v>7004</v>
          </cell>
          <cell r="D561" t="str">
            <v>10银币（立即使用，不进背包）</v>
          </cell>
        </row>
        <row r="562">
          <cell r="A562">
            <v>7005</v>
          </cell>
          <cell r="D562" t="str">
            <v>50银币（立即使用，不进背包）</v>
          </cell>
        </row>
        <row r="563">
          <cell r="A563">
            <v>7006</v>
          </cell>
          <cell r="D563" t="str">
            <v>100银币（立即使用，不进背包）</v>
          </cell>
        </row>
        <row r="564">
          <cell r="A564">
            <v>7007</v>
          </cell>
          <cell r="D564" t="str">
            <v>100铜币（立即使用，不进背包）</v>
          </cell>
        </row>
        <row r="565">
          <cell r="A565">
            <v>7008</v>
          </cell>
          <cell r="D565" t="str">
            <v>1000铜币（立即使用，不进背包）</v>
          </cell>
        </row>
        <row r="566">
          <cell r="A566">
            <v>7009</v>
          </cell>
          <cell r="D566" t="str">
            <v>10000铜币（立即使用，不进背包）</v>
          </cell>
        </row>
        <row r="567">
          <cell r="A567">
            <v>7010</v>
          </cell>
          <cell r="D567" t="str">
            <v>军演币</v>
          </cell>
        </row>
        <row r="568">
          <cell r="A568">
            <v>7011</v>
          </cell>
          <cell r="D568" t="str">
            <v>委托经验</v>
          </cell>
        </row>
        <row r="569">
          <cell r="A569">
            <v>7100</v>
          </cell>
          <cell r="D569" t="str">
            <v>联盟币</v>
          </cell>
        </row>
        <row r="570">
          <cell r="A570">
            <v>7101</v>
          </cell>
          <cell r="D570" t="str">
            <v>奇迹积分</v>
          </cell>
        </row>
        <row r="571">
          <cell r="A571">
            <v>7102</v>
          </cell>
          <cell r="D571" t="str">
            <v>天赋点</v>
          </cell>
        </row>
        <row r="572">
          <cell r="A572">
            <v>7200</v>
          </cell>
          <cell r="D572" t="str">
            <v>帝国币</v>
          </cell>
        </row>
        <row r="573">
          <cell r="A573">
            <v>7201</v>
          </cell>
          <cell r="D573" t="str">
            <v>技能点*2500</v>
          </cell>
        </row>
        <row r="574">
          <cell r="A574">
            <v>7202</v>
          </cell>
          <cell r="D574" t="str">
            <v>技能点*1000</v>
          </cell>
        </row>
        <row r="575">
          <cell r="A575">
            <v>7203</v>
          </cell>
          <cell r="D575" t="str">
            <v>技能点*500</v>
          </cell>
        </row>
        <row r="576">
          <cell r="A576">
            <v>7204</v>
          </cell>
          <cell r="D576" t="str">
            <v>技能点*200</v>
          </cell>
        </row>
        <row r="577">
          <cell r="A577">
            <v>7205</v>
          </cell>
          <cell r="D577" t="str">
            <v>铜币*20000</v>
          </cell>
        </row>
        <row r="578">
          <cell r="A578">
            <v>7206</v>
          </cell>
          <cell r="D578" t="str">
            <v>铜币*5000</v>
          </cell>
        </row>
        <row r="579">
          <cell r="A579">
            <v>7207</v>
          </cell>
          <cell r="D579" t="str">
            <v>建筑加速-6小时</v>
          </cell>
        </row>
        <row r="580">
          <cell r="A580">
            <v>7208</v>
          </cell>
          <cell r="D580" t="str">
            <v>科技加速-6小时</v>
          </cell>
        </row>
        <row r="581">
          <cell r="A581">
            <v>7209</v>
          </cell>
          <cell r="D581" t="str">
            <v>训练加速-6小时</v>
          </cell>
        </row>
        <row r="582">
          <cell r="A582">
            <v>7210</v>
          </cell>
          <cell r="D582" t="str">
            <v>10本经验书*50000</v>
          </cell>
        </row>
        <row r="583">
          <cell r="A583">
            <v>7211</v>
          </cell>
          <cell r="D583" t="str">
            <v>25本经验书*10000</v>
          </cell>
        </row>
        <row r="584">
          <cell r="A584">
            <v>7212</v>
          </cell>
          <cell r="D584" t="str">
            <v>100本经验书*1000</v>
          </cell>
        </row>
        <row r="585">
          <cell r="A585">
            <v>7213</v>
          </cell>
          <cell r="D585" t="str">
            <v>100本经验书*500</v>
          </cell>
        </row>
        <row r="586">
          <cell r="A586">
            <v>7214</v>
          </cell>
          <cell r="D586" t="str">
            <v>随机技能4选1</v>
          </cell>
        </row>
        <row r="587">
          <cell r="A587">
            <v>7220</v>
          </cell>
          <cell r="D587" t="str">
            <v>英雄碎片安德莉娅、贞德、哈拉尔3随1</v>
          </cell>
        </row>
        <row r="588">
          <cell r="A588">
            <v>7221</v>
          </cell>
          <cell r="D588" t="str">
            <v>贞德碎片*5</v>
          </cell>
        </row>
        <row r="589">
          <cell r="A589">
            <v>7222</v>
          </cell>
          <cell r="D589" t="str">
            <v>随机技能4选1</v>
          </cell>
        </row>
        <row r="590">
          <cell r="A590">
            <v>7225</v>
          </cell>
          <cell r="D590" t="str">
            <v>经验书*100</v>
          </cell>
        </row>
        <row r="591">
          <cell r="A591">
            <v>7226</v>
          </cell>
          <cell r="D591" t="str">
            <v>经验书*500</v>
          </cell>
        </row>
        <row r="592">
          <cell r="A592">
            <v>7227</v>
          </cell>
          <cell r="D592" t="str">
            <v>经验书*1000</v>
          </cell>
        </row>
        <row r="593">
          <cell r="A593">
            <v>7228</v>
          </cell>
          <cell r="D593" t="str">
            <v>经验书*10000</v>
          </cell>
        </row>
        <row r="594">
          <cell r="A594">
            <v>7229</v>
          </cell>
          <cell r="D594" t="str">
            <v>经验书*50000</v>
          </cell>
        </row>
        <row r="595">
          <cell r="A595">
            <v>7230</v>
          </cell>
          <cell r="D595" t="str">
            <v>经验书*100000</v>
          </cell>
        </row>
        <row r="596">
          <cell r="A596">
            <v>8001</v>
          </cell>
          <cell r="D596" t="str">
            <v>100联盟资金</v>
          </cell>
        </row>
        <row r="597">
          <cell r="A597">
            <v>8002</v>
          </cell>
          <cell r="D597" t="str">
            <v>技术点数(仅展示不要使用不要使用）</v>
          </cell>
        </row>
        <row r="598">
          <cell r="A598">
            <v>8003</v>
          </cell>
          <cell r="D598" t="str">
            <v>文化点数(仅展示不要使用）</v>
          </cell>
        </row>
        <row r="599">
          <cell r="A599">
            <v>8004</v>
          </cell>
          <cell r="D599" t="str">
            <v>木材(仅展示不要使用）</v>
          </cell>
        </row>
        <row r="600">
          <cell r="A600">
            <v>8005</v>
          </cell>
          <cell r="D600" t="str">
            <v>食物(仅展示不要使用）</v>
          </cell>
        </row>
        <row r="601">
          <cell r="A601">
            <v>8006</v>
          </cell>
          <cell r="D601" t="str">
            <v>石头(仅展示不要使用）</v>
          </cell>
        </row>
        <row r="602">
          <cell r="A602">
            <v>8007</v>
          </cell>
          <cell r="D602" t="str">
            <v>黄金(仅展示不要使用）</v>
          </cell>
        </row>
        <row r="603">
          <cell r="A603">
            <v>8008</v>
          </cell>
          <cell r="D603" t="str">
            <v>知识卷轴(仅展示不要使用）</v>
          </cell>
        </row>
        <row r="604">
          <cell r="A604">
            <v>8009</v>
          </cell>
          <cell r="D604" t="str">
            <v>铜币(仅展示不要使用）</v>
          </cell>
        </row>
        <row r="605">
          <cell r="A605">
            <v>8010</v>
          </cell>
          <cell r="D605" t="str">
            <v>银币(仅展示不要使用）</v>
          </cell>
        </row>
        <row r="606">
          <cell r="A606">
            <v>8011</v>
          </cell>
          <cell r="D606" t="str">
            <v>1联盟资金</v>
          </cell>
        </row>
        <row r="607">
          <cell r="A607">
            <v>8012</v>
          </cell>
          <cell r="D607" t="str">
            <v>奇迹攻击符文(1级）(仅展示不要使用）</v>
          </cell>
        </row>
        <row r="608">
          <cell r="A608">
            <v>8013</v>
          </cell>
          <cell r="D608" t="str">
            <v>奇迹攻击符文(2级）(仅展示不要使用）</v>
          </cell>
        </row>
        <row r="609">
          <cell r="A609">
            <v>8014</v>
          </cell>
          <cell r="D609" t="str">
            <v>奇迹攻击符文(3级）(仅展示不要使用）</v>
          </cell>
        </row>
        <row r="610">
          <cell r="A610">
            <v>8015</v>
          </cell>
          <cell r="D610" t="str">
            <v>奇迹守护符文(1级）(仅展示不要使用）</v>
          </cell>
        </row>
        <row r="611">
          <cell r="A611">
            <v>8016</v>
          </cell>
          <cell r="D611" t="str">
            <v>奇迹守护符文(2级）(仅展示不要使用）</v>
          </cell>
        </row>
        <row r="612">
          <cell r="A612">
            <v>8017</v>
          </cell>
          <cell r="D612" t="str">
            <v>奇迹守护符文(3级）(仅展示不要使用）</v>
          </cell>
        </row>
        <row r="613">
          <cell r="A613">
            <v>8018</v>
          </cell>
          <cell r="D613" t="str">
            <v>奇迹敏捷符文(1级）(仅展示不要使用）</v>
          </cell>
        </row>
        <row r="614">
          <cell r="A614">
            <v>8019</v>
          </cell>
          <cell r="D614" t="str">
            <v>奇迹敏捷符文(2级）(仅展示不要使用）</v>
          </cell>
        </row>
        <row r="615">
          <cell r="A615">
            <v>8020</v>
          </cell>
          <cell r="D615" t="str">
            <v>奇迹敏捷符文(3级）(仅展示不要使用）</v>
          </cell>
        </row>
        <row r="616">
          <cell r="A616">
            <v>8021</v>
          </cell>
          <cell r="D616" t="str">
            <v>奇迹狂暴符文(1级）(仅展示不要使用）</v>
          </cell>
        </row>
        <row r="617">
          <cell r="A617">
            <v>8022</v>
          </cell>
          <cell r="D617" t="str">
            <v>奇迹狂暴符文(2级）(仅展示不要使用）</v>
          </cell>
        </row>
        <row r="618">
          <cell r="A618">
            <v>8023</v>
          </cell>
          <cell r="D618" t="str">
            <v>奇迹狂暴符文(3级）(仅展示不要使用）</v>
          </cell>
        </row>
        <row r="619">
          <cell r="A619">
            <v>8024</v>
          </cell>
          <cell r="D619" t="str">
            <v>奇迹沉默符文(仅展示不要使用）</v>
          </cell>
        </row>
        <row r="620">
          <cell r="A620">
            <v>8025</v>
          </cell>
          <cell r="D620" t="str">
            <v>个人积分(仅展示不要使用）</v>
          </cell>
        </row>
        <row r="621">
          <cell r="A621">
            <v>8026</v>
          </cell>
          <cell r="D621" t="str">
            <v>联盟积分(仅展示不要使用）</v>
          </cell>
        </row>
        <row r="622">
          <cell r="A622">
            <v>8027</v>
          </cell>
          <cell r="D622" t="str">
            <v>经验书（仅展示不要使用）</v>
          </cell>
        </row>
        <row r="623">
          <cell r="A623">
            <v>8028</v>
          </cell>
          <cell r="D623" t="str">
            <v>技能点（仅展示不要使用）</v>
          </cell>
        </row>
        <row r="624">
          <cell r="A624">
            <v>8029</v>
          </cell>
          <cell r="D624" t="str">
            <v>加速道具（仅展示不要使用）</v>
          </cell>
        </row>
        <row r="625">
          <cell r="A625">
            <v>9001</v>
          </cell>
          <cell r="D625" t="str">
            <v>村民进背包</v>
          </cell>
        </row>
        <row r="626">
          <cell r="A626">
            <v>9035</v>
          </cell>
          <cell r="D626" t="str">
            <v>最高等级剑士直接使用X1</v>
          </cell>
        </row>
        <row r="627">
          <cell r="A627">
            <v>9036</v>
          </cell>
          <cell r="D627" t="str">
            <v>最高等级枪兵直接使用X1</v>
          </cell>
        </row>
        <row r="628">
          <cell r="A628">
            <v>9037</v>
          </cell>
          <cell r="D628" t="str">
            <v>最高等级骑兵直接使用X1</v>
          </cell>
        </row>
        <row r="629">
          <cell r="A629">
            <v>9038</v>
          </cell>
          <cell r="D629" t="str">
            <v>最高等级弓兵直接使用X1</v>
          </cell>
        </row>
        <row r="630">
          <cell r="A630">
            <v>9039</v>
          </cell>
          <cell r="D630" t="str">
            <v>最高等级剑士进背包X1</v>
          </cell>
        </row>
        <row r="631">
          <cell r="A631">
            <v>9040</v>
          </cell>
          <cell r="D631" t="str">
            <v>最高等级枪兵进背包X1</v>
          </cell>
        </row>
        <row r="632">
          <cell r="A632">
            <v>9041</v>
          </cell>
          <cell r="D632" t="str">
            <v>最高等级骑兵进背包X1</v>
          </cell>
        </row>
        <row r="633">
          <cell r="A633">
            <v>9042</v>
          </cell>
          <cell r="D633" t="str">
            <v>最高等级弓兵进背包X1</v>
          </cell>
        </row>
        <row r="634">
          <cell r="A634">
            <v>9043</v>
          </cell>
          <cell r="D634" t="str">
            <v>最高等级剑士直接使用X100</v>
          </cell>
        </row>
        <row r="635">
          <cell r="A635">
            <v>9044</v>
          </cell>
          <cell r="D635" t="str">
            <v>最高等级枪兵直接使用X100</v>
          </cell>
        </row>
        <row r="636">
          <cell r="A636">
            <v>9045</v>
          </cell>
          <cell r="D636" t="str">
            <v>最高等级骑兵直接使用X100</v>
          </cell>
        </row>
        <row r="637">
          <cell r="A637">
            <v>9046</v>
          </cell>
          <cell r="D637" t="str">
            <v>最高等级弓兵直接使用X100</v>
          </cell>
        </row>
        <row r="638">
          <cell r="A638">
            <v>9047</v>
          </cell>
          <cell r="D638" t="str">
            <v>最高等级剑士直接使用X1000</v>
          </cell>
        </row>
        <row r="639">
          <cell r="A639">
            <v>9048</v>
          </cell>
          <cell r="D639" t="str">
            <v>最高等级枪兵直接使用X1000</v>
          </cell>
        </row>
        <row r="640">
          <cell r="A640">
            <v>9049</v>
          </cell>
          <cell r="D640" t="str">
            <v>最高等级骑兵直接使用X1000</v>
          </cell>
        </row>
        <row r="641">
          <cell r="A641">
            <v>9050</v>
          </cell>
          <cell r="D641" t="str">
            <v>最高等级弓兵直接使用X1000</v>
          </cell>
        </row>
        <row r="642">
          <cell r="A642">
            <v>9511</v>
          </cell>
          <cell r="D642" t="str">
            <v>剑士等级1</v>
          </cell>
        </row>
        <row r="643">
          <cell r="A643">
            <v>9512</v>
          </cell>
          <cell r="D643" t="str">
            <v>枪兵等级1</v>
          </cell>
        </row>
        <row r="644">
          <cell r="A644">
            <v>9513</v>
          </cell>
          <cell r="D644" t="str">
            <v>骑兵等级1</v>
          </cell>
        </row>
        <row r="645">
          <cell r="A645">
            <v>9514</v>
          </cell>
          <cell r="D645" t="str">
            <v>弓兵等级1</v>
          </cell>
        </row>
        <row r="646">
          <cell r="A646">
            <v>9521</v>
          </cell>
          <cell r="D646" t="str">
            <v>剑士等级2</v>
          </cell>
        </row>
        <row r="647">
          <cell r="A647">
            <v>9522</v>
          </cell>
          <cell r="D647" t="str">
            <v>枪兵等级2</v>
          </cell>
        </row>
        <row r="648">
          <cell r="A648">
            <v>9523</v>
          </cell>
          <cell r="D648" t="str">
            <v>骑兵等级2</v>
          </cell>
        </row>
        <row r="649">
          <cell r="A649">
            <v>9524</v>
          </cell>
          <cell r="D649" t="str">
            <v>弓兵等级2</v>
          </cell>
        </row>
        <row r="650">
          <cell r="A650">
            <v>9531</v>
          </cell>
          <cell r="D650" t="str">
            <v>剑士等级3</v>
          </cell>
        </row>
        <row r="651">
          <cell r="A651">
            <v>9532</v>
          </cell>
          <cell r="D651" t="str">
            <v>枪兵等级3</v>
          </cell>
        </row>
        <row r="652">
          <cell r="A652">
            <v>9533</v>
          </cell>
          <cell r="D652" t="str">
            <v>骑兵等级3</v>
          </cell>
        </row>
        <row r="653">
          <cell r="A653">
            <v>9534</v>
          </cell>
          <cell r="D653" t="str">
            <v>弓兵等级3</v>
          </cell>
        </row>
        <row r="654">
          <cell r="A654">
            <v>9541</v>
          </cell>
          <cell r="D654" t="str">
            <v>剑士等级4</v>
          </cell>
        </row>
        <row r="655">
          <cell r="A655">
            <v>9542</v>
          </cell>
          <cell r="D655" t="str">
            <v>枪兵等级4</v>
          </cell>
        </row>
        <row r="656">
          <cell r="A656">
            <v>9543</v>
          </cell>
          <cell r="D656" t="str">
            <v>骑兵等级4</v>
          </cell>
        </row>
        <row r="657">
          <cell r="A657">
            <v>9544</v>
          </cell>
          <cell r="D657" t="str">
            <v>弓兵等级4</v>
          </cell>
        </row>
        <row r="658">
          <cell r="A658">
            <v>9551</v>
          </cell>
          <cell r="D658" t="str">
            <v>剑士等级5</v>
          </cell>
        </row>
        <row r="659">
          <cell r="A659">
            <v>9552</v>
          </cell>
          <cell r="D659" t="str">
            <v>枪兵等级5</v>
          </cell>
        </row>
        <row r="660">
          <cell r="A660">
            <v>9553</v>
          </cell>
          <cell r="D660" t="str">
            <v>骑兵等级5</v>
          </cell>
        </row>
        <row r="661">
          <cell r="A661">
            <v>9554</v>
          </cell>
          <cell r="D661" t="str">
            <v>弓兵等级5</v>
          </cell>
        </row>
        <row r="662">
          <cell r="A662">
            <v>9561</v>
          </cell>
          <cell r="D662" t="str">
            <v>剑士等级6</v>
          </cell>
        </row>
        <row r="663">
          <cell r="A663">
            <v>9562</v>
          </cell>
          <cell r="D663" t="str">
            <v>枪兵等级6</v>
          </cell>
        </row>
        <row r="664">
          <cell r="A664">
            <v>9563</v>
          </cell>
          <cell r="D664" t="str">
            <v>骑兵等级6</v>
          </cell>
        </row>
        <row r="665">
          <cell r="A665">
            <v>9564</v>
          </cell>
          <cell r="D665" t="str">
            <v>弓兵等级6</v>
          </cell>
        </row>
        <row r="666">
          <cell r="A666">
            <v>9571</v>
          </cell>
          <cell r="D666" t="str">
            <v>剑士等级7</v>
          </cell>
        </row>
        <row r="667">
          <cell r="A667">
            <v>9572</v>
          </cell>
          <cell r="D667" t="str">
            <v>枪兵等级7</v>
          </cell>
        </row>
        <row r="668">
          <cell r="A668">
            <v>9573</v>
          </cell>
          <cell r="D668" t="str">
            <v>骑兵等级7</v>
          </cell>
        </row>
        <row r="669">
          <cell r="A669">
            <v>9574</v>
          </cell>
          <cell r="D669" t="str">
            <v>弓兵等级7</v>
          </cell>
        </row>
        <row r="670">
          <cell r="A670">
            <v>14011</v>
          </cell>
          <cell r="D670" t="str">
            <v>100点酒馆人气值</v>
          </cell>
        </row>
        <row r="671">
          <cell r="A671">
            <v>14012</v>
          </cell>
          <cell r="D671" t="str">
            <v>300点酒馆人气值</v>
          </cell>
        </row>
        <row r="672">
          <cell r="A672">
            <v>14013</v>
          </cell>
          <cell r="D672" t="str">
            <v>500点酒馆人气值</v>
          </cell>
        </row>
        <row r="673">
          <cell r="A673">
            <v>14014</v>
          </cell>
          <cell r="D673" t="str">
            <v>1000点酒馆人气值</v>
          </cell>
        </row>
        <row r="674">
          <cell r="A674">
            <v>14016</v>
          </cell>
          <cell r="D674" t="str">
            <v>2000点酒馆人气值</v>
          </cell>
        </row>
        <row r="675">
          <cell r="A675">
            <v>14017</v>
          </cell>
          <cell r="D675" t="str">
            <v>3000点酒馆人气值</v>
          </cell>
        </row>
        <row r="676">
          <cell r="A676">
            <v>14018</v>
          </cell>
          <cell r="D676" t="str">
            <v>5000点酒馆人气值</v>
          </cell>
        </row>
        <row r="677">
          <cell r="A677">
            <v>14101</v>
          </cell>
          <cell r="D677" t="str">
            <v>李芊岚</v>
          </cell>
        </row>
        <row r="678">
          <cell r="A678">
            <v>14105</v>
          </cell>
          <cell r="D678" t="str">
            <v>顾烟</v>
          </cell>
        </row>
        <row r="679">
          <cell r="A679">
            <v>14106</v>
          </cell>
          <cell r="D679" t="str">
            <v>翟黎</v>
          </cell>
        </row>
        <row r="680">
          <cell r="A680">
            <v>14107</v>
          </cell>
          <cell r="D680" t="str">
            <v>伊丽莎白</v>
          </cell>
        </row>
        <row r="681">
          <cell r="A681">
            <v>14108</v>
          </cell>
          <cell r="D681" t="str">
            <v>娜娜丽</v>
          </cell>
        </row>
        <row r="682">
          <cell r="A682">
            <v>14109</v>
          </cell>
          <cell r="D682" t="str">
            <v>亚基</v>
          </cell>
        </row>
        <row r="683">
          <cell r="A683">
            <v>14201</v>
          </cell>
          <cell r="D683" t="str">
            <v>密克安哲</v>
          </cell>
        </row>
        <row r="684">
          <cell r="A684">
            <v>14202</v>
          </cell>
          <cell r="D684" t="str">
            <v>方选</v>
          </cell>
        </row>
        <row r="685">
          <cell r="A685">
            <v>14203</v>
          </cell>
          <cell r="D685" t="str">
            <v>任行之</v>
          </cell>
        </row>
        <row r="686">
          <cell r="A686">
            <v>14204</v>
          </cell>
          <cell r="D686" t="str">
            <v>列奥那</v>
          </cell>
        </row>
        <row r="687">
          <cell r="A687">
            <v>14206</v>
          </cell>
          <cell r="D687" t="str">
            <v>秦粤</v>
          </cell>
        </row>
        <row r="688">
          <cell r="A688">
            <v>14207</v>
          </cell>
          <cell r="D688" t="str">
            <v>莎芙</v>
          </cell>
        </row>
        <row r="689">
          <cell r="A689">
            <v>14301</v>
          </cell>
          <cell r="D689" t="str">
            <v>梅芙</v>
          </cell>
        </row>
        <row r="690">
          <cell r="A690">
            <v>14302</v>
          </cell>
          <cell r="D690" t="str">
            <v>尼古劳斯</v>
          </cell>
        </row>
        <row r="691">
          <cell r="A691">
            <v>14303</v>
          </cell>
          <cell r="D691" t="str">
            <v>拉格纳</v>
          </cell>
        </row>
        <row r="692">
          <cell r="A692">
            <v>14304</v>
          </cell>
          <cell r="D692" t="str">
            <v>公孙</v>
          </cell>
        </row>
        <row r="693">
          <cell r="A693">
            <v>14305</v>
          </cell>
          <cell r="D693" t="str">
            <v>德罗茜</v>
          </cell>
        </row>
        <row r="694">
          <cell r="A694">
            <v>14306</v>
          </cell>
          <cell r="D694" t="str">
            <v>佩里克勒斯</v>
          </cell>
        </row>
        <row r="695">
          <cell r="A695">
            <v>14307</v>
          </cell>
          <cell r="D695" t="str">
            <v>元元公主</v>
          </cell>
        </row>
        <row r="696">
          <cell r="A696">
            <v>14308</v>
          </cell>
          <cell r="D696" t="str">
            <v>倪克罗</v>
          </cell>
        </row>
        <row r="697">
          <cell r="A697">
            <v>14309</v>
          </cell>
          <cell r="D697" t="str">
            <v>瓦斯克</v>
          </cell>
        </row>
        <row r="698">
          <cell r="A698">
            <v>14312</v>
          </cell>
          <cell r="D698" t="str">
            <v>施浣</v>
          </cell>
        </row>
        <row r="699">
          <cell r="A699">
            <v>14313</v>
          </cell>
          <cell r="D699" t="str">
            <v>玛丽夫人</v>
          </cell>
        </row>
        <row r="700">
          <cell r="A700">
            <v>14314</v>
          </cell>
          <cell r="D700" t="str">
            <v>琼鸣玉</v>
          </cell>
        </row>
        <row r="701">
          <cell r="A701">
            <v>14315</v>
          </cell>
          <cell r="D701" t="str">
            <v>易清玦</v>
          </cell>
        </row>
        <row r="702">
          <cell r="A702">
            <v>14316</v>
          </cell>
          <cell r="D702" t="str">
            <v>姬敬</v>
          </cell>
        </row>
        <row r="703">
          <cell r="A703">
            <v>14317</v>
          </cell>
          <cell r="D703" t="str">
            <v>莱兹</v>
          </cell>
        </row>
        <row r="704">
          <cell r="A704">
            <v>14318</v>
          </cell>
          <cell r="D704" t="str">
            <v>贾比尔辛</v>
          </cell>
        </row>
        <row r="705">
          <cell r="A705">
            <v>14319</v>
          </cell>
          <cell r="D705" t="str">
            <v>约恩</v>
          </cell>
        </row>
        <row r="706">
          <cell r="A706">
            <v>15000</v>
          </cell>
          <cell r="D706" t="str">
            <v>寻访令</v>
          </cell>
        </row>
        <row r="707">
          <cell r="A707">
            <v>15001</v>
          </cell>
          <cell r="D707" t="str">
            <v>寻访令(商业化）300</v>
          </cell>
        </row>
        <row r="708">
          <cell r="A708">
            <v>15002</v>
          </cell>
          <cell r="D708" t="str">
            <v>寻访令(商业化）500</v>
          </cell>
        </row>
        <row r="709">
          <cell r="A709">
            <v>15003</v>
          </cell>
          <cell r="D709" t="str">
            <v>寻访令(商业化）1000</v>
          </cell>
        </row>
        <row r="710">
          <cell r="A710">
            <v>15004</v>
          </cell>
          <cell r="D710" t="str">
            <v>寻访令(商业化）2000</v>
          </cell>
        </row>
        <row r="711">
          <cell r="A711">
            <v>15005</v>
          </cell>
          <cell r="D711" t="str">
            <v>寻访令(商业化）3000</v>
          </cell>
        </row>
        <row r="712">
          <cell r="A712">
            <v>15006</v>
          </cell>
          <cell r="D712" t="str">
            <v>寻访令(商业化）5000</v>
          </cell>
        </row>
        <row r="713">
          <cell r="A713">
            <v>16000</v>
          </cell>
          <cell r="D713" t="str">
            <v>马可波罗的笔记王国地图</v>
          </cell>
        </row>
        <row r="714">
          <cell r="A714">
            <v>16101</v>
          </cell>
          <cell r="D714" t="str">
            <v>[徽记]李芊岚</v>
          </cell>
        </row>
        <row r="715">
          <cell r="A715">
            <v>16105</v>
          </cell>
          <cell r="D715" t="str">
            <v>[徽记]顾烟</v>
          </cell>
        </row>
        <row r="716">
          <cell r="A716">
            <v>16106</v>
          </cell>
          <cell r="D716" t="str">
            <v>[徽记]翟黎</v>
          </cell>
        </row>
        <row r="717">
          <cell r="A717">
            <v>16107</v>
          </cell>
          <cell r="D717" t="str">
            <v>[徽记]伊丽莎白</v>
          </cell>
        </row>
        <row r="718">
          <cell r="A718">
            <v>16201</v>
          </cell>
          <cell r="D718" t="str">
            <v>[徽记]密克安哲</v>
          </cell>
        </row>
        <row r="719">
          <cell r="A719">
            <v>16203</v>
          </cell>
          <cell r="D719" t="str">
            <v>[徽记]任行之</v>
          </cell>
        </row>
        <row r="720">
          <cell r="A720">
            <v>16204</v>
          </cell>
          <cell r="D720" t="str">
            <v>[徽记]列奥那</v>
          </cell>
        </row>
        <row r="721">
          <cell r="A721">
            <v>16206</v>
          </cell>
          <cell r="D721" t="str">
            <v>[徽记]秦粤</v>
          </cell>
        </row>
        <row r="722">
          <cell r="A722">
            <v>16312</v>
          </cell>
          <cell r="D722" t="str">
            <v>[徽记]施浣</v>
          </cell>
        </row>
        <row r="723">
          <cell r="A723">
            <v>16315</v>
          </cell>
          <cell r="D723" t="str">
            <v>[徽记]易清玦</v>
          </cell>
        </row>
        <row r="724">
          <cell r="A724">
            <v>16317</v>
          </cell>
          <cell r="D724" t="str">
            <v>[徽记]莱兹</v>
          </cell>
        </row>
        <row r="725">
          <cell r="A725">
            <v>16318</v>
          </cell>
          <cell r="D725" t="str">
            <v>[徽记]贾比尔辛</v>
          </cell>
        </row>
        <row r="726">
          <cell r="A726">
            <v>17000</v>
          </cell>
          <cell r="D726" t="str">
            <v>冒险经验+1</v>
          </cell>
        </row>
        <row r="727">
          <cell r="A727">
            <v>17001</v>
          </cell>
          <cell r="D727" t="str">
            <v>冒险经验+10</v>
          </cell>
        </row>
        <row r="728">
          <cell r="A728">
            <v>17002</v>
          </cell>
          <cell r="D728" t="str">
            <v>冒险经验+50</v>
          </cell>
        </row>
        <row r="729">
          <cell r="A729">
            <v>17003</v>
          </cell>
          <cell r="D729" t="str">
            <v>冒险经验+100</v>
          </cell>
        </row>
        <row r="730">
          <cell r="A730">
            <v>17100</v>
          </cell>
          <cell r="D730" t="str">
            <v>冒险冒险次数+1</v>
          </cell>
        </row>
        <row r="731">
          <cell r="A731">
            <v>17200</v>
          </cell>
          <cell r="D731" t="str">
            <v>名人博学值+100</v>
          </cell>
        </row>
        <row r="732">
          <cell r="A732">
            <v>17201</v>
          </cell>
          <cell r="D732" t="str">
            <v>名人博学值+200</v>
          </cell>
        </row>
        <row r="733">
          <cell r="A733">
            <v>17202</v>
          </cell>
          <cell r="D733" t="str">
            <v>名人博学值+500</v>
          </cell>
        </row>
        <row r="734">
          <cell r="A734">
            <v>17203</v>
          </cell>
          <cell r="D734" t="str">
            <v>名人博学值+1000</v>
          </cell>
        </row>
        <row r="735">
          <cell r="A735">
            <v>17204</v>
          </cell>
          <cell r="D735" t="str">
            <v>名人博学值+1</v>
          </cell>
        </row>
        <row r="736">
          <cell r="A736">
            <v>17300</v>
          </cell>
          <cell r="D736" t="str">
            <v>名人冒险宝箱（蓝）</v>
          </cell>
        </row>
        <row r="737">
          <cell r="A737">
            <v>17301</v>
          </cell>
          <cell r="D737" t="str">
            <v>名人冒险宝箱（紫）</v>
          </cell>
        </row>
        <row r="738">
          <cell r="A738">
            <v>17302</v>
          </cell>
          <cell r="D738" t="str">
            <v>名人冒险宝箱（橙）</v>
          </cell>
        </row>
        <row r="739">
          <cell r="A739">
            <v>19001</v>
          </cell>
          <cell r="D739" t="str">
            <v>贞德（废弃勋章道具）</v>
          </cell>
        </row>
        <row r="740">
          <cell r="A740">
            <v>19002</v>
          </cell>
          <cell r="D740" t="str">
            <v>织田信长（废弃勋章道具）</v>
          </cell>
        </row>
        <row r="741">
          <cell r="A741">
            <v>19003</v>
          </cell>
          <cell r="D741" t="str">
            <v>凯撒（废弃勋章道具）</v>
          </cell>
        </row>
        <row r="742">
          <cell r="A742">
            <v>19004</v>
          </cell>
          <cell r="D742" t="str">
            <v>克里奥帕特拉（废弃勋章道具）</v>
          </cell>
        </row>
        <row r="743">
          <cell r="A743">
            <v>19005</v>
          </cell>
          <cell r="D743" t="str">
            <v>关羽（废弃勋章道具）</v>
          </cell>
        </row>
        <row r="744">
          <cell r="A744">
            <v>19006</v>
          </cell>
          <cell r="D744" t="str">
            <v>亨利五世（废弃勋章道具）</v>
          </cell>
        </row>
        <row r="745">
          <cell r="A745">
            <v>19007</v>
          </cell>
          <cell r="D745" t="str">
            <v>项羽（废弃勋章道具）</v>
          </cell>
        </row>
        <row r="746">
          <cell r="A746">
            <v>19008</v>
          </cell>
          <cell r="D746" t="str">
            <v>君士坦丁大帝（废弃勋章道具）</v>
          </cell>
        </row>
        <row r="747">
          <cell r="A747">
            <v>19009</v>
          </cell>
          <cell r="D747" t="str">
            <v>花木兰（废弃勋章道具）</v>
          </cell>
        </row>
        <row r="748">
          <cell r="A748">
            <v>19010</v>
          </cell>
          <cell r="D748" t="str">
            <v>查士丁尼一世（废弃勋章道具）</v>
          </cell>
        </row>
        <row r="749">
          <cell r="A749">
            <v>19011</v>
          </cell>
          <cell r="D749" t="str">
            <v>布狄卡（废弃勋章道具）</v>
          </cell>
        </row>
        <row r="750">
          <cell r="A750">
            <v>19012</v>
          </cell>
          <cell r="D750" t="str">
            <v>萨拉丁（废弃勋章道具）</v>
          </cell>
        </row>
        <row r="751">
          <cell r="A751">
            <v>19013</v>
          </cell>
          <cell r="D751" t="str">
            <v>列奥尼达一世（废弃勋章道具）</v>
          </cell>
        </row>
        <row r="752">
          <cell r="A752">
            <v>19014</v>
          </cell>
          <cell r="D752" t="str">
            <v>孙武（废弃勋章道具）</v>
          </cell>
        </row>
        <row r="753">
          <cell r="A753">
            <v>19015</v>
          </cell>
          <cell r="D753" t="str">
            <v>武则天（废弃勋章道具）</v>
          </cell>
        </row>
        <row r="754">
          <cell r="A754">
            <v>19016</v>
          </cell>
          <cell r="D754" t="str">
            <v>腓力四世（废弃勋章道具）</v>
          </cell>
        </row>
        <row r="755">
          <cell r="A755">
            <v>19017</v>
          </cell>
          <cell r="D755" t="str">
            <v>巴巴罗萨（废弃勋章道具）</v>
          </cell>
        </row>
        <row r="756">
          <cell r="A756">
            <v>19018</v>
          </cell>
          <cell r="D756" t="str">
            <v>曹操（废弃勋章道具）</v>
          </cell>
        </row>
        <row r="757">
          <cell r="A757">
            <v>19019</v>
          </cell>
          <cell r="D757" t="str">
            <v>大流士一世（废弃勋章道具）</v>
          </cell>
        </row>
        <row r="758">
          <cell r="A758">
            <v>19020</v>
          </cell>
          <cell r="D758" t="str">
            <v>李舜臣（废弃勋章道具）</v>
          </cell>
        </row>
        <row r="759">
          <cell r="A759">
            <v>19021</v>
          </cell>
          <cell r="D759" t="str">
            <v>亚瑟王（废弃勋章道具）</v>
          </cell>
        </row>
        <row r="760">
          <cell r="A760">
            <v>19022</v>
          </cell>
          <cell r="D760" t="str">
            <v>亚历山大大帝（废弃勋章道具）</v>
          </cell>
        </row>
        <row r="761">
          <cell r="A761">
            <v>19023</v>
          </cell>
          <cell r="D761" t="str">
            <v>汉尼拔（废弃勋章道具）</v>
          </cell>
        </row>
        <row r="762">
          <cell r="A762">
            <v>19024</v>
          </cell>
          <cell r="D762" t="str">
            <v>黄月英（废弃勋章道具）</v>
          </cell>
        </row>
        <row r="763">
          <cell r="A763">
            <v>19025</v>
          </cell>
          <cell r="D763" t="str">
            <v>穆桂英（废弃勋章道具）</v>
          </cell>
        </row>
        <row r="764">
          <cell r="A764">
            <v>19026</v>
          </cell>
          <cell r="D764" t="str">
            <v>赵云（废弃勋章道具）</v>
          </cell>
        </row>
        <row r="765">
          <cell r="A765">
            <v>19027</v>
          </cell>
          <cell r="D765" t="str">
            <v>兰陵王（废弃勋章道具）</v>
          </cell>
        </row>
        <row r="766">
          <cell r="A766">
            <v>19028</v>
          </cell>
          <cell r="D766" t="str">
            <v>虞姬（废弃勋章道具）</v>
          </cell>
        </row>
        <row r="767">
          <cell r="A767">
            <v>19029</v>
          </cell>
          <cell r="D767" t="str">
            <v>白起（废弃勋章道具）</v>
          </cell>
        </row>
        <row r="768">
          <cell r="A768">
            <v>19030</v>
          </cell>
          <cell r="D768" t="str">
            <v>秦琼（废弃勋章道具）</v>
          </cell>
        </row>
        <row r="769">
          <cell r="A769">
            <v>19031</v>
          </cell>
          <cell r="D769" t="str">
            <v>尉迟恭（废弃勋章道具）</v>
          </cell>
        </row>
        <row r="770">
          <cell r="A770">
            <v>19032</v>
          </cell>
          <cell r="D770" t="str">
            <v>阿提拉（废弃勋章道具）</v>
          </cell>
        </row>
        <row r="771">
          <cell r="A771">
            <v>19033</v>
          </cell>
          <cell r="D771" t="str">
            <v>诸葛亮（废弃勋章道具）</v>
          </cell>
        </row>
        <row r="772">
          <cell r="A772">
            <v>19034</v>
          </cell>
          <cell r="D772" t="str">
            <v>屋大维（废弃勋章道具）</v>
          </cell>
        </row>
        <row r="773">
          <cell r="A773">
            <v>19035</v>
          </cell>
          <cell r="D773" t="str">
            <v>韩信（废弃勋章道具）</v>
          </cell>
        </row>
        <row r="774">
          <cell r="A774">
            <v>19036</v>
          </cell>
          <cell r="D774" t="str">
            <v>约瑟芬（废弃勋章道具）</v>
          </cell>
        </row>
        <row r="775">
          <cell r="A775">
            <v>19037</v>
          </cell>
          <cell r="D775" t="str">
            <v>吕布（废弃勋章道具）</v>
          </cell>
        </row>
        <row r="776">
          <cell r="A776">
            <v>19038</v>
          </cell>
          <cell r="D776" t="str">
            <v>貂蝉（废弃勋章道具）</v>
          </cell>
        </row>
        <row r="777">
          <cell r="A777">
            <v>19039</v>
          </cell>
          <cell r="D777" t="str">
            <v>李白（废弃勋章道具）</v>
          </cell>
        </row>
        <row r="778">
          <cell r="A778">
            <v>19040</v>
          </cell>
          <cell r="D778" t="str">
            <v>孙尚香（废弃勋章道具）</v>
          </cell>
        </row>
        <row r="779">
          <cell r="A779">
            <v>19041</v>
          </cell>
          <cell r="D779" t="str">
            <v>查理曼大帝（废弃勋章道具）</v>
          </cell>
        </row>
        <row r="780">
          <cell r="A780">
            <v>19042</v>
          </cell>
          <cell r="D780" t="str">
            <v>理查一世（废弃勋章道具）</v>
          </cell>
        </row>
        <row r="781">
          <cell r="A781">
            <v>19043</v>
          </cell>
          <cell r="D781" t="str">
            <v>樊梨花（废弃勋章道具）</v>
          </cell>
        </row>
        <row r="782">
          <cell r="A782">
            <v>19044</v>
          </cell>
          <cell r="D782" t="str">
            <v>左慈（废弃勋章道具）</v>
          </cell>
        </row>
        <row r="783">
          <cell r="A783">
            <v>19045</v>
          </cell>
          <cell r="D783" t="str">
            <v>马超（废弃勋章道具）</v>
          </cell>
        </row>
        <row r="784">
          <cell r="A784">
            <v>19046</v>
          </cell>
          <cell r="D784" t="str">
            <v>妇好（废弃勋章道具）</v>
          </cell>
        </row>
        <row r="785">
          <cell r="A785">
            <v>19047</v>
          </cell>
          <cell r="D785" t="str">
            <v>熙德（废弃勋章道具）</v>
          </cell>
        </row>
        <row r="786">
          <cell r="A786">
            <v>19048</v>
          </cell>
          <cell r="D786" t="str">
            <v>李广（废弃勋章道具）</v>
          </cell>
        </row>
        <row r="787">
          <cell r="A787">
            <v>19049</v>
          </cell>
          <cell r="D787" t="str">
            <v>蒙特祖玛一世（废弃勋章道具）</v>
          </cell>
        </row>
        <row r="788">
          <cell r="A788">
            <v>19050</v>
          </cell>
          <cell r="D788" t="str">
            <v>李元霸（废弃勋章道具）</v>
          </cell>
        </row>
        <row r="789">
          <cell r="A789">
            <v>19051</v>
          </cell>
          <cell r="D789" t="str">
            <v>司马懿（废弃勋章道具）</v>
          </cell>
        </row>
        <row r="790">
          <cell r="A790">
            <v>19052</v>
          </cell>
          <cell r="D790" t="str">
            <v>芈月（废弃勋章道具）</v>
          </cell>
        </row>
        <row r="791">
          <cell r="A791">
            <v>19053</v>
          </cell>
          <cell r="D791" t="str">
            <v>张飞（废弃勋章道具）</v>
          </cell>
        </row>
        <row r="792">
          <cell r="A792">
            <v>19054</v>
          </cell>
          <cell r="D792" t="str">
            <v>鬼谷子（废弃勋章道具）</v>
          </cell>
        </row>
        <row r="793">
          <cell r="A793">
            <v>19055</v>
          </cell>
          <cell r="D793" t="str">
            <v>大卫王（废弃勋章道具）</v>
          </cell>
        </row>
        <row r="794">
          <cell r="A794">
            <v>19056</v>
          </cell>
          <cell r="D794" t="str">
            <v>哈拉尔（废弃勋章道具）</v>
          </cell>
        </row>
        <row r="795">
          <cell r="A795">
            <v>19057</v>
          </cell>
          <cell r="D795" t="str">
            <v>SP赵云（废弃勋章道具）</v>
          </cell>
        </row>
        <row r="796">
          <cell r="A796">
            <v>19058</v>
          </cell>
          <cell r="D796" t="str">
            <v>廉颇（废弃勋章道具）</v>
          </cell>
        </row>
        <row r="797">
          <cell r="A797">
            <v>19059</v>
          </cell>
          <cell r="D797" t="str">
            <v>张良（废弃勋章道具）</v>
          </cell>
        </row>
        <row r="798">
          <cell r="A798">
            <v>19060</v>
          </cell>
          <cell r="D798" t="str">
            <v>秦良玉（废弃勋章道具）</v>
          </cell>
        </row>
        <row r="799">
          <cell r="A799">
            <v>19061</v>
          </cell>
          <cell r="D799" t="str">
            <v>汉谟拉比（废弃勋章道具）</v>
          </cell>
        </row>
        <row r="800">
          <cell r="A800">
            <v>19062</v>
          </cell>
          <cell r="D800" t="str">
            <v>狄奥多拉（废弃勋章道具）</v>
          </cell>
        </row>
        <row r="801">
          <cell r="A801">
            <v>19063</v>
          </cell>
          <cell r="D801" t="str">
            <v>哈立德（废弃勋章道具）</v>
          </cell>
        </row>
        <row r="802">
          <cell r="A802">
            <v>19064</v>
          </cell>
          <cell r="D802" t="str">
            <v>示巴女王（废弃勋章道具）</v>
          </cell>
        </row>
        <row r="803">
          <cell r="A803">
            <v>19075</v>
          </cell>
          <cell r="D803" t="str">
            <v>阿育王（废弃勋章道具）</v>
          </cell>
        </row>
        <row r="804">
          <cell r="A804">
            <v>19076</v>
          </cell>
          <cell r="D804" t="str">
            <v>杜加瓦蒂（废弃勋章道具）</v>
          </cell>
        </row>
        <row r="805">
          <cell r="A805">
            <v>19201</v>
          </cell>
          <cell r="D805" t="str">
            <v>李道玄信物（废弃勋章道具）</v>
          </cell>
        </row>
        <row r="806">
          <cell r="A806">
            <v>19202</v>
          </cell>
          <cell r="D806" t="str">
            <v>纳尔西斯信物（废弃勋章道具）</v>
          </cell>
        </row>
        <row r="807">
          <cell r="A807">
            <v>19203</v>
          </cell>
          <cell r="D807" t="str">
            <v>雷欧信物（废弃勋章道具）</v>
          </cell>
        </row>
        <row r="808">
          <cell r="A808">
            <v>19204</v>
          </cell>
          <cell r="D808" t="str">
            <v>莱昂信物（废弃勋章道具）</v>
          </cell>
        </row>
        <row r="809">
          <cell r="A809">
            <v>19205</v>
          </cell>
          <cell r="D809" t="str">
            <v>巴尔达斯信物（废弃勋章道具）</v>
          </cell>
        </row>
        <row r="810">
          <cell r="A810">
            <v>19206</v>
          </cell>
          <cell r="D810" t="str">
            <v>阿克塞尔信物（废弃勋章道具）</v>
          </cell>
        </row>
        <row r="811">
          <cell r="A811">
            <v>19207</v>
          </cell>
          <cell r="D811" t="str">
            <v>武威信物（废弃勋章道具）</v>
          </cell>
        </row>
        <row r="812">
          <cell r="A812">
            <v>19208</v>
          </cell>
          <cell r="D812" t="str">
            <v>崔如意信物（废弃勋章道具）</v>
          </cell>
        </row>
        <row r="813">
          <cell r="A813">
            <v>19209</v>
          </cell>
          <cell r="D813" t="str">
            <v>尼诺信物（废弃勋章道具）</v>
          </cell>
        </row>
        <row r="814">
          <cell r="A814">
            <v>19210</v>
          </cell>
          <cell r="D814" t="str">
            <v>克洛特信物（废弃勋章道具）</v>
          </cell>
        </row>
        <row r="815">
          <cell r="A815">
            <v>19211</v>
          </cell>
          <cell r="D815" t="str">
            <v>高猛信物（废弃勋章道具）</v>
          </cell>
        </row>
        <row r="816">
          <cell r="A816">
            <v>19212</v>
          </cell>
          <cell r="D816" t="str">
            <v>袁夏信物（废弃勋章道具）</v>
          </cell>
        </row>
        <row r="817">
          <cell r="A817">
            <v>19213</v>
          </cell>
          <cell r="D817" t="str">
            <v>泰尼乌斯（废弃勋章道具）</v>
          </cell>
        </row>
        <row r="818">
          <cell r="A818">
            <v>19214</v>
          </cell>
          <cell r="D818" t="str">
            <v>加图斯（废弃勋章道具）</v>
          </cell>
        </row>
        <row r="819">
          <cell r="A819">
            <v>19215</v>
          </cell>
          <cell r="D819" t="str">
            <v>凯索（废弃勋章道具）</v>
          </cell>
        </row>
        <row r="820">
          <cell r="A820">
            <v>19216</v>
          </cell>
          <cell r="D820" t="str">
            <v>卢基（废弃勋章道具）</v>
          </cell>
        </row>
        <row r="821">
          <cell r="A821">
            <v>119001</v>
          </cell>
          <cell r="D821" t="str">
            <v>贞德</v>
          </cell>
        </row>
        <row r="822">
          <cell r="A822">
            <v>119002</v>
          </cell>
          <cell r="D822" t="str">
            <v>织田信长</v>
          </cell>
        </row>
        <row r="823">
          <cell r="A823">
            <v>119003</v>
          </cell>
          <cell r="D823" t="str">
            <v>凯撒</v>
          </cell>
        </row>
        <row r="824">
          <cell r="A824">
            <v>119004</v>
          </cell>
          <cell r="D824" t="str">
            <v>克里奥帕特拉</v>
          </cell>
        </row>
        <row r="825">
          <cell r="A825">
            <v>119005</v>
          </cell>
          <cell r="D825" t="str">
            <v>关羽</v>
          </cell>
        </row>
        <row r="826">
          <cell r="A826">
            <v>119006</v>
          </cell>
          <cell r="D826" t="str">
            <v>亨利五世</v>
          </cell>
        </row>
        <row r="827">
          <cell r="A827">
            <v>119007</v>
          </cell>
          <cell r="D827" t="str">
            <v>项羽</v>
          </cell>
        </row>
        <row r="828">
          <cell r="A828">
            <v>119008</v>
          </cell>
          <cell r="D828" t="str">
            <v>君士坦丁大帝</v>
          </cell>
        </row>
        <row r="829">
          <cell r="A829">
            <v>119009</v>
          </cell>
          <cell r="D829" t="str">
            <v>花木兰</v>
          </cell>
        </row>
        <row r="830">
          <cell r="A830">
            <v>119010</v>
          </cell>
          <cell r="D830" t="str">
            <v>查士丁尼一世</v>
          </cell>
        </row>
        <row r="831">
          <cell r="A831">
            <v>119011</v>
          </cell>
          <cell r="D831" t="str">
            <v>布狄卡</v>
          </cell>
        </row>
        <row r="832">
          <cell r="A832">
            <v>119012</v>
          </cell>
          <cell r="D832" t="str">
            <v>萨拉丁</v>
          </cell>
        </row>
        <row r="833">
          <cell r="A833">
            <v>119013</v>
          </cell>
          <cell r="D833" t="str">
            <v>列奥尼达一世</v>
          </cell>
        </row>
        <row r="834">
          <cell r="A834">
            <v>119014</v>
          </cell>
          <cell r="D834" t="str">
            <v>孙武</v>
          </cell>
        </row>
        <row r="835">
          <cell r="A835">
            <v>119015</v>
          </cell>
          <cell r="D835" t="str">
            <v>武则天</v>
          </cell>
        </row>
        <row r="836">
          <cell r="A836">
            <v>119016</v>
          </cell>
          <cell r="D836" t="str">
            <v>腓力四世</v>
          </cell>
        </row>
        <row r="837">
          <cell r="A837">
            <v>119017</v>
          </cell>
          <cell r="D837" t="str">
            <v>巴巴罗萨</v>
          </cell>
        </row>
        <row r="838">
          <cell r="A838">
            <v>119018</v>
          </cell>
          <cell r="D838" t="str">
            <v>曹操</v>
          </cell>
        </row>
        <row r="839">
          <cell r="A839">
            <v>119019</v>
          </cell>
          <cell r="D839" t="str">
            <v>大流士一世</v>
          </cell>
        </row>
        <row r="840">
          <cell r="A840">
            <v>119020</v>
          </cell>
          <cell r="D840" t="str">
            <v>李舜臣</v>
          </cell>
        </row>
        <row r="841">
          <cell r="A841">
            <v>119021</v>
          </cell>
          <cell r="D841" t="str">
            <v>亚瑟王</v>
          </cell>
        </row>
        <row r="842">
          <cell r="A842">
            <v>119022</v>
          </cell>
          <cell r="D842" t="str">
            <v>亚历山大大帝</v>
          </cell>
        </row>
        <row r="843">
          <cell r="A843">
            <v>119023</v>
          </cell>
          <cell r="D843" t="str">
            <v>汉尼拔</v>
          </cell>
        </row>
        <row r="844">
          <cell r="A844">
            <v>119024</v>
          </cell>
          <cell r="D844" t="str">
            <v>黄月英</v>
          </cell>
        </row>
        <row r="845">
          <cell r="A845">
            <v>119025</v>
          </cell>
          <cell r="D845" t="str">
            <v>穆桂英</v>
          </cell>
        </row>
        <row r="846">
          <cell r="A846">
            <v>119026</v>
          </cell>
          <cell r="D846" t="str">
            <v>赵云</v>
          </cell>
        </row>
        <row r="847">
          <cell r="A847">
            <v>119027</v>
          </cell>
          <cell r="D847" t="str">
            <v>兰陵王</v>
          </cell>
        </row>
        <row r="848">
          <cell r="A848">
            <v>119028</v>
          </cell>
          <cell r="D848" t="str">
            <v>虞姬</v>
          </cell>
        </row>
        <row r="849">
          <cell r="A849">
            <v>119029</v>
          </cell>
          <cell r="D849" t="str">
            <v>白起</v>
          </cell>
        </row>
        <row r="850">
          <cell r="A850">
            <v>119030</v>
          </cell>
          <cell r="D850" t="str">
            <v>秦琼</v>
          </cell>
        </row>
        <row r="851">
          <cell r="A851">
            <v>119031</v>
          </cell>
          <cell r="D851" t="str">
            <v>尉迟恭</v>
          </cell>
        </row>
        <row r="852">
          <cell r="A852">
            <v>119032</v>
          </cell>
          <cell r="D852" t="str">
            <v>阿提拉</v>
          </cell>
        </row>
        <row r="853">
          <cell r="A853">
            <v>119033</v>
          </cell>
          <cell r="D853" t="str">
            <v>诸葛亮</v>
          </cell>
        </row>
        <row r="854">
          <cell r="A854">
            <v>119034</v>
          </cell>
          <cell r="D854" t="str">
            <v>屋大维</v>
          </cell>
        </row>
        <row r="855">
          <cell r="A855">
            <v>119035</v>
          </cell>
          <cell r="D855" t="str">
            <v>韩信</v>
          </cell>
        </row>
        <row r="856">
          <cell r="A856">
            <v>119036</v>
          </cell>
          <cell r="D856" t="str">
            <v>约瑟芬</v>
          </cell>
        </row>
        <row r="857">
          <cell r="A857">
            <v>119037</v>
          </cell>
          <cell r="D857" t="str">
            <v>吕布</v>
          </cell>
        </row>
        <row r="858">
          <cell r="A858">
            <v>119038</v>
          </cell>
          <cell r="D858" t="str">
            <v>貂蝉</v>
          </cell>
        </row>
        <row r="859">
          <cell r="A859">
            <v>119039</v>
          </cell>
          <cell r="D859" t="str">
            <v>李白</v>
          </cell>
        </row>
        <row r="860">
          <cell r="A860">
            <v>119040</v>
          </cell>
          <cell r="D860" t="str">
            <v>孙尚香</v>
          </cell>
        </row>
        <row r="861">
          <cell r="A861">
            <v>119041</v>
          </cell>
          <cell r="D861" t="str">
            <v>查理曼大帝</v>
          </cell>
        </row>
        <row r="862">
          <cell r="A862">
            <v>119042</v>
          </cell>
          <cell r="D862" t="str">
            <v>理查一世</v>
          </cell>
        </row>
        <row r="863">
          <cell r="A863">
            <v>119043</v>
          </cell>
          <cell r="D863" t="str">
            <v>樊梨花</v>
          </cell>
        </row>
        <row r="864">
          <cell r="A864">
            <v>119044</v>
          </cell>
          <cell r="D864" t="str">
            <v>左慈</v>
          </cell>
        </row>
        <row r="865">
          <cell r="A865">
            <v>119045</v>
          </cell>
          <cell r="D865" t="str">
            <v>马超</v>
          </cell>
        </row>
        <row r="866">
          <cell r="A866">
            <v>119046</v>
          </cell>
          <cell r="D866" t="str">
            <v>妇好</v>
          </cell>
        </row>
        <row r="867">
          <cell r="A867">
            <v>119047</v>
          </cell>
          <cell r="D867" t="str">
            <v>熙德</v>
          </cell>
        </row>
        <row r="868">
          <cell r="A868">
            <v>119048</v>
          </cell>
          <cell r="D868" t="str">
            <v>李广</v>
          </cell>
        </row>
        <row r="869">
          <cell r="A869">
            <v>119049</v>
          </cell>
          <cell r="D869" t="str">
            <v>蒙特祖玛一世</v>
          </cell>
        </row>
        <row r="870">
          <cell r="A870">
            <v>119050</v>
          </cell>
          <cell r="D870" t="str">
            <v>李元霸</v>
          </cell>
        </row>
        <row r="871">
          <cell r="A871">
            <v>119051</v>
          </cell>
          <cell r="D871" t="str">
            <v>司马懿</v>
          </cell>
        </row>
        <row r="872">
          <cell r="A872">
            <v>119052</v>
          </cell>
          <cell r="D872" t="str">
            <v>芈月</v>
          </cell>
        </row>
        <row r="873">
          <cell r="A873">
            <v>119053</v>
          </cell>
          <cell r="D873" t="str">
            <v>张飞</v>
          </cell>
        </row>
        <row r="874">
          <cell r="A874">
            <v>119054</v>
          </cell>
          <cell r="D874" t="str">
            <v>鬼谷子</v>
          </cell>
        </row>
        <row r="875">
          <cell r="A875">
            <v>119055</v>
          </cell>
          <cell r="D875" t="str">
            <v>大卫王</v>
          </cell>
        </row>
        <row r="876">
          <cell r="A876">
            <v>119056</v>
          </cell>
          <cell r="D876" t="str">
            <v>哈拉尔</v>
          </cell>
        </row>
        <row r="877">
          <cell r="A877">
            <v>119057</v>
          </cell>
          <cell r="D877" t="str">
            <v>SP赵云</v>
          </cell>
        </row>
        <row r="878">
          <cell r="A878">
            <v>119058</v>
          </cell>
          <cell r="D878" t="str">
            <v>廉颇</v>
          </cell>
        </row>
        <row r="879">
          <cell r="A879">
            <v>119059</v>
          </cell>
          <cell r="D879" t="str">
            <v>张良</v>
          </cell>
        </row>
        <row r="880">
          <cell r="A880">
            <v>119060</v>
          </cell>
          <cell r="D880" t="str">
            <v>秦良玉</v>
          </cell>
        </row>
        <row r="881">
          <cell r="A881">
            <v>119061</v>
          </cell>
          <cell r="D881" t="str">
            <v>汉谟拉比</v>
          </cell>
        </row>
        <row r="882">
          <cell r="A882">
            <v>119062</v>
          </cell>
          <cell r="D882" t="str">
            <v>狄奥多拉</v>
          </cell>
        </row>
        <row r="883">
          <cell r="A883">
            <v>119063</v>
          </cell>
          <cell r="D883" t="str">
            <v>哈立德</v>
          </cell>
        </row>
        <row r="884">
          <cell r="A884">
            <v>119064</v>
          </cell>
          <cell r="D884" t="str">
            <v>示巴女王</v>
          </cell>
        </row>
        <row r="885">
          <cell r="A885">
            <v>119069</v>
          </cell>
          <cell r="D885" t="str">
            <v>贝利薇</v>
          </cell>
        </row>
        <row r="886">
          <cell r="A886">
            <v>119074</v>
          </cell>
          <cell r="D886" t="str">
            <v>哈特舍普苏特</v>
          </cell>
        </row>
        <row r="887">
          <cell r="A887">
            <v>119075</v>
          </cell>
          <cell r="D887" t="str">
            <v>阿育王</v>
          </cell>
        </row>
        <row r="888">
          <cell r="A888">
            <v>119076</v>
          </cell>
          <cell r="D888" t="str">
            <v>杜加瓦蒂</v>
          </cell>
        </row>
        <row r="889">
          <cell r="A889">
            <v>119077</v>
          </cell>
          <cell r="D889" t="str">
            <v>崔布瓦娜</v>
          </cell>
        </row>
        <row r="890">
          <cell r="A890">
            <v>119078</v>
          </cell>
          <cell r="D890" t="str">
            <v>兰甘亨</v>
          </cell>
        </row>
        <row r="891">
          <cell r="A891">
            <v>119091</v>
          </cell>
          <cell r="D891" t="str">
            <v>宫本武藏</v>
          </cell>
        </row>
        <row r="892">
          <cell r="A892">
            <v>119092</v>
          </cell>
          <cell r="D892" t="str">
            <v>善德女王</v>
          </cell>
        </row>
        <row r="893">
          <cell r="A893">
            <v>119093</v>
          </cell>
          <cell r="D893" t="str">
            <v>苏莱曼一世</v>
          </cell>
        </row>
        <row r="894">
          <cell r="A894">
            <v>119102</v>
          </cell>
          <cell r="D894" t="str">
            <v>德川家康</v>
          </cell>
        </row>
        <row r="895">
          <cell r="A895">
            <v>119103</v>
          </cell>
          <cell r="D895" t="str">
            <v>李陶</v>
          </cell>
        </row>
        <row r="896">
          <cell r="A896">
            <v>119104</v>
          </cell>
          <cell r="D896" t="str">
            <v>丰臣秀吉</v>
          </cell>
        </row>
        <row r="897">
          <cell r="A897">
            <v>119105</v>
          </cell>
          <cell r="D897" t="str">
            <v>李成桂</v>
          </cell>
        </row>
        <row r="898">
          <cell r="A898">
            <v>119106</v>
          </cell>
          <cell r="D898" t="str">
            <v>游娣特</v>
          </cell>
        </row>
        <row r="899">
          <cell r="A899">
            <v>119107</v>
          </cell>
          <cell r="D899" t="str">
            <v>曼萨穆萨</v>
          </cell>
        </row>
        <row r="900">
          <cell r="A900">
            <v>119115</v>
          </cell>
          <cell r="D900" t="str">
            <v>穆罕默德二世</v>
          </cell>
        </row>
        <row r="901">
          <cell r="A901">
            <v>119116</v>
          </cell>
          <cell r="D901" t="str">
            <v>拉美西斯二世</v>
          </cell>
        </row>
        <row r="902">
          <cell r="A902">
            <v>119121</v>
          </cell>
          <cell r="D902" t="str">
            <v>居鲁士大帝</v>
          </cell>
        </row>
        <row r="903">
          <cell r="A903">
            <v>119122</v>
          </cell>
          <cell r="D903" t="str">
            <v>拉葛莎</v>
          </cell>
        </row>
        <row r="904">
          <cell r="A904">
            <v>119123</v>
          </cell>
          <cell r="D904" t="str">
            <v>罗宾汉</v>
          </cell>
        </row>
        <row r="905">
          <cell r="A905">
            <v>119124</v>
          </cell>
          <cell r="D905" t="str">
            <v>贝利撒留</v>
          </cell>
        </row>
        <row r="906">
          <cell r="A906">
            <v>119125</v>
          </cell>
          <cell r="D906" t="str">
            <v>伊丽莎白一世</v>
          </cell>
        </row>
        <row r="907">
          <cell r="A907">
            <v>119201</v>
          </cell>
          <cell r="D907" t="str">
            <v>李道玄信物</v>
          </cell>
        </row>
        <row r="908">
          <cell r="A908">
            <v>119202</v>
          </cell>
          <cell r="D908" t="str">
            <v>纳尔西斯信物</v>
          </cell>
        </row>
        <row r="909">
          <cell r="A909">
            <v>119203</v>
          </cell>
          <cell r="D909" t="str">
            <v>雷欧信物</v>
          </cell>
        </row>
        <row r="910">
          <cell r="A910">
            <v>119204</v>
          </cell>
          <cell r="D910" t="str">
            <v>莱昂信物</v>
          </cell>
        </row>
        <row r="911">
          <cell r="A911">
            <v>119205</v>
          </cell>
          <cell r="D911" t="str">
            <v>巴尔达斯信物</v>
          </cell>
        </row>
        <row r="912">
          <cell r="A912">
            <v>119206</v>
          </cell>
          <cell r="D912" t="str">
            <v>阿克塞尔信物</v>
          </cell>
        </row>
        <row r="913">
          <cell r="A913">
            <v>119207</v>
          </cell>
          <cell r="D913" t="str">
            <v>武威信物</v>
          </cell>
        </row>
        <row r="914">
          <cell r="A914">
            <v>119208</v>
          </cell>
          <cell r="D914" t="str">
            <v>崔如意信物</v>
          </cell>
        </row>
        <row r="915">
          <cell r="A915">
            <v>119209</v>
          </cell>
          <cell r="D915" t="str">
            <v>尼诺信物</v>
          </cell>
        </row>
        <row r="916">
          <cell r="A916">
            <v>119210</v>
          </cell>
          <cell r="D916" t="str">
            <v>克洛特信物</v>
          </cell>
        </row>
        <row r="917">
          <cell r="A917">
            <v>119211</v>
          </cell>
          <cell r="D917" t="str">
            <v>高猛信物</v>
          </cell>
        </row>
        <row r="918">
          <cell r="A918">
            <v>119212</v>
          </cell>
          <cell r="D918" t="str">
            <v>袁夏信物</v>
          </cell>
        </row>
        <row r="919">
          <cell r="A919">
            <v>119213</v>
          </cell>
          <cell r="D919" t="str">
            <v>泰尼乌斯</v>
          </cell>
        </row>
        <row r="920">
          <cell r="A920">
            <v>119214</v>
          </cell>
          <cell r="D920" t="str">
            <v>加图斯</v>
          </cell>
        </row>
        <row r="921">
          <cell r="A921">
            <v>119215</v>
          </cell>
          <cell r="D921" t="str">
            <v>凯索</v>
          </cell>
        </row>
        <row r="922">
          <cell r="A922">
            <v>119216</v>
          </cell>
          <cell r="D922" t="str">
            <v>卢基</v>
          </cell>
        </row>
        <row r="923">
          <cell r="A923">
            <v>20000</v>
          </cell>
          <cell r="D923" t="str">
            <v>技能点1</v>
          </cell>
        </row>
        <row r="924">
          <cell r="A924">
            <v>20001</v>
          </cell>
          <cell r="D924" t="str">
            <v>火球轰击（废弃道具）</v>
          </cell>
        </row>
        <row r="925">
          <cell r="A925">
            <v>20002</v>
          </cell>
          <cell r="D925" t="str">
            <v>巨石冲击（废弃道具）</v>
          </cell>
        </row>
        <row r="926">
          <cell r="A926">
            <v>20003</v>
          </cell>
          <cell r="D926" t="str">
            <v>攻城大师（废弃道具）</v>
          </cell>
        </row>
        <row r="927">
          <cell r="A927">
            <v>20004</v>
          </cell>
          <cell r="D927" t="str">
            <v>迸裂（废弃道具）</v>
          </cell>
        </row>
        <row r="928">
          <cell r="A928">
            <v>20005</v>
          </cell>
          <cell r="D928" t="str">
            <v>怒火猛攻（废弃道具）</v>
          </cell>
        </row>
        <row r="929">
          <cell r="A929">
            <v>20006</v>
          </cell>
          <cell r="D929" t="str">
            <v>风卷残云（废弃道具）</v>
          </cell>
        </row>
        <row r="930">
          <cell r="A930">
            <v>20007</v>
          </cell>
          <cell r="D930" t="str">
            <v>天地无双斩（废弃道具）</v>
          </cell>
        </row>
        <row r="931">
          <cell r="A931">
            <v>20008</v>
          </cell>
          <cell r="D931" t="str">
            <v>毁灭的预示（废弃道具）</v>
          </cell>
        </row>
        <row r="932">
          <cell r="A932">
            <v>20009</v>
          </cell>
          <cell r="D932" t="str">
            <v>正义裁决（废弃道具）</v>
          </cell>
        </row>
        <row r="933">
          <cell r="A933">
            <v>20010</v>
          </cell>
          <cell r="D933" t="str">
            <v>恩泽庇护（废弃道具）</v>
          </cell>
        </row>
        <row r="934">
          <cell r="A934">
            <v>20011</v>
          </cell>
          <cell r="D934" t="str">
            <v>光明护佑（废弃道具）</v>
          </cell>
        </row>
        <row r="935">
          <cell r="A935">
            <v>20012</v>
          </cell>
          <cell r="D935" t="str">
            <v>沉默誓言（废弃道具）</v>
          </cell>
        </row>
        <row r="936">
          <cell r="A936">
            <v>20013</v>
          </cell>
          <cell r="D936" t="str">
            <v>三重攻势（废弃道具）</v>
          </cell>
        </row>
        <row r="937">
          <cell r="A937">
            <v>20014</v>
          </cell>
          <cell r="D937" t="str">
            <v>命运操弄（废弃道具）</v>
          </cell>
        </row>
        <row r="938">
          <cell r="A938">
            <v>20015</v>
          </cell>
          <cell r="D938" t="str">
            <v>战争祝福（废弃道具）</v>
          </cell>
        </row>
        <row r="939">
          <cell r="A939">
            <v>20016</v>
          </cell>
          <cell r="D939" t="str">
            <v>军神赠礼（废弃道具）</v>
          </cell>
        </row>
        <row r="940">
          <cell r="A940">
            <v>20017</v>
          </cell>
          <cell r="D940" t="str">
            <v>名门之后（废弃道具）</v>
          </cell>
        </row>
        <row r="941">
          <cell r="A941">
            <v>20018</v>
          </cell>
          <cell r="D941" t="str">
            <v>战术冲锋（废弃道具）</v>
          </cell>
        </row>
        <row r="942">
          <cell r="A942">
            <v>20019</v>
          </cell>
          <cell r="D942" t="str">
            <v>冲锋的极意（废弃道具）</v>
          </cell>
        </row>
        <row r="943">
          <cell r="A943">
            <v>20020</v>
          </cell>
          <cell r="D943" t="str">
            <v>连击（废弃道具）</v>
          </cell>
        </row>
        <row r="944">
          <cell r="A944">
            <v>20021</v>
          </cell>
          <cell r="D944" t="str">
            <v>丰收祝福（废弃道具）</v>
          </cell>
        </row>
        <row r="945">
          <cell r="A945">
            <v>20022</v>
          </cell>
          <cell r="D945" t="str">
            <v>孤注一掷（废弃道具）</v>
          </cell>
        </row>
        <row r="946">
          <cell r="A946">
            <v>20023</v>
          </cell>
          <cell r="D946" t="str">
            <v>狂怒血脉（废弃道具）</v>
          </cell>
        </row>
        <row r="947">
          <cell r="A947">
            <v>20024</v>
          </cell>
          <cell r="D947" t="str">
            <v>怒不可遏（废弃道具）</v>
          </cell>
        </row>
        <row r="948">
          <cell r="A948">
            <v>20025</v>
          </cell>
          <cell r="D948" t="str">
            <v>钢铁之躯（废弃道具）</v>
          </cell>
        </row>
        <row r="949">
          <cell r="A949">
            <v>20026</v>
          </cell>
          <cell r="D949" t="str">
            <v>破怒斩（废弃道具）</v>
          </cell>
        </row>
        <row r="950">
          <cell r="A950">
            <v>20027</v>
          </cell>
          <cell r="D950" t="str">
            <v>战争狂热（废弃道具）</v>
          </cell>
        </row>
        <row r="951">
          <cell r="A951">
            <v>20028</v>
          </cell>
          <cell r="D951" t="str">
            <v>致命一击（废弃道具）</v>
          </cell>
        </row>
        <row r="952">
          <cell r="A952">
            <v>20029</v>
          </cell>
          <cell r="D952" t="str">
            <v>胜利军规（废弃道具）</v>
          </cell>
        </row>
        <row r="953">
          <cell r="A953">
            <v>20030</v>
          </cell>
          <cell r="D953" t="str">
            <v>怒涛之击（废弃道具）</v>
          </cell>
        </row>
        <row r="954">
          <cell r="A954">
            <v>20031</v>
          </cell>
          <cell r="D954" t="str">
            <v>慈悲终结（废弃道具）</v>
          </cell>
        </row>
        <row r="955">
          <cell r="A955">
            <v>20032</v>
          </cell>
          <cell r="D955" t="str">
            <v>撕裂（废弃道具）</v>
          </cell>
        </row>
        <row r="956">
          <cell r="A956">
            <v>20034</v>
          </cell>
          <cell r="D956" t="str">
            <v>持久战（废弃道具）</v>
          </cell>
        </row>
        <row r="957">
          <cell r="A957">
            <v>20035</v>
          </cell>
          <cell r="D957" t="str">
            <v>惩戒者（废弃道具）</v>
          </cell>
        </row>
        <row r="958">
          <cell r="A958">
            <v>20036</v>
          </cell>
          <cell r="D958" t="str">
            <v>破敌之眼（废弃道具）</v>
          </cell>
        </row>
        <row r="959">
          <cell r="A959">
            <v>20037</v>
          </cell>
          <cell r="D959" t="str">
            <v>反戈一击（废弃道具）</v>
          </cell>
        </row>
        <row r="960">
          <cell r="A960">
            <v>20039</v>
          </cell>
          <cell r="D960" t="str">
            <v>文武双全（废弃道具）</v>
          </cell>
        </row>
        <row r="961">
          <cell r="A961">
            <v>20040</v>
          </cell>
          <cell r="D961" t="str">
            <v>反击（废弃道具）</v>
          </cell>
        </row>
        <row r="962">
          <cell r="A962">
            <v>20041</v>
          </cell>
          <cell r="D962" t="str">
            <v>饥渴之刃（废弃道具）</v>
          </cell>
        </row>
        <row r="963">
          <cell r="A963">
            <v>20042</v>
          </cell>
          <cell r="D963" t="str">
            <v>百战之体（废弃道具）</v>
          </cell>
        </row>
        <row r="964">
          <cell r="A964">
            <v>20043</v>
          </cell>
          <cell r="D964" t="str">
            <v>剑盾突击（废弃道具）</v>
          </cell>
        </row>
        <row r="965">
          <cell r="A965">
            <v>20044</v>
          </cell>
          <cell r="D965" t="str">
            <v>震慑猛击（废弃道具）</v>
          </cell>
        </row>
        <row r="966">
          <cell r="A966">
            <v>20045</v>
          </cell>
          <cell r="D966" t="str">
            <v>不屈信念（废弃道具）</v>
          </cell>
        </row>
        <row r="967">
          <cell r="A967">
            <v>20046</v>
          </cell>
          <cell r="D967" t="str">
            <v>敏锐洞察（废弃道具）</v>
          </cell>
        </row>
        <row r="968">
          <cell r="A968">
            <v>20047</v>
          </cell>
          <cell r="D968" t="str">
            <v>以战养战（废弃道具）</v>
          </cell>
        </row>
        <row r="969">
          <cell r="A969">
            <v>20048</v>
          </cell>
          <cell r="D969" t="str">
            <v>冲击（废弃道具）</v>
          </cell>
        </row>
        <row r="970">
          <cell r="A970">
            <v>20049</v>
          </cell>
          <cell r="D970" t="str">
            <v>休整（废弃道具）</v>
          </cell>
        </row>
        <row r="971">
          <cell r="A971">
            <v>20050</v>
          </cell>
          <cell r="D971" t="str">
            <v>奇袭（废弃道具）</v>
          </cell>
        </row>
        <row r="972">
          <cell r="A972">
            <v>20051</v>
          </cell>
          <cell r="D972" t="str">
            <v>二连斩（废弃道具）</v>
          </cell>
        </row>
        <row r="973">
          <cell r="A973">
            <v>20052</v>
          </cell>
          <cell r="D973" t="str">
            <v>攻城战术（废弃道具）</v>
          </cell>
        </row>
        <row r="974">
          <cell r="A974">
            <v>20053</v>
          </cell>
          <cell r="D974" t="str">
            <v>锐锋（废弃道具）</v>
          </cell>
        </row>
        <row r="975">
          <cell r="A975">
            <v>20054</v>
          </cell>
          <cell r="D975" t="str">
            <v>激怒（废弃道具）</v>
          </cell>
        </row>
        <row r="976">
          <cell r="A976">
            <v>20055</v>
          </cell>
          <cell r="D976" t="str">
            <v>战斗训练（废弃道具）</v>
          </cell>
        </row>
        <row r="977">
          <cell r="A977">
            <v>20056</v>
          </cell>
          <cell r="D977" t="str">
            <v>防守训练（废弃道具）</v>
          </cell>
        </row>
        <row r="978">
          <cell r="A978">
            <v>20057</v>
          </cell>
          <cell r="D978" t="str">
            <v>谋略训练（废弃道具）</v>
          </cell>
        </row>
        <row r="979">
          <cell r="A979">
            <v>20058</v>
          </cell>
          <cell r="D979" t="str">
            <v>攻城训练（废弃道具）</v>
          </cell>
        </row>
        <row r="980">
          <cell r="A980">
            <v>20059</v>
          </cell>
          <cell r="D980" t="str">
            <v>铁壁（废弃道具）</v>
          </cell>
        </row>
        <row r="981">
          <cell r="A981">
            <v>20060</v>
          </cell>
          <cell r="D981" t="str">
            <v>燎天之火（废弃道具）</v>
          </cell>
        </row>
        <row r="982">
          <cell r="A982">
            <v>20061</v>
          </cell>
          <cell r="D982" t="str">
            <v>泰山压顶（废弃道具）</v>
          </cell>
        </row>
        <row r="983">
          <cell r="A983">
            <v>20062</v>
          </cell>
          <cell r="D983" t="str">
            <v>明心静气（废弃道具）</v>
          </cell>
        </row>
        <row r="984">
          <cell r="A984">
            <v>20063</v>
          </cell>
          <cell r="D984" t="str">
            <v>灵光乍现（废弃道具）</v>
          </cell>
        </row>
        <row r="985">
          <cell r="A985">
            <v>20064</v>
          </cell>
          <cell r="D985" t="str">
            <v>胜利的代价（废弃道具）</v>
          </cell>
        </row>
        <row r="986">
          <cell r="A986">
            <v>20065</v>
          </cell>
          <cell r="D986" t="str">
            <v>避芒击惰（废弃道具）</v>
          </cell>
        </row>
        <row r="987">
          <cell r="A987">
            <v>20066</v>
          </cell>
          <cell r="D987" t="str">
            <v>怒击扬智（废弃道具）</v>
          </cell>
        </row>
        <row r="988">
          <cell r="A988">
            <v>20068</v>
          </cell>
          <cell r="D988" t="str">
            <v>王者之剑（废弃道具）</v>
          </cell>
        </row>
        <row r="989">
          <cell r="A989">
            <v>20069</v>
          </cell>
          <cell r="D989" t="str">
            <v>列阵御敌（废弃道具）</v>
          </cell>
        </row>
        <row r="990">
          <cell r="A990">
            <v>20070</v>
          </cell>
          <cell r="D990" t="str">
            <v>冲冠一怒（废弃道具）</v>
          </cell>
        </row>
        <row r="991">
          <cell r="A991">
            <v>20072</v>
          </cell>
          <cell r="D991" t="str">
            <v>弱点进攻（废弃道具）</v>
          </cell>
        </row>
        <row r="992">
          <cell r="A992">
            <v>20073</v>
          </cell>
          <cell r="D992" t="str">
            <v>侵蚀之焰（废弃道具）</v>
          </cell>
        </row>
        <row r="993">
          <cell r="A993">
            <v>20074</v>
          </cell>
          <cell r="D993" t="str">
            <v>压迫之袭（废弃道具）</v>
          </cell>
        </row>
        <row r="994">
          <cell r="A994">
            <v>20076</v>
          </cell>
          <cell r="D994" t="str">
            <v>英勇时刻（废弃道具）</v>
          </cell>
        </row>
        <row r="995">
          <cell r="A995">
            <v>20077</v>
          </cell>
          <cell r="D995" t="str">
            <v>暴烈勇猛（废弃道具）</v>
          </cell>
        </row>
        <row r="996">
          <cell r="A996">
            <v>20078</v>
          </cell>
          <cell r="D996" t="str">
            <v>胜利怒吼（废弃道具）</v>
          </cell>
        </row>
        <row r="997">
          <cell r="A997">
            <v>20079</v>
          </cell>
          <cell r="D997" t="str">
            <v>波澜攻势（废弃道具）</v>
          </cell>
        </row>
        <row r="998">
          <cell r="A998">
            <v>20080</v>
          </cell>
          <cell r="D998" t="str">
            <v>蛮勇侵袭（废弃道具）</v>
          </cell>
        </row>
        <row r="999">
          <cell r="A999">
            <v>20083</v>
          </cell>
          <cell r="D999" t="str">
            <v>决意强袭（废弃道具）</v>
          </cell>
        </row>
        <row r="1000">
          <cell r="A1000">
            <v>20084</v>
          </cell>
          <cell r="D1000" t="str">
            <v>灭却军锋（废弃道具）</v>
          </cell>
        </row>
        <row r="1001">
          <cell r="A1001">
            <v>20085</v>
          </cell>
          <cell r="D1001" t="str">
            <v>命运恩宠（废弃道具）</v>
          </cell>
        </row>
        <row r="1002">
          <cell r="A1002">
            <v>20086</v>
          </cell>
          <cell r="D1002" t="str">
            <v>绝对权力（废弃道具）</v>
          </cell>
        </row>
        <row r="1003">
          <cell r="A1003">
            <v>20087</v>
          </cell>
          <cell r="D1003" t="str">
            <v>欺天之谋（废弃道具）</v>
          </cell>
        </row>
        <row r="1004">
          <cell r="A1004">
            <v>20092</v>
          </cell>
          <cell r="D1004" t="str">
            <v>以下克上（废弃道具）</v>
          </cell>
        </row>
        <row r="1005">
          <cell r="A1005">
            <v>20095</v>
          </cell>
          <cell r="D1005" t="str">
            <v>历战之枪（废弃道具）</v>
          </cell>
        </row>
        <row r="1006">
          <cell r="A1006">
            <v>20096</v>
          </cell>
          <cell r="D1006" t="str">
            <v>压制强攻（废弃道具）</v>
          </cell>
        </row>
        <row r="1007">
          <cell r="A1007">
            <v>20098</v>
          </cell>
          <cell r="D1007" t="str">
            <v>长生军团（废弃道具）</v>
          </cell>
        </row>
        <row r="1008">
          <cell r="A1008">
            <v>20099</v>
          </cell>
          <cell r="D1008" t="str">
            <v>万里平戎策（废弃道具）</v>
          </cell>
        </row>
        <row r="1009">
          <cell r="A1009">
            <v>20100</v>
          </cell>
          <cell r="D1009" t="str">
            <v>不屈反击（废弃道具）</v>
          </cell>
        </row>
        <row r="1010">
          <cell r="A1010">
            <v>20101</v>
          </cell>
          <cell r="D1010" t="str">
            <v>黑沼之刃（废弃道具）</v>
          </cell>
        </row>
        <row r="1011">
          <cell r="A1011">
            <v>20102</v>
          </cell>
          <cell r="D1011" t="str">
            <v>狂烈之骑（废弃道具）</v>
          </cell>
        </row>
        <row r="1012">
          <cell r="A1012">
            <v>20103</v>
          </cell>
          <cell r="D1012" t="str">
            <v>侵彻之弓（废弃道具）</v>
          </cell>
        </row>
        <row r="1013">
          <cell r="A1013">
            <v>20105</v>
          </cell>
          <cell r="D1013" t="str">
            <v>王命谕令（废弃道具）</v>
          </cell>
        </row>
        <row r="1014">
          <cell r="A1014">
            <v>20107</v>
          </cell>
          <cell r="D1014" t="str">
            <v>绿洲之佑（废弃道具）</v>
          </cell>
        </row>
        <row r="1015">
          <cell r="A1015">
            <v>20108</v>
          </cell>
          <cell r="D1015" t="str">
            <v>制伏（废弃道具）</v>
          </cell>
        </row>
        <row r="1016">
          <cell r="A1016">
            <v>20109</v>
          </cell>
          <cell r="D1016" t="str">
            <v>借势威吓（废弃道具）</v>
          </cell>
        </row>
        <row r="1017">
          <cell r="A1017">
            <v>20110</v>
          </cell>
          <cell r="D1017" t="str">
            <v>神圣之剑（废弃道具）</v>
          </cell>
        </row>
        <row r="1018">
          <cell r="A1018">
            <v>20111</v>
          </cell>
          <cell r="D1018" t="str">
            <v>会心加护（废弃道具）</v>
          </cell>
        </row>
        <row r="1019">
          <cell r="A1019">
            <v>20112</v>
          </cell>
          <cell r="D1019" t="str">
            <v>燃身战意（废弃道具）</v>
          </cell>
        </row>
        <row r="1020">
          <cell r="A1020">
            <v>20113</v>
          </cell>
          <cell r="D1020" t="str">
            <v>激昂（废弃道具）</v>
          </cell>
        </row>
        <row r="1021">
          <cell r="A1021">
            <v>20114</v>
          </cell>
          <cell r="D1021" t="str">
            <v>阳谋（废弃道具）</v>
          </cell>
        </row>
        <row r="1022">
          <cell r="A1022">
            <v>20115</v>
          </cell>
          <cell r="D1022" t="str">
            <v>反间（废弃道具）</v>
          </cell>
        </row>
        <row r="1023">
          <cell r="A1023">
            <v>20116</v>
          </cell>
          <cell r="D1023" t="str">
            <v>机变（废弃道具）</v>
          </cell>
        </row>
        <row r="1024">
          <cell r="A1024">
            <v>20117</v>
          </cell>
          <cell r="D1024" t="str">
            <v>苦肉（废弃道具）</v>
          </cell>
        </row>
        <row r="1025">
          <cell r="A1025">
            <v>20118</v>
          </cell>
          <cell r="D1025" t="str">
            <v>余烬之灼（废弃道具）</v>
          </cell>
        </row>
        <row r="1026">
          <cell r="A1026">
            <v>20119</v>
          </cell>
          <cell r="D1026" t="str">
            <v>戒备（废弃道具）</v>
          </cell>
        </row>
        <row r="1027">
          <cell r="A1027">
            <v>20120</v>
          </cell>
          <cell r="D1027" t="str">
            <v>阵鼓（废弃道具）</v>
          </cell>
        </row>
        <row r="1028">
          <cell r="A1028">
            <v>20121</v>
          </cell>
          <cell r="D1028" t="str">
            <v>掌军（废弃道具）</v>
          </cell>
        </row>
        <row r="1029">
          <cell r="A1029">
            <v>20122</v>
          </cell>
          <cell r="D1029" t="str">
            <v>变阵（废弃道具）</v>
          </cell>
        </row>
        <row r="1030">
          <cell r="A1030">
            <v>20123</v>
          </cell>
          <cell r="D1030" t="str">
            <v>裸衣（废弃道具）</v>
          </cell>
        </row>
        <row r="1031">
          <cell r="A1031">
            <v>20124</v>
          </cell>
          <cell r="D1031" t="str">
            <v>伏击（废弃道具）</v>
          </cell>
        </row>
        <row r="1032">
          <cell r="A1032">
            <v>20125</v>
          </cell>
          <cell r="D1032" t="str">
            <v>入阵曲（废弃道具）</v>
          </cell>
        </row>
        <row r="1033">
          <cell r="A1033">
            <v>20126</v>
          </cell>
          <cell r="D1033" t="str">
            <v>固本（废弃道具）</v>
          </cell>
        </row>
        <row r="1034">
          <cell r="A1034">
            <v>21001</v>
          </cell>
          <cell r="D1034" t="str">
            <v>城池耐久回复加速200%(测试)</v>
          </cell>
        </row>
        <row r="1035">
          <cell r="A1035">
            <v>22001</v>
          </cell>
          <cell r="D1035" t="str">
            <v>火球轰击信物（废弃道具）</v>
          </cell>
        </row>
        <row r="1036">
          <cell r="A1036">
            <v>22002</v>
          </cell>
          <cell r="D1036" t="str">
            <v>巨石冲击信物（废弃道具）</v>
          </cell>
        </row>
        <row r="1037">
          <cell r="A1037">
            <v>22003</v>
          </cell>
          <cell r="D1037" t="str">
            <v>攻城大师信物（废弃道具）</v>
          </cell>
        </row>
        <row r="1038">
          <cell r="A1038">
            <v>22004</v>
          </cell>
          <cell r="D1038" t="str">
            <v>迸裂信物（废弃道具）</v>
          </cell>
        </row>
        <row r="1039">
          <cell r="A1039">
            <v>22005</v>
          </cell>
          <cell r="D1039" t="str">
            <v>怒火猛攻信物（废弃道具）</v>
          </cell>
        </row>
        <row r="1040">
          <cell r="A1040">
            <v>22006</v>
          </cell>
          <cell r="D1040" t="str">
            <v>风卷残云信物（废弃道具）</v>
          </cell>
        </row>
        <row r="1041">
          <cell r="A1041">
            <v>22007</v>
          </cell>
          <cell r="D1041" t="str">
            <v>天地无双斩信物（废弃道具）</v>
          </cell>
        </row>
        <row r="1042">
          <cell r="A1042">
            <v>22008</v>
          </cell>
          <cell r="D1042" t="str">
            <v>毁灭的预示信物（废弃道具）</v>
          </cell>
        </row>
        <row r="1043">
          <cell r="A1043">
            <v>22009</v>
          </cell>
          <cell r="D1043" t="str">
            <v>正义裁决信物（废弃道具）</v>
          </cell>
        </row>
        <row r="1044">
          <cell r="A1044">
            <v>22010</v>
          </cell>
          <cell r="D1044" t="str">
            <v>恩泽庇护信物（废弃道具）</v>
          </cell>
        </row>
        <row r="1045">
          <cell r="A1045">
            <v>22011</v>
          </cell>
          <cell r="D1045" t="str">
            <v>光明护佑信物（废弃道具）</v>
          </cell>
        </row>
        <row r="1046">
          <cell r="A1046">
            <v>22012</v>
          </cell>
          <cell r="D1046" t="str">
            <v>沉默誓言信物（废弃道具）</v>
          </cell>
        </row>
        <row r="1047">
          <cell r="A1047">
            <v>22013</v>
          </cell>
          <cell r="D1047" t="str">
            <v>三重攻势信物（废弃道具）</v>
          </cell>
        </row>
        <row r="1048">
          <cell r="A1048">
            <v>22014</v>
          </cell>
          <cell r="D1048" t="str">
            <v>命运操弄信物（废弃道具）</v>
          </cell>
        </row>
        <row r="1049">
          <cell r="A1049">
            <v>22015</v>
          </cell>
          <cell r="D1049" t="str">
            <v>战争祝福信物（废弃道具）</v>
          </cell>
        </row>
        <row r="1050">
          <cell r="A1050">
            <v>22016</v>
          </cell>
          <cell r="D1050" t="str">
            <v>军神赠礼信物（废弃道具）</v>
          </cell>
        </row>
        <row r="1051">
          <cell r="A1051">
            <v>22017</v>
          </cell>
          <cell r="D1051" t="str">
            <v>名门之后信物（废弃道具）</v>
          </cell>
        </row>
        <row r="1052">
          <cell r="A1052">
            <v>22018</v>
          </cell>
          <cell r="D1052" t="str">
            <v>战术冲锋信物（废弃道具）</v>
          </cell>
        </row>
        <row r="1053">
          <cell r="A1053">
            <v>22019</v>
          </cell>
          <cell r="D1053" t="str">
            <v>冲锋的极意信物（废弃道具）</v>
          </cell>
        </row>
        <row r="1054">
          <cell r="A1054">
            <v>22020</v>
          </cell>
          <cell r="D1054" t="str">
            <v>连击信物（废弃道具）</v>
          </cell>
        </row>
        <row r="1055">
          <cell r="A1055">
            <v>22021</v>
          </cell>
          <cell r="D1055" t="str">
            <v>丰收祝福信物（废弃道具）</v>
          </cell>
        </row>
        <row r="1056">
          <cell r="A1056">
            <v>22022</v>
          </cell>
          <cell r="D1056" t="str">
            <v>孤注一掷信物（废弃道具）</v>
          </cell>
        </row>
        <row r="1057">
          <cell r="A1057">
            <v>22023</v>
          </cell>
          <cell r="D1057" t="str">
            <v>狂怒血脉信物（废弃道具）</v>
          </cell>
        </row>
        <row r="1058">
          <cell r="A1058">
            <v>22024</v>
          </cell>
          <cell r="D1058" t="str">
            <v>怒不可遏信物（废弃道具）</v>
          </cell>
        </row>
        <row r="1059">
          <cell r="A1059">
            <v>22025</v>
          </cell>
          <cell r="D1059" t="str">
            <v>钢铁之躯信物（废弃道具）</v>
          </cell>
        </row>
        <row r="1060">
          <cell r="A1060">
            <v>22026</v>
          </cell>
          <cell r="D1060" t="str">
            <v>破怒斩信物（废弃道具）</v>
          </cell>
        </row>
        <row r="1061">
          <cell r="A1061">
            <v>22027</v>
          </cell>
          <cell r="D1061" t="str">
            <v>战争狂热信物（废弃道具）</v>
          </cell>
        </row>
        <row r="1062">
          <cell r="A1062">
            <v>22028</v>
          </cell>
          <cell r="D1062" t="str">
            <v>致命一击信物（废弃道具）</v>
          </cell>
        </row>
        <row r="1063">
          <cell r="A1063">
            <v>22029</v>
          </cell>
          <cell r="D1063" t="str">
            <v>胜利军规信物（废弃道具）</v>
          </cell>
        </row>
        <row r="1064">
          <cell r="A1064">
            <v>22030</v>
          </cell>
          <cell r="D1064" t="str">
            <v>怒涛之击信物（废弃道具）</v>
          </cell>
        </row>
        <row r="1065">
          <cell r="A1065">
            <v>22031</v>
          </cell>
          <cell r="D1065" t="str">
            <v>慈悲终结信物（废弃道具）</v>
          </cell>
        </row>
        <row r="1066">
          <cell r="A1066">
            <v>22032</v>
          </cell>
          <cell r="D1066" t="str">
            <v>撕裂信物（废弃道具）</v>
          </cell>
        </row>
        <row r="1067">
          <cell r="A1067">
            <v>22034</v>
          </cell>
          <cell r="D1067" t="str">
            <v>持久战信物（废弃道具）</v>
          </cell>
        </row>
        <row r="1068">
          <cell r="A1068">
            <v>22035</v>
          </cell>
          <cell r="D1068" t="str">
            <v>惩戒者信物（废弃道具）</v>
          </cell>
        </row>
        <row r="1069">
          <cell r="A1069">
            <v>22036</v>
          </cell>
          <cell r="D1069" t="str">
            <v>破敌之眼信物（废弃道具）</v>
          </cell>
        </row>
        <row r="1070">
          <cell r="A1070">
            <v>22037</v>
          </cell>
          <cell r="D1070" t="str">
            <v>反戈一击信物（废弃道具）</v>
          </cell>
        </row>
        <row r="1071">
          <cell r="A1071">
            <v>22039</v>
          </cell>
          <cell r="D1071" t="str">
            <v>文武双全信物（废弃道具）</v>
          </cell>
        </row>
        <row r="1072">
          <cell r="A1072">
            <v>22040</v>
          </cell>
          <cell r="D1072" t="str">
            <v>反击信物（废弃道具）</v>
          </cell>
        </row>
        <row r="1073">
          <cell r="A1073">
            <v>22041</v>
          </cell>
          <cell r="D1073" t="str">
            <v>饥渴之刃信物（废弃道具）</v>
          </cell>
        </row>
        <row r="1074">
          <cell r="A1074">
            <v>22042</v>
          </cell>
          <cell r="D1074" t="str">
            <v>百战之体信物（废弃道具）</v>
          </cell>
        </row>
        <row r="1075">
          <cell r="A1075">
            <v>22043</v>
          </cell>
          <cell r="D1075" t="str">
            <v>剑盾突击信物（废弃道具）</v>
          </cell>
        </row>
        <row r="1076">
          <cell r="A1076">
            <v>22044</v>
          </cell>
          <cell r="D1076" t="str">
            <v>震慑猛击信物（废弃道具）</v>
          </cell>
        </row>
        <row r="1077">
          <cell r="A1077">
            <v>22045</v>
          </cell>
          <cell r="D1077" t="str">
            <v>不屈信念信物（废弃道具）</v>
          </cell>
        </row>
        <row r="1078">
          <cell r="A1078">
            <v>22046</v>
          </cell>
          <cell r="D1078" t="str">
            <v>敏锐洞察信物（废弃道具）</v>
          </cell>
        </row>
        <row r="1079">
          <cell r="A1079">
            <v>22047</v>
          </cell>
          <cell r="D1079" t="str">
            <v>以战养战信物（废弃道具）</v>
          </cell>
        </row>
        <row r="1080">
          <cell r="A1080">
            <v>22048</v>
          </cell>
          <cell r="D1080" t="str">
            <v>冲击信物（废弃道具）</v>
          </cell>
        </row>
        <row r="1081">
          <cell r="A1081">
            <v>22049</v>
          </cell>
          <cell r="D1081" t="str">
            <v>休整信物（废弃道具）</v>
          </cell>
        </row>
        <row r="1082">
          <cell r="A1082">
            <v>22050</v>
          </cell>
          <cell r="D1082" t="str">
            <v>奇袭信物（废弃道具）</v>
          </cell>
        </row>
        <row r="1083">
          <cell r="A1083">
            <v>22051</v>
          </cell>
          <cell r="D1083" t="str">
            <v>二连斩信物（废弃道具）</v>
          </cell>
        </row>
        <row r="1084">
          <cell r="A1084">
            <v>22052</v>
          </cell>
          <cell r="D1084" t="str">
            <v>攻城战术信物（废弃道具）</v>
          </cell>
        </row>
        <row r="1085">
          <cell r="A1085">
            <v>22053</v>
          </cell>
          <cell r="D1085" t="str">
            <v>锐锋信物（废弃道具）</v>
          </cell>
        </row>
        <row r="1086">
          <cell r="A1086">
            <v>22054</v>
          </cell>
          <cell r="D1086" t="str">
            <v>激怒信物（废弃道具）</v>
          </cell>
        </row>
        <row r="1087">
          <cell r="A1087">
            <v>22055</v>
          </cell>
          <cell r="D1087" t="str">
            <v>战斗训练信物（废弃道具）</v>
          </cell>
        </row>
        <row r="1088">
          <cell r="A1088">
            <v>22056</v>
          </cell>
          <cell r="D1088" t="str">
            <v>防守训练信物（废弃道具）</v>
          </cell>
        </row>
        <row r="1089">
          <cell r="A1089">
            <v>22057</v>
          </cell>
          <cell r="D1089" t="str">
            <v>谋略训练信物（废弃道具）</v>
          </cell>
        </row>
        <row r="1090">
          <cell r="A1090">
            <v>22058</v>
          </cell>
          <cell r="D1090" t="str">
            <v>攻城训练信物（废弃道具）</v>
          </cell>
        </row>
        <row r="1091">
          <cell r="A1091">
            <v>22059</v>
          </cell>
          <cell r="D1091" t="str">
            <v>铁壁信物（废弃道具）</v>
          </cell>
        </row>
        <row r="1092">
          <cell r="A1092">
            <v>22060</v>
          </cell>
          <cell r="D1092" t="str">
            <v>燎天之火信物（废弃道具）</v>
          </cell>
        </row>
        <row r="1093">
          <cell r="A1093">
            <v>22061</v>
          </cell>
          <cell r="D1093" t="str">
            <v>泰山压顶信物（废弃道具）</v>
          </cell>
        </row>
        <row r="1094">
          <cell r="A1094">
            <v>22062</v>
          </cell>
          <cell r="D1094" t="str">
            <v>明心静气信物（废弃道具）</v>
          </cell>
        </row>
        <row r="1095">
          <cell r="A1095">
            <v>22063</v>
          </cell>
          <cell r="D1095" t="str">
            <v>灵光乍现信物（废弃道具）</v>
          </cell>
        </row>
        <row r="1096">
          <cell r="A1096">
            <v>22064</v>
          </cell>
          <cell r="D1096" t="str">
            <v>胜利的代价信物（废弃道具）</v>
          </cell>
        </row>
        <row r="1097">
          <cell r="A1097">
            <v>22065</v>
          </cell>
          <cell r="D1097" t="str">
            <v>避芒击惰信物（废弃道具）</v>
          </cell>
        </row>
        <row r="1098">
          <cell r="A1098">
            <v>22066</v>
          </cell>
          <cell r="D1098" t="str">
            <v>怒击扬智信物（废弃道具）</v>
          </cell>
        </row>
        <row r="1099">
          <cell r="A1099">
            <v>22068</v>
          </cell>
          <cell r="D1099" t="str">
            <v>王者之剑信物（废弃道具）</v>
          </cell>
        </row>
        <row r="1100">
          <cell r="A1100">
            <v>22069</v>
          </cell>
          <cell r="D1100" t="str">
            <v>列阵御敌信物（废弃道具）</v>
          </cell>
        </row>
        <row r="1101">
          <cell r="A1101">
            <v>22070</v>
          </cell>
          <cell r="D1101" t="str">
            <v>冲冠一怒信物（废弃道具）</v>
          </cell>
        </row>
        <row r="1102">
          <cell r="A1102">
            <v>22072</v>
          </cell>
          <cell r="D1102" t="str">
            <v>弱点进攻信物（废弃道具）</v>
          </cell>
        </row>
        <row r="1103">
          <cell r="A1103">
            <v>22073</v>
          </cell>
          <cell r="D1103" t="str">
            <v>侵蚀之焰信物（废弃道具）</v>
          </cell>
        </row>
        <row r="1104">
          <cell r="A1104">
            <v>22074</v>
          </cell>
          <cell r="D1104" t="str">
            <v>压迫之袭信物（废弃道具）</v>
          </cell>
        </row>
        <row r="1105">
          <cell r="A1105">
            <v>22076</v>
          </cell>
          <cell r="D1105" t="str">
            <v>英勇时刻信物（废弃道具）</v>
          </cell>
        </row>
        <row r="1106">
          <cell r="A1106">
            <v>22078</v>
          </cell>
          <cell r="D1106" t="str">
            <v>胜利怒吼信物（废弃道具）</v>
          </cell>
        </row>
        <row r="1107">
          <cell r="A1107">
            <v>22079</v>
          </cell>
          <cell r="D1107" t="str">
            <v>波澜攻势信物（废弃道具）</v>
          </cell>
        </row>
        <row r="1108">
          <cell r="A1108">
            <v>22080</v>
          </cell>
          <cell r="D1108" t="str">
            <v>蛮勇侵袭信物（废弃道具）</v>
          </cell>
        </row>
        <row r="1109">
          <cell r="A1109">
            <v>22083</v>
          </cell>
          <cell r="D1109" t="str">
            <v>决意强袭信物（废弃道具）</v>
          </cell>
        </row>
        <row r="1110">
          <cell r="A1110">
            <v>22084</v>
          </cell>
          <cell r="D1110" t="str">
            <v>灭却军锋（废弃道具）</v>
          </cell>
        </row>
        <row r="1111">
          <cell r="A1111">
            <v>22085</v>
          </cell>
          <cell r="D1111" t="str">
            <v>命运恩宠（废弃道具）</v>
          </cell>
        </row>
        <row r="1112">
          <cell r="A1112">
            <v>22086</v>
          </cell>
          <cell r="D1112" t="str">
            <v>绝对权力（废弃道具）</v>
          </cell>
        </row>
        <row r="1113">
          <cell r="A1113">
            <v>22087</v>
          </cell>
          <cell r="D1113" t="str">
            <v>欺天之谋（废弃道具）</v>
          </cell>
        </row>
        <row r="1114">
          <cell r="A1114">
            <v>22092</v>
          </cell>
          <cell r="D1114" t="str">
            <v>以下克上（废弃道具）</v>
          </cell>
        </row>
        <row r="1115">
          <cell r="A1115">
            <v>22095</v>
          </cell>
          <cell r="D1115" t="str">
            <v>历战之枪（废弃道具）</v>
          </cell>
        </row>
        <row r="1116">
          <cell r="A1116">
            <v>22096</v>
          </cell>
          <cell r="D1116" t="str">
            <v>压制强攻（废弃道具）</v>
          </cell>
        </row>
        <row r="1117">
          <cell r="A1117">
            <v>22098</v>
          </cell>
          <cell r="D1117" t="str">
            <v>长生军团（废弃道具）</v>
          </cell>
        </row>
        <row r="1118">
          <cell r="A1118">
            <v>22099</v>
          </cell>
          <cell r="D1118" t="str">
            <v>万里平戎策（废弃道具）</v>
          </cell>
        </row>
        <row r="1119">
          <cell r="A1119">
            <v>22100</v>
          </cell>
          <cell r="D1119" t="str">
            <v>不屈反击（废弃道具）</v>
          </cell>
        </row>
        <row r="1120">
          <cell r="A1120">
            <v>22101</v>
          </cell>
          <cell r="D1120" t="str">
            <v>黑沼之刃（废弃道具）</v>
          </cell>
        </row>
        <row r="1121">
          <cell r="A1121">
            <v>22102</v>
          </cell>
          <cell r="D1121" t="str">
            <v>狂烈之骑（废弃道具）</v>
          </cell>
        </row>
        <row r="1122">
          <cell r="A1122">
            <v>22103</v>
          </cell>
          <cell r="D1122" t="str">
            <v>侵彻之弓（废弃道具）</v>
          </cell>
        </row>
        <row r="1123">
          <cell r="A1123">
            <v>22105</v>
          </cell>
          <cell r="D1123" t="str">
            <v>王命谕令（废弃道具）</v>
          </cell>
        </row>
        <row r="1124">
          <cell r="A1124">
            <v>22107</v>
          </cell>
          <cell r="D1124" t="str">
            <v>绿洲之佑（废弃道具）</v>
          </cell>
        </row>
        <row r="1125">
          <cell r="A1125">
            <v>22108</v>
          </cell>
          <cell r="D1125" t="str">
            <v>制伏（废弃道具）</v>
          </cell>
        </row>
        <row r="1126">
          <cell r="A1126">
            <v>22109</v>
          </cell>
          <cell r="D1126" t="str">
            <v>借势威吓（废弃道具）</v>
          </cell>
        </row>
        <row r="1127">
          <cell r="A1127">
            <v>22110</v>
          </cell>
          <cell r="D1127" t="str">
            <v>神圣之剑（废弃道具）</v>
          </cell>
        </row>
        <row r="1128">
          <cell r="A1128">
            <v>22111</v>
          </cell>
          <cell r="D1128" t="str">
            <v>会心加护（废弃道具）</v>
          </cell>
        </row>
        <row r="1129">
          <cell r="A1129">
            <v>22112</v>
          </cell>
          <cell r="D1129" t="str">
            <v>燃身战意（废弃道具）</v>
          </cell>
        </row>
        <row r="1130">
          <cell r="A1130">
            <v>22113</v>
          </cell>
          <cell r="D1130" t="str">
            <v>激昂（废弃道具）</v>
          </cell>
        </row>
        <row r="1131">
          <cell r="A1131">
            <v>22114</v>
          </cell>
          <cell r="D1131" t="str">
            <v>阳谋（废弃道具）</v>
          </cell>
        </row>
        <row r="1132">
          <cell r="A1132">
            <v>22115</v>
          </cell>
          <cell r="D1132" t="str">
            <v>反间（废弃道具）</v>
          </cell>
        </row>
        <row r="1133">
          <cell r="A1133">
            <v>22116</v>
          </cell>
          <cell r="D1133" t="str">
            <v>机变（废弃道具）</v>
          </cell>
        </row>
        <row r="1134">
          <cell r="A1134">
            <v>22117</v>
          </cell>
          <cell r="D1134" t="str">
            <v>苦肉（废弃道具）</v>
          </cell>
        </row>
        <row r="1135">
          <cell r="A1135">
            <v>22118</v>
          </cell>
          <cell r="D1135" t="str">
            <v>余烬之灼（废弃道具）</v>
          </cell>
        </row>
        <row r="1136">
          <cell r="A1136">
            <v>22119</v>
          </cell>
          <cell r="D1136" t="str">
            <v>戒备（废弃道具）</v>
          </cell>
        </row>
        <row r="1137">
          <cell r="A1137">
            <v>22120</v>
          </cell>
          <cell r="D1137" t="str">
            <v>阵鼓（废弃道具）</v>
          </cell>
        </row>
        <row r="1138">
          <cell r="A1138">
            <v>22121</v>
          </cell>
          <cell r="D1138" t="str">
            <v>掌军（废弃道具）</v>
          </cell>
        </row>
        <row r="1139">
          <cell r="A1139">
            <v>22122</v>
          </cell>
          <cell r="D1139" t="str">
            <v>变阵（废弃道具）</v>
          </cell>
        </row>
        <row r="1140">
          <cell r="A1140">
            <v>22123</v>
          </cell>
          <cell r="D1140" t="str">
            <v>裸衣（废弃道具）</v>
          </cell>
        </row>
        <row r="1141">
          <cell r="A1141">
            <v>22124</v>
          </cell>
          <cell r="D1141" t="str">
            <v>伏击（废弃道具）</v>
          </cell>
        </row>
        <row r="1142">
          <cell r="A1142">
            <v>22125</v>
          </cell>
          <cell r="D1142" t="str">
            <v>入阵曲（废弃道具）</v>
          </cell>
        </row>
        <row r="1143">
          <cell r="A1143">
            <v>22126</v>
          </cell>
          <cell r="D1143" t="str">
            <v>固本（废弃道具）</v>
          </cell>
        </row>
        <row r="1144">
          <cell r="A1144">
            <v>122001</v>
          </cell>
          <cell r="D1144" t="str">
            <v>火球轰击信物（废弃道具）</v>
          </cell>
        </row>
        <row r="1145">
          <cell r="A1145">
            <v>122002</v>
          </cell>
          <cell r="D1145" t="str">
            <v>巨石冲击信物（废弃道具）</v>
          </cell>
        </row>
        <row r="1146">
          <cell r="A1146">
            <v>122003</v>
          </cell>
          <cell r="D1146" t="str">
            <v>攻城大师信物（废弃道具）</v>
          </cell>
        </row>
        <row r="1147">
          <cell r="A1147">
            <v>122004</v>
          </cell>
          <cell r="D1147" t="str">
            <v>迸裂信物（废弃道具）</v>
          </cell>
        </row>
        <row r="1148">
          <cell r="A1148">
            <v>122005</v>
          </cell>
          <cell r="D1148" t="str">
            <v>怒火猛攻信物（废弃道具）</v>
          </cell>
        </row>
        <row r="1149">
          <cell r="A1149">
            <v>122006</v>
          </cell>
          <cell r="D1149" t="str">
            <v>风卷残云信物（废弃道具）</v>
          </cell>
        </row>
        <row r="1150">
          <cell r="A1150">
            <v>122007</v>
          </cell>
          <cell r="D1150" t="str">
            <v>天地无双斩信物（废弃道具）</v>
          </cell>
        </row>
        <row r="1151">
          <cell r="A1151">
            <v>122008</v>
          </cell>
          <cell r="D1151" t="str">
            <v>毁灭的预示信物（废弃道具）</v>
          </cell>
        </row>
        <row r="1152">
          <cell r="A1152">
            <v>122009</v>
          </cell>
          <cell r="D1152" t="str">
            <v>正义裁决信物（废弃道具）</v>
          </cell>
        </row>
        <row r="1153">
          <cell r="A1153">
            <v>122010</v>
          </cell>
          <cell r="D1153" t="str">
            <v>恩泽庇护信物（废弃道具）</v>
          </cell>
        </row>
        <row r="1154">
          <cell r="A1154">
            <v>122011</v>
          </cell>
          <cell r="D1154" t="str">
            <v>光明护佑信物（废弃道具）</v>
          </cell>
        </row>
        <row r="1155">
          <cell r="A1155">
            <v>122012</v>
          </cell>
          <cell r="D1155" t="str">
            <v>沉默誓言信物（废弃道具）</v>
          </cell>
        </row>
        <row r="1156">
          <cell r="A1156">
            <v>122013</v>
          </cell>
          <cell r="D1156" t="str">
            <v>三重攻势信物（废弃道具）</v>
          </cell>
        </row>
        <row r="1157">
          <cell r="A1157">
            <v>122014</v>
          </cell>
          <cell r="D1157" t="str">
            <v>命运操弄信物（废弃道具）</v>
          </cell>
        </row>
        <row r="1158">
          <cell r="A1158">
            <v>122015</v>
          </cell>
          <cell r="D1158" t="str">
            <v>战争祝福信物（废弃道具）</v>
          </cell>
        </row>
        <row r="1159">
          <cell r="A1159">
            <v>122016</v>
          </cell>
          <cell r="D1159" t="str">
            <v>军神赠礼信物（废弃道具）</v>
          </cell>
        </row>
        <row r="1160">
          <cell r="A1160">
            <v>122017</v>
          </cell>
          <cell r="D1160" t="str">
            <v>名门之后信物（废弃道具）</v>
          </cell>
        </row>
        <row r="1161">
          <cell r="A1161">
            <v>122018</v>
          </cell>
          <cell r="D1161" t="str">
            <v>战术冲锋信物（废弃道具）</v>
          </cell>
        </row>
        <row r="1162">
          <cell r="A1162">
            <v>122019</v>
          </cell>
          <cell r="D1162" t="str">
            <v>冲锋的极意信物（废弃道具）</v>
          </cell>
        </row>
        <row r="1163">
          <cell r="A1163">
            <v>122020</v>
          </cell>
          <cell r="D1163" t="str">
            <v>连击信物（废弃道具）</v>
          </cell>
        </row>
        <row r="1164">
          <cell r="A1164">
            <v>122021</v>
          </cell>
          <cell r="D1164" t="str">
            <v>丰收祝福信物（废弃道具）</v>
          </cell>
        </row>
        <row r="1165">
          <cell r="A1165">
            <v>122022</v>
          </cell>
          <cell r="D1165" t="str">
            <v>孤注一掷信物（废弃道具）</v>
          </cell>
        </row>
        <row r="1166">
          <cell r="A1166">
            <v>122023</v>
          </cell>
          <cell r="D1166" t="str">
            <v>狂怒血脉信物（废弃道具）</v>
          </cell>
        </row>
        <row r="1167">
          <cell r="A1167">
            <v>122024</v>
          </cell>
          <cell r="D1167" t="str">
            <v>怒不可遏信物（废弃道具）</v>
          </cell>
        </row>
        <row r="1168">
          <cell r="A1168">
            <v>122025</v>
          </cell>
          <cell r="D1168" t="str">
            <v>钢铁之躯信物（废弃道具）</v>
          </cell>
        </row>
        <row r="1169">
          <cell r="A1169">
            <v>122026</v>
          </cell>
          <cell r="D1169" t="str">
            <v>破怒斩信物（废弃道具）</v>
          </cell>
        </row>
        <row r="1170">
          <cell r="A1170">
            <v>122027</v>
          </cell>
          <cell r="D1170" t="str">
            <v>战争狂热信物（废弃道具）</v>
          </cell>
        </row>
        <row r="1171">
          <cell r="A1171">
            <v>122028</v>
          </cell>
          <cell r="D1171" t="str">
            <v>致命一击信物（废弃道具）</v>
          </cell>
        </row>
        <row r="1172">
          <cell r="A1172">
            <v>122029</v>
          </cell>
          <cell r="D1172" t="str">
            <v>胜利军规信物（废弃道具）</v>
          </cell>
        </row>
        <row r="1173">
          <cell r="A1173">
            <v>122030</v>
          </cell>
          <cell r="D1173" t="str">
            <v>怒涛之击信物（废弃道具）</v>
          </cell>
        </row>
        <row r="1174">
          <cell r="A1174">
            <v>122031</v>
          </cell>
          <cell r="D1174" t="str">
            <v>慈悲终结信物（废弃道具）</v>
          </cell>
        </row>
        <row r="1175">
          <cell r="A1175">
            <v>122032</v>
          </cell>
          <cell r="D1175" t="str">
            <v>撕裂信物（废弃道具）</v>
          </cell>
        </row>
        <row r="1176">
          <cell r="A1176">
            <v>122034</v>
          </cell>
          <cell r="D1176" t="str">
            <v>持久战信物（废弃道具）</v>
          </cell>
        </row>
        <row r="1177">
          <cell r="A1177">
            <v>122035</v>
          </cell>
          <cell r="D1177" t="str">
            <v>惩戒者信物（废弃道具）</v>
          </cell>
        </row>
        <row r="1178">
          <cell r="A1178">
            <v>122036</v>
          </cell>
          <cell r="D1178" t="str">
            <v>破敌之眼信物（废弃道具）</v>
          </cell>
        </row>
        <row r="1179">
          <cell r="A1179">
            <v>122037</v>
          </cell>
          <cell r="D1179" t="str">
            <v>反戈一击信物（废弃道具）</v>
          </cell>
        </row>
        <row r="1180">
          <cell r="A1180">
            <v>122039</v>
          </cell>
          <cell r="D1180" t="str">
            <v>文武双全信物（废弃道具）</v>
          </cell>
        </row>
        <row r="1181">
          <cell r="A1181">
            <v>122040</v>
          </cell>
          <cell r="D1181" t="str">
            <v>反击信物（废弃道具）</v>
          </cell>
        </row>
        <row r="1182">
          <cell r="A1182">
            <v>122041</v>
          </cell>
          <cell r="D1182" t="str">
            <v>饥渴之刃信物（废弃道具）</v>
          </cell>
        </row>
        <row r="1183">
          <cell r="A1183">
            <v>122042</v>
          </cell>
          <cell r="D1183" t="str">
            <v>百战之体信物（废弃道具）</v>
          </cell>
        </row>
        <row r="1184">
          <cell r="A1184">
            <v>122043</v>
          </cell>
          <cell r="D1184" t="str">
            <v>剑盾突击信物（废弃道具）</v>
          </cell>
        </row>
        <row r="1185">
          <cell r="A1185">
            <v>122044</v>
          </cell>
          <cell r="D1185" t="str">
            <v>震慑猛击信物（废弃道具）</v>
          </cell>
        </row>
        <row r="1186">
          <cell r="A1186">
            <v>122045</v>
          </cell>
          <cell r="D1186" t="str">
            <v>不屈信念信物（废弃道具）</v>
          </cell>
        </row>
        <row r="1187">
          <cell r="A1187">
            <v>122046</v>
          </cell>
          <cell r="D1187" t="str">
            <v>敏锐洞察信物（废弃道具）</v>
          </cell>
        </row>
        <row r="1188">
          <cell r="A1188">
            <v>122047</v>
          </cell>
          <cell r="D1188" t="str">
            <v>以战养战信物（废弃道具）</v>
          </cell>
        </row>
        <row r="1189">
          <cell r="A1189">
            <v>122048</v>
          </cell>
          <cell r="D1189" t="str">
            <v>冲击信物（废弃道具）</v>
          </cell>
        </row>
        <row r="1190">
          <cell r="A1190">
            <v>122049</v>
          </cell>
          <cell r="D1190" t="str">
            <v>休整信物（废弃道具）</v>
          </cell>
        </row>
        <row r="1191">
          <cell r="A1191">
            <v>122050</v>
          </cell>
          <cell r="D1191" t="str">
            <v>奇袭信物（废弃道具）</v>
          </cell>
        </row>
        <row r="1192">
          <cell r="A1192">
            <v>122051</v>
          </cell>
          <cell r="D1192" t="str">
            <v>二连斩信物（废弃道具）</v>
          </cell>
        </row>
        <row r="1193">
          <cell r="A1193">
            <v>122052</v>
          </cell>
          <cell r="D1193" t="str">
            <v>攻城战术信物（废弃道具）</v>
          </cell>
        </row>
        <row r="1194">
          <cell r="A1194">
            <v>122053</v>
          </cell>
          <cell r="D1194" t="str">
            <v>锐锋信物（废弃道具）</v>
          </cell>
        </row>
        <row r="1195">
          <cell r="A1195">
            <v>122054</v>
          </cell>
          <cell r="D1195" t="str">
            <v>激怒信物（废弃道具）</v>
          </cell>
        </row>
        <row r="1196">
          <cell r="A1196">
            <v>122055</v>
          </cell>
          <cell r="D1196" t="str">
            <v>战斗训练信物（废弃道具）</v>
          </cell>
        </row>
        <row r="1197">
          <cell r="A1197">
            <v>122056</v>
          </cell>
          <cell r="D1197" t="str">
            <v>防守训练信物（废弃道具）</v>
          </cell>
        </row>
        <row r="1198">
          <cell r="A1198">
            <v>122057</v>
          </cell>
          <cell r="D1198" t="str">
            <v>谋略训练信物（废弃道具）</v>
          </cell>
        </row>
        <row r="1199">
          <cell r="A1199">
            <v>122058</v>
          </cell>
          <cell r="D1199" t="str">
            <v>攻城训练信物（废弃道具）</v>
          </cell>
        </row>
        <row r="1200">
          <cell r="A1200">
            <v>122059</v>
          </cell>
          <cell r="D1200" t="str">
            <v>铁壁信物（废弃道具）</v>
          </cell>
        </row>
        <row r="1201">
          <cell r="A1201">
            <v>122060</v>
          </cell>
          <cell r="D1201" t="str">
            <v>燎天之火信物（废弃道具）</v>
          </cell>
        </row>
        <row r="1202">
          <cell r="A1202">
            <v>122061</v>
          </cell>
          <cell r="D1202" t="str">
            <v>泰山压顶信物（废弃道具）</v>
          </cell>
        </row>
        <row r="1203">
          <cell r="A1203">
            <v>122062</v>
          </cell>
          <cell r="D1203" t="str">
            <v>明心静气信物（废弃道具）</v>
          </cell>
        </row>
        <row r="1204">
          <cell r="A1204">
            <v>122063</v>
          </cell>
          <cell r="D1204" t="str">
            <v>灵光乍现信物（废弃道具）</v>
          </cell>
        </row>
        <row r="1205">
          <cell r="A1205">
            <v>122064</v>
          </cell>
          <cell r="D1205" t="str">
            <v>胜利的代价信物（废弃道具）</v>
          </cell>
        </row>
        <row r="1206">
          <cell r="A1206">
            <v>122065</v>
          </cell>
          <cell r="D1206" t="str">
            <v>避芒击惰信物（废弃道具）</v>
          </cell>
        </row>
        <row r="1207">
          <cell r="A1207">
            <v>122066</v>
          </cell>
          <cell r="D1207" t="str">
            <v>怒击扬智信物（废弃道具）</v>
          </cell>
        </row>
        <row r="1208">
          <cell r="A1208">
            <v>122068</v>
          </cell>
          <cell r="D1208" t="str">
            <v>王者之剑信物（废弃道具）</v>
          </cell>
        </row>
        <row r="1209">
          <cell r="A1209">
            <v>122069</v>
          </cell>
          <cell r="D1209" t="str">
            <v>列阵御敌信物（废弃道具）</v>
          </cell>
        </row>
        <row r="1210">
          <cell r="A1210">
            <v>122070</v>
          </cell>
          <cell r="D1210" t="str">
            <v>冲冠一怒信物（废弃道具）</v>
          </cell>
        </row>
        <row r="1211">
          <cell r="A1211">
            <v>122072</v>
          </cell>
          <cell r="D1211" t="str">
            <v>弱点进攻信物（废弃道具）</v>
          </cell>
        </row>
        <row r="1212">
          <cell r="A1212">
            <v>122073</v>
          </cell>
          <cell r="D1212" t="str">
            <v>侵蚀之焰信物（废弃道具）</v>
          </cell>
        </row>
        <row r="1213">
          <cell r="A1213">
            <v>122074</v>
          </cell>
          <cell r="D1213" t="str">
            <v>压迫之袭信物（废弃道具）</v>
          </cell>
        </row>
        <row r="1214">
          <cell r="A1214">
            <v>122076</v>
          </cell>
          <cell r="D1214" t="str">
            <v>英勇时刻信物（废弃道具）</v>
          </cell>
        </row>
        <row r="1215">
          <cell r="A1215">
            <v>122078</v>
          </cell>
          <cell r="D1215" t="str">
            <v>胜利怒吼信物（废弃道具）</v>
          </cell>
        </row>
        <row r="1216">
          <cell r="A1216">
            <v>122079</v>
          </cell>
          <cell r="D1216" t="str">
            <v>波澜攻势信物（废弃道具）</v>
          </cell>
        </row>
        <row r="1217">
          <cell r="A1217">
            <v>122080</v>
          </cell>
          <cell r="D1217" t="str">
            <v>蛮勇侵袭信物（废弃道具）</v>
          </cell>
        </row>
        <row r="1218">
          <cell r="A1218">
            <v>122083</v>
          </cell>
          <cell r="D1218" t="str">
            <v>决意强袭信物（废弃道具）</v>
          </cell>
        </row>
        <row r="1219">
          <cell r="A1219">
            <v>122084</v>
          </cell>
          <cell r="D1219" t="str">
            <v>灭却军锋（废弃道具）</v>
          </cell>
        </row>
        <row r="1220">
          <cell r="A1220">
            <v>122085</v>
          </cell>
          <cell r="D1220" t="str">
            <v>命运恩宠（废弃道具）</v>
          </cell>
        </row>
        <row r="1221">
          <cell r="A1221">
            <v>122086</v>
          </cell>
          <cell r="D1221" t="str">
            <v>绝对权力（废弃道具）</v>
          </cell>
        </row>
        <row r="1222">
          <cell r="A1222">
            <v>122087</v>
          </cell>
          <cell r="D1222" t="str">
            <v>欺天之谋（废弃道具）</v>
          </cell>
        </row>
        <row r="1223">
          <cell r="A1223">
            <v>122092</v>
          </cell>
          <cell r="D1223" t="str">
            <v>以下克上（废弃道具）</v>
          </cell>
        </row>
        <row r="1224">
          <cell r="A1224">
            <v>122095</v>
          </cell>
          <cell r="D1224" t="str">
            <v>历战之枪（废弃道具）</v>
          </cell>
        </row>
        <row r="1225">
          <cell r="A1225">
            <v>122096</v>
          </cell>
          <cell r="D1225" t="str">
            <v>压制强攻（废弃道具）</v>
          </cell>
        </row>
        <row r="1226">
          <cell r="A1226">
            <v>122098</v>
          </cell>
          <cell r="D1226" t="str">
            <v>长生军团（废弃道具）</v>
          </cell>
        </row>
        <row r="1227">
          <cell r="A1227">
            <v>122099</v>
          </cell>
          <cell r="D1227" t="str">
            <v>万里平戎策（废弃道具）</v>
          </cell>
        </row>
        <row r="1228">
          <cell r="A1228">
            <v>122100</v>
          </cell>
          <cell r="D1228" t="str">
            <v>不屈反击（废弃道具）</v>
          </cell>
        </row>
        <row r="1229">
          <cell r="A1229">
            <v>122101</v>
          </cell>
          <cell r="D1229" t="str">
            <v>黑沼之刃（废弃道具）</v>
          </cell>
        </row>
        <row r="1230">
          <cell r="A1230">
            <v>122102</v>
          </cell>
          <cell r="D1230" t="str">
            <v>狂烈之骑（废弃道具）</v>
          </cell>
        </row>
        <row r="1231">
          <cell r="A1231">
            <v>122103</v>
          </cell>
          <cell r="D1231" t="str">
            <v>侵彻之弓（废弃道具）</v>
          </cell>
        </row>
        <row r="1232">
          <cell r="A1232">
            <v>122105</v>
          </cell>
          <cell r="D1232" t="str">
            <v>王命谕令（废弃道具）</v>
          </cell>
        </row>
        <row r="1233">
          <cell r="A1233">
            <v>122107</v>
          </cell>
          <cell r="D1233" t="str">
            <v>绿洲之佑（废弃道具）</v>
          </cell>
        </row>
        <row r="1234">
          <cell r="A1234">
            <v>122108</v>
          </cell>
          <cell r="D1234" t="str">
            <v>制伏（废弃道具）</v>
          </cell>
        </row>
        <row r="1235">
          <cell r="A1235">
            <v>122109</v>
          </cell>
          <cell r="D1235" t="str">
            <v>借势威吓（废弃道具）</v>
          </cell>
        </row>
        <row r="1236">
          <cell r="A1236">
            <v>122110</v>
          </cell>
          <cell r="D1236" t="str">
            <v>神圣之剑（废弃道具）</v>
          </cell>
        </row>
        <row r="1237">
          <cell r="A1237">
            <v>122111</v>
          </cell>
          <cell r="D1237" t="str">
            <v>会心加护（废弃道具）</v>
          </cell>
        </row>
        <row r="1238">
          <cell r="A1238">
            <v>122112</v>
          </cell>
          <cell r="D1238" t="str">
            <v>燃身战意（废弃道具）</v>
          </cell>
        </row>
        <row r="1239">
          <cell r="A1239">
            <v>122113</v>
          </cell>
          <cell r="D1239" t="str">
            <v>激昂（废弃道具）</v>
          </cell>
        </row>
        <row r="1240">
          <cell r="A1240">
            <v>122114</v>
          </cell>
          <cell r="D1240" t="str">
            <v>阳谋（废弃道具）</v>
          </cell>
        </row>
        <row r="1241">
          <cell r="A1241">
            <v>122115</v>
          </cell>
          <cell r="D1241" t="str">
            <v>反间（废弃道具）</v>
          </cell>
        </row>
        <row r="1242">
          <cell r="A1242">
            <v>122116</v>
          </cell>
          <cell r="D1242" t="str">
            <v>机变（废弃道具）</v>
          </cell>
        </row>
        <row r="1243">
          <cell r="A1243">
            <v>122117</v>
          </cell>
          <cell r="D1243" t="str">
            <v>苦肉（废弃道具）</v>
          </cell>
        </row>
        <row r="1244">
          <cell r="A1244">
            <v>122118</v>
          </cell>
          <cell r="D1244" t="str">
            <v>余烬之灼（废弃道具）</v>
          </cell>
        </row>
        <row r="1245">
          <cell r="A1245">
            <v>122119</v>
          </cell>
          <cell r="D1245" t="str">
            <v>戒备（废弃道具）</v>
          </cell>
        </row>
        <row r="1246">
          <cell r="A1246">
            <v>122120</v>
          </cell>
          <cell r="D1246" t="str">
            <v>阵鼓（废弃道具）</v>
          </cell>
        </row>
        <row r="1247">
          <cell r="A1247">
            <v>122121</v>
          </cell>
          <cell r="D1247" t="str">
            <v>掌军（废弃道具）</v>
          </cell>
        </row>
        <row r="1248">
          <cell r="A1248">
            <v>122122</v>
          </cell>
          <cell r="D1248" t="str">
            <v>变阵（废弃道具）</v>
          </cell>
        </row>
        <row r="1249">
          <cell r="A1249">
            <v>122123</v>
          </cell>
          <cell r="D1249" t="str">
            <v>裸衣（废弃道具）</v>
          </cell>
        </row>
        <row r="1250">
          <cell r="A1250">
            <v>122124</v>
          </cell>
          <cell r="D1250" t="str">
            <v>伏击（废弃道具）</v>
          </cell>
        </row>
        <row r="1251">
          <cell r="A1251">
            <v>122125</v>
          </cell>
          <cell r="D1251" t="str">
            <v>入阵曲（废弃道具）</v>
          </cell>
        </row>
        <row r="1252">
          <cell r="A1252">
            <v>122126</v>
          </cell>
          <cell r="D1252" t="str">
            <v>固本（废弃道具）</v>
          </cell>
        </row>
        <row r="1253">
          <cell r="A1253">
            <v>23001</v>
          </cell>
          <cell r="D1253" t="str">
            <v>紫色信物（废弃道具）</v>
          </cell>
        </row>
        <row r="1254">
          <cell r="A1254">
            <v>23002</v>
          </cell>
          <cell r="D1254" t="str">
            <v>橙色信物（废弃道具）</v>
          </cell>
        </row>
        <row r="1255">
          <cell r="A1255">
            <v>23003</v>
          </cell>
          <cell r="D1255" t="str">
            <v>橙色信物碎片（废弃道具）</v>
          </cell>
        </row>
        <row r="1256">
          <cell r="A1256">
            <v>23004</v>
          </cell>
          <cell r="D1256" t="str">
            <v>反戈一击碎片（测试合成道具）（废弃道具）</v>
          </cell>
        </row>
        <row r="1257">
          <cell r="A1257">
            <v>123001</v>
          </cell>
          <cell r="D1257" t="str">
            <v>通用紫色碎片</v>
          </cell>
        </row>
        <row r="1258">
          <cell r="A1258">
            <v>123002</v>
          </cell>
          <cell r="D1258" t="str">
            <v>通用橙色碎片</v>
          </cell>
        </row>
        <row r="1259">
          <cell r="A1259">
            <v>24001</v>
          </cell>
          <cell r="D1259" t="str">
            <v>云龙骧·骁骑</v>
          </cell>
        </row>
        <row r="1260">
          <cell r="A1260">
            <v>24002</v>
          </cell>
          <cell r="D1260" t="str">
            <v>丹虬·骁骑</v>
          </cell>
        </row>
        <row r="1261">
          <cell r="A1261">
            <v>24003</v>
          </cell>
          <cell r="D1261" t="str">
            <v>搏浪舟·骁骑</v>
          </cell>
        </row>
        <row r="1262">
          <cell r="A1262">
            <v>24004</v>
          </cell>
          <cell r="D1262" t="str">
            <v>镇岳雷·骁骑</v>
          </cell>
        </row>
        <row r="1263">
          <cell r="A1263">
            <v>24005</v>
          </cell>
          <cell r="D1263" t="str">
            <v>雷云·骁骑</v>
          </cell>
        </row>
        <row r="1264">
          <cell r="A1264">
            <v>24006</v>
          </cell>
          <cell r="D1264" t="str">
            <v>诺里斯·骁骑</v>
          </cell>
        </row>
        <row r="1265">
          <cell r="A1265">
            <v>24007</v>
          </cell>
          <cell r="D1265" t="str">
            <v>卷云驹·骁骑</v>
          </cell>
        </row>
        <row r="1266">
          <cell r="A1266">
            <v>24008</v>
          </cell>
          <cell r="D1266" t="str">
            <v>燎原·骁骑</v>
          </cell>
        </row>
        <row r="1267">
          <cell r="A1267">
            <v>24009</v>
          </cell>
          <cell r="D1267" t="str">
            <v>达尔克·骁骑</v>
          </cell>
        </row>
        <row r="1268">
          <cell r="A1268">
            <v>24010</v>
          </cell>
          <cell r="D1268" t="str">
            <v>洗月·骁骑</v>
          </cell>
        </row>
        <row r="1269">
          <cell r="A1269">
            <v>24011</v>
          </cell>
          <cell r="D1269" t="str">
            <v>乌星·枪魂</v>
          </cell>
        </row>
        <row r="1270">
          <cell r="A1270">
            <v>24012</v>
          </cell>
          <cell r="D1270" t="str">
            <v>镇岳雷·枪魂</v>
          </cell>
        </row>
        <row r="1271">
          <cell r="A1271">
            <v>24013</v>
          </cell>
          <cell r="D1271" t="str">
            <v>佩萨斯·枪魂</v>
          </cell>
        </row>
        <row r="1272">
          <cell r="A1272">
            <v>24014</v>
          </cell>
          <cell r="D1272" t="str">
            <v>诺里斯·枪魂</v>
          </cell>
        </row>
        <row r="1273">
          <cell r="A1273">
            <v>24015</v>
          </cell>
          <cell r="D1273" t="str">
            <v>卷云驹·枪魂</v>
          </cell>
        </row>
        <row r="1274">
          <cell r="A1274">
            <v>24016</v>
          </cell>
          <cell r="D1274" t="str">
            <v>燎原·枪魂</v>
          </cell>
        </row>
        <row r="1275">
          <cell r="A1275">
            <v>24017</v>
          </cell>
          <cell r="D1275" t="str">
            <v>达尔克·枪魂</v>
          </cell>
        </row>
        <row r="1276">
          <cell r="A1276">
            <v>24018</v>
          </cell>
          <cell r="D1276" t="str">
            <v>洗月·枪魂</v>
          </cell>
        </row>
        <row r="1277">
          <cell r="A1277">
            <v>24019</v>
          </cell>
          <cell r="D1277" t="str">
            <v>佩萨斯·剑心</v>
          </cell>
        </row>
        <row r="1278">
          <cell r="A1278">
            <v>24020</v>
          </cell>
          <cell r="D1278" t="str">
            <v>逐电·剑心</v>
          </cell>
        </row>
        <row r="1279">
          <cell r="A1279">
            <v>24021</v>
          </cell>
          <cell r="D1279" t="str">
            <v>玄明·剑心</v>
          </cell>
        </row>
        <row r="1280">
          <cell r="A1280">
            <v>24022</v>
          </cell>
          <cell r="D1280" t="str">
            <v>镇岳雷·剑心</v>
          </cell>
        </row>
        <row r="1281">
          <cell r="A1281">
            <v>24023</v>
          </cell>
          <cell r="D1281" t="str">
            <v>云龙骧·剑心</v>
          </cell>
        </row>
        <row r="1282">
          <cell r="A1282">
            <v>24024</v>
          </cell>
          <cell r="D1282" t="str">
            <v>诺里斯·剑心</v>
          </cell>
        </row>
        <row r="1283">
          <cell r="A1283">
            <v>24025</v>
          </cell>
          <cell r="D1283" t="str">
            <v>卷云驹·剑心</v>
          </cell>
        </row>
        <row r="1284">
          <cell r="A1284">
            <v>24026</v>
          </cell>
          <cell r="D1284" t="str">
            <v>燎原·剑心</v>
          </cell>
        </row>
        <row r="1285">
          <cell r="A1285">
            <v>24027</v>
          </cell>
          <cell r="D1285" t="str">
            <v>达尔克·剑心</v>
          </cell>
        </row>
        <row r="1286">
          <cell r="A1286">
            <v>24028</v>
          </cell>
          <cell r="D1286" t="str">
            <v>洗月·剑心</v>
          </cell>
        </row>
        <row r="1287">
          <cell r="A1287">
            <v>24029</v>
          </cell>
          <cell r="D1287" t="str">
            <v>白玉猊·弓首</v>
          </cell>
        </row>
        <row r="1288">
          <cell r="A1288">
            <v>24030</v>
          </cell>
          <cell r="D1288" t="str">
            <v>逐电·弓首</v>
          </cell>
        </row>
        <row r="1289">
          <cell r="A1289">
            <v>24031</v>
          </cell>
          <cell r="D1289" t="str">
            <v>诺里斯·弓首</v>
          </cell>
        </row>
        <row r="1290">
          <cell r="A1290">
            <v>24032</v>
          </cell>
          <cell r="D1290" t="str">
            <v>卷云驹·弓首</v>
          </cell>
        </row>
        <row r="1291">
          <cell r="A1291">
            <v>24033</v>
          </cell>
          <cell r="D1291" t="str">
            <v>燎原·弓首</v>
          </cell>
        </row>
        <row r="1292">
          <cell r="A1292">
            <v>24034</v>
          </cell>
          <cell r="D1292" t="str">
            <v>达尔克·弓首</v>
          </cell>
        </row>
        <row r="1293">
          <cell r="A1293">
            <v>24035</v>
          </cell>
          <cell r="D1293" t="str">
            <v>洗月·弓首</v>
          </cell>
        </row>
        <row r="1294">
          <cell r="A1294">
            <v>24036</v>
          </cell>
          <cell r="D1294" t="str">
            <v>赤兔马·骁骑</v>
          </cell>
        </row>
        <row r="1295">
          <cell r="A1295">
            <v>24037</v>
          </cell>
          <cell r="D1295" t="str">
            <v>帕拉丁·剑心</v>
          </cell>
        </row>
        <row r="1296">
          <cell r="A1296">
            <v>24038</v>
          </cell>
          <cell r="D1296" t="str">
            <v>搏浪舟·弓首</v>
          </cell>
        </row>
        <row r="1297">
          <cell r="A1297">
            <v>24039</v>
          </cell>
          <cell r="D1297" t="str">
            <v>云龙骧·弓首</v>
          </cell>
        </row>
        <row r="1298">
          <cell r="A1298">
            <v>24040</v>
          </cell>
          <cell r="D1298" t="str">
            <v>特勒骠·枪魂</v>
          </cell>
        </row>
        <row r="1299">
          <cell r="A1299">
            <v>24201</v>
          </cell>
          <cell r="D1299" t="str">
            <v>高地马</v>
          </cell>
        </row>
        <row r="1300">
          <cell r="A1300">
            <v>24202</v>
          </cell>
          <cell r="D1300" t="str">
            <v>草原马</v>
          </cell>
        </row>
        <row r="1301">
          <cell r="A1301">
            <v>25001</v>
          </cell>
          <cell r="D1301" t="str">
            <v>战马粮草</v>
          </cell>
        </row>
        <row r="1302">
          <cell r="A1302">
            <v>25002</v>
          </cell>
          <cell r="D1302" t="str">
            <v>驯马手记</v>
          </cell>
        </row>
        <row r="1303">
          <cell r="A1303">
            <v>25003</v>
          </cell>
          <cell r="D1303" t="str">
            <v>驯马典籍</v>
          </cell>
        </row>
        <row r="1304">
          <cell r="A1304">
            <v>25004</v>
          </cell>
          <cell r="D1304" t="str">
            <v>马铠精铁</v>
          </cell>
        </row>
        <row r="1305">
          <cell r="A1305">
            <v>25005</v>
          </cell>
          <cell r="D1305" t="str">
            <v>马胚宝箱*剑</v>
          </cell>
        </row>
        <row r="1306">
          <cell r="A1306">
            <v>25006</v>
          </cell>
          <cell r="D1306" t="str">
            <v>马胚宝箱*枪</v>
          </cell>
        </row>
        <row r="1307">
          <cell r="A1307">
            <v>25007</v>
          </cell>
          <cell r="D1307" t="str">
            <v>马胚宝箱*骑</v>
          </cell>
        </row>
        <row r="1308">
          <cell r="A1308">
            <v>25008</v>
          </cell>
          <cell r="D1308" t="str">
            <v>马胚宝箱*弓</v>
          </cell>
        </row>
        <row r="1309">
          <cell r="A1309">
            <v>25101</v>
          </cell>
          <cell r="D1309" t="str">
            <v>生铁</v>
          </cell>
        </row>
        <row r="1310">
          <cell r="A1310">
            <v>25102</v>
          </cell>
          <cell r="D1310" t="str">
            <v>琉璃</v>
          </cell>
        </row>
        <row r="1311">
          <cell r="A1311">
            <v>25103</v>
          </cell>
          <cell r="D1311" t="str">
            <v>紫铜</v>
          </cell>
        </row>
        <row r="1312">
          <cell r="A1312">
            <v>25104</v>
          </cell>
          <cell r="D1312" t="str">
            <v>玉髓</v>
          </cell>
        </row>
        <row r="1313">
          <cell r="A1313">
            <v>25105</v>
          </cell>
          <cell r="D1313" t="str">
            <v>赤金</v>
          </cell>
        </row>
        <row r="1314">
          <cell r="A1314">
            <v>25106</v>
          </cell>
          <cell r="D1314" t="str">
            <v>陨钢</v>
          </cell>
        </row>
        <row r="1315">
          <cell r="A1315">
            <v>25501</v>
          </cell>
          <cell r="D1315" t="str">
            <v>预设挂饰疾锋剑刃（紫色）</v>
          </cell>
        </row>
        <row r="1316">
          <cell r="A1316">
            <v>25502</v>
          </cell>
          <cell r="D1316" t="str">
            <v>预设挂饰灵明圆镜（紫色）</v>
          </cell>
        </row>
        <row r="1317">
          <cell r="A1317">
            <v>25503</v>
          </cell>
          <cell r="D1317" t="str">
            <v>预设挂饰锐芒矢镝（橙色）</v>
          </cell>
        </row>
        <row r="1318">
          <cell r="A1318">
            <v>25504</v>
          </cell>
          <cell r="D1318" t="str">
            <v>预设挂饰启迪晨星（橙色）</v>
          </cell>
        </row>
        <row r="1319">
          <cell r="A1319">
            <v>25601</v>
          </cell>
          <cell r="D1319" t="str">
            <v>精工图纸（铁骨）</v>
          </cell>
        </row>
        <row r="1320">
          <cell r="A1320">
            <v>25602</v>
          </cell>
          <cell r="D1320" t="str">
            <v>精工图纸（征天）</v>
          </cell>
        </row>
        <row r="1321">
          <cell r="A1321">
            <v>25603</v>
          </cell>
          <cell r="D1321" t="str">
            <v>精工图纸（炽炎）</v>
          </cell>
        </row>
        <row r="1322">
          <cell r="A1322">
            <v>25604</v>
          </cell>
          <cell r="D1322" t="str">
            <v>精工图纸（旗魂）</v>
          </cell>
        </row>
        <row r="1323">
          <cell r="A1323">
            <v>25605</v>
          </cell>
          <cell r="D1323" t="str">
            <v>精工图纸（玉麟）</v>
          </cell>
        </row>
        <row r="1324">
          <cell r="A1324">
            <v>25701</v>
          </cell>
          <cell r="D1324" t="str">
            <v>高级精工图纸（霸王）</v>
          </cell>
        </row>
        <row r="1325">
          <cell r="A1325">
            <v>25702</v>
          </cell>
          <cell r="D1325" t="str">
            <v>高级精工图纸（神意）</v>
          </cell>
        </row>
        <row r="1326">
          <cell r="A1326">
            <v>25703</v>
          </cell>
          <cell r="D1326" t="str">
            <v>高级精工图纸（普化）</v>
          </cell>
        </row>
        <row r="1327">
          <cell r="A1327">
            <v>25704</v>
          </cell>
          <cell r="D1327" t="str">
            <v>高级精工图纸（驰霄）</v>
          </cell>
        </row>
        <row r="1328">
          <cell r="A1328">
            <v>25705</v>
          </cell>
          <cell r="D1328" t="str">
            <v>高级精工图纸（飞渡）</v>
          </cell>
        </row>
        <row r="1329">
          <cell r="A1329">
            <v>26001</v>
          </cell>
          <cell r="D1329" t="str">
            <v>琼恩</v>
          </cell>
        </row>
        <row r="1330">
          <cell r="A1330">
            <v>26002</v>
          </cell>
          <cell r="D1330" t="str">
            <v>影武者</v>
          </cell>
        </row>
        <row r="1331">
          <cell r="A1331">
            <v>26003</v>
          </cell>
          <cell r="D1331" t="str">
            <v>尤里乌斯</v>
          </cell>
        </row>
        <row r="1332">
          <cell r="A1332">
            <v>26004</v>
          </cell>
          <cell r="D1332" t="str">
            <v>艳后</v>
          </cell>
        </row>
        <row r="1333">
          <cell r="A1333">
            <v>26005</v>
          </cell>
          <cell r="D1333" t="str">
            <v>关羽</v>
          </cell>
        </row>
        <row r="1334">
          <cell r="A1334">
            <v>26006</v>
          </cell>
          <cell r="D1334" t="str">
            <v>亨利</v>
          </cell>
        </row>
        <row r="1335">
          <cell r="A1335">
            <v>26007</v>
          </cell>
          <cell r="D1335" t="str">
            <v>项楚</v>
          </cell>
        </row>
        <row r="1336">
          <cell r="A1336">
            <v>26009</v>
          </cell>
          <cell r="D1336" t="str">
            <v>魏兰</v>
          </cell>
        </row>
        <row r="1337">
          <cell r="A1337">
            <v>26010</v>
          </cell>
          <cell r="D1337" t="str">
            <v>查士丁尼</v>
          </cell>
        </row>
        <row r="1338">
          <cell r="A1338">
            <v>26013</v>
          </cell>
          <cell r="D1338" t="str">
            <v>列奥尼达</v>
          </cell>
        </row>
        <row r="1339">
          <cell r="A1339">
            <v>26014</v>
          </cell>
          <cell r="D1339" t="str">
            <v>孙武</v>
          </cell>
        </row>
        <row r="1340">
          <cell r="A1340">
            <v>26015</v>
          </cell>
          <cell r="D1340" t="str">
            <v>女帝</v>
          </cell>
        </row>
        <row r="1341">
          <cell r="A1341">
            <v>26017</v>
          </cell>
          <cell r="D1341" t="str">
            <v>弗德里希</v>
          </cell>
        </row>
        <row r="1342">
          <cell r="A1342">
            <v>26019</v>
          </cell>
          <cell r="D1342" t="str">
            <v>大流士一世</v>
          </cell>
        </row>
        <row r="1343">
          <cell r="A1343">
            <v>26021</v>
          </cell>
          <cell r="D1343" t="str">
            <v>亚瑟王</v>
          </cell>
        </row>
        <row r="1344">
          <cell r="A1344">
            <v>26022</v>
          </cell>
          <cell r="D1344" t="str">
            <v>亚历山大</v>
          </cell>
        </row>
        <row r="1345">
          <cell r="A1345">
            <v>26023</v>
          </cell>
          <cell r="D1345" t="str">
            <v>汉尼拔</v>
          </cell>
        </row>
        <row r="1346">
          <cell r="A1346">
            <v>26026</v>
          </cell>
          <cell r="D1346" t="str">
            <v>赵云</v>
          </cell>
        </row>
        <row r="1347">
          <cell r="A1347">
            <v>26027</v>
          </cell>
          <cell r="D1347" t="str">
            <v>兰陵王</v>
          </cell>
        </row>
        <row r="1348">
          <cell r="A1348">
            <v>26028</v>
          </cell>
          <cell r="D1348" t="str">
            <v>虞姬</v>
          </cell>
        </row>
        <row r="1349">
          <cell r="A1349">
            <v>26029</v>
          </cell>
          <cell r="D1349" t="str">
            <v>白起</v>
          </cell>
        </row>
        <row r="1350">
          <cell r="A1350">
            <v>26030</v>
          </cell>
          <cell r="D1350" t="str">
            <v>秦叔宝</v>
          </cell>
        </row>
        <row r="1351">
          <cell r="A1351">
            <v>26031</v>
          </cell>
          <cell r="D1351" t="str">
            <v>尉迟恭</v>
          </cell>
        </row>
        <row r="1352">
          <cell r="A1352">
            <v>26033</v>
          </cell>
          <cell r="D1352" t="str">
            <v>诸葛亮</v>
          </cell>
        </row>
        <row r="1353">
          <cell r="A1353">
            <v>26036</v>
          </cell>
          <cell r="D1353" t="str">
            <v>安德莉娅</v>
          </cell>
        </row>
        <row r="1354">
          <cell r="A1354">
            <v>30001</v>
          </cell>
          <cell r="D1354"/>
        </row>
        <row r="1355">
          <cell r="A1355">
            <v>30002</v>
          </cell>
          <cell r="D1355"/>
        </row>
        <row r="1356">
          <cell r="A1356">
            <v>30003</v>
          </cell>
          <cell r="D1356" t="str">
            <v>【仅测试用】可预览随机宝箱-直接打开
（必得：木材*5；随机：木材*4、食物*3、石头*2、黄金*1）</v>
          </cell>
        </row>
        <row r="1357">
          <cell r="A1357">
            <v>30004</v>
          </cell>
          <cell r="D1357" t="str">
            <v>【仅测试用】可预览随机宝箱-进背包 ，不限时
（必得：木材*5；随机：木材*4、食物*3、石头*2、黄金*1）</v>
          </cell>
        </row>
        <row r="1358">
          <cell r="A1358">
            <v>30005</v>
          </cell>
          <cell r="D1358" t="str">
            <v>【仅测试用】可预览随机宝箱-进背包 ，限时
（必得：木材*5；随机：木材*4、食物*3、石头*2、黄金*1）</v>
          </cell>
        </row>
        <row r="1359">
          <cell r="A1359">
            <v>30006</v>
          </cell>
          <cell r="D1359" t="str">
            <v>【仅测试用】可预览随机宝箱-进背包 ，含限时道具
（必得：帝国之星-限时、木材*5）</v>
          </cell>
        </row>
        <row r="1360">
          <cell r="A1360">
            <v>30007</v>
          </cell>
          <cell r="D1360" t="str">
            <v>可预览随机宝箱-直接打开
（必得：木材*5；随机：木材*4、食物*3、石头*2、黄金*1）</v>
          </cell>
        </row>
        <row r="1361">
          <cell r="A1361">
            <v>30008</v>
          </cell>
          <cell r="D1361" t="str">
            <v>至强技能宝箱（商业化投放）</v>
          </cell>
        </row>
        <row r="1362">
          <cell r="A1362">
            <v>30009</v>
          </cell>
          <cell r="D1362" t="str">
            <v>至强技能宝箱（商业化投放-必得饥渴之刃）</v>
          </cell>
        </row>
        <row r="1363">
          <cell r="A1363">
            <v>30010</v>
          </cell>
          <cell r="D1363" t="str">
            <v>无双技能宝箱（商业化投放）</v>
          </cell>
        </row>
        <row r="1364">
          <cell r="A1364">
            <v>30011</v>
          </cell>
          <cell r="D1364" t="str">
            <v>无双技能宝箱（商业化投放-大概率获得慈悲终结）</v>
          </cell>
        </row>
        <row r="1365">
          <cell r="A1365">
            <v>30012</v>
          </cell>
          <cell r="D1365" t="str">
            <v>联盟开服同庆红包</v>
          </cell>
        </row>
        <row r="1366">
          <cell r="A1366">
            <v>30013</v>
          </cell>
          <cell r="D1366" t="str">
            <v>超值资源宝箱</v>
          </cell>
        </row>
        <row r="1367">
          <cell r="A1367">
            <v>30014</v>
          </cell>
          <cell r="D1367" t="str">
            <v>预约专属礼盒</v>
          </cell>
        </row>
        <row r="1368">
          <cell r="A1368">
            <v>30018</v>
          </cell>
          <cell r="D1368" t="str">
            <v>州频开服同庆红包</v>
          </cell>
        </row>
        <row r="1369">
          <cell r="A1369">
            <v>30019</v>
          </cell>
          <cell r="D1369" t="str">
            <v>世界开服同庆红包</v>
          </cell>
        </row>
        <row r="1370">
          <cell r="A1370">
            <v>30020</v>
          </cell>
          <cell r="D1370" t="str">
            <v>帝国秘卷</v>
          </cell>
        </row>
        <row r="1371">
          <cell r="A1371">
            <v>30021</v>
          </cell>
          <cell r="D1371" t="str">
            <v>帝国之星（测试合成道具用）</v>
          </cell>
        </row>
        <row r="1372">
          <cell r="A1372">
            <v>30022</v>
          </cell>
          <cell r="D1372" t="str">
            <v>自选宝箱（测试合成道具用）</v>
          </cell>
        </row>
        <row r="1373">
          <cell r="A1373">
            <v>30023</v>
          </cell>
          <cell r="D1373" t="str">
            <v>自选资源宝箱（测试用）</v>
          </cell>
        </row>
        <row r="1374">
          <cell r="A1374">
            <v>30024</v>
          </cell>
          <cell r="D1374" t="str">
            <v>庆典卷轴</v>
          </cell>
        </row>
        <row r="1375">
          <cell r="A1375">
            <v>30025</v>
          </cell>
          <cell r="D1375" t="str">
            <v>东方照月礼券</v>
          </cell>
        </row>
        <row r="1376">
          <cell r="A1376">
            <v>30026</v>
          </cell>
          <cell r="D1376" t="str">
            <v>东方照月礼</v>
          </cell>
        </row>
        <row r="1377">
          <cell r="A1377">
            <v>30027</v>
          </cell>
          <cell r="D1377" t="str">
            <v>盛宴分享红包</v>
          </cell>
        </row>
        <row r="1378">
          <cell r="A1378">
            <v>30028</v>
          </cell>
          <cell r="D1378" t="str">
            <v>凤鸣宝玉</v>
          </cell>
        </row>
        <row r="1379">
          <cell r="A1379">
            <v>30029</v>
          </cell>
          <cell r="D1379" t="str">
            <v>凤翎箭</v>
          </cell>
        </row>
        <row r="1380">
          <cell r="A1380">
            <v>30030</v>
          </cell>
          <cell r="D1380" t="str">
            <v>孙子兵法（自选宝箱）</v>
          </cell>
        </row>
        <row r="1381">
          <cell r="A1381">
            <v>30031</v>
          </cell>
          <cell r="D1381" t="str">
            <v>外显随机宝箱</v>
          </cell>
        </row>
        <row r="1382">
          <cell r="A1382">
            <v>30032</v>
          </cell>
          <cell r="D1382" t="str">
            <v>传说英雄自选宝箱</v>
          </cell>
        </row>
        <row r="1383">
          <cell r="A1383">
            <v>30033</v>
          </cell>
          <cell r="D1383" t="str">
            <v>城池装扮碎片</v>
          </cell>
        </row>
        <row r="1384">
          <cell r="A1384">
            <v>30034</v>
          </cell>
          <cell r="D1384" t="str">
            <v>军演名马自选宝箱</v>
          </cell>
        </row>
        <row r="1385">
          <cell r="A1385">
            <v>30035</v>
          </cell>
          <cell r="D1385" t="str">
            <v>通用活动红包</v>
          </cell>
        </row>
        <row r="1386">
          <cell r="A1386">
            <v>30036</v>
          </cell>
          <cell r="D1386" t="str">
            <v>赛季特权自选宝箱1（测试）</v>
          </cell>
        </row>
        <row r="1387">
          <cell r="A1387">
            <v>30037</v>
          </cell>
          <cell r="D1387" t="str">
            <v>赛季特权自选宝箱2（测试）</v>
          </cell>
        </row>
        <row r="1388">
          <cell r="A1388">
            <v>30038</v>
          </cell>
          <cell r="D1388" t="str">
            <v>招募礼-强军宝箱-350</v>
          </cell>
        </row>
        <row r="1389">
          <cell r="A1389">
            <v>30039</v>
          </cell>
          <cell r="D1389" t="str">
            <v>招募礼-强军宝箱-450</v>
          </cell>
        </row>
        <row r="1390">
          <cell r="A1390">
            <v>30040</v>
          </cell>
          <cell r="D1390" t="str">
            <v>招募礼-强军宝箱-550</v>
          </cell>
        </row>
        <row r="1391">
          <cell r="A1391">
            <v>30041</v>
          </cell>
          <cell r="D1391" t="str">
            <v>招募礼-强军宝箱-650</v>
          </cell>
        </row>
        <row r="1392">
          <cell r="A1392">
            <v>30042</v>
          </cell>
          <cell r="D1392" t="str">
            <v>招募礼-强军宝箱-850</v>
          </cell>
        </row>
        <row r="1393">
          <cell r="A1393">
            <v>30043</v>
          </cell>
          <cell r="D1393" t="str">
            <v>招募礼-坚韧宝箱-450</v>
          </cell>
        </row>
        <row r="1394">
          <cell r="A1394">
            <v>30044</v>
          </cell>
          <cell r="D1394" t="str">
            <v>招募礼-坚韧宝箱-550</v>
          </cell>
        </row>
        <row r="1395">
          <cell r="A1395">
            <v>30045</v>
          </cell>
          <cell r="D1395" t="str">
            <v>招募礼-坚韧宝箱-650</v>
          </cell>
        </row>
        <row r="1396">
          <cell r="A1396">
            <v>30046</v>
          </cell>
          <cell r="D1396" t="str">
            <v>招募礼-坚韧宝箱-850</v>
          </cell>
        </row>
        <row r="1397">
          <cell r="A1397">
            <v>30047</v>
          </cell>
          <cell r="D1397" t="str">
            <v>英雄碎片宝箱</v>
          </cell>
        </row>
        <row r="1398">
          <cell r="A1398">
            <v>30048</v>
          </cell>
          <cell r="D1398" t="str">
            <v>每日幸运宝箱</v>
          </cell>
        </row>
        <row r="1399">
          <cell r="A1399">
            <v>30049</v>
          </cell>
          <cell r="D1399" t="str">
            <v>尊享成长宝箱</v>
          </cell>
        </row>
        <row r="1400">
          <cell r="A1400">
            <v>30050</v>
          </cell>
          <cell r="D1400" t="str">
            <v>巅峰成长宝箱</v>
          </cell>
        </row>
        <row r="1401">
          <cell r="A1401">
            <v>30051</v>
          </cell>
          <cell r="D1401" t="str">
            <v>至尊成长宝箱</v>
          </cell>
        </row>
        <row r="1402">
          <cell r="A1402">
            <v>30052</v>
          </cell>
          <cell r="D1402" t="str">
            <v>霸业宝箱</v>
          </cell>
        </row>
        <row r="1403">
          <cell r="A1403">
            <v>30053</v>
          </cell>
          <cell r="D1403" t="str">
            <v>帝国荣耀幸运宝箱</v>
          </cell>
        </row>
        <row r="1404">
          <cell r="A1404">
            <v>30054</v>
          </cell>
          <cell r="D1404" t="str">
            <v>军演名马自选宝箱</v>
          </cell>
        </row>
        <row r="1405">
          <cell r="A1405">
            <v>30055</v>
          </cell>
          <cell r="D1405" t="str">
            <v>地图碎片</v>
          </cell>
        </row>
        <row r="1406">
          <cell r="A1406">
            <v>30056</v>
          </cell>
          <cell r="D1406" t="str">
            <v>传奇降世宝箱</v>
          </cell>
        </row>
        <row r="1407">
          <cell r="A1407">
            <v>30057</v>
          </cell>
          <cell r="D1407" t="str">
            <v>传奇惊世宝箱</v>
          </cell>
        </row>
        <row r="1408">
          <cell r="A1408">
            <v>30058</v>
          </cell>
          <cell r="D1408" t="str">
            <v>传奇耀世宝箱</v>
          </cell>
        </row>
        <row r="1409">
          <cell r="A1409">
            <v>30059</v>
          </cell>
          <cell r="D1409" t="str">
            <v>传奇现世英雄宝箱</v>
          </cell>
        </row>
        <row r="1410">
          <cell r="A1410">
            <v>30060</v>
          </cell>
          <cell r="D1410" t="str">
            <v>传奇谋略宝箱</v>
          </cell>
        </row>
        <row r="1411">
          <cell r="A1411">
            <v>30061</v>
          </cell>
          <cell r="D1411" t="str">
            <v>传奇勇武宝箱</v>
          </cell>
        </row>
        <row r="1412">
          <cell r="A1412">
            <v>30062</v>
          </cell>
          <cell r="D1412" t="str">
            <v>传奇现世技能宝箱</v>
          </cell>
        </row>
        <row r="1413">
          <cell r="A1413">
            <v>30063</v>
          </cell>
          <cell r="D1413" t="str">
            <v>帝国探索宝箱</v>
          </cell>
        </row>
        <row r="1414">
          <cell r="A1414">
            <v>30064</v>
          </cell>
          <cell r="D1414" t="str">
            <v>帝国奇迹宝箱</v>
          </cell>
        </row>
        <row r="1415">
          <cell r="A1415">
            <v>30065</v>
          </cell>
          <cell r="D1415" t="str">
            <v>联盟分享红包</v>
          </cell>
        </row>
        <row r="1416">
          <cell r="A1416">
            <v>30066</v>
          </cell>
          <cell r="D1416" t="str">
            <v>公测同庆红包</v>
          </cell>
        </row>
        <row r="1417">
          <cell r="A1417">
            <v>30067</v>
          </cell>
          <cell r="D1417" t="str">
            <v>邀请好友积分</v>
          </cell>
        </row>
        <row r="1418">
          <cell r="A1418">
            <v>30068</v>
          </cell>
          <cell r="D1418" t="str">
            <v>坐骑宝箱占位1</v>
          </cell>
        </row>
        <row r="1419">
          <cell r="A1419">
            <v>30069</v>
          </cell>
          <cell r="D1419" t="str">
            <v>坐骑宝箱占位2</v>
          </cell>
        </row>
        <row r="1420">
          <cell r="A1420">
            <v>30070</v>
          </cell>
          <cell r="D1420" t="str">
            <v>坐骑宝箱占位3</v>
          </cell>
        </row>
        <row r="1421">
          <cell r="A1421">
            <v>30071</v>
          </cell>
          <cell r="D1421" t="str">
            <v>限时登录幸运宝箱</v>
          </cell>
        </row>
        <row r="1422">
          <cell r="A1422">
            <v>30072</v>
          </cell>
          <cell r="D1422" t="str">
            <v>奇迹英雄碎片宝箱</v>
          </cell>
        </row>
        <row r="1423">
          <cell r="A1423">
            <v>30073</v>
          </cell>
          <cell r="D1423" t="str">
            <v>自选紫色技能宝箱1</v>
          </cell>
        </row>
        <row r="1424">
          <cell r="A1424">
            <v>30074</v>
          </cell>
          <cell r="D1424" t="str">
            <v>自选紫色技能宝箱2</v>
          </cell>
        </row>
        <row r="1425">
          <cell r="A1425">
            <v>30125</v>
          </cell>
          <cell r="D1425" t="str">
            <v>黑色军旗1周</v>
          </cell>
        </row>
        <row r="1426">
          <cell r="A1426">
            <v>30126</v>
          </cell>
          <cell r="D1426" t="str">
            <v>巨人的铜矛1周</v>
          </cell>
        </row>
        <row r="1427">
          <cell r="A1427">
            <v>30127</v>
          </cell>
          <cell r="D1427" t="str">
            <v>黑色军旗2周</v>
          </cell>
        </row>
        <row r="1428">
          <cell r="A1428">
            <v>30128</v>
          </cell>
          <cell r="D1428" t="str">
            <v>巨人的铜矛2周</v>
          </cell>
        </row>
        <row r="1429">
          <cell r="A1429">
            <v>30129</v>
          </cell>
          <cell r="D1429" t="str">
            <v>黑色军旗3周</v>
          </cell>
        </row>
        <row r="1430">
          <cell r="A1430">
            <v>30130</v>
          </cell>
          <cell r="D1430" t="str">
            <v>巨人的铜矛3周</v>
          </cell>
        </row>
        <row r="1431">
          <cell r="A1431">
            <v>30131</v>
          </cell>
          <cell r="D1431" t="str">
            <v>黑色军旗4周</v>
          </cell>
        </row>
        <row r="1432">
          <cell r="A1432">
            <v>30132</v>
          </cell>
          <cell r="D1432" t="str">
            <v>巨人的铜矛4周</v>
          </cell>
        </row>
        <row r="1433">
          <cell r="A1433">
            <v>30133</v>
          </cell>
          <cell r="D1433" t="str">
            <v>黑色军旗5周</v>
          </cell>
        </row>
        <row r="1434">
          <cell r="A1434">
            <v>30134</v>
          </cell>
          <cell r="D1434" t="str">
            <v>巨人的铜矛5周</v>
          </cell>
        </row>
        <row r="1435">
          <cell r="A1435">
            <v>30135</v>
          </cell>
          <cell r="D1435" t="str">
            <v>巨人的咆哮掉落1</v>
          </cell>
        </row>
        <row r="1436">
          <cell r="A1436">
            <v>30136</v>
          </cell>
          <cell r="D1436" t="str">
            <v>巨人的咆哮掉落2</v>
          </cell>
        </row>
        <row r="1437">
          <cell r="A1437">
            <v>30137</v>
          </cell>
          <cell r="D1437" t="str">
            <v>巨人的咆哮掉落3</v>
          </cell>
        </row>
        <row r="1438">
          <cell r="A1438">
            <v>30138</v>
          </cell>
          <cell r="D1438" t="str">
            <v>巨人的咆哮掉落4</v>
          </cell>
        </row>
        <row r="1439">
          <cell r="A1439">
            <v>30139</v>
          </cell>
          <cell r="D1439" t="str">
            <v>巨人的咆哮掉落5</v>
          </cell>
        </row>
        <row r="1440">
          <cell r="A1440">
            <v>32000</v>
          </cell>
          <cell r="D1440" t="str">
            <v>魏兰碎片</v>
          </cell>
        </row>
        <row r="1441">
          <cell r="A1441">
            <v>32001</v>
          </cell>
          <cell r="D1441" t="str">
            <v>布狄卡碎片</v>
          </cell>
        </row>
        <row r="1442">
          <cell r="A1442">
            <v>32002</v>
          </cell>
          <cell r="D1442" t="str">
            <v>大流士一世碎片</v>
          </cell>
        </row>
        <row r="1443">
          <cell r="A1443">
            <v>32003</v>
          </cell>
          <cell r="D1443" t="str">
            <v>尉迟恭碎片</v>
          </cell>
        </row>
        <row r="1444">
          <cell r="A1444">
            <v>32004</v>
          </cell>
          <cell r="D1444" t="str">
            <v>约瑟芬碎片</v>
          </cell>
        </row>
        <row r="1445">
          <cell r="A1445">
            <v>32005</v>
          </cell>
          <cell r="D1445" t="str">
            <v>艳后碎片</v>
          </cell>
        </row>
        <row r="1446">
          <cell r="A1446">
            <v>32006</v>
          </cell>
          <cell r="D1446" t="str">
            <v>琼恩碎片</v>
          </cell>
        </row>
        <row r="1447">
          <cell r="A1447">
            <v>32007</v>
          </cell>
          <cell r="D1447" t="str">
            <v>影舞者碎片</v>
          </cell>
        </row>
        <row r="1448">
          <cell r="A1448">
            <v>32008</v>
          </cell>
          <cell r="D1448" t="str">
            <v>亨利碎片</v>
          </cell>
        </row>
        <row r="1449">
          <cell r="A1449">
            <v>32009</v>
          </cell>
          <cell r="D1449" t="str">
            <v>康斯坦丁碎片</v>
          </cell>
        </row>
        <row r="1450">
          <cell r="A1450">
            <v>32010</v>
          </cell>
          <cell r="D1450" t="str">
            <v>理查一世碎片</v>
          </cell>
        </row>
        <row r="1451">
          <cell r="A1451">
            <v>40001</v>
          </cell>
          <cell r="D1451" t="str">
            <v>头像</v>
          </cell>
        </row>
        <row r="1452">
          <cell r="A1452">
            <v>42000</v>
          </cell>
          <cell r="D1452" t="str">
            <v>永恒正义头像框</v>
          </cell>
        </row>
        <row r="1453">
          <cell r="A1453">
            <v>42001</v>
          </cell>
          <cell r="D1453" t="str">
            <v>王者气概头像框</v>
          </cell>
        </row>
        <row r="1454">
          <cell r="A1454">
            <v>42002</v>
          </cell>
          <cell r="D1454" t="str">
            <v>祥龙纳福头像框</v>
          </cell>
        </row>
        <row r="1455">
          <cell r="A1455">
            <v>42003</v>
          </cell>
          <cell r="D1455" t="str">
            <v>帝国的光辉头像框</v>
          </cell>
        </row>
        <row r="1456">
          <cell r="A1456">
            <v>42004</v>
          </cell>
          <cell r="D1456" t="str">
            <v>帝国的光辉头像框（限时30天）</v>
          </cell>
        </row>
        <row r="1457">
          <cell r="A1457">
            <v>42005</v>
          </cell>
          <cell r="D1457" t="str">
            <v>帝国的光辉头像框（限时15天）</v>
          </cell>
        </row>
        <row r="1458">
          <cell r="A1458">
            <v>42007</v>
          </cell>
          <cell r="D1458" t="str">
            <v>帝国的光辉头像框（限时7天）</v>
          </cell>
        </row>
        <row r="1459">
          <cell r="A1459">
            <v>42008</v>
          </cell>
          <cell r="D1459" t="str">
            <v>福运亨通头像框</v>
          </cell>
        </row>
        <row r="1460">
          <cell r="A1460">
            <v>42009</v>
          </cell>
          <cell r="D1460" t="str">
            <v>福运亨通头像框（限时30天）</v>
          </cell>
        </row>
        <row r="1461">
          <cell r="A1461">
            <v>42010</v>
          </cell>
          <cell r="D1461" t="str">
            <v>福运亨通头像框（限时15天）</v>
          </cell>
        </row>
        <row r="1462">
          <cell r="A1462">
            <v>42011</v>
          </cell>
          <cell r="D1462" t="str">
            <v>福运亨通头像框（限时7天）</v>
          </cell>
        </row>
        <row r="1463">
          <cell r="A1463">
            <v>42012</v>
          </cell>
          <cell r="D1463" t="str">
            <v>福运亨通头像框（限时1天）</v>
          </cell>
        </row>
        <row r="1464">
          <cell r="A1464">
            <v>42013</v>
          </cell>
          <cell r="D1464" t="str">
            <v>春之歌头像框</v>
          </cell>
        </row>
        <row r="1465">
          <cell r="A1465">
            <v>42014</v>
          </cell>
          <cell r="D1465" t="str">
            <v>春之歌头像框（限时30天）</v>
          </cell>
        </row>
        <row r="1466">
          <cell r="A1466">
            <v>42015</v>
          </cell>
          <cell r="D1466" t="str">
            <v>春之歌头像框（限时15天）</v>
          </cell>
        </row>
        <row r="1467">
          <cell r="A1467">
            <v>42016</v>
          </cell>
          <cell r="D1467" t="str">
            <v>春之歌头像框（限时7天）</v>
          </cell>
        </row>
        <row r="1468">
          <cell r="A1468">
            <v>42017</v>
          </cell>
          <cell r="D1468" t="str">
            <v>春之歌头像框（限时1天）</v>
          </cell>
        </row>
        <row r="1469">
          <cell r="A1469">
            <v>42018</v>
          </cell>
          <cell r="D1469" t="str">
            <v>紫金王冠头像框</v>
          </cell>
        </row>
        <row r="1470">
          <cell r="A1470">
            <v>42025</v>
          </cell>
          <cell r="D1470" t="str">
            <v>紫金王冠头像框（限时30天）</v>
          </cell>
        </row>
        <row r="1471">
          <cell r="A1471">
            <v>42026</v>
          </cell>
          <cell r="D1471" t="str">
            <v>紫金王冠头像框（限时15天）</v>
          </cell>
        </row>
        <row r="1472">
          <cell r="A1472">
            <v>42028</v>
          </cell>
          <cell r="D1472" t="str">
            <v>紫金王冠头像框（限时7天）</v>
          </cell>
        </row>
        <row r="1473">
          <cell r="A1473">
            <v>42036</v>
          </cell>
          <cell r="D1473" t="str">
            <v>紫金王冠头像框（限时1天）</v>
          </cell>
        </row>
        <row r="1474">
          <cell r="A1474">
            <v>42019</v>
          </cell>
          <cell r="D1474" t="str">
            <v>万圣节头像框</v>
          </cell>
        </row>
        <row r="1475">
          <cell r="A1475">
            <v>42020</v>
          </cell>
          <cell r="D1475" t="str">
            <v>万圣节头像框（限时30天）</v>
          </cell>
        </row>
        <row r="1476">
          <cell r="A1476">
            <v>42021</v>
          </cell>
          <cell r="D1476" t="str">
            <v>万圣节头像框（限时15天）</v>
          </cell>
        </row>
        <row r="1477">
          <cell r="A1477">
            <v>42022</v>
          </cell>
          <cell r="D1477" t="str">
            <v>万圣节头像框（限时7天）</v>
          </cell>
        </row>
        <row r="1478">
          <cell r="A1478">
            <v>42023</v>
          </cell>
          <cell r="D1478" t="str">
            <v>万圣节头像框（限时1天）</v>
          </cell>
        </row>
        <row r="1479">
          <cell r="A1479">
            <v>42024</v>
          </cell>
          <cell r="D1479" t="str">
            <v>荣耀纹章头像框</v>
          </cell>
        </row>
        <row r="1480">
          <cell r="A1480">
            <v>42119</v>
          </cell>
          <cell r="D1480" t="str">
            <v>荣耀纹章头像框（30天）</v>
          </cell>
        </row>
        <row r="1481">
          <cell r="A1481">
            <v>42120</v>
          </cell>
          <cell r="D1481" t="str">
            <v>荣耀纹章头像框（15天）</v>
          </cell>
        </row>
        <row r="1482">
          <cell r="A1482">
            <v>42027</v>
          </cell>
          <cell r="D1482" t="str">
            <v>帝国的荣耀头像框</v>
          </cell>
        </row>
        <row r="1483">
          <cell r="A1483">
            <v>42029</v>
          </cell>
          <cell r="D1483" t="str">
            <v>日本首发专属Ⅰ头像框</v>
          </cell>
        </row>
        <row r="1484">
          <cell r="A1484">
            <v>42030</v>
          </cell>
          <cell r="D1484" t="str">
            <v>日本首发专属Ⅰ头像框（限时30天）</v>
          </cell>
        </row>
        <row r="1485">
          <cell r="A1485">
            <v>42031</v>
          </cell>
          <cell r="D1485" t="str">
            <v>日本首发专属Ⅰ头像框（限时15天）</v>
          </cell>
        </row>
        <row r="1486">
          <cell r="A1486">
            <v>42032</v>
          </cell>
          <cell r="D1486" t="str">
            <v>超核专属头像框</v>
          </cell>
        </row>
        <row r="1487">
          <cell r="A1487">
            <v>42006</v>
          </cell>
          <cell r="D1487" t="str">
            <v>超核专属头像框（限时30天）</v>
          </cell>
        </row>
        <row r="1488">
          <cell r="A1488">
            <v>42071</v>
          </cell>
          <cell r="D1488" t="str">
            <v>超核专属头像框（限时15天）</v>
          </cell>
        </row>
        <row r="1489">
          <cell r="A1489">
            <v>42055</v>
          </cell>
          <cell r="D1489" t="str">
            <v>超核专属头像框（限时7天）</v>
          </cell>
        </row>
        <row r="1490">
          <cell r="A1490">
            <v>42033</v>
          </cell>
          <cell r="D1490" t="str">
            <v>日本首发专属Ⅱ头像框</v>
          </cell>
        </row>
        <row r="1491">
          <cell r="A1491">
            <v>42034</v>
          </cell>
          <cell r="D1491" t="str">
            <v>日本首发专属Ⅱ头像框（限时30天）</v>
          </cell>
        </row>
        <row r="1492">
          <cell r="A1492">
            <v>42035</v>
          </cell>
          <cell r="D1492" t="str">
            <v>日本首发专属Ⅱ头像框（限时15天）</v>
          </cell>
        </row>
        <row r="1493">
          <cell r="A1493">
            <v>42037</v>
          </cell>
          <cell r="D1493" t="str">
            <v>至高王权头像框</v>
          </cell>
        </row>
        <row r="1494">
          <cell r="A1494">
            <v>42121</v>
          </cell>
          <cell r="D1494" t="str">
            <v>至高王权头像框（30天）</v>
          </cell>
        </row>
        <row r="1495">
          <cell r="A1495">
            <v>42122</v>
          </cell>
          <cell r="D1495" t="str">
            <v>至高王权头像框（15天）</v>
          </cell>
        </row>
        <row r="1496">
          <cell r="A1496">
            <v>42123</v>
          </cell>
          <cell r="D1496" t="str">
            <v>翱翔之刃头像框</v>
          </cell>
        </row>
        <row r="1497">
          <cell r="A1497">
            <v>42067</v>
          </cell>
          <cell r="D1497" t="str">
            <v>翱翔之刃头像框（限时30天）</v>
          </cell>
        </row>
        <row r="1498">
          <cell r="A1498">
            <v>42068</v>
          </cell>
          <cell r="D1498" t="str">
            <v>翱翔之刃头像框（限时15天）</v>
          </cell>
        </row>
        <row r="1499">
          <cell r="A1499">
            <v>42069</v>
          </cell>
          <cell r="D1499" t="str">
            <v>翱翔之刃头像框（限时7天）</v>
          </cell>
        </row>
        <row r="1500">
          <cell r="A1500">
            <v>42070</v>
          </cell>
          <cell r="D1500" t="str">
            <v>翱翔之刃头像框（限时1天）</v>
          </cell>
        </row>
        <row r="1501">
          <cell r="A1501">
            <v>42124</v>
          </cell>
          <cell r="D1501" t="str">
            <v>探索之翼头像框（30天）</v>
          </cell>
        </row>
        <row r="1502">
          <cell r="A1502">
            <v>42038</v>
          </cell>
          <cell r="D1502" t="str">
            <v>韩国首发专属头像框</v>
          </cell>
        </row>
        <row r="1503">
          <cell r="A1503">
            <v>42039</v>
          </cell>
          <cell r="D1503" t="str">
            <v>韩国首发专属头像框（限时30天）</v>
          </cell>
        </row>
        <row r="1504">
          <cell r="A1504">
            <v>42040</v>
          </cell>
          <cell r="D1504" t="str">
            <v>韩国首发专属头像框（限时15天）</v>
          </cell>
        </row>
        <row r="1505">
          <cell r="A1505">
            <v>42041</v>
          </cell>
          <cell r="D1505" t="str">
            <v>台湾首发专属头像框</v>
          </cell>
        </row>
        <row r="1506">
          <cell r="A1506">
            <v>42042</v>
          </cell>
          <cell r="D1506" t="str">
            <v>台湾首发专属头像框（限时30天）</v>
          </cell>
        </row>
        <row r="1507">
          <cell r="A1507">
            <v>42043</v>
          </cell>
          <cell r="D1507" t="str">
            <v>台湾首发专属头像框（限时15天）</v>
          </cell>
        </row>
        <row r="1508">
          <cell r="A1508">
            <v>42046</v>
          </cell>
          <cell r="D1508" t="str">
            <v>中式头像框</v>
          </cell>
        </row>
        <row r="1509">
          <cell r="A1509">
            <v>42044</v>
          </cell>
          <cell r="D1509" t="str">
            <v>中式头像框（限时30天）</v>
          </cell>
        </row>
        <row r="1510">
          <cell r="A1510">
            <v>42045</v>
          </cell>
          <cell r="D1510" t="str">
            <v>中式头像框（限时15天）</v>
          </cell>
        </row>
        <row r="1511">
          <cell r="A1511">
            <v>42047</v>
          </cell>
          <cell r="D1511" t="str">
            <v>法兰克式头像框</v>
          </cell>
        </row>
        <row r="1512">
          <cell r="A1512">
            <v>42061</v>
          </cell>
          <cell r="D1512" t="str">
            <v>法兰克式头像框（限时30天）</v>
          </cell>
        </row>
        <row r="1513">
          <cell r="A1513">
            <v>42062</v>
          </cell>
          <cell r="D1513" t="str">
            <v>法兰克式头像框（限时15天）</v>
          </cell>
        </row>
        <row r="1514">
          <cell r="A1514">
            <v>42048</v>
          </cell>
          <cell r="D1514" t="str">
            <v>拜占庭式头像框</v>
          </cell>
        </row>
        <row r="1515">
          <cell r="A1515">
            <v>42063</v>
          </cell>
          <cell r="D1515" t="str">
            <v>拜占庭式头像框（限时30天）</v>
          </cell>
        </row>
        <row r="1516">
          <cell r="A1516">
            <v>42064</v>
          </cell>
          <cell r="D1516" t="str">
            <v>拜占庭式头像框（限时15天）</v>
          </cell>
        </row>
        <row r="1517">
          <cell r="A1517">
            <v>42049</v>
          </cell>
          <cell r="D1517" t="str">
            <v>罗马式头像框</v>
          </cell>
        </row>
        <row r="1518">
          <cell r="A1518">
            <v>42065</v>
          </cell>
          <cell r="D1518" t="str">
            <v>罗马式头像框（限时30天）</v>
          </cell>
        </row>
        <row r="1519">
          <cell r="A1519">
            <v>42066</v>
          </cell>
          <cell r="D1519" t="str">
            <v>罗马式头像框（限时15天）</v>
          </cell>
        </row>
        <row r="1520">
          <cell r="A1520">
            <v>42050</v>
          </cell>
          <cell r="D1520" t="str">
            <v>香港首发专属头像框</v>
          </cell>
        </row>
        <row r="1521">
          <cell r="A1521">
            <v>42051</v>
          </cell>
          <cell r="D1521" t="str">
            <v>香港首发专属头像框（限时30天）</v>
          </cell>
        </row>
        <row r="1522">
          <cell r="A1522">
            <v>42052</v>
          </cell>
          <cell r="D1522" t="str">
            <v>香港首发专属头像框（限时15天）</v>
          </cell>
        </row>
        <row r="1523">
          <cell r="A1523">
            <v>42053</v>
          </cell>
          <cell r="D1523" t="str">
            <v>土耳其首发专属头像框</v>
          </cell>
        </row>
        <row r="1524">
          <cell r="A1524">
            <v>42054</v>
          </cell>
          <cell r="D1524" t="str">
            <v>土耳其首发专属头像框（限时30天）</v>
          </cell>
        </row>
        <row r="1525">
          <cell r="A1525">
            <v>42056</v>
          </cell>
          <cell r="D1525" t="str">
            <v>土耳其首发专属头像框（限时15天）</v>
          </cell>
        </row>
        <row r="1526">
          <cell r="A1526">
            <v>42057</v>
          </cell>
          <cell r="D1526" t="str">
            <v>社区创作者奖励头像框</v>
          </cell>
        </row>
        <row r="1527">
          <cell r="A1527">
            <v>42058</v>
          </cell>
          <cell r="D1527" t="str">
            <v>社区创作者奖励头像框（限时30天）</v>
          </cell>
        </row>
        <row r="1528">
          <cell r="A1528">
            <v>42059</v>
          </cell>
          <cell r="D1528" t="str">
            <v>社区创作者奖励头像框（限时15天）</v>
          </cell>
        </row>
        <row r="1529">
          <cell r="A1529">
            <v>42060</v>
          </cell>
          <cell r="D1529" t="str">
            <v>社区创作者奖励头像框（限时7天）</v>
          </cell>
        </row>
        <row r="1530">
          <cell r="A1530">
            <v>42075</v>
          </cell>
          <cell r="D1530" t="str">
            <v>帝国皇冠头像框</v>
          </cell>
        </row>
        <row r="1531">
          <cell r="A1531">
            <v>42072</v>
          </cell>
          <cell r="D1531" t="str">
            <v>帝国皇冠头像框（限时1天）</v>
          </cell>
        </row>
        <row r="1532">
          <cell r="A1532">
            <v>42090</v>
          </cell>
          <cell r="D1532" t="str">
            <v>帝国皇冠头像框（限时7天）</v>
          </cell>
        </row>
        <row r="1533">
          <cell r="A1533">
            <v>42073</v>
          </cell>
          <cell r="D1533" t="str">
            <v>帝国皇冠头像框（限时15天）</v>
          </cell>
        </row>
        <row r="1534">
          <cell r="A1534">
            <v>42074</v>
          </cell>
          <cell r="D1534" t="str">
            <v>帝国皇冠头像框（限时30天）</v>
          </cell>
        </row>
        <row r="1535">
          <cell r="A1535">
            <v>42076</v>
          </cell>
          <cell r="D1535" t="str">
            <v>风之凛冬头像框</v>
          </cell>
        </row>
        <row r="1536">
          <cell r="A1536">
            <v>42077</v>
          </cell>
          <cell r="D1536" t="str">
            <v>风之凛冬头像框（限时30天）</v>
          </cell>
        </row>
        <row r="1537">
          <cell r="A1537">
            <v>42078</v>
          </cell>
          <cell r="D1537" t="str">
            <v>风之凛冬头像框（限时15天）</v>
          </cell>
        </row>
        <row r="1538">
          <cell r="A1538">
            <v>42079</v>
          </cell>
          <cell r="D1538" t="str">
            <v>风之凛冬头像框（限时7天）</v>
          </cell>
        </row>
        <row r="1539">
          <cell r="A1539">
            <v>42080</v>
          </cell>
          <cell r="D1539" t="str">
            <v>风之凛冬头像框（限时1天）</v>
          </cell>
        </row>
        <row r="1540">
          <cell r="A1540">
            <v>42102</v>
          </cell>
          <cell r="D1540" t="str">
            <v>秋日盛筵头像框</v>
          </cell>
        </row>
        <row r="1541">
          <cell r="A1541">
            <v>42081</v>
          </cell>
          <cell r="D1541" t="str">
            <v>秋日盛筵头像框（限时30天）</v>
          </cell>
        </row>
        <row r="1542">
          <cell r="A1542">
            <v>42082</v>
          </cell>
          <cell r="D1542" t="str">
            <v>秋日盛筵头像框（限时15天）</v>
          </cell>
        </row>
        <row r="1543">
          <cell r="A1543">
            <v>42083</v>
          </cell>
          <cell r="D1543" t="str">
            <v>秋日盛筵头像框（限时7天）</v>
          </cell>
        </row>
        <row r="1544">
          <cell r="A1544">
            <v>42084</v>
          </cell>
          <cell r="D1544" t="str">
            <v>秋日盛筵头像框（限时1天）</v>
          </cell>
        </row>
        <row r="1545">
          <cell r="A1545">
            <v>42085</v>
          </cell>
          <cell r="D1545" t="str">
            <v>龙炎之怒头像框</v>
          </cell>
        </row>
        <row r="1546">
          <cell r="A1546">
            <v>42086</v>
          </cell>
          <cell r="D1546" t="str">
            <v>龙炎之怒头像框（限时30天）</v>
          </cell>
        </row>
        <row r="1547">
          <cell r="A1547">
            <v>42087</v>
          </cell>
          <cell r="D1547" t="str">
            <v>龙炎之怒头像框（限时15天）</v>
          </cell>
        </row>
        <row r="1548">
          <cell r="A1548">
            <v>42088</v>
          </cell>
          <cell r="D1548" t="str">
            <v>龙炎之怒头像框（限时7天）</v>
          </cell>
        </row>
        <row r="1549">
          <cell r="A1549">
            <v>42089</v>
          </cell>
          <cell r="D1549" t="str">
            <v>龙炎之怒头像框（限时1天）</v>
          </cell>
        </row>
        <row r="1550">
          <cell r="A1550">
            <v>42091</v>
          </cell>
          <cell r="D1550" t="str">
            <v>新年花冠头像框</v>
          </cell>
        </row>
        <row r="1551">
          <cell r="A1551">
            <v>42092</v>
          </cell>
          <cell r="D1551" t="str">
            <v>新年花冠头像框（限时30天）</v>
          </cell>
        </row>
        <row r="1552">
          <cell r="A1552">
            <v>42093</v>
          </cell>
          <cell r="D1552" t="str">
            <v>新年花冠头像框（限时15天）</v>
          </cell>
        </row>
        <row r="1553">
          <cell r="A1553">
            <v>42094</v>
          </cell>
          <cell r="D1553" t="str">
            <v>新年花冠头像框（限时7天）</v>
          </cell>
        </row>
        <row r="1554">
          <cell r="A1554">
            <v>42095</v>
          </cell>
          <cell r="D1554" t="str">
            <v>新年花冠头像框（限时1天）</v>
          </cell>
        </row>
        <row r="1555">
          <cell r="A1555">
            <v>42096</v>
          </cell>
          <cell r="D1555" t="str">
            <v>远古护身符头像框</v>
          </cell>
        </row>
        <row r="1556">
          <cell r="A1556">
            <v>42097</v>
          </cell>
          <cell r="D1556" t="str">
            <v>远古护身符头像框（限时30天）</v>
          </cell>
        </row>
        <row r="1557">
          <cell r="A1557">
            <v>42098</v>
          </cell>
          <cell r="D1557" t="str">
            <v>远古护身符头像框（限时15天）</v>
          </cell>
        </row>
        <row r="1558">
          <cell r="A1558">
            <v>42099</v>
          </cell>
          <cell r="D1558" t="str">
            <v>远古护身符头像框（限时7天）</v>
          </cell>
        </row>
        <row r="1559">
          <cell r="A1559">
            <v>42100</v>
          </cell>
          <cell r="D1559" t="str">
            <v>远古护身符头像框（限时1天）</v>
          </cell>
        </row>
        <row r="1560">
          <cell r="A1560">
            <v>42103</v>
          </cell>
          <cell r="D1560" t="str">
            <v>奥林匹斯绶带头像框</v>
          </cell>
        </row>
        <row r="1561">
          <cell r="A1561">
            <v>42104</v>
          </cell>
          <cell r="D1561" t="str">
            <v>奥林匹斯绶带头像框（7天）</v>
          </cell>
        </row>
        <row r="1562">
          <cell r="A1562">
            <v>42105</v>
          </cell>
          <cell r="D1562" t="str">
            <v>奥林匹斯绶带头像框（15天）</v>
          </cell>
        </row>
        <row r="1563">
          <cell r="A1563">
            <v>42106</v>
          </cell>
          <cell r="D1563" t="str">
            <v>奥林匹斯绶带头像框（30天）</v>
          </cell>
        </row>
        <row r="1564">
          <cell r="A1564">
            <v>42107</v>
          </cell>
          <cell r="D1564" t="str">
            <v>奥林匹斯绶带头像框（1天）</v>
          </cell>
        </row>
        <row r="1565">
          <cell r="A1565">
            <v>42108</v>
          </cell>
          <cell r="D1565" t="str">
            <v>Facebook社区专属等级1头像框</v>
          </cell>
        </row>
        <row r="1566">
          <cell r="A1566">
            <v>42109</v>
          </cell>
          <cell r="D1566" t="str">
            <v>Facebook社区专属等级1头像框（限时30天）</v>
          </cell>
        </row>
        <row r="1567">
          <cell r="A1567">
            <v>42110</v>
          </cell>
          <cell r="D1567" t="str">
            <v>Facebook社区专属等级1头像框（限时15天）</v>
          </cell>
        </row>
        <row r="1568">
          <cell r="A1568">
            <v>42111</v>
          </cell>
          <cell r="D1568" t="str">
            <v>Facebook社区专属等级1头像框（限时7天）</v>
          </cell>
        </row>
        <row r="1569">
          <cell r="A1569">
            <v>42112</v>
          </cell>
          <cell r="D1569" t="str">
            <v>Facebook社区专属等级2头像框</v>
          </cell>
        </row>
        <row r="1570">
          <cell r="A1570">
            <v>42113</v>
          </cell>
          <cell r="D1570" t="str">
            <v>Facebook社区专属等级2头像框（限时30天）</v>
          </cell>
        </row>
        <row r="1571">
          <cell r="A1571">
            <v>42114</v>
          </cell>
          <cell r="D1571" t="str">
            <v>Facebook社区专属等级2头像框（限时15天）</v>
          </cell>
        </row>
        <row r="1572">
          <cell r="A1572">
            <v>42115</v>
          </cell>
          <cell r="D1572" t="str">
            <v>Facebook社区专属等级2头像框（限时7天）</v>
          </cell>
        </row>
        <row r="1573">
          <cell r="A1573">
            <v>42116</v>
          </cell>
          <cell r="D1573" t="str">
            <v>Facebook社区专属等级3头像框</v>
          </cell>
        </row>
        <row r="1574">
          <cell r="A1574">
            <v>42117</v>
          </cell>
          <cell r="D1574" t="str">
            <v>Facebook社区专属等级3头像框（限时30天）</v>
          </cell>
        </row>
        <row r="1575">
          <cell r="A1575">
            <v>42118</v>
          </cell>
          <cell r="D1575" t="str">
            <v>Facebook社区专属等级3头像框（限时15天）</v>
          </cell>
        </row>
        <row r="1576">
          <cell r="A1576">
            <v>42125</v>
          </cell>
          <cell r="D1576" t="str">
            <v>Facebook社区专属等级3头像框（限时7天）</v>
          </cell>
        </row>
        <row r="1577">
          <cell r="A1577">
            <v>42126</v>
          </cell>
          <cell r="D1577" t="str">
            <v>Facebook社区专属等级4头像框</v>
          </cell>
        </row>
        <row r="1578">
          <cell r="A1578">
            <v>42127</v>
          </cell>
          <cell r="D1578" t="str">
            <v>Facebook社区专属等级4头像框（限时30天）</v>
          </cell>
        </row>
        <row r="1579">
          <cell r="A1579">
            <v>42128</v>
          </cell>
          <cell r="D1579" t="str">
            <v>Facebook社区专属等级4头像框（限时15天）</v>
          </cell>
        </row>
        <row r="1580">
          <cell r="A1580">
            <v>42129</v>
          </cell>
          <cell r="D1580" t="str">
            <v>Facebook社区专属等级4头像框（限时7天）</v>
          </cell>
        </row>
        <row r="1581">
          <cell r="A1581">
            <v>42130</v>
          </cell>
          <cell r="D1581" t="str">
            <v>Facebook社区专属等级5头像框</v>
          </cell>
        </row>
        <row r="1582">
          <cell r="A1582">
            <v>42131</v>
          </cell>
          <cell r="D1582" t="str">
            <v>Facebook社区专属等级5头像框（限时30天）</v>
          </cell>
        </row>
        <row r="1583">
          <cell r="A1583">
            <v>42132</v>
          </cell>
          <cell r="D1583" t="str">
            <v>Facebook社区专属等级5头像框（限时15天）</v>
          </cell>
        </row>
        <row r="1584">
          <cell r="A1584">
            <v>42133</v>
          </cell>
          <cell r="D1584" t="str">
            <v>Facebook社区专属等级5头像框（限时7天）</v>
          </cell>
        </row>
        <row r="1585">
          <cell r="A1585">
            <v>42134</v>
          </cell>
          <cell r="D1585" t="str">
            <v>Discord社区专属等级1头像框</v>
          </cell>
        </row>
        <row r="1586">
          <cell r="A1586">
            <v>42135</v>
          </cell>
          <cell r="D1586" t="str">
            <v>Discord社区专属等级1头像框（限时30天）</v>
          </cell>
        </row>
        <row r="1587">
          <cell r="A1587">
            <v>42136</v>
          </cell>
          <cell r="D1587" t="str">
            <v>Discord社区专属等级1头像框（限时15天）</v>
          </cell>
        </row>
        <row r="1588">
          <cell r="A1588">
            <v>42137</v>
          </cell>
          <cell r="D1588" t="str">
            <v>Discord社区专属等级1头像框（限时7天）</v>
          </cell>
        </row>
        <row r="1589">
          <cell r="A1589">
            <v>42138</v>
          </cell>
          <cell r="D1589" t="str">
            <v>Discord社区专属等级2头像框</v>
          </cell>
        </row>
        <row r="1590">
          <cell r="A1590">
            <v>42139</v>
          </cell>
          <cell r="D1590" t="str">
            <v>Discord社区专属等级2头像框（限时30天）</v>
          </cell>
        </row>
        <row r="1591">
          <cell r="A1591">
            <v>42140</v>
          </cell>
          <cell r="D1591" t="str">
            <v>Discord社区专属等级2头像框（限时15天）</v>
          </cell>
        </row>
        <row r="1592">
          <cell r="A1592">
            <v>42141</v>
          </cell>
          <cell r="D1592" t="str">
            <v>Discord社区专属等级2头像框（限时7天）</v>
          </cell>
        </row>
        <row r="1593">
          <cell r="A1593">
            <v>42142</v>
          </cell>
          <cell r="D1593" t="str">
            <v>Discord社区专属等级3头像框</v>
          </cell>
        </row>
        <row r="1594">
          <cell r="A1594">
            <v>42143</v>
          </cell>
          <cell r="D1594" t="str">
            <v>Discord社区专属等级3头像框（限时30天）</v>
          </cell>
        </row>
        <row r="1595">
          <cell r="A1595">
            <v>42144</v>
          </cell>
          <cell r="D1595" t="str">
            <v>Discord社区专属等级3头像框（限时15天）</v>
          </cell>
        </row>
        <row r="1596">
          <cell r="A1596">
            <v>42145</v>
          </cell>
          <cell r="D1596" t="str">
            <v>Discord社区专属等级3头像框（限时7天）</v>
          </cell>
        </row>
        <row r="1597">
          <cell r="A1597">
            <v>42146</v>
          </cell>
          <cell r="D1597" t="str">
            <v>Discord社区专属等级4头像框</v>
          </cell>
        </row>
        <row r="1598">
          <cell r="A1598">
            <v>42147</v>
          </cell>
          <cell r="D1598" t="str">
            <v>Discord社区专属等级4头像框（限时30天）</v>
          </cell>
        </row>
        <row r="1599">
          <cell r="A1599">
            <v>42148</v>
          </cell>
          <cell r="D1599" t="str">
            <v>Discord社区专属等级4头像框（限时15天）</v>
          </cell>
        </row>
        <row r="1600">
          <cell r="A1600">
            <v>42149</v>
          </cell>
          <cell r="D1600" t="str">
            <v>Discord社区专属等级4头像框（限时7天）</v>
          </cell>
        </row>
        <row r="1601">
          <cell r="A1601">
            <v>42150</v>
          </cell>
          <cell r="D1601" t="str">
            <v>Discord社区专属等级5头像框</v>
          </cell>
        </row>
        <row r="1602">
          <cell r="A1602">
            <v>42151</v>
          </cell>
          <cell r="D1602" t="str">
            <v>Discord社区专属等级5头像框（限时30天）</v>
          </cell>
        </row>
        <row r="1603">
          <cell r="A1603">
            <v>42152</v>
          </cell>
          <cell r="D1603" t="str">
            <v>Discord社区专属等级5头像框（限时15天）</v>
          </cell>
        </row>
        <row r="1604">
          <cell r="A1604">
            <v>42153</v>
          </cell>
          <cell r="D1604" t="str">
            <v>Discord社区专属等级5头像框（限时7天）</v>
          </cell>
        </row>
        <row r="1605">
          <cell r="A1605">
            <v>42154</v>
          </cell>
          <cell r="D1605" t="str">
            <v>心之锁头像框</v>
          </cell>
        </row>
        <row r="1606">
          <cell r="A1606">
            <v>42101</v>
          </cell>
          <cell r="D1606" t="str">
            <v>心之锁头像框（限时30天）</v>
          </cell>
        </row>
        <row r="1607">
          <cell r="A1607">
            <v>42156</v>
          </cell>
          <cell r="D1607" t="str">
            <v>心之锁头像框（限时15天）</v>
          </cell>
        </row>
        <row r="1608">
          <cell r="A1608">
            <v>42157</v>
          </cell>
          <cell r="D1608" t="str">
            <v>心之锁头像框（限时7天）</v>
          </cell>
        </row>
        <row r="1609">
          <cell r="A1609">
            <v>42158</v>
          </cell>
          <cell r="D1609" t="str">
            <v>心之锁头像框（限时1天）</v>
          </cell>
        </row>
        <row r="1610">
          <cell r="A1610">
            <v>42159</v>
          </cell>
          <cell r="D1610" t="str">
            <v>浪漫书信头像框</v>
          </cell>
        </row>
        <row r="1611">
          <cell r="A1611">
            <v>42160</v>
          </cell>
          <cell r="D1611" t="str">
            <v>浪漫书信头像框（限时30天）</v>
          </cell>
        </row>
        <row r="1612">
          <cell r="A1612">
            <v>42161</v>
          </cell>
          <cell r="D1612" t="str">
            <v>浪漫书信头像框（限时15天）</v>
          </cell>
        </row>
        <row r="1613">
          <cell r="A1613">
            <v>42162</v>
          </cell>
          <cell r="D1613" t="str">
            <v>浪漫书信头像框（限时7天）</v>
          </cell>
        </row>
        <row r="1614">
          <cell r="A1614">
            <v>42163</v>
          </cell>
          <cell r="D1614" t="str">
            <v>浪漫书信头像框（限时1天）</v>
          </cell>
        </row>
        <row r="1615">
          <cell r="A1615">
            <v>42164</v>
          </cell>
          <cell r="D1615" t="str">
            <v>忠贞誓言头像框</v>
          </cell>
        </row>
        <row r="1616">
          <cell r="A1616">
            <v>42165</v>
          </cell>
          <cell r="D1616" t="str">
            <v>忠贞誓言头像框（限时30天）</v>
          </cell>
        </row>
        <row r="1617">
          <cell r="A1617">
            <v>42166</v>
          </cell>
          <cell r="D1617" t="str">
            <v>忠贞誓言头像框（限时15天）</v>
          </cell>
        </row>
        <row r="1618">
          <cell r="A1618">
            <v>42167</v>
          </cell>
          <cell r="D1618" t="str">
            <v>忠贞誓言头像框（限时7天）</v>
          </cell>
        </row>
        <row r="1619">
          <cell r="A1619">
            <v>42168</v>
          </cell>
          <cell r="D1619" t="str">
            <v>忠贞誓言头像框（限时1天）</v>
          </cell>
        </row>
        <row r="1620">
          <cell r="A1620">
            <v>42169</v>
          </cell>
          <cell r="D1620" t="str">
            <v>火焰之环头像框</v>
          </cell>
        </row>
        <row r="1621">
          <cell r="A1621">
            <v>42170</v>
          </cell>
          <cell r="D1621" t="str">
            <v>火焰之环头像框（限时30天）</v>
          </cell>
        </row>
        <row r="1622">
          <cell r="A1622">
            <v>42171</v>
          </cell>
          <cell r="D1622" t="str">
            <v>火焰之环头像框（限时15天）</v>
          </cell>
        </row>
        <row r="1623">
          <cell r="A1623">
            <v>42172</v>
          </cell>
          <cell r="D1623" t="str">
            <v>火焰之环头像框（限时7天）</v>
          </cell>
        </row>
        <row r="1624">
          <cell r="A1624">
            <v>42173</v>
          </cell>
          <cell r="D1624" t="str">
            <v>火焰之环头像框（限时1天）</v>
          </cell>
        </row>
        <row r="1625">
          <cell r="A1625">
            <v>42174</v>
          </cell>
          <cell r="D1625" t="str">
            <v>无暇之王头像框</v>
          </cell>
        </row>
        <row r="1626">
          <cell r="A1626">
            <v>42175</v>
          </cell>
          <cell r="D1626" t="str">
            <v>无暇之王头像框（限时42天）</v>
          </cell>
        </row>
        <row r="1627">
          <cell r="A1627">
            <v>42176</v>
          </cell>
          <cell r="D1627" t="str">
            <v>不败之王头像框</v>
          </cell>
        </row>
        <row r="1628">
          <cell r="A1628">
            <v>42177</v>
          </cell>
          <cell r="D1628" t="str">
            <v>不败之王头像框（限时42天）</v>
          </cell>
        </row>
        <row r="1629">
          <cell r="A1629">
            <v>42178</v>
          </cell>
          <cell r="D1629" t="str">
            <v>黄金加冕头像框</v>
          </cell>
        </row>
        <row r="1630">
          <cell r="A1630">
            <v>42179</v>
          </cell>
          <cell r="D1630" t="str">
            <v>黄金加冕头像框（限时42天）</v>
          </cell>
        </row>
        <row r="1631">
          <cell r="A1631">
            <v>42180</v>
          </cell>
          <cell r="D1631" t="str">
            <v>银星之勋头像框</v>
          </cell>
        </row>
        <row r="1632">
          <cell r="A1632">
            <v>42181</v>
          </cell>
          <cell r="D1632" t="str">
            <v>银星之勋头像框（限时42天）</v>
          </cell>
        </row>
        <row r="1633">
          <cell r="A1633">
            <v>42182</v>
          </cell>
          <cell r="D1633" t="str">
            <v>铜火之证头像框</v>
          </cell>
        </row>
        <row r="1634">
          <cell r="A1634">
            <v>42183</v>
          </cell>
          <cell r="D1634" t="str">
            <v>铜火之证头像框（限时42天）</v>
          </cell>
        </row>
        <row r="1635">
          <cell r="A1635">
            <v>42184</v>
          </cell>
          <cell r="D1635" t="str">
            <v>斯巴达之魂头像框</v>
          </cell>
        </row>
        <row r="1636">
          <cell r="A1636">
            <v>42185</v>
          </cell>
          <cell r="D1636" t="str">
            <v>斯巴达之魂头像框（限时30天）</v>
          </cell>
        </row>
        <row r="1637">
          <cell r="A1637">
            <v>42186</v>
          </cell>
          <cell r="D1637" t="str">
            <v>斯巴达之魂头像框（限时15天）</v>
          </cell>
        </row>
        <row r="1638">
          <cell r="A1638">
            <v>42187</v>
          </cell>
          <cell r="D1638" t="str">
            <v>斯巴达之魂头像框（限时7天）</v>
          </cell>
        </row>
        <row r="1639">
          <cell r="A1639">
            <v>42188</v>
          </cell>
          <cell r="D1639" t="str">
            <v>斯巴达之魂头像框（限时1天）</v>
          </cell>
        </row>
        <row r="1640">
          <cell r="A1640">
            <v>42189</v>
          </cell>
          <cell r="D1640" t="str">
            <v>孝烈灵符头像框</v>
          </cell>
        </row>
        <row r="1641">
          <cell r="A1641">
            <v>42190</v>
          </cell>
          <cell r="D1641" t="str">
            <v>孝烈灵符头像框（限时30天）</v>
          </cell>
        </row>
        <row r="1642">
          <cell r="A1642">
            <v>42191</v>
          </cell>
          <cell r="D1642" t="str">
            <v>孝烈灵符头像框（限时15天）</v>
          </cell>
        </row>
        <row r="1643">
          <cell r="A1643">
            <v>42192</v>
          </cell>
          <cell r="D1643" t="str">
            <v>孝烈灵符头像框（限时7天）</v>
          </cell>
        </row>
        <row r="1644">
          <cell r="A1644">
            <v>42193</v>
          </cell>
          <cell r="D1644" t="str">
            <v>孝烈灵符头像框（限时1天）</v>
          </cell>
        </row>
        <row r="1645">
          <cell r="A1645">
            <v>42194</v>
          </cell>
          <cell r="D1645" t="str">
            <v>贵夜明光头像框</v>
          </cell>
        </row>
        <row r="1646">
          <cell r="A1646">
            <v>42195</v>
          </cell>
          <cell r="D1646" t="str">
            <v>贵夜明光头像框（限时30天）</v>
          </cell>
        </row>
        <row r="1647">
          <cell r="A1647">
            <v>42196</v>
          </cell>
          <cell r="D1647" t="str">
            <v>贵夜明光头像框（限时15天）</v>
          </cell>
        </row>
        <row r="1648">
          <cell r="A1648">
            <v>42197</v>
          </cell>
          <cell r="D1648" t="str">
            <v>贵夜明光头像框（限时7天）</v>
          </cell>
        </row>
        <row r="1649">
          <cell r="A1649">
            <v>42198</v>
          </cell>
          <cell r="D1649" t="str">
            <v>贵夜明光头像框（限时1天）</v>
          </cell>
        </row>
        <row r="1650">
          <cell r="A1650">
            <v>42206</v>
          </cell>
          <cell r="D1650" t="str">
            <v>春之灵兔头像框</v>
          </cell>
        </row>
        <row r="1651">
          <cell r="A1651">
            <v>42207</v>
          </cell>
          <cell r="D1651" t="str">
            <v>春之灵兔头像框（限时30天）</v>
          </cell>
        </row>
        <row r="1652">
          <cell r="A1652">
            <v>42208</v>
          </cell>
          <cell r="D1652" t="str">
            <v>春之灵兔头像框（限时15天）</v>
          </cell>
        </row>
        <row r="1653">
          <cell r="A1653">
            <v>42209</v>
          </cell>
          <cell r="D1653" t="str">
            <v>春之灵兔头像框（限时7天）</v>
          </cell>
        </row>
        <row r="1654">
          <cell r="A1654">
            <v>42210</v>
          </cell>
          <cell r="D1654" t="str">
            <v>春之灵兔头像框（限时1天）</v>
          </cell>
        </row>
        <row r="1655">
          <cell r="A1655">
            <v>43000</v>
          </cell>
          <cell r="D1655" t="str">
            <v>天马圣骑称号</v>
          </cell>
        </row>
        <row r="1656">
          <cell r="A1656">
            <v>43001</v>
          </cell>
          <cell r="D1656" t="str">
            <v>天马圣骑称号（限时30天）</v>
          </cell>
        </row>
        <row r="1657">
          <cell r="A1657">
            <v>43002</v>
          </cell>
          <cell r="D1657" t="str">
            <v>天马圣骑称号（限时15天）</v>
          </cell>
        </row>
        <row r="1658">
          <cell r="A1658">
            <v>43003</v>
          </cell>
          <cell r="D1658" t="str">
            <v>天马圣骑称号（限时7天）</v>
          </cell>
        </row>
        <row r="1659">
          <cell r="A1659">
            <v>43004</v>
          </cell>
          <cell r="D1659" t="str">
            <v>天马圣骑称号（限时1天）</v>
          </cell>
        </row>
        <row r="1660">
          <cell r="A1660">
            <v>43005</v>
          </cell>
          <cell r="D1660" t="str">
            <v>安乐之地称号</v>
          </cell>
        </row>
        <row r="1661">
          <cell r="A1661">
            <v>43006</v>
          </cell>
          <cell r="D1661" t="str">
            <v>安乐之地称号（限时30天）</v>
          </cell>
        </row>
        <row r="1662">
          <cell r="A1662">
            <v>43007</v>
          </cell>
          <cell r="D1662" t="str">
            <v>安乐之地称号（限时15天）</v>
          </cell>
        </row>
        <row r="1663">
          <cell r="A1663">
            <v>43008</v>
          </cell>
          <cell r="D1663" t="str">
            <v>安乐之地称号（限时7天）</v>
          </cell>
        </row>
        <row r="1664">
          <cell r="A1664">
            <v>43009</v>
          </cell>
          <cell r="D1664" t="str">
            <v>安乐之地称号（限时1天）</v>
          </cell>
        </row>
        <row r="1665">
          <cell r="A1665">
            <v>43010</v>
          </cell>
          <cell r="D1665" t="str">
            <v>黄金雄邦称号</v>
          </cell>
        </row>
        <row r="1666">
          <cell r="A1666">
            <v>43011</v>
          </cell>
          <cell r="D1666" t="str">
            <v>黄金雄邦称号（限时30天）</v>
          </cell>
        </row>
        <row r="1667">
          <cell r="A1667">
            <v>43012</v>
          </cell>
          <cell r="D1667" t="str">
            <v>黄金雄邦称号（限时15天）</v>
          </cell>
        </row>
        <row r="1668">
          <cell r="A1668">
            <v>43013</v>
          </cell>
          <cell r="D1668" t="str">
            <v>黄金雄邦称号（限时7天）</v>
          </cell>
        </row>
        <row r="1669">
          <cell r="A1669">
            <v>43014</v>
          </cell>
          <cell r="D1669" t="str">
            <v>黄金雄邦称号（限时1天）</v>
          </cell>
        </row>
        <row r="1670">
          <cell r="A1670">
            <v>43015</v>
          </cell>
          <cell r="D1670" t="str">
            <v>地上天国称号</v>
          </cell>
        </row>
        <row r="1671">
          <cell r="A1671">
            <v>43016</v>
          </cell>
          <cell r="D1671" t="str">
            <v>地上天国称号（限时30天）</v>
          </cell>
        </row>
        <row r="1672">
          <cell r="A1672">
            <v>43017</v>
          </cell>
          <cell r="D1672" t="str">
            <v>地上天国称号（限时15天）</v>
          </cell>
        </row>
        <row r="1673">
          <cell r="A1673">
            <v>43018</v>
          </cell>
          <cell r="D1673" t="str">
            <v>地上天国称号（限时7天）</v>
          </cell>
        </row>
        <row r="1674">
          <cell r="A1674">
            <v>43019</v>
          </cell>
          <cell r="D1674" t="str">
            <v>地上天国称号（限时1天）</v>
          </cell>
        </row>
        <row r="1675">
          <cell r="A1675">
            <v>44069</v>
          </cell>
          <cell r="D1675" t="str">
            <v>鹰击长空称号</v>
          </cell>
        </row>
        <row r="1676">
          <cell r="A1676">
            <v>44072</v>
          </cell>
          <cell r="D1676" t="str">
            <v>鹰击长空称号（30天）</v>
          </cell>
        </row>
        <row r="1677">
          <cell r="A1677">
            <v>44071</v>
          </cell>
          <cell r="D1677" t="str">
            <v>鹰击长空称号（15天）</v>
          </cell>
        </row>
        <row r="1678">
          <cell r="A1678">
            <v>44070</v>
          </cell>
          <cell r="D1678" t="str">
            <v>鹰击长空称号（7天）</v>
          </cell>
        </row>
        <row r="1679">
          <cell r="A1679">
            <v>44073</v>
          </cell>
          <cell r="D1679" t="str">
            <v>鹰击长空称号（1天）</v>
          </cell>
        </row>
        <row r="1680">
          <cell r="A1680">
            <v>43020</v>
          </cell>
          <cell r="D1680" t="str">
            <v>猩红领主称号</v>
          </cell>
        </row>
        <row r="1681">
          <cell r="A1681">
            <v>43021</v>
          </cell>
          <cell r="D1681" t="str">
            <v>猩红领主称号（30天）</v>
          </cell>
        </row>
        <row r="1682">
          <cell r="A1682">
            <v>43022</v>
          </cell>
          <cell r="D1682" t="str">
            <v>猩红领主称号（15天）</v>
          </cell>
        </row>
        <row r="1683">
          <cell r="A1683">
            <v>43023</v>
          </cell>
          <cell r="D1683" t="str">
            <v>猩红领主称号（7天）</v>
          </cell>
        </row>
        <row r="1684">
          <cell r="A1684">
            <v>43024</v>
          </cell>
          <cell r="D1684" t="str">
            <v>猩红领主称号（1天）</v>
          </cell>
        </row>
        <row r="1685">
          <cell r="A1685">
            <v>43025</v>
          </cell>
          <cell r="D1685" t="str">
            <v>瓦伦丁的赐福称号</v>
          </cell>
        </row>
        <row r="1686">
          <cell r="A1686">
            <v>43026</v>
          </cell>
          <cell r="D1686" t="str">
            <v>瓦伦丁的赐福称号（30天）</v>
          </cell>
        </row>
        <row r="1687">
          <cell r="A1687">
            <v>43027</v>
          </cell>
          <cell r="D1687" t="str">
            <v>瓦伦丁的赐福称号（15天）</v>
          </cell>
        </row>
        <row r="1688">
          <cell r="A1688">
            <v>43028</v>
          </cell>
          <cell r="D1688" t="str">
            <v>瓦伦丁的赐福称号（7天）</v>
          </cell>
        </row>
        <row r="1689">
          <cell r="A1689">
            <v>43029</v>
          </cell>
          <cell r="D1689" t="str">
            <v>瓦伦丁的赐福称号（1天）</v>
          </cell>
        </row>
        <row r="1690">
          <cell r="A1690">
            <v>43030</v>
          </cell>
          <cell r="D1690" t="str">
            <v>狮啸锦时称号</v>
          </cell>
        </row>
        <row r="1691">
          <cell r="A1691">
            <v>43031</v>
          </cell>
          <cell r="D1691" t="str">
            <v>狮啸锦时称号（30天）</v>
          </cell>
        </row>
        <row r="1692">
          <cell r="A1692">
            <v>43032</v>
          </cell>
          <cell r="D1692" t="str">
            <v>狮啸锦时称号（15天）</v>
          </cell>
        </row>
        <row r="1693">
          <cell r="A1693">
            <v>43033</v>
          </cell>
          <cell r="D1693" t="str">
            <v>狮啸锦时称号（7天）</v>
          </cell>
        </row>
        <row r="1694">
          <cell r="A1694">
            <v>43034</v>
          </cell>
          <cell r="D1694" t="str">
            <v>狮啸锦时称号（1天）</v>
          </cell>
        </row>
        <row r="1695">
          <cell r="A1695">
            <v>43035</v>
          </cell>
          <cell r="D1695" t="str">
            <v>传承帝纪称号</v>
          </cell>
        </row>
        <row r="1696">
          <cell r="A1696">
            <v>43036</v>
          </cell>
          <cell r="D1696" t="str">
            <v>传承帝纪称号（30天）</v>
          </cell>
        </row>
        <row r="1697">
          <cell r="A1697">
            <v>43037</v>
          </cell>
          <cell r="D1697" t="str">
            <v>传承帝纪称号（15天）</v>
          </cell>
        </row>
        <row r="1698">
          <cell r="A1698">
            <v>43038</v>
          </cell>
          <cell r="D1698" t="str">
            <v>传承帝纪称号（7天）</v>
          </cell>
        </row>
        <row r="1699">
          <cell r="A1699">
            <v>43039</v>
          </cell>
          <cell r="D1699" t="str">
            <v>传承帝纪称号（1天）</v>
          </cell>
        </row>
        <row r="1700">
          <cell r="A1700">
            <v>43040</v>
          </cell>
          <cell r="D1700" t="str">
            <v>血火颂诗称号</v>
          </cell>
        </row>
        <row r="1701">
          <cell r="A1701">
            <v>43041</v>
          </cell>
          <cell r="D1701" t="str">
            <v>血火颂诗称号（30天）</v>
          </cell>
        </row>
        <row r="1702">
          <cell r="A1702">
            <v>43042</v>
          </cell>
          <cell r="D1702" t="str">
            <v>血火颂诗称号（15天）</v>
          </cell>
        </row>
        <row r="1703">
          <cell r="A1703">
            <v>43043</v>
          </cell>
          <cell r="D1703" t="str">
            <v>血火颂诗称号（7天）</v>
          </cell>
        </row>
        <row r="1704">
          <cell r="A1704">
            <v>43044</v>
          </cell>
          <cell r="D1704" t="str">
            <v>血火颂诗称号（1天）</v>
          </cell>
        </row>
        <row r="1705">
          <cell r="A1705">
            <v>43045</v>
          </cell>
          <cell r="D1705" t="str">
            <v>猛狮之子称号</v>
          </cell>
        </row>
        <row r="1706">
          <cell r="A1706">
            <v>43046</v>
          </cell>
          <cell r="D1706" t="str">
            <v>猛狮之子称号（30天）</v>
          </cell>
        </row>
        <row r="1707">
          <cell r="A1707">
            <v>43047</v>
          </cell>
          <cell r="D1707" t="str">
            <v>猛狮之子称号（15天）</v>
          </cell>
        </row>
        <row r="1708">
          <cell r="A1708">
            <v>43048</v>
          </cell>
          <cell r="D1708" t="str">
            <v>猛狮之子称号（7天）</v>
          </cell>
        </row>
        <row r="1709">
          <cell r="A1709">
            <v>43049</v>
          </cell>
          <cell r="D1709" t="str">
            <v>猛狮之子称号（1天）</v>
          </cell>
        </row>
        <row r="1710">
          <cell r="A1710">
            <v>43050</v>
          </cell>
          <cell r="D1710" t="str">
            <v>御龙遁甲称号</v>
          </cell>
        </row>
        <row r="1711">
          <cell r="A1711">
            <v>43051</v>
          </cell>
          <cell r="D1711" t="str">
            <v>御龙遁甲称号（30天）</v>
          </cell>
        </row>
        <row r="1712">
          <cell r="A1712">
            <v>43052</v>
          </cell>
          <cell r="D1712" t="str">
            <v>御龙遁甲称号（15天）</v>
          </cell>
        </row>
        <row r="1713">
          <cell r="A1713">
            <v>43053</v>
          </cell>
          <cell r="D1713" t="str">
            <v>御龙遁甲称号（7天）</v>
          </cell>
        </row>
        <row r="1714">
          <cell r="A1714">
            <v>43054</v>
          </cell>
          <cell r="D1714" t="str">
            <v>御龙遁甲称号（1天）</v>
          </cell>
        </row>
        <row r="1715">
          <cell r="A1715">
            <v>43055</v>
          </cell>
          <cell r="D1715" t="str">
            <v>真理之触称号</v>
          </cell>
        </row>
        <row r="1716">
          <cell r="A1716">
            <v>43056</v>
          </cell>
          <cell r="D1716" t="str">
            <v>真理之触称号（30天）</v>
          </cell>
        </row>
        <row r="1717">
          <cell r="A1717">
            <v>43057</v>
          </cell>
          <cell r="D1717" t="str">
            <v>真理之触称号（15天）</v>
          </cell>
        </row>
        <row r="1718">
          <cell r="A1718">
            <v>43058</v>
          </cell>
          <cell r="D1718" t="str">
            <v>真理之触称号（7天）</v>
          </cell>
        </row>
        <row r="1719">
          <cell r="A1719">
            <v>43059</v>
          </cell>
          <cell r="D1719" t="str">
            <v>真理之触称号（1天）</v>
          </cell>
        </row>
        <row r="1720">
          <cell r="A1720">
            <v>44000</v>
          </cell>
          <cell r="D1720" t="str">
            <v>霜梦雪国称号</v>
          </cell>
        </row>
        <row r="1721">
          <cell r="A1721">
            <v>44001</v>
          </cell>
          <cell r="D1721" t="str">
            <v>霜梦雪国称号（30天）</v>
          </cell>
        </row>
        <row r="1722">
          <cell r="A1722">
            <v>44002</v>
          </cell>
          <cell r="D1722" t="str">
            <v>霜梦雪国称号（15天）</v>
          </cell>
        </row>
        <row r="1723">
          <cell r="A1723">
            <v>44003</v>
          </cell>
          <cell r="D1723" t="str">
            <v>霜梦雪国称号（7天）</v>
          </cell>
        </row>
        <row r="1724">
          <cell r="A1724">
            <v>44004</v>
          </cell>
          <cell r="D1724" t="str">
            <v>霜梦雪国称号（1天）</v>
          </cell>
        </row>
        <row r="1725">
          <cell r="A1725">
            <v>44010</v>
          </cell>
          <cell r="D1725" t="str">
            <v>名震一时</v>
          </cell>
        </row>
        <row r="1726">
          <cell r="A1726">
            <v>44011</v>
          </cell>
          <cell r="D1726" t="str">
            <v>名将如云</v>
          </cell>
        </row>
        <row r="1727">
          <cell r="A1727">
            <v>44012</v>
          </cell>
          <cell r="D1727" t="str">
            <v>联盟宝贝</v>
          </cell>
        </row>
        <row r="1728">
          <cell r="A1728">
            <v>44013</v>
          </cell>
          <cell r="D1728" t="str">
            <v>纵横四野</v>
          </cell>
        </row>
        <row r="1729">
          <cell r="A1729">
            <v>44014</v>
          </cell>
          <cell r="D1729" t="str">
            <v>决胜千里</v>
          </cell>
        </row>
        <row r="1730">
          <cell r="A1730">
            <v>44015</v>
          </cell>
          <cell r="D1730" t="str">
            <v>登高能赋</v>
          </cell>
        </row>
        <row r="1731">
          <cell r="A1731">
            <v>44016</v>
          </cell>
          <cell r="D1731" t="str">
            <v>帝国启明星</v>
          </cell>
        </row>
        <row r="1732">
          <cell r="A1732">
            <v>44017</v>
          </cell>
          <cell r="D1732" t="str">
            <v>财富自由</v>
          </cell>
        </row>
        <row r="1733">
          <cell r="A1733">
            <v>44018</v>
          </cell>
          <cell r="D1733" t="str">
            <v>超核体验官</v>
          </cell>
        </row>
        <row r="1734">
          <cell r="A1734">
            <v>44019</v>
          </cell>
          <cell r="D1734" t="str">
            <v>帝国战略家</v>
          </cell>
        </row>
        <row r="1735">
          <cell r="A1735">
            <v>44020</v>
          </cell>
          <cell r="D1735" t="str">
            <v>百战百胜</v>
          </cell>
        </row>
        <row r="1736">
          <cell r="A1736">
            <v>44021</v>
          </cell>
          <cell r="D1736" t="str">
            <v>先驱者</v>
          </cell>
        </row>
        <row r="1737">
          <cell r="A1737">
            <v>44022</v>
          </cell>
          <cell r="D1737" t="str">
            <v>征服者</v>
          </cell>
        </row>
        <row r="1738">
          <cell r="A1738">
            <v>44023</v>
          </cell>
          <cell r="D1738" t="str">
            <v>登峰造极</v>
          </cell>
        </row>
        <row r="1739">
          <cell r="A1739">
            <v>44024</v>
          </cell>
          <cell r="D1739" t="str">
            <v>勇闯天涯</v>
          </cell>
        </row>
        <row r="1740">
          <cell r="A1740">
            <v>44025</v>
          </cell>
          <cell r="D1740" t="str">
            <v>天下至尊</v>
          </cell>
        </row>
        <row r="1741">
          <cell r="A1741">
            <v>44026</v>
          </cell>
          <cell r="D1741" t="str">
            <v>问鼎中原</v>
          </cell>
        </row>
        <row r="1742">
          <cell r="A1742">
            <v>44027</v>
          </cell>
          <cell r="D1742" t="str">
            <v>名震一时</v>
          </cell>
        </row>
        <row r="1743">
          <cell r="A1743">
            <v>44028</v>
          </cell>
          <cell r="D1743" t="str">
            <v>名将如云</v>
          </cell>
        </row>
        <row r="1744">
          <cell r="A1744">
            <v>44029</v>
          </cell>
          <cell r="D1744" t="str">
            <v>联盟宝贝</v>
          </cell>
        </row>
        <row r="1745">
          <cell r="A1745">
            <v>44030</v>
          </cell>
          <cell r="D1745" t="str">
            <v>纵横四野</v>
          </cell>
        </row>
        <row r="1746">
          <cell r="A1746">
            <v>44031</v>
          </cell>
          <cell r="D1746" t="str">
            <v>决胜千里</v>
          </cell>
        </row>
        <row r="1747">
          <cell r="A1747">
            <v>44032</v>
          </cell>
          <cell r="D1747" t="str">
            <v>登高能赋</v>
          </cell>
        </row>
        <row r="1748">
          <cell r="A1748">
            <v>44033</v>
          </cell>
          <cell r="D1748" t="str">
            <v>帝国启明星</v>
          </cell>
        </row>
        <row r="1749">
          <cell r="A1749">
            <v>44034</v>
          </cell>
          <cell r="D1749" t="str">
            <v>财富自由</v>
          </cell>
        </row>
        <row r="1750">
          <cell r="A1750">
            <v>44035</v>
          </cell>
          <cell r="D1750" t="str">
            <v>超核体验官</v>
          </cell>
        </row>
        <row r="1751">
          <cell r="A1751">
            <v>44036</v>
          </cell>
          <cell r="D1751" t="str">
            <v>帝国战略家</v>
          </cell>
        </row>
        <row r="1752">
          <cell r="A1752">
            <v>44037</v>
          </cell>
          <cell r="D1752" t="str">
            <v>百战百胜</v>
          </cell>
        </row>
        <row r="1753">
          <cell r="A1753">
            <v>44038</v>
          </cell>
          <cell r="D1753" t="str">
            <v>先驱者</v>
          </cell>
        </row>
        <row r="1754">
          <cell r="A1754">
            <v>44039</v>
          </cell>
          <cell r="D1754" t="str">
            <v>征服者</v>
          </cell>
        </row>
        <row r="1755">
          <cell r="A1755">
            <v>44040</v>
          </cell>
          <cell r="D1755" t="str">
            <v>登峰造极</v>
          </cell>
        </row>
        <row r="1756">
          <cell r="A1756">
            <v>44041</v>
          </cell>
          <cell r="D1756" t="str">
            <v>勇闯天涯</v>
          </cell>
        </row>
        <row r="1757">
          <cell r="A1757">
            <v>44042</v>
          </cell>
          <cell r="D1757" t="str">
            <v>天下至尊</v>
          </cell>
        </row>
        <row r="1758">
          <cell r="A1758">
            <v>44043</v>
          </cell>
          <cell r="D1758" t="str">
            <v>问鼎中原</v>
          </cell>
        </row>
        <row r="1759">
          <cell r="A1759">
            <v>44044</v>
          </cell>
          <cell r="D1759" t="str">
            <v>名震一时</v>
          </cell>
        </row>
        <row r="1760">
          <cell r="A1760">
            <v>44045</v>
          </cell>
          <cell r="D1760" t="str">
            <v>名将如云</v>
          </cell>
        </row>
        <row r="1761">
          <cell r="A1761">
            <v>44046</v>
          </cell>
          <cell r="D1761" t="str">
            <v>联盟宝贝</v>
          </cell>
        </row>
        <row r="1762">
          <cell r="A1762">
            <v>44047</v>
          </cell>
          <cell r="D1762" t="str">
            <v>纵横四野</v>
          </cell>
        </row>
        <row r="1763">
          <cell r="A1763">
            <v>44048</v>
          </cell>
          <cell r="D1763" t="str">
            <v>决胜千里</v>
          </cell>
        </row>
        <row r="1764">
          <cell r="A1764">
            <v>44049</v>
          </cell>
          <cell r="D1764" t="str">
            <v>登高能赋</v>
          </cell>
        </row>
        <row r="1765">
          <cell r="A1765">
            <v>44050</v>
          </cell>
          <cell r="D1765" t="str">
            <v>帝国启明星</v>
          </cell>
        </row>
        <row r="1766">
          <cell r="A1766">
            <v>44051</v>
          </cell>
          <cell r="D1766" t="str">
            <v>财富自由</v>
          </cell>
        </row>
        <row r="1767">
          <cell r="A1767">
            <v>44052</v>
          </cell>
          <cell r="D1767" t="str">
            <v>超核体验官</v>
          </cell>
        </row>
        <row r="1768">
          <cell r="A1768">
            <v>44053</v>
          </cell>
          <cell r="D1768" t="str">
            <v>帝国战略家</v>
          </cell>
        </row>
        <row r="1769">
          <cell r="A1769">
            <v>44054</v>
          </cell>
          <cell r="D1769" t="str">
            <v>百战百胜</v>
          </cell>
        </row>
        <row r="1770">
          <cell r="A1770">
            <v>44055</v>
          </cell>
          <cell r="D1770" t="str">
            <v>先驱者</v>
          </cell>
        </row>
        <row r="1771">
          <cell r="A1771">
            <v>44056</v>
          </cell>
          <cell r="D1771" t="str">
            <v>征服者</v>
          </cell>
        </row>
        <row r="1772">
          <cell r="A1772">
            <v>44057</v>
          </cell>
          <cell r="D1772" t="str">
            <v>登峰造极</v>
          </cell>
        </row>
        <row r="1773">
          <cell r="A1773">
            <v>44058</v>
          </cell>
          <cell r="D1773" t="str">
            <v>勇闯天涯</v>
          </cell>
        </row>
        <row r="1774">
          <cell r="A1774">
            <v>44059</v>
          </cell>
          <cell r="D1774" t="str">
            <v>天下至尊</v>
          </cell>
        </row>
        <row r="1775">
          <cell r="A1775">
            <v>44060</v>
          </cell>
          <cell r="D1775" t="str">
            <v>问鼎中原</v>
          </cell>
        </row>
        <row r="1776">
          <cell r="A1776">
            <v>44061</v>
          </cell>
          <cell r="D1776" t="str">
            <v>名震一时</v>
          </cell>
        </row>
        <row r="1777">
          <cell r="A1777">
            <v>44062</v>
          </cell>
          <cell r="D1777" t="str">
            <v>名将如云</v>
          </cell>
        </row>
        <row r="1778">
          <cell r="A1778">
            <v>44063</v>
          </cell>
          <cell r="D1778" t="str">
            <v>联盟宝贝</v>
          </cell>
        </row>
        <row r="1779">
          <cell r="A1779">
            <v>44064</v>
          </cell>
          <cell r="D1779" t="str">
            <v>纵横四野</v>
          </cell>
        </row>
        <row r="1780">
          <cell r="A1780">
            <v>44065</v>
          </cell>
          <cell r="D1780" t="str">
            <v>决胜千里</v>
          </cell>
        </row>
        <row r="1781">
          <cell r="A1781">
            <v>44066</v>
          </cell>
          <cell r="D1781" t="str">
            <v>登高能赋</v>
          </cell>
        </row>
        <row r="1782">
          <cell r="A1782">
            <v>44067</v>
          </cell>
          <cell r="D1782" t="str">
            <v>帝国启明星</v>
          </cell>
        </row>
        <row r="1783">
          <cell r="A1783">
            <v>44068</v>
          </cell>
          <cell r="D1783" t="str">
            <v>剑指天下</v>
          </cell>
        </row>
        <row r="1784">
          <cell r="A1784">
            <v>44074</v>
          </cell>
          <cell r="D1784" t="str">
            <v>剑指天下</v>
          </cell>
        </row>
        <row r="1785">
          <cell r="A1785">
            <v>46000</v>
          </cell>
          <cell r="D1785" t="str">
            <v>蓬莱仙境</v>
          </cell>
        </row>
        <row r="1786">
          <cell r="A1786">
            <v>46001</v>
          </cell>
          <cell r="D1786" t="str">
            <v>永恒圣剑城堡皮肤</v>
          </cell>
        </row>
        <row r="1787">
          <cell r="A1787">
            <v>46102</v>
          </cell>
          <cell r="D1787" t="str">
            <v>永恒圣剑剑城堡皮肤（7天）</v>
          </cell>
        </row>
        <row r="1788">
          <cell r="A1788">
            <v>46103</v>
          </cell>
          <cell r="D1788" t="str">
            <v>永恒圣剑剑城堡皮肤（15天）</v>
          </cell>
        </row>
        <row r="1789">
          <cell r="A1789">
            <v>46104</v>
          </cell>
          <cell r="D1789" t="str">
            <v>永恒圣剑剑城堡皮肤（30天）</v>
          </cell>
        </row>
        <row r="1790">
          <cell r="A1790">
            <v>46002</v>
          </cell>
          <cell r="D1790" t="str">
            <v>地火熔城城堡皮肤</v>
          </cell>
        </row>
        <row r="1791">
          <cell r="A1791">
            <v>46017</v>
          </cell>
          <cell r="D1791" t="str">
            <v>地火熔城城堡皮肤（30天）</v>
          </cell>
        </row>
        <row r="1792">
          <cell r="A1792">
            <v>46012</v>
          </cell>
          <cell r="D1792" t="str">
            <v>地火熔城城堡皮肤（15天）</v>
          </cell>
        </row>
        <row r="1793">
          <cell r="A1793">
            <v>46007</v>
          </cell>
          <cell r="D1793" t="str">
            <v>地火熔城城堡皮肤（7天）</v>
          </cell>
        </row>
        <row r="1794">
          <cell r="A1794">
            <v>46004</v>
          </cell>
          <cell r="D1794" t="str">
            <v>森之呢喃剑城堡皮肤</v>
          </cell>
        </row>
        <row r="1795">
          <cell r="A1795">
            <v>46009</v>
          </cell>
          <cell r="D1795" t="str">
            <v>森之呢喃剑城堡皮肤（7天）</v>
          </cell>
        </row>
        <row r="1796">
          <cell r="A1796">
            <v>46014</v>
          </cell>
          <cell r="D1796" t="str">
            <v>森之呢喃剑城堡皮肤（15天）</v>
          </cell>
        </row>
        <row r="1797">
          <cell r="A1797">
            <v>46019</v>
          </cell>
          <cell r="D1797" t="str">
            <v>森之呢喃剑城堡皮肤（30天）</v>
          </cell>
        </row>
        <row r="1798">
          <cell r="A1798">
            <v>46003</v>
          </cell>
          <cell r="D1798" t="str">
            <v>猎心马戏团城堡皮肤</v>
          </cell>
        </row>
        <row r="1799">
          <cell r="A1799">
            <v>46005</v>
          </cell>
          <cell r="D1799" t="str">
            <v>猎心马戏团城堡皮肤（30天）</v>
          </cell>
        </row>
        <row r="1800">
          <cell r="A1800">
            <v>46008</v>
          </cell>
          <cell r="D1800" t="str">
            <v>猎心马戏团城堡皮肤（15天）</v>
          </cell>
        </row>
        <row r="1801">
          <cell r="A1801">
            <v>46010</v>
          </cell>
          <cell r="D1801" t="str">
            <v>猎心马戏团城堡皮肤（7天）</v>
          </cell>
        </row>
        <row r="1802">
          <cell r="A1802">
            <v>46013</v>
          </cell>
          <cell r="D1802" t="str">
            <v>猎心马戏团城堡皮肤（1天）</v>
          </cell>
        </row>
        <row r="1803">
          <cell r="A1803">
            <v>46015</v>
          </cell>
          <cell r="D1803" t="str">
            <v>邦尼的树莓庄园城堡皮肤</v>
          </cell>
        </row>
        <row r="1804">
          <cell r="A1804">
            <v>46018</v>
          </cell>
          <cell r="D1804" t="str">
            <v>邦尼的树莓庄园城堡皮肤（30天）</v>
          </cell>
        </row>
        <row r="1805">
          <cell r="A1805">
            <v>46020</v>
          </cell>
          <cell r="D1805" t="str">
            <v>邦尼的树莓庄园城堡皮肤（15天）</v>
          </cell>
        </row>
        <row r="1806">
          <cell r="A1806">
            <v>46021</v>
          </cell>
          <cell r="D1806" t="str">
            <v>邦尼的树莓庄园城堡皮肤（7天）</v>
          </cell>
        </row>
        <row r="1807">
          <cell r="A1807">
            <v>46022</v>
          </cell>
          <cell r="D1807" t="str">
            <v>邦尼的树莓庄园城堡皮肤（1天）</v>
          </cell>
        </row>
        <row r="1808">
          <cell r="A1808">
            <v>46023</v>
          </cell>
          <cell r="D1808" t="str">
            <v>御照东方</v>
          </cell>
        </row>
        <row r="1809">
          <cell r="A1809">
            <v>46024</v>
          </cell>
          <cell r="D1809" t="str">
            <v>千里江枫</v>
          </cell>
        </row>
        <row r="1810">
          <cell r="A1810">
            <v>46025</v>
          </cell>
          <cell r="D1810" t="str">
            <v>千里江枫</v>
          </cell>
        </row>
        <row r="1811">
          <cell r="A1811">
            <v>46026</v>
          </cell>
          <cell r="D1811" t="str">
            <v>千里江枫</v>
          </cell>
        </row>
        <row r="1812">
          <cell r="A1812">
            <v>46027</v>
          </cell>
          <cell r="D1812" t="str">
            <v>千里江枫</v>
          </cell>
        </row>
        <row r="1813">
          <cell r="A1813">
            <v>46028</v>
          </cell>
          <cell r="D1813" t="str">
            <v>御照东方</v>
          </cell>
        </row>
        <row r="1814">
          <cell r="A1814">
            <v>46029</v>
          </cell>
          <cell r="D1814" t="str">
            <v>朱庇特之翼城堡皮肤</v>
          </cell>
        </row>
        <row r="1815">
          <cell r="A1815">
            <v>46030</v>
          </cell>
          <cell r="D1815" t="str">
            <v>朱庇特之翼城堡皮肤（7天）</v>
          </cell>
        </row>
        <row r="1816">
          <cell r="A1816">
            <v>46031</v>
          </cell>
          <cell r="D1816" t="str">
            <v>朱庇特之翼城堡皮肤（15天）</v>
          </cell>
        </row>
        <row r="1817">
          <cell r="A1817">
            <v>46032</v>
          </cell>
          <cell r="D1817" t="str">
            <v>朱庇特之翼城堡皮肤（30天）</v>
          </cell>
        </row>
        <row r="1818">
          <cell r="A1818">
            <v>46033</v>
          </cell>
          <cell r="D1818" t="str">
            <v>朱庇特之翼城堡皮肤（1天）</v>
          </cell>
        </row>
        <row r="1819">
          <cell r="A1819">
            <v>46034</v>
          </cell>
          <cell r="D1819" t="str">
            <v>剑堡</v>
          </cell>
        </row>
        <row r="1820">
          <cell r="A1820">
            <v>46035</v>
          </cell>
          <cell r="D1820" t="str">
            <v>剑堡</v>
          </cell>
        </row>
        <row r="1821">
          <cell r="A1821">
            <v>46036</v>
          </cell>
          <cell r="D1821" t="str">
            <v>剑堡</v>
          </cell>
        </row>
        <row r="1822">
          <cell r="A1822">
            <v>46037</v>
          </cell>
          <cell r="D1822" t="str">
            <v>剑堡</v>
          </cell>
        </row>
        <row r="1823">
          <cell r="A1823">
            <v>46038</v>
          </cell>
          <cell r="D1823" t="str">
            <v>剑堡</v>
          </cell>
        </row>
        <row r="1824">
          <cell r="A1824">
            <v>46039</v>
          </cell>
          <cell r="D1824" t="str">
            <v>弑敌者马赫斯城堡皮肤</v>
          </cell>
        </row>
        <row r="1825">
          <cell r="A1825">
            <v>46040</v>
          </cell>
          <cell r="D1825" t="str">
            <v>弑敌者马赫斯城堡皮肤（30天）</v>
          </cell>
        </row>
        <row r="1826">
          <cell r="A1826">
            <v>46041</v>
          </cell>
          <cell r="D1826" t="str">
            <v>弑敌者马赫斯城堡皮肤（15天）</v>
          </cell>
        </row>
        <row r="1827">
          <cell r="A1827">
            <v>46042</v>
          </cell>
          <cell r="D1827" t="str">
            <v>弑敌者马赫斯城堡皮肤（7天）</v>
          </cell>
        </row>
        <row r="1828">
          <cell r="A1828">
            <v>46043</v>
          </cell>
          <cell r="D1828" t="str">
            <v>弑敌者马赫斯城堡皮肤（1天）</v>
          </cell>
        </row>
        <row r="1829">
          <cell r="A1829">
            <v>46044</v>
          </cell>
          <cell r="D1829" t="str">
            <v>中秋</v>
          </cell>
        </row>
        <row r="1830">
          <cell r="A1830">
            <v>46045</v>
          </cell>
          <cell r="D1830" t="str">
            <v>丰饶之日城堡皮肤</v>
          </cell>
        </row>
        <row r="1831">
          <cell r="A1831">
            <v>46046</v>
          </cell>
          <cell r="D1831" t="str">
            <v>丰饶之日城堡皮肤（30天）</v>
          </cell>
        </row>
        <row r="1832">
          <cell r="A1832">
            <v>46047</v>
          </cell>
          <cell r="D1832" t="str">
            <v>丰饶之日城堡皮肤（15天）</v>
          </cell>
        </row>
        <row r="1833">
          <cell r="A1833">
            <v>46048</v>
          </cell>
          <cell r="D1833" t="str">
            <v>丰饶之日城堡皮肤（7天）</v>
          </cell>
        </row>
        <row r="1834">
          <cell r="A1834">
            <v>46049</v>
          </cell>
          <cell r="D1834" t="str">
            <v>丰饶之日城堡皮肤（1天）</v>
          </cell>
        </row>
        <row r="1835">
          <cell r="A1835">
            <v>46050</v>
          </cell>
          <cell r="D1835" t="str">
            <v>半周年庆</v>
          </cell>
        </row>
        <row r="1836">
          <cell r="A1836">
            <v>46051</v>
          </cell>
          <cell r="D1836" t="str">
            <v>天马帕加索斯城堡皮肤</v>
          </cell>
        </row>
        <row r="1837">
          <cell r="A1837">
            <v>46052</v>
          </cell>
          <cell r="D1837" t="str">
            <v>天马帕加索斯城堡皮肤（7天）</v>
          </cell>
        </row>
        <row r="1838">
          <cell r="A1838">
            <v>46053</v>
          </cell>
          <cell r="D1838" t="str">
            <v>天马帕加索斯城堡皮肤（15天）</v>
          </cell>
        </row>
        <row r="1839">
          <cell r="A1839">
            <v>46054</v>
          </cell>
          <cell r="D1839" t="str">
            <v>天马帕加索斯城堡皮肤（30天）</v>
          </cell>
        </row>
        <row r="1840">
          <cell r="A1840">
            <v>46055</v>
          </cell>
          <cell r="D1840" t="str">
            <v>天马帕加索斯城堡皮肤（1天）</v>
          </cell>
        </row>
        <row r="1841">
          <cell r="A1841">
            <v>46056</v>
          </cell>
          <cell r="D1841" t="str">
            <v>弗雷之秋城堡皮肤</v>
          </cell>
        </row>
        <row r="1842">
          <cell r="A1842">
            <v>46057</v>
          </cell>
          <cell r="D1842" t="str">
            <v>弗雷之秋城堡皮肤（7天）</v>
          </cell>
        </row>
        <row r="1843">
          <cell r="A1843">
            <v>46058</v>
          </cell>
          <cell r="D1843" t="str">
            <v>弗雷之秋城堡皮肤（15天）</v>
          </cell>
        </row>
        <row r="1844">
          <cell r="A1844">
            <v>46059</v>
          </cell>
          <cell r="D1844" t="str">
            <v>弗雷之秋城堡皮肤（30天）</v>
          </cell>
        </row>
        <row r="1845">
          <cell r="A1845">
            <v>46060</v>
          </cell>
          <cell r="D1845" t="str">
            <v>弗雷之秋城堡皮肤（1天）</v>
          </cell>
        </row>
        <row r="1846">
          <cell r="A1846">
            <v>46061</v>
          </cell>
          <cell r="D1846" t="str">
            <v>神弓</v>
          </cell>
        </row>
        <row r="1847">
          <cell r="A1847">
            <v>46062</v>
          </cell>
          <cell r="D1847" t="str">
            <v>神弓</v>
          </cell>
        </row>
        <row r="1848">
          <cell r="A1848">
            <v>46063</v>
          </cell>
          <cell r="D1848" t="str">
            <v>神弓</v>
          </cell>
        </row>
        <row r="1849">
          <cell r="A1849">
            <v>46064</v>
          </cell>
          <cell r="D1849" t="str">
            <v>芬布尔之冬城堡皮肤</v>
          </cell>
        </row>
        <row r="1850">
          <cell r="A1850">
            <v>46065</v>
          </cell>
          <cell r="D1850" t="str">
            <v>芬布尔之冬城堡皮肤（30天）</v>
          </cell>
        </row>
        <row r="1851">
          <cell r="A1851">
            <v>46066</v>
          </cell>
          <cell r="D1851" t="str">
            <v>芬布尔之冬城堡皮肤（15天）</v>
          </cell>
        </row>
        <row r="1852">
          <cell r="A1852">
            <v>46067</v>
          </cell>
          <cell r="D1852" t="str">
            <v>芬布尔之冬城堡皮肤（7天）</v>
          </cell>
        </row>
        <row r="1853">
          <cell r="A1853">
            <v>46068</v>
          </cell>
          <cell r="D1853" t="str">
            <v>芬布尔之冬城堡皮肤（1天）</v>
          </cell>
        </row>
        <row r="1854">
          <cell r="A1854">
            <v>46069</v>
          </cell>
          <cell r="D1854" t="str">
            <v>九重御殿</v>
          </cell>
        </row>
        <row r="1855">
          <cell r="A1855">
            <v>46070</v>
          </cell>
          <cell r="D1855" t="str">
            <v>旧日涅槃城堡皮肤</v>
          </cell>
        </row>
        <row r="1856">
          <cell r="A1856">
            <v>46071</v>
          </cell>
          <cell r="D1856" t="str">
            <v>旧日涅槃城堡皮肤（30天）</v>
          </cell>
        </row>
        <row r="1857">
          <cell r="A1857">
            <v>46072</v>
          </cell>
          <cell r="D1857" t="str">
            <v>旧日涅槃城堡皮肤（15天）</v>
          </cell>
        </row>
        <row r="1858">
          <cell r="A1858">
            <v>46073</v>
          </cell>
          <cell r="D1858" t="str">
            <v>旧日涅槃城堡皮肤（7天）</v>
          </cell>
        </row>
        <row r="1859">
          <cell r="A1859">
            <v>46074</v>
          </cell>
          <cell r="D1859" t="str">
            <v>旧日涅槃城堡皮肤（1天）</v>
          </cell>
        </row>
        <row r="1860">
          <cell r="A1860">
            <v>46075</v>
          </cell>
          <cell r="D1860" t="str">
            <v>周年庆</v>
          </cell>
        </row>
        <row r="1861">
          <cell r="A1861">
            <v>46076</v>
          </cell>
          <cell r="D1861" t="str">
            <v>周年庆</v>
          </cell>
        </row>
        <row r="1862">
          <cell r="A1862">
            <v>46077</v>
          </cell>
          <cell r="D1862" t="str">
            <v>周年庆</v>
          </cell>
        </row>
        <row r="1863">
          <cell r="A1863">
            <v>46078</v>
          </cell>
          <cell r="D1863" t="str">
            <v>周年庆</v>
          </cell>
        </row>
        <row r="1864">
          <cell r="A1864">
            <v>46079</v>
          </cell>
          <cell r="D1864" t="str">
            <v>周年庆</v>
          </cell>
        </row>
        <row r="1865">
          <cell r="A1865">
            <v>46080</v>
          </cell>
          <cell r="D1865" t="str">
            <v>权杖</v>
          </cell>
        </row>
        <row r="1866">
          <cell r="A1866">
            <v>46081</v>
          </cell>
          <cell r="D1866" t="str">
            <v>权杖</v>
          </cell>
        </row>
        <row r="1867">
          <cell r="A1867">
            <v>46082</v>
          </cell>
          <cell r="D1867" t="str">
            <v>权杖</v>
          </cell>
        </row>
        <row r="1868">
          <cell r="A1868">
            <v>46083</v>
          </cell>
          <cell r="D1868" t="str">
            <v>权杖</v>
          </cell>
        </row>
        <row r="1869">
          <cell r="A1869">
            <v>46084</v>
          </cell>
          <cell r="D1869" t="str">
            <v>权杖</v>
          </cell>
        </row>
        <row r="1870">
          <cell r="A1870">
            <v>46085</v>
          </cell>
          <cell r="D1870" t="str">
            <v>火焰</v>
          </cell>
        </row>
        <row r="1871">
          <cell r="A1871">
            <v>46086</v>
          </cell>
          <cell r="D1871" t="str">
            <v>火焰</v>
          </cell>
        </row>
        <row r="1872">
          <cell r="A1872">
            <v>46087</v>
          </cell>
          <cell r="D1872" t="str">
            <v>金龙</v>
          </cell>
        </row>
        <row r="1873">
          <cell r="A1873">
            <v>46088</v>
          </cell>
          <cell r="D1873" t="str">
            <v>金龙</v>
          </cell>
        </row>
        <row r="1874">
          <cell r="A1874">
            <v>46089</v>
          </cell>
          <cell r="D1874" t="str">
            <v>金龙</v>
          </cell>
        </row>
        <row r="1875">
          <cell r="A1875">
            <v>46090</v>
          </cell>
          <cell r="D1875" t="str">
            <v>金龙</v>
          </cell>
        </row>
        <row r="1876">
          <cell r="A1876">
            <v>46091</v>
          </cell>
          <cell r="D1876" t="str">
            <v>金龙</v>
          </cell>
        </row>
        <row r="1877">
          <cell r="A1877">
            <v>46092</v>
          </cell>
          <cell r="D1877" t="str">
            <v>雷电</v>
          </cell>
        </row>
        <row r="1878">
          <cell r="A1878">
            <v>46093</v>
          </cell>
          <cell r="D1878" t="str">
            <v>雷电</v>
          </cell>
        </row>
        <row r="1879">
          <cell r="A1879">
            <v>46094</v>
          </cell>
          <cell r="D1879" t="str">
            <v>雷电</v>
          </cell>
        </row>
        <row r="1880">
          <cell r="A1880">
            <v>46095</v>
          </cell>
          <cell r="D1880" t="str">
            <v>雷电</v>
          </cell>
        </row>
        <row r="1881">
          <cell r="A1881">
            <v>46096</v>
          </cell>
          <cell r="D1881" t="str">
            <v>雷电</v>
          </cell>
        </row>
        <row r="1882">
          <cell r="A1882">
            <v>46097</v>
          </cell>
          <cell r="D1882" t="str">
            <v>海洋</v>
          </cell>
        </row>
        <row r="1883">
          <cell r="A1883">
            <v>46098</v>
          </cell>
          <cell r="D1883" t="str">
            <v>海洋</v>
          </cell>
        </row>
        <row r="1884">
          <cell r="A1884">
            <v>46099</v>
          </cell>
          <cell r="D1884" t="str">
            <v>海洋</v>
          </cell>
        </row>
        <row r="1885">
          <cell r="A1885">
            <v>46100</v>
          </cell>
          <cell r="D1885" t="str">
            <v>海洋</v>
          </cell>
        </row>
        <row r="1886">
          <cell r="A1886">
            <v>46101</v>
          </cell>
          <cell r="D1886" t="str">
            <v>恶灵古堡剑城堡皮肤</v>
          </cell>
        </row>
        <row r="1887">
          <cell r="A1887">
            <v>46105</v>
          </cell>
          <cell r="D1887" t="str">
            <v>恶灵古堡剑城堡皮肤（限时30天）</v>
          </cell>
        </row>
        <row r="1888">
          <cell r="A1888">
            <v>46106</v>
          </cell>
          <cell r="D1888" t="str">
            <v>恶灵古堡剑城堡皮肤（限时15天）</v>
          </cell>
        </row>
        <row r="1889">
          <cell r="A1889">
            <v>46107</v>
          </cell>
          <cell r="D1889" t="str">
            <v>恶灵古堡剑城堡皮肤（限时7天）</v>
          </cell>
        </row>
        <row r="1890">
          <cell r="A1890">
            <v>46108</v>
          </cell>
          <cell r="D1890" t="str">
            <v>恶灵古堡剑城堡皮肤（限时1天）</v>
          </cell>
        </row>
        <row r="1891">
          <cell r="A1891">
            <v>61000</v>
          </cell>
          <cell r="D1891" t="str">
            <v>开拓征程聊天气泡</v>
          </cell>
        </row>
        <row r="1892">
          <cell r="A1892">
            <v>61001</v>
          </cell>
          <cell r="D1892" t="str">
            <v>德古拉之吻聊天气泡</v>
          </cell>
        </row>
        <row r="1893">
          <cell r="A1893">
            <v>61002</v>
          </cell>
          <cell r="D1893" t="str">
            <v>金色舞者聊天气泡</v>
          </cell>
        </row>
        <row r="1894">
          <cell r="A1894">
            <v>61006</v>
          </cell>
          <cell r="D1894" t="str">
            <v>荣光拂晓聊天气泡</v>
          </cell>
        </row>
        <row r="1895">
          <cell r="A1895">
            <v>61007</v>
          </cell>
          <cell r="D1895" t="str">
            <v>荣光拂晓聊天气泡（限时30天）</v>
          </cell>
        </row>
        <row r="1896">
          <cell r="A1896">
            <v>61009</v>
          </cell>
          <cell r="D1896" t="str">
            <v>荣光拂晓聊天气泡（限时15天）</v>
          </cell>
        </row>
        <row r="1897">
          <cell r="A1897">
            <v>61010</v>
          </cell>
          <cell r="D1897" t="str">
            <v>荣光拂晓聊天气泡（限时7天）</v>
          </cell>
        </row>
        <row r="1898">
          <cell r="A1898">
            <v>61011</v>
          </cell>
          <cell r="D1898" t="str">
            <v>荣光拂晓聊天气泡（限时1天）</v>
          </cell>
        </row>
        <row r="1899">
          <cell r="A1899">
            <v>61008</v>
          </cell>
          <cell r="D1899" t="str">
            <v>正义炮火聊天气泡</v>
          </cell>
        </row>
        <row r="1900">
          <cell r="A1900">
            <v>61012</v>
          </cell>
          <cell r="D1900" t="str">
            <v>凌云尖啸聊天气泡</v>
          </cell>
        </row>
        <row r="1901">
          <cell r="A1901">
            <v>61013</v>
          </cell>
          <cell r="D1901" t="str">
            <v>凌云尖啸聊天气泡（限时30天）</v>
          </cell>
        </row>
        <row r="1902">
          <cell r="A1902">
            <v>61014</v>
          </cell>
          <cell r="D1902" t="str">
            <v>凌云尖啸聊天气泡（限时15天）</v>
          </cell>
        </row>
        <row r="1903">
          <cell r="A1903">
            <v>61015</v>
          </cell>
          <cell r="D1903" t="str">
            <v>凌云尖啸聊天气泡（限时7天）</v>
          </cell>
        </row>
        <row r="1904">
          <cell r="A1904">
            <v>61016</v>
          </cell>
          <cell r="D1904" t="str">
            <v>凌云尖啸聊天气泡（限时1天）</v>
          </cell>
        </row>
        <row r="1905">
          <cell r="A1905">
            <v>61017</v>
          </cell>
          <cell r="D1905" t="str">
            <v>胜利黎明聊天气泡</v>
          </cell>
        </row>
        <row r="1906">
          <cell r="A1906">
            <v>61018</v>
          </cell>
          <cell r="D1906" t="str">
            <v>胜利黎明聊天气泡（限时30天）</v>
          </cell>
        </row>
        <row r="1907">
          <cell r="A1907">
            <v>61019</v>
          </cell>
          <cell r="D1907" t="str">
            <v>胜利黎明聊天气泡（限时15天）</v>
          </cell>
        </row>
        <row r="1908">
          <cell r="A1908">
            <v>61020</v>
          </cell>
          <cell r="D1908" t="str">
            <v>胜利黎明聊天气泡（限时7天）</v>
          </cell>
        </row>
        <row r="1909">
          <cell r="A1909">
            <v>61021</v>
          </cell>
          <cell r="D1909" t="str">
            <v>胜利黎明聊天气泡（限时1天）</v>
          </cell>
        </row>
        <row r="1910">
          <cell r="A1910">
            <v>61022</v>
          </cell>
          <cell r="D1910" t="str">
            <v>火焰之砧聊天气泡</v>
          </cell>
        </row>
        <row r="1911">
          <cell r="A1911">
            <v>61023</v>
          </cell>
          <cell r="D1911" t="str">
            <v>火焰之砧聊天气泡（限时30天）</v>
          </cell>
        </row>
        <row r="1912">
          <cell r="A1912">
            <v>61024</v>
          </cell>
          <cell r="D1912" t="str">
            <v>火焰之砧聊天气泡（限时15天）</v>
          </cell>
        </row>
        <row r="1913">
          <cell r="A1913">
            <v>61025</v>
          </cell>
          <cell r="D1913" t="str">
            <v>火焰之砧聊天气泡（限时7天）</v>
          </cell>
        </row>
        <row r="1914">
          <cell r="A1914">
            <v>61026</v>
          </cell>
          <cell r="D1914" t="str">
            <v>火焰之砧聊天气泡（限时1天）</v>
          </cell>
        </row>
        <row r="1915">
          <cell r="A1915">
            <v>61027</v>
          </cell>
          <cell r="D1915" t="str">
            <v>铜之厅聊天气泡</v>
          </cell>
        </row>
        <row r="1916">
          <cell r="A1916">
            <v>61028</v>
          </cell>
          <cell r="D1916" t="str">
            <v>铜之厅聊天气泡（限时42天）</v>
          </cell>
        </row>
        <row r="1917">
          <cell r="A1917">
            <v>61029</v>
          </cell>
          <cell r="D1917" t="str">
            <v>银之堂聊天气泡</v>
          </cell>
        </row>
        <row r="1918">
          <cell r="A1918">
            <v>61030</v>
          </cell>
          <cell r="D1918" t="str">
            <v>银之堂聊天气泡（限时42天）</v>
          </cell>
        </row>
        <row r="1919">
          <cell r="A1919">
            <v>61031</v>
          </cell>
          <cell r="D1919" t="str">
            <v>金之殿聊天气泡</v>
          </cell>
        </row>
        <row r="1920">
          <cell r="A1920">
            <v>61032</v>
          </cell>
          <cell r="D1920" t="str">
            <v>金之殿聊天气泡（限时42天）</v>
          </cell>
        </row>
        <row r="1921">
          <cell r="A1921">
            <v>61033</v>
          </cell>
          <cell r="D1921" t="str">
            <v>光之廷聊天气泡</v>
          </cell>
        </row>
        <row r="1922">
          <cell r="A1922">
            <v>61034</v>
          </cell>
          <cell r="D1922" t="str">
            <v>光之廷聊天气泡（限时42天）</v>
          </cell>
        </row>
        <row r="1923">
          <cell r="A1923">
            <v>61035</v>
          </cell>
          <cell r="D1923" t="str">
            <v>无畏意志聊天气泡</v>
          </cell>
        </row>
        <row r="1924">
          <cell r="A1924">
            <v>61036</v>
          </cell>
          <cell r="D1924" t="str">
            <v>无畏意志聊天气泡（限时30天）</v>
          </cell>
        </row>
        <row r="1925">
          <cell r="A1925">
            <v>61037</v>
          </cell>
          <cell r="D1925" t="str">
            <v>无畏意志聊天气泡（限时15天）</v>
          </cell>
        </row>
        <row r="1926">
          <cell r="A1926">
            <v>61038</v>
          </cell>
          <cell r="D1926" t="str">
            <v>无畏意志聊天气泡（限时7天）</v>
          </cell>
        </row>
        <row r="1927">
          <cell r="A1927">
            <v>61039</v>
          </cell>
          <cell r="D1927" t="str">
            <v>无畏意志聊天气泡（限时1天）</v>
          </cell>
        </row>
        <row r="1928">
          <cell r="A1928">
            <v>61040</v>
          </cell>
          <cell r="D1928" t="str">
            <v>骁勇斗志聊天气泡</v>
          </cell>
        </row>
        <row r="1929">
          <cell r="A1929">
            <v>61041</v>
          </cell>
          <cell r="D1929" t="str">
            <v>骁勇斗志聊天气泡（限时30天）</v>
          </cell>
        </row>
        <row r="1930">
          <cell r="A1930">
            <v>61042</v>
          </cell>
          <cell r="D1930" t="str">
            <v>骁勇斗志聊天气泡（限时15天）</v>
          </cell>
        </row>
        <row r="1931">
          <cell r="A1931">
            <v>61043</v>
          </cell>
          <cell r="D1931" t="str">
            <v>骁勇斗志聊天气泡（限时7天）</v>
          </cell>
        </row>
        <row r="1932">
          <cell r="A1932">
            <v>61044</v>
          </cell>
          <cell r="D1932" t="str">
            <v>骁勇斗志聊天气泡（限时1天）</v>
          </cell>
        </row>
        <row r="1933">
          <cell r="A1933">
            <v>61045</v>
          </cell>
          <cell r="D1933" t="str">
            <v>爱情宣言聊天气泡</v>
          </cell>
        </row>
        <row r="1934">
          <cell r="A1934">
            <v>61046</v>
          </cell>
          <cell r="D1934" t="str">
            <v>爱情宣言聊天气泡（限时30天）</v>
          </cell>
        </row>
        <row r="1935">
          <cell r="A1935">
            <v>61047</v>
          </cell>
          <cell r="D1935" t="str">
            <v>爱情宣言聊天气泡（限时15天）</v>
          </cell>
        </row>
        <row r="1936">
          <cell r="A1936">
            <v>61048</v>
          </cell>
          <cell r="D1936" t="str">
            <v>爱情宣言聊天气泡（限时7天）</v>
          </cell>
        </row>
        <row r="1937">
          <cell r="A1937">
            <v>61049</v>
          </cell>
          <cell r="D1937" t="str">
            <v>爱情宣言聊天气泡（限时1天）</v>
          </cell>
        </row>
        <row r="1938">
          <cell r="A1938">
            <v>61050</v>
          </cell>
          <cell r="D1938" t="str">
            <v>新月低语聊天气泡</v>
          </cell>
        </row>
        <row r="1939">
          <cell r="A1939">
            <v>61051</v>
          </cell>
          <cell r="D1939" t="str">
            <v>新月低语聊天气泡（限时30天）</v>
          </cell>
        </row>
        <row r="1940">
          <cell r="A1940">
            <v>61052</v>
          </cell>
          <cell r="D1940" t="str">
            <v>新月低语聊天气泡（限时15天）</v>
          </cell>
        </row>
        <row r="1941">
          <cell r="A1941">
            <v>61053</v>
          </cell>
          <cell r="D1941" t="str">
            <v>新月低语聊天气泡（限时7天）</v>
          </cell>
        </row>
        <row r="1942">
          <cell r="A1942">
            <v>61054</v>
          </cell>
          <cell r="D1942" t="str">
            <v>新月低语聊天气泡（限时1天）</v>
          </cell>
        </row>
        <row r="1943">
          <cell r="A1943">
            <v>62001</v>
          </cell>
          <cell r="D1943" t="str">
            <v>冰海维京行军头像框</v>
          </cell>
        </row>
        <row r="1944">
          <cell r="A1944">
            <v>62002</v>
          </cell>
          <cell r="D1944" t="str">
            <v>冰海维京行军装饰</v>
          </cell>
        </row>
        <row r="1945">
          <cell r="A1945">
            <v>62003</v>
          </cell>
          <cell r="D1945" t="str">
            <v>冰海维京行军效果</v>
          </cell>
        </row>
        <row r="1946">
          <cell r="A1946">
            <v>62004</v>
          </cell>
          <cell r="D1946" t="str">
            <v>冰海维京行军脚印</v>
          </cell>
        </row>
        <row r="1947">
          <cell r="A1947">
            <v>62005</v>
          </cell>
          <cell r="D1947" t="str">
            <v>冰海维京行军套装</v>
          </cell>
        </row>
        <row r="1948">
          <cell r="A1948">
            <v>62006</v>
          </cell>
          <cell r="D1948" t="str">
            <v>冰海维京行军头像框（30天）</v>
          </cell>
        </row>
        <row r="1949">
          <cell r="A1949">
            <v>62007</v>
          </cell>
          <cell r="D1949" t="str">
            <v>冰海维京行军装饰（30天）</v>
          </cell>
        </row>
        <row r="1950">
          <cell r="A1950">
            <v>62008</v>
          </cell>
          <cell r="D1950" t="str">
            <v>冰海维京行军效果（30天）</v>
          </cell>
        </row>
        <row r="1951">
          <cell r="A1951">
            <v>62009</v>
          </cell>
          <cell r="D1951" t="str">
            <v>冰海维京行军脚印（30天）</v>
          </cell>
        </row>
        <row r="1952">
          <cell r="A1952">
            <v>62010</v>
          </cell>
          <cell r="D1952" t="str">
            <v>冰海维京行军套装（30天）</v>
          </cell>
        </row>
        <row r="1953">
          <cell r="A1953">
            <v>62011</v>
          </cell>
          <cell r="D1953" t="str">
            <v>冰海维京行军头像框（15天）</v>
          </cell>
        </row>
        <row r="1954">
          <cell r="A1954">
            <v>62012</v>
          </cell>
          <cell r="D1954" t="str">
            <v>冰海维京行军装饰（15天）</v>
          </cell>
        </row>
        <row r="1955">
          <cell r="A1955">
            <v>62013</v>
          </cell>
          <cell r="D1955" t="str">
            <v>冰海维京行军效果（15天）</v>
          </cell>
        </row>
        <row r="1956">
          <cell r="A1956">
            <v>62014</v>
          </cell>
          <cell r="D1956" t="str">
            <v>冰海维京行军脚印（15天）</v>
          </cell>
        </row>
        <row r="1957">
          <cell r="A1957">
            <v>62015</v>
          </cell>
          <cell r="D1957" t="str">
            <v>冰海维京行军套装（15天）</v>
          </cell>
        </row>
        <row r="1958">
          <cell r="A1958">
            <v>62016</v>
          </cell>
          <cell r="D1958" t="str">
            <v>冰海维京行军头像框（7天）</v>
          </cell>
        </row>
        <row r="1959">
          <cell r="A1959">
            <v>62017</v>
          </cell>
          <cell r="D1959" t="str">
            <v>冰海维京行军装饰（7天）</v>
          </cell>
        </row>
        <row r="1960">
          <cell r="A1960">
            <v>62018</v>
          </cell>
          <cell r="D1960" t="str">
            <v>冰海维京行军效果（7天）</v>
          </cell>
        </row>
        <row r="1961">
          <cell r="A1961">
            <v>62019</v>
          </cell>
          <cell r="D1961" t="str">
            <v>冰海维京行军脚印（7天）</v>
          </cell>
        </row>
        <row r="1962">
          <cell r="A1962">
            <v>62020</v>
          </cell>
          <cell r="D1962" t="str">
            <v>冰海维京行军套装（7天）</v>
          </cell>
        </row>
        <row r="1963">
          <cell r="A1963">
            <v>62021</v>
          </cell>
          <cell r="D1963" t="str">
            <v>冰海维京行军头像框（1天）</v>
          </cell>
        </row>
        <row r="1964">
          <cell r="A1964">
            <v>62022</v>
          </cell>
          <cell r="D1964" t="str">
            <v>冰海维京行军装饰（1天）</v>
          </cell>
        </row>
        <row r="1965">
          <cell r="A1965">
            <v>62023</v>
          </cell>
          <cell r="D1965" t="str">
            <v>冰海维京行军效果（1天）</v>
          </cell>
        </row>
        <row r="1966">
          <cell r="A1966">
            <v>62024</v>
          </cell>
          <cell r="D1966" t="str">
            <v>冰海维京行军脚印（1天）</v>
          </cell>
        </row>
        <row r="1967">
          <cell r="A1967">
            <v>62025</v>
          </cell>
          <cell r="D1967" t="str">
            <v>冰海维京行军套装（1天）</v>
          </cell>
        </row>
        <row r="1968">
          <cell r="A1968">
            <v>62026</v>
          </cell>
          <cell r="D1968" t="str">
            <v>春节行军头像框</v>
          </cell>
        </row>
        <row r="1969">
          <cell r="A1969">
            <v>62027</v>
          </cell>
          <cell r="D1969" t="str">
            <v>春节行军装饰</v>
          </cell>
        </row>
        <row r="1970">
          <cell r="A1970">
            <v>62028</v>
          </cell>
          <cell r="D1970" t="str">
            <v>春节行军效果</v>
          </cell>
        </row>
        <row r="1971">
          <cell r="A1971">
            <v>62029</v>
          </cell>
          <cell r="D1971" t="str">
            <v>春节行军脚印</v>
          </cell>
        </row>
        <row r="1972">
          <cell r="A1972">
            <v>62030</v>
          </cell>
          <cell r="D1972" t="str">
            <v>春节行军套装</v>
          </cell>
        </row>
        <row r="1973">
          <cell r="A1973">
            <v>62031</v>
          </cell>
          <cell r="D1973" t="str">
            <v>春节行军头像框（限时30天）</v>
          </cell>
        </row>
        <row r="1974">
          <cell r="A1974">
            <v>62032</v>
          </cell>
          <cell r="D1974" t="str">
            <v>春节行军装饰（限时30天）</v>
          </cell>
        </row>
        <row r="1975">
          <cell r="A1975">
            <v>62033</v>
          </cell>
          <cell r="D1975" t="str">
            <v>春节行军效果（限时30天）</v>
          </cell>
        </row>
        <row r="1976">
          <cell r="A1976">
            <v>62034</v>
          </cell>
          <cell r="D1976" t="str">
            <v>春节行军脚印（限时30天）</v>
          </cell>
        </row>
        <row r="1977">
          <cell r="A1977">
            <v>62035</v>
          </cell>
          <cell r="D1977" t="str">
            <v>春节行军套装（限时30天）</v>
          </cell>
        </row>
        <row r="1978">
          <cell r="A1978">
            <v>62036</v>
          </cell>
          <cell r="D1978" t="str">
            <v>春节行军头像框（限时15天）</v>
          </cell>
        </row>
        <row r="1979">
          <cell r="A1979">
            <v>62037</v>
          </cell>
          <cell r="D1979" t="str">
            <v>春节行军装饰（限时15天）</v>
          </cell>
        </row>
        <row r="1980">
          <cell r="A1980">
            <v>62038</v>
          </cell>
          <cell r="D1980" t="str">
            <v>春节行军效果（限时15天）</v>
          </cell>
        </row>
        <row r="1981">
          <cell r="A1981">
            <v>62039</v>
          </cell>
          <cell r="D1981" t="str">
            <v>春节行军脚印（限时15天）</v>
          </cell>
        </row>
        <row r="1982">
          <cell r="A1982">
            <v>62040</v>
          </cell>
          <cell r="D1982" t="str">
            <v>春节行军套装（限时15天）</v>
          </cell>
        </row>
        <row r="1983">
          <cell r="A1983">
            <v>62041</v>
          </cell>
          <cell r="D1983" t="str">
            <v>春节行军头像框（限时7天）</v>
          </cell>
        </row>
        <row r="1984">
          <cell r="A1984">
            <v>62042</v>
          </cell>
          <cell r="D1984" t="str">
            <v>春节行军装饰（限时7天）</v>
          </cell>
        </row>
        <row r="1985">
          <cell r="A1985">
            <v>62043</v>
          </cell>
          <cell r="D1985" t="str">
            <v>春节行军效果（限时7天）</v>
          </cell>
        </row>
        <row r="1986">
          <cell r="A1986">
            <v>62044</v>
          </cell>
          <cell r="D1986" t="str">
            <v>春节行军脚印（限时7天）</v>
          </cell>
        </row>
        <row r="1987">
          <cell r="A1987">
            <v>62045</v>
          </cell>
          <cell r="D1987" t="str">
            <v>春节行军套装（限时7天）</v>
          </cell>
        </row>
        <row r="1988">
          <cell r="A1988">
            <v>62046</v>
          </cell>
          <cell r="D1988" t="str">
            <v>春节行军头像框（限时1天）</v>
          </cell>
        </row>
        <row r="1989">
          <cell r="A1989">
            <v>62047</v>
          </cell>
          <cell r="D1989" t="str">
            <v>春节行军装饰（限时1天）</v>
          </cell>
        </row>
        <row r="1990">
          <cell r="A1990">
            <v>62048</v>
          </cell>
          <cell r="D1990" t="str">
            <v>春节行军效果（限时1天）</v>
          </cell>
        </row>
        <row r="1991">
          <cell r="A1991">
            <v>62049</v>
          </cell>
          <cell r="D1991" t="str">
            <v>春节行军脚印（限时1天）</v>
          </cell>
        </row>
        <row r="1992">
          <cell r="A1992">
            <v>62050</v>
          </cell>
          <cell r="D1992" t="str">
            <v>春节行军套装（限时1天）</v>
          </cell>
        </row>
        <row r="1993">
          <cell r="A1993">
            <v>62051</v>
          </cell>
          <cell r="D1993" t="str">
            <v>至高远征行军头像框</v>
          </cell>
        </row>
        <row r="1994">
          <cell r="A1994">
            <v>62052</v>
          </cell>
          <cell r="D1994" t="str">
            <v>至高远征行军装饰</v>
          </cell>
        </row>
        <row r="1995">
          <cell r="A1995">
            <v>62053</v>
          </cell>
          <cell r="D1995" t="str">
            <v>至高远征行军效果</v>
          </cell>
        </row>
        <row r="1996">
          <cell r="A1996">
            <v>62054</v>
          </cell>
          <cell r="D1996" t="str">
            <v>至高远征行军脚印</v>
          </cell>
        </row>
        <row r="1997">
          <cell r="A1997">
            <v>62055</v>
          </cell>
          <cell r="D1997" t="str">
            <v>至高远征行军套装</v>
          </cell>
        </row>
        <row r="1998">
          <cell r="A1998">
            <v>62056</v>
          </cell>
          <cell r="D1998" t="str">
            <v>至高远征行军头像框（限时42天）</v>
          </cell>
        </row>
        <row r="1999">
          <cell r="A1999">
            <v>62057</v>
          </cell>
          <cell r="D1999" t="str">
            <v>至高远征行军装饰（限时42天）</v>
          </cell>
        </row>
        <row r="2000">
          <cell r="A2000">
            <v>62058</v>
          </cell>
          <cell r="D2000" t="str">
            <v>至高远征行军效果（限时42天）</v>
          </cell>
        </row>
        <row r="2001">
          <cell r="A2001">
            <v>62059</v>
          </cell>
          <cell r="D2001" t="str">
            <v>至高远征行军脚印（限时42天）</v>
          </cell>
        </row>
        <row r="2002">
          <cell r="A2002">
            <v>62060</v>
          </cell>
          <cell r="D2002" t="str">
            <v>至高远征行军套装（限时42天）</v>
          </cell>
        </row>
        <row r="2003">
          <cell r="A2003">
            <v>62122</v>
          </cell>
          <cell r="D2003" t="str">
            <v>万圣节行军头像框</v>
          </cell>
        </row>
        <row r="2004">
          <cell r="A2004">
            <v>62123</v>
          </cell>
          <cell r="D2004" t="str">
            <v>万圣节行军装饰</v>
          </cell>
        </row>
        <row r="2005">
          <cell r="A2005">
            <v>62124</v>
          </cell>
          <cell r="D2005" t="str">
            <v>万圣节行军效果</v>
          </cell>
        </row>
        <row r="2006">
          <cell r="A2006">
            <v>62125</v>
          </cell>
          <cell r="D2006" t="str">
            <v>万圣节行军脚印</v>
          </cell>
        </row>
        <row r="2007">
          <cell r="A2007">
            <v>62126</v>
          </cell>
          <cell r="D2007" t="str">
            <v>万圣节行军套装</v>
          </cell>
        </row>
        <row r="2008">
          <cell r="A2008">
            <v>62127</v>
          </cell>
          <cell r="D2008" t="str">
            <v>万圣节行军头像框（限时30天）</v>
          </cell>
        </row>
        <row r="2009">
          <cell r="A2009">
            <v>62128</v>
          </cell>
          <cell r="D2009" t="str">
            <v>万圣节行军装饰（限时30天）</v>
          </cell>
        </row>
        <row r="2010">
          <cell r="A2010">
            <v>62129</v>
          </cell>
          <cell r="D2010" t="str">
            <v>万圣节行军效果（限时30天）</v>
          </cell>
        </row>
        <row r="2011">
          <cell r="A2011">
            <v>62130</v>
          </cell>
          <cell r="D2011" t="str">
            <v>万圣节行军脚印（限时30天）</v>
          </cell>
        </row>
        <row r="2012">
          <cell r="A2012">
            <v>62131</v>
          </cell>
          <cell r="D2012" t="str">
            <v>万圣节行军套装（限时30天）</v>
          </cell>
        </row>
        <row r="2013">
          <cell r="A2013">
            <v>62132</v>
          </cell>
          <cell r="D2013" t="str">
            <v>万圣节行军头像框（限时15天）</v>
          </cell>
        </row>
        <row r="2014">
          <cell r="A2014">
            <v>62133</v>
          </cell>
          <cell r="D2014" t="str">
            <v>万圣节行军装饰（限时15天）</v>
          </cell>
        </row>
        <row r="2015">
          <cell r="A2015">
            <v>62134</v>
          </cell>
          <cell r="D2015" t="str">
            <v>万圣节行军效果（限时15天）</v>
          </cell>
        </row>
        <row r="2016">
          <cell r="A2016">
            <v>62135</v>
          </cell>
          <cell r="D2016" t="str">
            <v>万圣节行军脚印（限时15天）</v>
          </cell>
        </row>
        <row r="2017">
          <cell r="A2017">
            <v>62136</v>
          </cell>
          <cell r="D2017" t="str">
            <v>万圣节行军套装（限时15天）</v>
          </cell>
        </row>
        <row r="2018">
          <cell r="A2018">
            <v>62137</v>
          </cell>
          <cell r="D2018" t="str">
            <v>万圣节行军头像框（限时7天）</v>
          </cell>
        </row>
        <row r="2019">
          <cell r="A2019">
            <v>62138</v>
          </cell>
          <cell r="D2019" t="str">
            <v>万圣节行军装饰（限时7天）</v>
          </cell>
        </row>
        <row r="2020">
          <cell r="A2020">
            <v>62139</v>
          </cell>
          <cell r="D2020" t="str">
            <v>万圣节行军效果（限时7天）</v>
          </cell>
        </row>
        <row r="2021">
          <cell r="A2021">
            <v>62140</v>
          </cell>
          <cell r="D2021" t="str">
            <v>万圣节行军脚印（限时7天）</v>
          </cell>
        </row>
        <row r="2022">
          <cell r="A2022">
            <v>62141</v>
          </cell>
          <cell r="D2022" t="str">
            <v>万圣节行军套装（限时7天）</v>
          </cell>
        </row>
        <row r="2023">
          <cell r="A2023">
            <v>62142</v>
          </cell>
          <cell r="D2023" t="str">
            <v>万圣节行军头像框（限时1天）</v>
          </cell>
        </row>
        <row r="2024">
          <cell r="A2024">
            <v>62143</v>
          </cell>
          <cell r="D2024" t="str">
            <v>万圣节行军装饰（限时1天）</v>
          </cell>
        </row>
        <row r="2025">
          <cell r="A2025">
            <v>62144</v>
          </cell>
          <cell r="D2025" t="str">
            <v>万圣节行军效果（限时1天）</v>
          </cell>
        </row>
        <row r="2026">
          <cell r="A2026">
            <v>62145</v>
          </cell>
          <cell r="D2026" t="str">
            <v>万圣节行军脚印（限时1天）</v>
          </cell>
        </row>
        <row r="2027">
          <cell r="A2027">
            <v>62146</v>
          </cell>
          <cell r="D2027" t="str">
            <v>万圣节行军套装（限时1天）</v>
          </cell>
        </row>
        <row r="2028">
          <cell r="A2028">
            <v>62147</v>
          </cell>
          <cell r="D2028" t="str">
            <v>情人节行军头像框</v>
          </cell>
        </row>
        <row r="2029">
          <cell r="A2029">
            <v>62148</v>
          </cell>
          <cell r="D2029" t="str">
            <v>情人节行军装饰</v>
          </cell>
        </row>
        <row r="2030">
          <cell r="A2030">
            <v>62149</v>
          </cell>
          <cell r="D2030" t="str">
            <v>情人节行军效果</v>
          </cell>
        </row>
        <row r="2031">
          <cell r="A2031">
            <v>62150</v>
          </cell>
          <cell r="D2031" t="str">
            <v>情人节行军脚印</v>
          </cell>
        </row>
        <row r="2032">
          <cell r="A2032">
            <v>62151</v>
          </cell>
          <cell r="D2032" t="str">
            <v>情人节行军套装</v>
          </cell>
        </row>
        <row r="2033">
          <cell r="A2033">
            <v>62152</v>
          </cell>
          <cell r="D2033" t="str">
            <v>情人节行军头像框（限时30天）</v>
          </cell>
        </row>
        <row r="2034">
          <cell r="A2034">
            <v>62153</v>
          </cell>
          <cell r="D2034" t="str">
            <v>情人节行军装饰（限时30天）</v>
          </cell>
        </row>
        <row r="2035">
          <cell r="A2035">
            <v>62154</v>
          </cell>
          <cell r="D2035" t="str">
            <v>情人节行军效果（限时30天）</v>
          </cell>
        </row>
        <row r="2036">
          <cell r="A2036">
            <v>62155</v>
          </cell>
          <cell r="D2036" t="str">
            <v>情人节行军脚印（限时30天）</v>
          </cell>
        </row>
        <row r="2037">
          <cell r="A2037">
            <v>62156</v>
          </cell>
          <cell r="D2037" t="str">
            <v>情人节行军套装（限时30天）</v>
          </cell>
        </row>
        <row r="2038">
          <cell r="A2038">
            <v>62157</v>
          </cell>
          <cell r="D2038" t="str">
            <v>情人节行军头像框（限时15天）</v>
          </cell>
        </row>
        <row r="2039">
          <cell r="A2039">
            <v>62158</v>
          </cell>
          <cell r="D2039" t="str">
            <v>情人节行军装饰（限时15天）</v>
          </cell>
        </row>
        <row r="2040">
          <cell r="A2040">
            <v>62159</v>
          </cell>
          <cell r="D2040" t="str">
            <v>情人节行军效果（限时15天）</v>
          </cell>
        </row>
        <row r="2041">
          <cell r="A2041">
            <v>62160</v>
          </cell>
          <cell r="D2041" t="str">
            <v>情人节行军脚印（限时15天）</v>
          </cell>
        </row>
        <row r="2042">
          <cell r="A2042">
            <v>62161</v>
          </cell>
          <cell r="D2042" t="str">
            <v>情人节行军套装（限时15天）</v>
          </cell>
        </row>
        <row r="2043">
          <cell r="A2043">
            <v>62162</v>
          </cell>
          <cell r="D2043" t="str">
            <v>情人节行军头像框（限时7天）</v>
          </cell>
        </row>
        <row r="2044">
          <cell r="A2044">
            <v>62163</v>
          </cell>
          <cell r="D2044" t="str">
            <v>情人节行军装饰（限时7天）</v>
          </cell>
        </row>
        <row r="2045">
          <cell r="A2045">
            <v>62164</v>
          </cell>
          <cell r="D2045" t="str">
            <v>情人节行军效果（限时7天）</v>
          </cell>
        </row>
        <row r="2046">
          <cell r="A2046">
            <v>62165</v>
          </cell>
          <cell r="D2046" t="str">
            <v>情人节行军脚印（限时7天）</v>
          </cell>
        </row>
        <row r="2047">
          <cell r="A2047">
            <v>62166</v>
          </cell>
          <cell r="D2047" t="str">
            <v>情人节行军套装（限时7天）</v>
          </cell>
        </row>
        <row r="2048">
          <cell r="A2048">
            <v>62167</v>
          </cell>
          <cell r="D2048" t="str">
            <v>情人节行军头像框（限时1天）</v>
          </cell>
        </row>
        <row r="2049">
          <cell r="A2049">
            <v>62168</v>
          </cell>
          <cell r="D2049" t="str">
            <v>情人节行军装饰（限时1天）</v>
          </cell>
        </row>
        <row r="2050">
          <cell r="A2050">
            <v>62169</v>
          </cell>
          <cell r="D2050" t="str">
            <v>情人节行军效果（限时1天）</v>
          </cell>
        </row>
        <row r="2051">
          <cell r="A2051">
            <v>62170</v>
          </cell>
          <cell r="D2051" t="str">
            <v>情人节行军脚印（限时1天）</v>
          </cell>
        </row>
        <row r="2052">
          <cell r="A2052">
            <v>62171</v>
          </cell>
          <cell r="D2052" t="str">
            <v>情人节行军套装（限时1天）</v>
          </cell>
        </row>
        <row r="2053">
          <cell r="A2053">
            <v>49544</v>
          </cell>
          <cell r="D2053" t="str">
            <v>外显装扮兑换宝石：绿</v>
          </cell>
        </row>
        <row r="2054">
          <cell r="A2054">
            <v>49545</v>
          </cell>
          <cell r="D2054" t="str">
            <v>外显装扮兑换宝石：蓝</v>
          </cell>
        </row>
        <row r="2055">
          <cell r="A2055">
            <v>49546</v>
          </cell>
          <cell r="D2055" t="str">
            <v>外显装扮兑换宝石：红</v>
          </cell>
        </row>
        <row r="2056">
          <cell r="A2056">
            <v>49547</v>
          </cell>
          <cell r="D2056" t="str">
            <v>外显装扮兑换宝石：紫</v>
          </cell>
        </row>
        <row r="2057">
          <cell r="A2057">
            <v>49548</v>
          </cell>
          <cell r="D2057" t="str">
            <v>外显装扮兑换宝石：黄</v>
          </cell>
        </row>
        <row r="2058">
          <cell r="A2058">
            <v>63000</v>
          </cell>
          <cell r="D2058" t="str">
            <v>黑曜石币</v>
          </cell>
        </row>
        <row r="2059">
          <cell r="A2059">
            <v>63001</v>
          </cell>
          <cell r="D2059" t="str">
            <v>七彩原石</v>
          </cell>
        </row>
        <row r="2060">
          <cell r="A2060">
            <v>63002</v>
          </cell>
          <cell r="D2060" t="str">
            <v>七彩水晶</v>
          </cell>
        </row>
        <row r="2061">
          <cell r="A2061">
            <v>60001</v>
          </cell>
          <cell r="D2061" t="str">
            <v>芒铁徽章</v>
          </cell>
        </row>
        <row r="2062">
          <cell r="A2062">
            <v>60002</v>
          </cell>
          <cell r="D2062" t="str">
            <v>黄铜徽章</v>
          </cell>
        </row>
        <row r="2063">
          <cell r="A2063">
            <v>60003</v>
          </cell>
          <cell r="D2063" t="str">
            <v>银石徽章</v>
          </cell>
        </row>
        <row r="2064">
          <cell r="A2064">
            <v>60004</v>
          </cell>
          <cell r="D2064" t="str">
            <v>鎏金徽章</v>
          </cell>
        </row>
        <row r="2065">
          <cell r="A2065">
            <v>60005</v>
          </cell>
          <cell r="D2065" t="str">
            <v>红绶徽章</v>
          </cell>
        </row>
        <row r="2066">
          <cell r="A2066">
            <v>60007</v>
          </cell>
          <cell r="D2066" t="str">
            <v>晶蓝徽章</v>
          </cell>
        </row>
        <row r="2067">
          <cell r="A2067">
            <v>60008</v>
          </cell>
          <cell r="D2067" t="str">
            <v>琥珀徽章</v>
          </cell>
        </row>
        <row r="2068">
          <cell r="A2068">
            <v>60009</v>
          </cell>
          <cell r="D2068" t="str">
            <v>赤徽徽章</v>
          </cell>
        </row>
        <row r="2069">
          <cell r="A2069">
            <v>60010</v>
          </cell>
          <cell r="D2069" t="str">
            <v>翡翠徽章</v>
          </cell>
        </row>
        <row r="2070">
          <cell r="A2070">
            <v>60011</v>
          </cell>
          <cell r="D2070" t="str">
            <v>银星徽章</v>
          </cell>
        </row>
        <row r="2071">
          <cell r="A2071">
            <v>60012</v>
          </cell>
          <cell r="D2071" t="str">
            <v>金星徽章</v>
          </cell>
        </row>
        <row r="2072">
          <cell r="A2072">
            <v>47000</v>
          </cell>
          <cell r="D2072" t="str">
            <v>超核卡信物1天</v>
          </cell>
        </row>
        <row r="2073">
          <cell r="A2073">
            <v>47001</v>
          </cell>
          <cell r="D2073" t="str">
            <v>超核周卡信物7天</v>
          </cell>
        </row>
        <row r="2074">
          <cell r="A2074">
            <v>47002</v>
          </cell>
          <cell r="D2074" t="str">
            <v>超核月卡信物30天</v>
          </cell>
        </row>
        <row r="2075">
          <cell r="A2075">
            <v>48001</v>
          </cell>
          <cell r="D2075" t="str">
            <v>帝国里程碑</v>
          </cell>
        </row>
        <row r="2076">
          <cell r="A2076">
            <v>49001</v>
          </cell>
          <cell r="D2076" t="str">
            <v>赛季卡包抽取上限</v>
          </cell>
        </row>
        <row r="2077">
          <cell r="A2077">
            <v>49011</v>
          </cell>
          <cell r="D2077" t="str">
            <v>探索笔记</v>
          </cell>
        </row>
        <row r="2078">
          <cell r="A2078">
            <v>49012</v>
          </cell>
          <cell r="D2078" t="str">
            <v>奇迹印象点数</v>
          </cell>
        </row>
        <row r="2079">
          <cell r="A2079">
            <v>49013</v>
          </cell>
          <cell r="D2079" t="str">
            <v>传说英雄自选宝箱</v>
          </cell>
        </row>
        <row r="2080">
          <cell r="A2080">
            <v>49014</v>
          </cell>
          <cell r="D2080" t="str">
            <v>稀有技能自选宝箱</v>
          </cell>
        </row>
        <row r="2081">
          <cell r="A2081">
            <v>49015</v>
          </cell>
          <cell r="D2081" t="str">
            <v>史诗技能自选宝箱</v>
          </cell>
        </row>
        <row r="2082">
          <cell r="A2082">
            <v>49016</v>
          </cell>
          <cell r="D2082" t="str">
            <v>传奇技能自选宝箱</v>
          </cell>
        </row>
        <row r="2083">
          <cell r="A2083">
            <v>49017</v>
          </cell>
          <cell r="D2083" t="str">
            <v>帝国宝箱</v>
          </cell>
        </row>
        <row r="2084">
          <cell r="A2084">
            <v>49018</v>
          </cell>
          <cell r="D2084" t="str">
            <v>测试用碎片宝箱</v>
          </cell>
        </row>
        <row r="2085">
          <cell r="A2085">
            <v>49019</v>
          </cell>
          <cell r="D2085" t="str">
            <v>模拟抽英雄宝箱</v>
          </cell>
        </row>
        <row r="2086">
          <cell r="A2086">
            <v>49020</v>
          </cell>
          <cell r="D2086" t="str">
            <v>模拟抽技能宝箱</v>
          </cell>
        </row>
        <row r="2087">
          <cell r="A2087">
            <v>49021</v>
          </cell>
          <cell r="D2087" t="str">
            <v>vip经验10</v>
          </cell>
        </row>
        <row r="2088">
          <cell r="A2088">
            <v>49022</v>
          </cell>
          <cell r="D2088" t="str">
            <v>vip经验50</v>
          </cell>
        </row>
        <row r="2089">
          <cell r="A2089">
            <v>49023</v>
          </cell>
          <cell r="D2089" t="str">
            <v>vip经验100</v>
          </cell>
        </row>
        <row r="2090">
          <cell r="A2090">
            <v>49024</v>
          </cell>
          <cell r="D2090" t="str">
            <v>vip经验500</v>
          </cell>
        </row>
        <row r="2091">
          <cell r="A2091">
            <v>49025</v>
          </cell>
          <cell r="D2091" t="str">
            <v>vip经验1000</v>
          </cell>
        </row>
        <row r="2092">
          <cell r="A2092">
            <v>49026</v>
          </cell>
          <cell r="D2092" t="str">
            <v>vip经验5000</v>
          </cell>
        </row>
        <row r="2093">
          <cell r="A2093">
            <v>49027</v>
          </cell>
          <cell r="D2093" t="str">
            <v>帝国水晶</v>
          </cell>
        </row>
        <row r="2094">
          <cell r="A2094">
            <v>49028</v>
          </cell>
          <cell r="D2094" t="str">
            <v>荣耀印记</v>
          </cell>
        </row>
        <row r="2095">
          <cell r="A2095">
            <v>49029</v>
          </cell>
          <cell r="D2095" t="str">
            <v>战备加速宝箱</v>
          </cell>
        </row>
        <row r="2096">
          <cell r="A2096">
            <v>49030</v>
          </cell>
          <cell r="D2096" t="str">
            <v>战备资源宝箱</v>
          </cell>
        </row>
        <row r="2097">
          <cell r="A2097">
            <v>49031</v>
          </cell>
          <cell r="D2097" t="str">
            <v>占卜石</v>
          </cell>
        </row>
        <row r="2098">
          <cell r="A2098">
            <v>49032</v>
          </cell>
          <cell r="D2098" t="str">
            <v>枪兵英雄礼包</v>
          </cell>
        </row>
        <row r="2099">
          <cell r="A2099">
            <v>49033</v>
          </cell>
          <cell r="D2099" t="str">
            <v>弓兵英雄礼包</v>
          </cell>
        </row>
        <row r="2100">
          <cell r="A2100">
            <v>49034</v>
          </cell>
          <cell r="D2100" t="str">
            <v>剑士英雄礼包</v>
          </cell>
        </row>
        <row r="2101">
          <cell r="A2101">
            <v>49035</v>
          </cell>
          <cell r="D2101" t="str">
            <v>骑兵英雄礼包</v>
          </cell>
        </row>
        <row r="2102">
          <cell r="A2102">
            <v>49036</v>
          </cell>
          <cell r="D2102" t="str">
            <v>枪兵技能礼包</v>
          </cell>
        </row>
        <row r="2103">
          <cell r="A2103">
            <v>49037</v>
          </cell>
          <cell r="D2103" t="str">
            <v>弓兵技能礼包</v>
          </cell>
        </row>
        <row r="2104">
          <cell r="A2104">
            <v>49038</v>
          </cell>
          <cell r="D2104" t="str">
            <v>剑士技能礼包</v>
          </cell>
        </row>
        <row r="2105">
          <cell r="A2105">
            <v>49039</v>
          </cell>
          <cell r="D2105" t="str">
            <v>骑兵技能礼包</v>
          </cell>
        </row>
        <row r="2106">
          <cell r="A2106">
            <v>49040</v>
          </cell>
          <cell r="D2106" t="str">
            <v>画幅残卷</v>
          </cell>
        </row>
        <row r="2107">
          <cell r="A2107">
            <v>49041</v>
          </cell>
          <cell r="D2107" t="str">
            <v>枪兵英雄礼包1</v>
          </cell>
        </row>
        <row r="2108">
          <cell r="A2108">
            <v>49042</v>
          </cell>
          <cell r="D2108" t="str">
            <v>弓兵英雄礼包1</v>
          </cell>
        </row>
        <row r="2109">
          <cell r="A2109">
            <v>49043</v>
          </cell>
          <cell r="D2109" t="str">
            <v>剑士英雄礼包1</v>
          </cell>
        </row>
        <row r="2110">
          <cell r="A2110">
            <v>49044</v>
          </cell>
          <cell r="D2110" t="str">
            <v>骑兵英雄礼包1</v>
          </cell>
        </row>
        <row r="2111">
          <cell r="A2111">
            <v>49045</v>
          </cell>
          <cell r="D2111" t="str">
            <v>枪兵技能礼包1</v>
          </cell>
        </row>
        <row r="2112">
          <cell r="A2112">
            <v>49046</v>
          </cell>
          <cell r="D2112" t="str">
            <v>弓兵技能礼包1</v>
          </cell>
        </row>
        <row r="2113">
          <cell r="A2113">
            <v>49047</v>
          </cell>
          <cell r="D2113" t="str">
            <v>剑士技能礼包1</v>
          </cell>
        </row>
        <row r="2114">
          <cell r="A2114">
            <v>49048</v>
          </cell>
          <cell r="D2114" t="str">
            <v>骑兵技能礼包1</v>
          </cell>
        </row>
        <row r="2115">
          <cell r="A2115">
            <v>49049</v>
          </cell>
          <cell r="D2115" t="str">
            <v>枪兵英雄礼包2</v>
          </cell>
        </row>
        <row r="2116">
          <cell r="A2116">
            <v>49050</v>
          </cell>
          <cell r="D2116" t="str">
            <v>弓兵英雄礼包2</v>
          </cell>
        </row>
        <row r="2117">
          <cell r="A2117">
            <v>49051</v>
          </cell>
          <cell r="D2117" t="str">
            <v>剑士英雄礼包2</v>
          </cell>
        </row>
        <row r="2118">
          <cell r="A2118">
            <v>49052</v>
          </cell>
          <cell r="D2118" t="str">
            <v>骑兵英雄礼包2</v>
          </cell>
        </row>
        <row r="2119">
          <cell r="A2119">
            <v>49053</v>
          </cell>
          <cell r="D2119" t="str">
            <v>剑士英雄礼包3</v>
          </cell>
        </row>
        <row r="2120">
          <cell r="A2120">
            <v>49054</v>
          </cell>
          <cell r="D2120" t="str">
            <v>骑兵英雄礼包3</v>
          </cell>
        </row>
        <row r="2121">
          <cell r="A2121">
            <v>49055</v>
          </cell>
          <cell r="D2121" t="str">
            <v>枪兵技能礼包2</v>
          </cell>
        </row>
        <row r="2122">
          <cell r="A2122">
            <v>49056</v>
          </cell>
          <cell r="D2122" t="str">
            <v>弓兵技能礼包2</v>
          </cell>
        </row>
        <row r="2123">
          <cell r="A2123">
            <v>49057</v>
          </cell>
          <cell r="D2123" t="str">
            <v>剑士技能礼包2</v>
          </cell>
        </row>
        <row r="2124">
          <cell r="A2124">
            <v>49058</v>
          </cell>
          <cell r="D2124" t="str">
            <v>骑兵技能礼包2</v>
          </cell>
        </row>
        <row r="2125">
          <cell r="A2125">
            <v>49059</v>
          </cell>
          <cell r="D2125" t="str">
            <v>弓兵技能礼包3</v>
          </cell>
        </row>
        <row r="2126">
          <cell r="A2126">
            <v>49060</v>
          </cell>
          <cell r="D2126" t="str">
            <v>剑士技能礼包3</v>
          </cell>
        </row>
        <row r="2127">
          <cell r="A2127">
            <v>49061</v>
          </cell>
          <cell r="D2127" t="str">
            <v>骑兵技能礼包3</v>
          </cell>
        </row>
        <row r="2128">
          <cell r="A2128">
            <v>49062</v>
          </cell>
          <cell r="D2128" t="str">
            <v>世界之树-丰收季用抽奖道具</v>
          </cell>
        </row>
        <row r="2129">
          <cell r="A2129">
            <v>49063</v>
          </cell>
          <cell r="D2129" t="str">
            <v>世界之树-培育用道具</v>
          </cell>
        </row>
        <row r="2130">
          <cell r="A2130">
            <v>49064</v>
          </cell>
          <cell r="D2130" t="str">
            <v>丰收佳节-葡萄</v>
          </cell>
        </row>
        <row r="2131">
          <cell r="A2131">
            <v>49065</v>
          </cell>
          <cell r="D2131" t="str">
            <v>丰收佳节-高级奖励</v>
          </cell>
        </row>
        <row r="2132">
          <cell r="A2132">
            <v>49066</v>
          </cell>
          <cell r="D2132" t="str">
            <v>剑士技能礼包1</v>
          </cell>
        </row>
        <row r="2133">
          <cell r="A2133">
            <v>49067</v>
          </cell>
          <cell r="D2133" t="str">
            <v>传说英雄自选宝箱</v>
          </cell>
        </row>
        <row r="2134">
          <cell r="A2134">
            <v>49068</v>
          </cell>
          <cell r="D2134" t="str">
            <v>传奇技能自选宝箱</v>
          </cell>
        </row>
        <row r="2135">
          <cell r="A2135">
            <v>49069</v>
          </cell>
          <cell r="D2135" t="str">
            <v>传说英雄自选宝箱</v>
          </cell>
        </row>
        <row r="2136">
          <cell r="A2136">
            <v>49070</v>
          </cell>
          <cell r="D2136" t="str">
            <v>传说英雄自选宝箱</v>
          </cell>
        </row>
        <row r="2137">
          <cell r="A2137">
            <v>49071</v>
          </cell>
          <cell r="D2137" t="str">
            <v>传奇技能自选宝箱</v>
          </cell>
        </row>
        <row r="2138">
          <cell r="A2138">
            <v>2000001</v>
          </cell>
          <cell r="D2138" t="str">
            <v>通用技能升星道具-蓝</v>
          </cell>
        </row>
        <row r="2139">
          <cell r="A2139">
            <v>2000002</v>
          </cell>
          <cell r="D2139" t="str">
            <v>通用技能升星道具-紫</v>
          </cell>
        </row>
        <row r="2140">
          <cell r="A2140">
            <v>2000003</v>
          </cell>
          <cell r="D2140" t="str">
            <v>通用技能升星道具-橙1-3星</v>
          </cell>
        </row>
        <row r="2141">
          <cell r="A2141">
            <v>2000004</v>
          </cell>
          <cell r="D2141" t="str">
            <v>通用技能升星道具-橙4-5星</v>
          </cell>
        </row>
        <row r="2142">
          <cell r="A2142">
            <v>2000100</v>
          </cell>
          <cell r="D2142" t="str">
            <v>技能星级重置道具</v>
          </cell>
        </row>
        <row r="2143">
          <cell r="A2143">
            <v>2000500</v>
          </cell>
          <cell r="D2143" t="str">
            <v>通用技能解锁道具-橙</v>
          </cell>
        </row>
        <row r="2144">
          <cell r="A2144">
            <v>2000501</v>
          </cell>
          <cell r="D2144" t="str">
            <v>通用技能解锁道具-紫</v>
          </cell>
        </row>
        <row r="2145">
          <cell r="A2145">
            <v>2000502</v>
          </cell>
          <cell r="D2145" t="str">
            <v>通用技能解锁道具-蓝</v>
          </cell>
        </row>
        <row r="2146">
          <cell r="A2146">
            <v>2000600</v>
          </cell>
          <cell r="D2146" t="str">
            <v>通用技能解锁道具碎片-橙</v>
          </cell>
        </row>
        <row r="2147">
          <cell r="A2147">
            <v>2000601</v>
          </cell>
          <cell r="D2147" t="str">
            <v>通用技能解锁道具碎片-紫</v>
          </cell>
        </row>
        <row r="2148">
          <cell r="A2148">
            <v>2000602</v>
          </cell>
          <cell r="D2148" t="str">
            <v>通用技能解锁道具碎片-蓝</v>
          </cell>
        </row>
        <row r="2149">
          <cell r="A2149">
            <v>2001000</v>
          </cell>
          <cell r="D2149" t="str">
            <v>技能解锁道具-不屈反击</v>
          </cell>
        </row>
        <row r="2150">
          <cell r="A2150">
            <v>2001001</v>
          </cell>
          <cell r="D2150" t="str">
            <v>技能解锁道具-反戈一击</v>
          </cell>
        </row>
        <row r="2151">
          <cell r="A2151">
            <v>2001002</v>
          </cell>
          <cell r="D2151" t="str">
            <v>技能解锁道具-军神赠礼</v>
          </cell>
        </row>
        <row r="2152">
          <cell r="A2152">
            <v>2001003</v>
          </cell>
          <cell r="D2152" t="str">
            <v>技能解锁道具-灵光乍现</v>
          </cell>
        </row>
        <row r="2153">
          <cell r="A2153">
            <v>2001004</v>
          </cell>
          <cell r="D2153" t="str">
            <v>技能解锁道具-怒火猛攻</v>
          </cell>
        </row>
        <row r="2154">
          <cell r="A2154">
            <v>2001005</v>
          </cell>
          <cell r="D2154" t="str">
            <v>技能解锁道具-破敌之眼</v>
          </cell>
        </row>
        <row r="2155">
          <cell r="A2155">
            <v>2001006</v>
          </cell>
          <cell r="D2155" t="str">
            <v>技能解锁道具-风卷残云</v>
          </cell>
        </row>
        <row r="2156">
          <cell r="A2156">
            <v>2001007</v>
          </cell>
          <cell r="D2156" t="str">
            <v>技能解锁道具-三重攻势</v>
          </cell>
        </row>
        <row r="2157">
          <cell r="A2157">
            <v>2001008</v>
          </cell>
          <cell r="D2157" t="str">
            <v>技能解锁道具-王者之剑</v>
          </cell>
        </row>
        <row r="2158">
          <cell r="A2158">
            <v>2001009</v>
          </cell>
          <cell r="D2158" t="str">
            <v>技能解锁道具-弱点进攻</v>
          </cell>
        </row>
        <row r="2159">
          <cell r="A2159">
            <v>2001010</v>
          </cell>
          <cell r="D2159" t="str">
            <v>技能解锁道具-压迫之袭</v>
          </cell>
        </row>
        <row r="2160">
          <cell r="A2160">
            <v>2001011</v>
          </cell>
          <cell r="D2160" t="str">
            <v>技能解锁道具-黑沼之刃</v>
          </cell>
        </row>
        <row r="2161">
          <cell r="A2161">
            <v>2001012</v>
          </cell>
          <cell r="D2161" t="str">
            <v>技能解锁道具-万里平戎策</v>
          </cell>
        </row>
        <row r="2162">
          <cell r="A2162">
            <v>2001013</v>
          </cell>
          <cell r="D2162" t="str">
            <v>技能解锁道具-长生军团</v>
          </cell>
        </row>
        <row r="2163">
          <cell r="A2163">
            <v>2001014</v>
          </cell>
          <cell r="D2163" t="str">
            <v>技能解锁道具-饥渴之刃</v>
          </cell>
        </row>
        <row r="2164">
          <cell r="A2164">
            <v>2001015</v>
          </cell>
          <cell r="D2164" t="str">
            <v>技能解锁道具-天地无双斩</v>
          </cell>
        </row>
        <row r="2165">
          <cell r="A2165">
            <v>2001016</v>
          </cell>
          <cell r="D2165" t="str">
            <v>技能解锁道具-战术冲锋</v>
          </cell>
        </row>
        <row r="2166">
          <cell r="A2166">
            <v>2001017</v>
          </cell>
          <cell r="D2166" t="str">
            <v>技能解锁道具-燎天之火</v>
          </cell>
        </row>
        <row r="2167">
          <cell r="A2167">
            <v>2001018</v>
          </cell>
          <cell r="D2167" t="str">
            <v>技能解锁道具-泰山压顶</v>
          </cell>
        </row>
        <row r="2168">
          <cell r="A2168">
            <v>2001019</v>
          </cell>
          <cell r="D2168" t="str">
            <v>技能解锁道具-以战养战</v>
          </cell>
        </row>
        <row r="2169">
          <cell r="A2169">
            <v>2001020</v>
          </cell>
          <cell r="D2169" t="str">
            <v>技能解锁道具-正义裁决</v>
          </cell>
        </row>
        <row r="2170">
          <cell r="A2170">
            <v>2001021</v>
          </cell>
          <cell r="D2170" t="str">
            <v>技能解锁道具-恩泽庇护</v>
          </cell>
        </row>
        <row r="2171">
          <cell r="A2171">
            <v>2001022</v>
          </cell>
          <cell r="D2171" t="str">
            <v>技能解锁道具-百战之体</v>
          </cell>
        </row>
        <row r="2172">
          <cell r="A2172">
            <v>2001023</v>
          </cell>
          <cell r="D2172" t="str">
            <v>技能解锁道具-蛮勇侵袭</v>
          </cell>
        </row>
        <row r="2173">
          <cell r="A2173">
            <v>2001024</v>
          </cell>
          <cell r="D2173" t="str">
            <v>技能解锁道具-冲锋的极意</v>
          </cell>
        </row>
        <row r="2174">
          <cell r="A2174">
            <v>2001025</v>
          </cell>
          <cell r="D2174" t="str">
            <v>技能解锁道具-慈悲终结</v>
          </cell>
        </row>
        <row r="2175">
          <cell r="A2175">
            <v>2001026</v>
          </cell>
          <cell r="D2175" t="str">
            <v>技能解锁道具-胜利怒吼</v>
          </cell>
        </row>
        <row r="2176">
          <cell r="A2176">
            <v>2001027</v>
          </cell>
          <cell r="D2176" t="str">
            <v>技能解锁道具-致命一击</v>
          </cell>
        </row>
        <row r="2177">
          <cell r="A2177">
            <v>2001028</v>
          </cell>
          <cell r="D2177" t="str">
            <v>技能解锁道具-战争狂热</v>
          </cell>
        </row>
        <row r="2178">
          <cell r="A2178">
            <v>2001029</v>
          </cell>
          <cell r="D2178" t="str">
            <v>技能解锁道具-连击</v>
          </cell>
        </row>
        <row r="2179">
          <cell r="A2179">
            <v>2001030</v>
          </cell>
          <cell r="D2179" t="str">
            <v>技能解锁道具-入阵曲</v>
          </cell>
        </row>
        <row r="2180">
          <cell r="A2180">
            <v>2001031</v>
          </cell>
          <cell r="D2180" t="str">
            <v>技能解锁道具-持久战</v>
          </cell>
        </row>
        <row r="2181">
          <cell r="A2181">
            <v>2001032</v>
          </cell>
          <cell r="D2181" t="str">
            <v>技能解锁道具-战争祝福</v>
          </cell>
        </row>
        <row r="2182">
          <cell r="A2182">
            <v>2001033</v>
          </cell>
          <cell r="D2182" t="str">
            <v>技能解锁道具-掌军</v>
          </cell>
        </row>
        <row r="2183">
          <cell r="A2183">
            <v>2002000</v>
          </cell>
          <cell r="D2183" t="str">
            <v>技能解锁道具-剑盾突击</v>
          </cell>
        </row>
        <row r="2184">
          <cell r="A2184">
            <v>2002001</v>
          </cell>
          <cell r="D2184" t="str">
            <v>技能解锁道具-伏击</v>
          </cell>
        </row>
        <row r="2185">
          <cell r="A2185">
            <v>2002002</v>
          </cell>
          <cell r="D2185" t="str">
            <v>技能解锁道具-阳谋</v>
          </cell>
        </row>
        <row r="2186">
          <cell r="A2186">
            <v>2002003</v>
          </cell>
          <cell r="D2186" t="str">
            <v>技能解锁道具-戒备</v>
          </cell>
        </row>
        <row r="2187">
          <cell r="A2187">
            <v>2002004</v>
          </cell>
          <cell r="D2187" t="str">
            <v>技能解锁道具-反击</v>
          </cell>
        </row>
        <row r="2188">
          <cell r="A2188">
            <v>2002005</v>
          </cell>
          <cell r="D2188" t="str">
            <v>技能解锁道具-固本</v>
          </cell>
        </row>
        <row r="2189">
          <cell r="A2189">
            <v>2002006</v>
          </cell>
          <cell r="D2189" t="str">
            <v>技能解锁道具-变阵</v>
          </cell>
        </row>
        <row r="2190">
          <cell r="A2190">
            <v>2002007</v>
          </cell>
          <cell r="D2190" t="str">
            <v>技能解锁道具-列阵御敌</v>
          </cell>
        </row>
        <row r="2191">
          <cell r="A2191">
            <v>2002008</v>
          </cell>
          <cell r="D2191" t="str">
            <v>技能解锁道具-阵鼓</v>
          </cell>
        </row>
        <row r="2192">
          <cell r="A2192">
            <v>2002009</v>
          </cell>
          <cell r="D2192" t="str">
            <v>技能解锁道具-反间</v>
          </cell>
        </row>
        <row r="2193">
          <cell r="A2193">
            <v>2002010</v>
          </cell>
          <cell r="D2193" t="str">
            <v>技能解锁道具-火球轰击</v>
          </cell>
        </row>
        <row r="2194">
          <cell r="A2194">
            <v>2002011</v>
          </cell>
          <cell r="D2194" t="str">
            <v>技能解锁道具-巨石冲击</v>
          </cell>
        </row>
        <row r="2195">
          <cell r="A2195">
            <v>2002012</v>
          </cell>
          <cell r="D2195" t="str">
            <v>技能解锁道具-冲冠一怒</v>
          </cell>
        </row>
        <row r="2196">
          <cell r="A2196">
            <v>2002013</v>
          </cell>
          <cell r="D2196" t="str">
            <v>技能解锁道具-丰收祝福</v>
          </cell>
        </row>
        <row r="2197">
          <cell r="A2197">
            <v>2002014</v>
          </cell>
          <cell r="D2197" t="str">
            <v>技能解锁道具-苦肉</v>
          </cell>
        </row>
        <row r="2198">
          <cell r="A2198">
            <v>2002015</v>
          </cell>
          <cell r="D2198" t="str">
            <v>技能解锁道具-明心静气</v>
          </cell>
        </row>
        <row r="2199">
          <cell r="A2199">
            <v>2002016</v>
          </cell>
          <cell r="D2199" t="str">
            <v>技能解锁道具-怒涛之击</v>
          </cell>
        </row>
        <row r="2200">
          <cell r="A2200">
            <v>2002017</v>
          </cell>
          <cell r="D2200" t="str">
            <v>技能解锁道具-破怒斩</v>
          </cell>
        </row>
        <row r="2201">
          <cell r="A2201">
            <v>2002018</v>
          </cell>
          <cell r="D2201" t="str">
            <v>技能解锁道具-撕裂</v>
          </cell>
        </row>
        <row r="2202">
          <cell r="A2202">
            <v>2002019</v>
          </cell>
          <cell r="D2202" t="str">
            <v>技能解锁道具-机变</v>
          </cell>
        </row>
        <row r="2203">
          <cell r="A2203">
            <v>2002020</v>
          </cell>
          <cell r="D2203" t="str">
            <v>技能解锁道具-怒不可遏</v>
          </cell>
        </row>
        <row r="2204">
          <cell r="A2204">
            <v>2002021</v>
          </cell>
          <cell r="D2204" t="str">
            <v>技能解锁道具-激昂</v>
          </cell>
        </row>
        <row r="2205">
          <cell r="A2205">
            <v>2002022</v>
          </cell>
          <cell r="D2205" t="str">
            <v>技能解锁道具-制伏</v>
          </cell>
        </row>
        <row r="2206">
          <cell r="A2206">
            <v>2003000</v>
          </cell>
          <cell r="D2206" t="str">
            <v>技能解锁道具-冲击</v>
          </cell>
        </row>
        <row r="2207">
          <cell r="A2207">
            <v>2003001</v>
          </cell>
          <cell r="D2207" t="str">
            <v>技能解锁道具-奇袭</v>
          </cell>
        </row>
        <row r="2208">
          <cell r="A2208">
            <v>2003002</v>
          </cell>
          <cell r="D2208" t="str">
            <v>技能解锁道具-休整</v>
          </cell>
        </row>
        <row r="2209">
          <cell r="A2209">
            <v>2003003</v>
          </cell>
          <cell r="D2209" t="str">
            <v>技能解锁道具-锐锋</v>
          </cell>
        </row>
        <row r="2210">
          <cell r="A2210">
            <v>2003004</v>
          </cell>
          <cell r="D2210" t="str">
            <v>技能解锁道具-二连斩</v>
          </cell>
        </row>
        <row r="2211">
          <cell r="A2211">
            <v>2003005</v>
          </cell>
          <cell r="D2211" t="str">
            <v>荣耀启程-船舵</v>
          </cell>
        </row>
        <row r="2212">
          <cell r="A2212">
            <v>2004000</v>
          </cell>
          <cell r="D2212" t="str">
            <v>技能解锁道具-攻城略地</v>
          </cell>
        </row>
        <row r="2213">
          <cell r="A2213">
            <v>2004001</v>
          </cell>
          <cell r="D2213" t="str">
            <v>技能解锁道具-无畏先登</v>
          </cell>
        </row>
        <row r="2214">
          <cell r="A2214">
            <v>2004002</v>
          </cell>
          <cell r="D2214" t="str">
            <v>技能解锁道具-先登破城</v>
          </cell>
        </row>
        <row r="2215">
          <cell r="A2215">
            <v>2004003</v>
          </cell>
          <cell r="D2215" t="str">
            <v>技能解锁道具-积草囤粮</v>
          </cell>
        </row>
        <row r="2216">
          <cell r="A2216">
            <v>2004004</v>
          </cell>
          <cell r="D2216" t="str">
            <v>技能解锁道具-盈车嘉穗</v>
          </cell>
        </row>
        <row r="2217">
          <cell r="A2217">
            <v>2004005</v>
          </cell>
          <cell r="D2217" t="str">
            <v>技能解锁道具-辎重运输</v>
          </cell>
        </row>
        <row r="2218">
          <cell r="A2218">
            <v>2004006</v>
          </cell>
          <cell r="D2218" t="str">
            <v>技能解锁道具-退亦有章</v>
          </cell>
        </row>
        <row r="2219">
          <cell r="A2219">
            <v>2004007</v>
          </cell>
          <cell r="D2219" t="str">
            <v>技能解锁道具-快速采集</v>
          </cell>
        </row>
        <row r="2220">
          <cell r="A2220">
            <v>2004008</v>
          </cell>
          <cell r="D2220" t="str">
            <v>技能解锁道具-精细处理</v>
          </cell>
        </row>
        <row r="2221">
          <cell r="A2221">
            <v>2004009</v>
          </cell>
          <cell r="D2221" t="str">
            <v>技能解锁道具-临危不乱</v>
          </cell>
        </row>
        <row r="2222">
          <cell r="A2222">
            <v>2004010</v>
          </cell>
          <cell r="D2222" t="str">
            <v>技能解锁道具-弃田速退</v>
          </cell>
        </row>
        <row r="2223">
          <cell r="A2223">
            <v>2004011</v>
          </cell>
          <cell r="D2223" t="str">
            <v>技能解锁道具-负载强化</v>
          </cell>
        </row>
        <row r="2224">
          <cell r="A2224">
            <v>2004012</v>
          </cell>
          <cell r="D2224" t="str">
            <v>技能解锁道具-沸腾战吼</v>
          </cell>
        </row>
        <row r="2225">
          <cell r="A2225">
            <v>2004013</v>
          </cell>
          <cell r="D2225" t="str">
            <v>技能解锁道具-戾虎血咬</v>
          </cell>
        </row>
        <row r="2226">
          <cell r="A2226">
            <v>2004014</v>
          </cell>
          <cell r="D2226" t="str">
            <v>技能解锁道具-行刑使徒</v>
          </cell>
        </row>
        <row r="2227">
          <cell r="A2227">
            <v>2004015</v>
          </cell>
          <cell r="D2227" t="str">
            <v>技能解锁道具-血债血偿</v>
          </cell>
        </row>
        <row r="2228">
          <cell r="A2228">
            <v>2004016</v>
          </cell>
          <cell r="D2228" t="str">
            <v>技能解锁道具-死亡黑旗</v>
          </cell>
        </row>
        <row r="2229">
          <cell r="A2229">
            <v>2004017</v>
          </cell>
          <cell r="D2229" t="str">
            <v>技能解锁道具-巨象战舞</v>
          </cell>
        </row>
        <row r="2230">
          <cell r="A2230">
            <v>2004018</v>
          </cell>
          <cell r="D2230" t="str">
            <v>技能解锁道具-固守屯兵</v>
          </cell>
        </row>
        <row r="2231">
          <cell r="A2231">
            <v>2004019</v>
          </cell>
          <cell r="D2231" t="str">
            <v>技能解锁道具-黄金朝圣</v>
          </cell>
        </row>
        <row r="2232">
          <cell r="A2232">
            <v>2004020</v>
          </cell>
          <cell r="D2232" t="str">
            <v>技能解锁道具-猎枭夜歌</v>
          </cell>
        </row>
        <row r="2233">
          <cell r="A2233">
            <v>2004021</v>
          </cell>
          <cell r="D2233" t="str">
            <v>技能解锁道具-创造之火</v>
          </cell>
        </row>
        <row r="2234">
          <cell r="A2234">
            <v>49072</v>
          </cell>
          <cell r="D2234" t="str">
            <v>传说英雄自选宝箱</v>
          </cell>
        </row>
        <row r="2235">
          <cell r="A2235">
            <v>49073</v>
          </cell>
          <cell r="D2235" t="str">
            <v>传说英雄自选宝箱</v>
          </cell>
        </row>
        <row r="2236">
          <cell r="A2236">
            <v>49074</v>
          </cell>
          <cell r="D2236" t="str">
            <v>传说英雄自选宝箱</v>
          </cell>
        </row>
        <row r="2237">
          <cell r="A2237">
            <v>49075</v>
          </cell>
          <cell r="D2237" t="str">
            <v>亚瑟查理曼箱子</v>
          </cell>
        </row>
        <row r="2238">
          <cell r="A2238">
            <v>49076</v>
          </cell>
          <cell r="D2238" t="str">
            <v>列奥尼达屋大维箱子</v>
          </cell>
        </row>
        <row r="2239">
          <cell r="A2239">
            <v>49077</v>
          </cell>
          <cell r="D2239" t="str">
            <v>传说英雄自选宝箱</v>
          </cell>
        </row>
        <row r="2240">
          <cell r="A2240">
            <v>49078</v>
          </cell>
          <cell r="D2240" t="str">
            <v>装备升级道具-传说</v>
          </cell>
        </row>
        <row r="2241">
          <cell r="A2241">
            <v>49079</v>
          </cell>
          <cell r="D2241" t="str">
            <v>装备升级道具-史诗</v>
          </cell>
        </row>
        <row r="2242">
          <cell r="A2242">
            <v>49080</v>
          </cell>
          <cell r="D2242" t="str">
            <v>装备升级道具-稀有</v>
          </cell>
        </row>
        <row r="2243">
          <cell r="A2243">
            <v>49081</v>
          </cell>
          <cell r="D2243" t="str">
            <v>永燃之翼</v>
          </cell>
        </row>
        <row r="2244">
          <cell r="A2244">
            <v>49082</v>
          </cell>
          <cell r="D2244" t="str">
            <v>圣选贤哲</v>
          </cell>
        </row>
        <row r="2245">
          <cell r="A2245">
            <v>49083</v>
          </cell>
          <cell r="D2245" t="str">
            <v>天灾暴君</v>
          </cell>
        </row>
        <row r="2246">
          <cell r="A2246">
            <v>49084</v>
          </cell>
          <cell r="D2246" t="str">
            <v>慈悲主宰</v>
          </cell>
        </row>
        <row r="2247">
          <cell r="A2247">
            <v>49085</v>
          </cell>
          <cell r="D2247" t="str">
            <v>毁灭信使</v>
          </cell>
        </row>
        <row r="2248">
          <cell r="A2248">
            <v>49086</v>
          </cell>
          <cell r="D2248" t="str">
            <v>天行骑士</v>
          </cell>
        </row>
        <row r="2249">
          <cell r="A2249">
            <v>49087</v>
          </cell>
          <cell r="D2249" t="str">
            <v>东天尊主</v>
          </cell>
        </row>
        <row r="2250">
          <cell r="A2250">
            <v>49088</v>
          </cell>
          <cell r="D2250" t="str">
            <v>闪耀守卫</v>
          </cell>
        </row>
        <row r="2251">
          <cell r="A2251">
            <v>49089</v>
          </cell>
          <cell r="D2251" t="str">
            <v>苍蓝之月</v>
          </cell>
        </row>
        <row r="2252">
          <cell r="A2252">
            <v>49090</v>
          </cell>
          <cell r="D2252" t="str">
            <v>赤金之日</v>
          </cell>
        </row>
        <row r="2253">
          <cell r="A2253">
            <v>49091</v>
          </cell>
          <cell r="D2253" t="str">
            <v>不动之山</v>
          </cell>
        </row>
        <row r="2254">
          <cell r="A2254">
            <v>49092</v>
          </cell>
          <cell r="D2254" t="str">
            <v>灼热之火</v>
          </cell>
        </row>
        <row r="2255">
          <cell r="A2255">
            <v>49093</v>
          </cell>
          <cell r="D2255" t="str">
            <v>静谧之水</v>
          </cell>
        </row>
        <row r="2256">
          <cell r="A2256">
            <v>49094</v>
          </cell>
          <cell r="D2256" t="str">
            <v>遮天之云</v>
          </cell>
        </row>
        <row r="2257">
          <cell r="A2257">
            <v>49095</v>
          </cell>
          <cell r="D2257" t="str">
            <v>暴熊之戒</v>
          </cell>
        </row>
        <row r="2258">
          <cell r="A2258">
            <v>49096</v>
          </cell>
          <cell r="D2258" t="str">
            <v>石犀之戒</v>
          </cell>
        </row>
        <row r="2259">
          <cell r="A2259">
            <v>49097</v>
          </cell>
          <cell r="D2259" t="str">
            <v>乌鸦之戒</v>
          </cell>
        </row>
        <row r="2260">
          <cell r="A2260">
            <v>49098</v>
          </cell>
          <cell r="D2260" t="str">
            <v>海马之戒</v>
          </cell>
        </row>
        <row r="2261">
          <cell r="A2261">
            <v>49099</v>
          </cell>
          <cell r="D2261" t="str">
            <v>狂鲨之戒</v>
          </cell>
        </row>
        <row r="2262">
          <cell r="A2262">
            <v>49100</v>
          </cell>
          <cell r="D2262" t="str">
            <v>灵獾之戒</v>
          </cell>
        </row>
        <row r="2263">
          <cell r="A2263">
            <v>49101</v>
          </cell>
          <cell r="D2263" t="str">
            <v>巨象之戒</v>
          </cell>
        </row>
        <row r="2264">
          <cell r="A2264">
            <v>49102</v>
          </cell>
          <cell r="D2264" t="str">
            <v>怒狮之戒</v>
          </cell>
        </row>
        <row r="2265">
          <cell r="A2265">
            <v>49103</v>
          </cell>
          <cell r="D2265" t="str">
            <v>黑蛇之戒</v>
          </cell>
        </row>
        <row r="2266">
          <cell r="A2266">
            <v>49104</v>
          </cell>
          <cell r="D2266" t="str">
            <v>迅鹿之戒</v>
          </cell>
        </row>
        <row r="2267">
          <cell r="A2267">
            <v>49105</v>
          </cell>
          <cell r="D2267" t="str">
            <v>天鹰之戒</v>
          </cell>
        </row>
        <row r="2268">
          <cell r="A2268">
            <v>49106</v>
          </cell>
          <cell r="D2268" t="str">
            <v>夜狼之戒</v>
          </cell>
        </row>
        <row r="2269">
          <cell r="A2269">
            <v>49107</v>
          </cell>
          <cell r="D2269" t="str">
            <v>野猪之戒</v>
          </cell>
        </row>
        <row r="2270">
          <cell r="A2270">
            <v>49122</v>
          </cell>
          <cell r="D2270" t="str">
            <v>挽马之戒</v>
          </cell>
        </row>
        <row r="2271">
          <cell r="A2271">
            <v>49108</v>
          </cell>
          <cell r="D2271" t="str">
            <v>　郁金香之戒</v>
          </cell>
        </row>
        <row r="2272">
          <cell r="A2272">
            <v>49109</v>
          </cell>
          <cell r="D2272" t="str">
            <v>雏菊之戒</v>
          </cell>
        </row>
        <row r="2273">
          <cell r="A2273">
            <v>49110</v>
          </cell>
          <cell r="D2273" t="str">
            <v>鸢尾花之戒</v>
          </cell>
        </row>
        <row r="2274">
          <cell r="A2274">
            <v>49111</v>
          </cell>
          <cell r="D2274" t="str">
            <v>玫瑰之戒</v>
          </cell>
        </row>
        <row r="2275">
          <cell r="A2275">
            <v>49112</v>
          </cell>
          <cell r="D2275" t="str">
            <v>三叶草之戒</v>
          </cell>
        </row>
        <row r="2276">
          <cell r="A2276">
            <v>49113</v>
          </cell>
          <cell r="D2276" t="str">
            <v>风信子之戒</v>
          </cell>
        </row>
        <row r="2277">
          <cell r="A2277">
            <v>49114</v>
          </cell>
          <cell r="D2277" t="str">
            <v>铃兰之戒</v>
          </cell>
        </row>
        <row r="2278">
          <cell r="A2278">
            <v>49115</v>
          </cell>
          <cell r="D2278" t="str">
            <v>月桂之戒</v>
          </cell>
        </row>
        <row r="2279">
          <cell r="A2279">
            <v>49116</v>
          </cell>
          <cell r="D2279" t="str">
            <v>紫罗兰之戒</v>
          </cell>
        </row>
        <row r="2280">
          <cell r="A2280">
            <v>49117</v>
          </cell>
          <cell r="D2280" t="str">
            <v>向日葵之戒</v>
          </cell>
        </row>
        <row r="2281">
          <cell r="A2281">
            <v>49118</v>
          </cell>
          <cell r="D2281" t="str">
            <v>装备升级道具-传说（用于卡点位置升级）</v>
          </cell>
        </row>
        <row r="2282">
          <cell r="A2282">
            <v>50000</v>
          </cell>
          <cell r="D2282" t="str">
            <v>竞技场道具</v>
          </cell>
        </row>
        <row r="2283">
          <cell r="A2283">
            <v>49493</v>
          </cell>
          <cell r="D2283" t="str">
            <v>社群口碑维护福利宝箱-25年1月</v>
          </cell>
        </row>
        <row r="2284">
          <cell r="A2284">
            <v>49494</v>
          </cell>
          <cell r="D2284" t="str">
            <v>1月累充自选宝箱-第1档</v>
          </cell>
        </row>
        <row r="2285">
          <cell r="A2285">
            <v>49495</v>
          </cell>
          <cell r="D2285" t="str">
            <v>1月累充自选宝箱-第2档</v>
          </cell>
        </row>
        <row r="2286">
          <cell r="A2286">
            <v>49496</v>
          </cell>
          <cell r="D2286" t="str">
            <v>1月累充自选宝箱-第3档</v>
          </cell>
        </row>
        <row r="2287">
          <cell r="A2287">
            <v>49497</v>
          </cell>
          <cell r="D2287" t="str">
            <v>超值礼包每日免费礼包宝箱</v>
          </cell>
        </row>
        <row r="2288">
          <cell r="A2288">
            <v>49498</v>
          </cell>
          <cell r="D2288" t="str">
            <v>福利宝箱</v>
          </cell>
        </row>
        <row r="2289">
          <cell r="A2289">
            <v>49499</v>
          </cell>
          <cell r="D2289" t="str">
            <v>社群口碑维护福利宝箱</v>
          </cell>
        </row>
        <row r="2290">
          <cell r="A2290">
            <v>49500</v>
          </cell>
          <cell r="D2290" t="str">
            <v>模仿硬币（占位替换道具）</v>
          </cell>
        </row>
        <row r="2291">
          <cell r="A2291">
            <v>49501</v>
          </cell>
          <cell r="D2291" t="str">
            <v>每日特惠幸运宝箱</v>
          </cell>
        </row>
        <row r="2292">
          <cell r="A2292">
            <v>49119</v>
          </cell>
          <cell r="D2292" t="str">
            <v>装备兑换道具-传说</v>
          </cell>
        </row>
        <row r="2293">
          <cell r="A2293">
            <v>49120</v>
          </cell>
          <cell r="D2293" t="str">
            <v>装备兑换道具-史诗</v>
          </cell>
        </row>
        <row r="2294">
          <cell r="A2294">
            <v>49121</v>
          </cell>
          <cell r="D2294" t="str">
            <v>装备兑换道具-稀有</v>
          </cell>
        </row>
        <row r="2295">
          <cell r="A2295">
            <v>50060</v>
          </cell>
          <cell r="D2295" t="str">
            <v>和平护盾</v>
          </cell>
        </row>
        <row r="2296">
          <cell r="A2296">
            <v>50070</v>
          </cell>
          <cell r="D2296" t="str">
            <v>8小时紧急和平护盾</v>
          </cell>
        </row>
        <row r="2297">
          <cell r="A2297">
            <v>50080</v>
          </cell>
          <cell r="D2297" t="str">
            <v>24小时紧急和平护盾</v>
          </cell>
        </row>
        <row r="2298">
          <cell r="A2298">
            <v>50090</v>
          </cell>
          <cell r="D2298" t="str">
            <v>3天紧急和平护盾</v>
          </cell>
        </row>
        <row r="2299">
          <cell r="A2299">
            <v>50100</v>
          </cell>
          <cell r="D2299" t="str">
            <v>30天紧急和平护盾</v>
          </cell>
        </row>
        <row r="2300">
          <cell r="A2300">
            <v>50110</v>
          </cell>
          <cell r="D2300" t="str">
            <v>8小时紧急和平护盾（限时）</v>
          </cell>
        </row>
        <row r="2301">
          <cell r="A2301">
            <v>49502</v>
          </cell>
          <cell r="D2301" t="str">
            <v>成长基金进阶版</v>
          </cell>
        </row>
        <row r="2302">
          <cell r="A2302">
            <v>49503</v>
          </cell>
          <cell r="D2302" t="str">
            <v>BP升级道具</v>
          </cell>
        </row>
        <row r="2303">
          <cell r="A2303">
            <v>49504</v>
          </cell>
          <cell r="D2303" t="str">
            <v>BP高级版解锁道具</v>
          </cell>
        </row>
        <row r="2304">
          <cell r="A2304">
            <v>49505</v>
          </cell>
          <cell r="D2304" t="str">
            <v>BP积分获取效率提高-第一期</v>
          </cell>
        </row>
        <row r="2305">
          <cell r="A2305">
            <v>49506</v>
          </cell>
          <cell r="D2305" t="str">
            <v>模仿硬币-自选bp用</v>
          </cell>
        </row>
        <row r="2306">
          <cell r="A2306">
            <v>49507</v>
          </cell>
          <cell r="D2306" t="str">
            <v>自选BP升级道具-测试配置</v>
          </cell>
        </row>
        <row r="2307">
          <cell r="A2307">
            <v>49508</v>
          </cell>
          <cell r="D2307" t="str">
            <v>自选BP高级版解锁道具-测试配置</v>
          </cell>
        </row>
        <row r="2308">
          <cell r="A2308">
            <v>49509</v>
          </cell>
          <cell r="D2308" t="str">
            <v>每日任务用替换自选BP升级道具</v>
          </cell>
        </row>
        <row r="2309">
          <cell r="A2309">
            <v>50111</v>
          </cell>
          <cell r="D2309" t="str">
            <v>遗失的军需</v>
          </cell>
        </row>
        <row r="2310">
          <cell r="A2310">
            <v>49601</v>
          </cell>
          <cell r="D2310" t="str">
            <v>vip经验1</v>
          </cell>
        </row>
        <row r="2311">
          <cell r="A2311">
            <v>49602</v>
          </cell>
          <cell r="D2311" t="str">
            <v>vip经验10</v>
          </cell>
        </row>
        <row r="2312">
          <cell r="A2312">
            <v>49603</v>
          </cell>
          <cell r="D2312" t="str">
            <v>vip经验50</v>
          </cell>
        </row>
        <row r="2313">
          <cell r="A2313">
            <v>49604</v>
          </cell>
          <cell r="D2313" t="str">
            <v>vip经验100</v>
          </cell>
        </row>
        <row r="2314">
          <cell r="A2314">
            <v>49605</v>
          </cell>
          <cell r="D2314" t="str">
            <v>vip经验500</v>
          </cell>
        </row>
        <row r="2315">
          <cell r="A2315">
            <v>49606</v>
          </cell>
          <cell r="D2315" t="str">
            <v>vip经验1000</v>
          </cell>
        </row>
        <row r="2316">
          <cell r="A2316">
            <v>49607</v>
          </cell>
          <cell r="D2316" t="str">
            <v>vip经验5000</v>
          </cell>
        </row>
        <row r="2317">
          <cell r="A2317">
            <v>48608</v>
          </cell>
          <cell r="D2317" t="str">
            <v>vip经验10000</v>
          </cell>
        </row>
        <row r="2318">
          <cell r="A2318">
            <v>48609</v>
          </cell>
          <cell r="D2318" t="str">
            <v>vip经验50000</v>
          </cell>
        </row>
        <row r="2319">
          <cell r="A2319">
            <v>48610</v>
          </cell>
          <cell r="D2319" t="str">
            <v>vip经验100000</v>
          </cell>
        </row>
        <row r="2320">
          <cell r="A2320">
            <v>50112</v>
          </cell>
          <cell r="D2320" t="str">
            <v>竞技银币</v>
          </cell>
        </row>
        <row r="2321">
          <cell r="A2321">
            <v>49608</v>
          </cell>
          <cell r="D2321" t="str">
            <v>1至高币（进背包）</v>
          </cell>
        </row>
        <row r="2322">
          <cell r="A2322">
            <v>49609</v>
          </cell>
          <cell r="D2322" t="str">
            <v>1至高币（立即使用，不进背包）</v>
          </cell>
        </row>
        <row r="2323">
          <cell r="A2323">
            <v>49510</v>
          </cell>
          <cell r="D2323" t="str">
            <v>BP进阶版随机宝箱</v>
          </cell>
        </row>
        <row r="2324">
          <cell r="A2324">
            <v>49511</v>
          </cell>
          <cell r="D2324" t="str">
            <v>BP技能自选宝箱</v>
          </cell>
        </row>
        <row r="2325">
          <cell r="A2325">
            <v>49512</v>
          </cell>
          <cell r="D2325" t="str">
            <v>传说英雄自选宝箱</v>
          </cell>
        </row>
        <row r="2326">
          <cell r="A2326">
            <v>49513</v>
          </cell>
          <cell r="D2326" t="str">
            <v>传说英雄自选宝箱</v>
          </cell>
        </row>
        <row r="2327">
          <cell r="A2327">
            <v>49514</v>
          </cell>
          <cell r="D2327" t="str">
            <v>传说英雄自选宝箱</v>
          </cell>
        </row>
        <row r="2328">
          <cell r="A2328">
            <v>49515</v>
          </cell>
          <cell r="D2328" t="str">
            <v>水晶球抽奖券</v>
          </cell>
        </row>
        <row r="2329">
          <cell r="A2329">
            <v>49516</v>
          </cell>
          <cell r="D2329" t="str">
            <v>转盘抽奖券</v>
          </cell>
        </row>
        <row r="2330">
          <cell r="A2330">
            <v>49517</v>
          </cell>
          <cell r="D2330" t="str">
            <v>模仿硬币（占位替换道具）-转盘用</v>
          </cell>
        </row>
        <row r="2331">
          <cell r="A2331">
            <v>49518</v>
          </cell>
          <cell r="D2331" t="str">
            <v>模仿硬币（占位替换道具）-转盘用</v>
          </cell>
        </row>
        <row r="2332">
          <cell r="A2332">
            <v>49519</v>
          </cell>
          <cell r="D2332" t="str">
            <v>模仿硬币（占位替换道具）-转盘用</v>
          </cell>
        </row>
        <row r="2333">
          <cell r="A2333">
            <v>49520</v>
          </cell>
          <cell r="D2333" t="str">
            <v>精工锤</v>
          </cell>
        </row>
        <row r="2334">
          <cell r="A2334">
            <v>49521</v>
          </cell>
          <cell r="D2334" t="str">
            <v>珠宝匠印记</v>
          </cell>
        </row>
        <row r="2335">
          <cell r="A2335">
            <v>49522</v>
          </cell>
          <cell r="D2335" t="str">
            <v>传说英雄自选宝箱</v>
          </cell>
        </row>
        <row r="2336">
          <cell r="A2336">
            <v>49523</v>
          </cell>
          <cell r="D2336" t="str">
            <v>传说英雄自选宝箱</v>
          </cell>
        </row>
        <row r="2337">
          <cell r="A2337">
            <v>60006</v>
          </cell>
          <cell r="D2337" t="str">
            <v>战地幸存者金币</v>
          </cell>
        </row>
        <row r="2338">
          <cell r="A2338">
            <v>49524</v>
          </cell>
          <cell r="D2338" t="str">
            <v>圆桌碎片</v>
          </cell>
        </row>
        <row r="2339">
          <cell r="A2339">
            <v>49525</v>
          </cell>
          <cell r="D2339" t="str">
            <v>BP高级版解锁道具-登录BP</v>
          </cell>
        </row>
        <row r="2340">
          <cell r="A2340">
            <v>49526</v>
          </cell>
          <cell r="D2340" t="str">
            <v>BP升级道具-碎片BP</v>
          </cell>
        </row>
        <row r="2341">
          <cell r="A2341">
            <v>49527</v>
          </cell>
          <cell r="D2341" t="str">
            <v>传说英雄自选宝箱-B级</v>
          </cell>
        </row>
        <row r="2342">
          <cell r="A2342">
            <v>49528</v>
          </cell>
          <cell r="D2342" t="str">
            <v>传说英雄自选宝箱-B级</v>
          </cell>
        </row>
        <row r="2343">
          <cell r="A2343">
            <v>49529</v>
          </cell>
          <cell r="D2343" t="str">
            <v>传说英雄自选宝箱-A级</v>
          </cell>
        </row>
        <row r="2344">
          <cell r="A2344">
            <v>49530</v>
          </cell>
          <cell r="D2344" t="str">
            <v>传说英雄自选宝箱-A级</v>
          </cell>
        </row>
        <row r="2345">
          <cell r="A2345">
            <v>49531</v>
          </cell>
          <cell r="D2345" t="str">
            <v>首充英雄自选宝箱-1</v>
          </cell>
        </row>
        <row r="2346">
          <cell r="A2346">
            <v>49532</v>
          </cell>
          <cell r="D2346" t="str">
            <v>首充英雄自选宝箱-2</v>
          </cell>
        </row>
        <row r="2347">
          <cell r="A2347">
            <v>49533</v>
          </cell>
          <cell r="D2347" t="str">
            <v>首充英雄自选宝箱-3</v>
          </cell>
        </row>
        <row r="2348">
          <cell r="A2348">
            <v>49534</v>
          </cell>
          <cell r="D2348" t="str">
            <v>首充英雄自选宝箱-4</v>
          </cell>
        </row>
        <row r="2349">
          <cell r="A2349">
            <v>49535</v>
          </cell>
          <cell r="D2349" t="str">
            <v>累充进度补发道具</v>
          </cell>
        </row>
        <row r="2350">
          <cell r="A2350">
            <v>49536</v>
          </cell>
          <cell r="D2350" t="str">
            <v>1统帅印记（进背包）</v>
          </cell>
        </row>
        <row r="2351">
          <cell r="A2351">
            <v>49537</v>
          </cell>
          <cell r="D2351" t="str">
            <v>1统帅印记（立即使用，不进背包）</v>
          </cell>
        </row>
        <row r="2352">
          <cell r="A2352">
            <v>49539</v>
          </cell>
          <cell r="D2352" t="str">
            <v>祈愿占卜抽奖券</v>
          </cell>
        </row>
        <row r="2353">
          <cell r="A2353">
            <v>10001</v>
          </cell>
          <cell r="D2353" t="str">
            <v>回归英雄自选宝箱</v>
          </cell>
        </row>
        <row r="2354">
          <cell r="A2354">
            <v>6683</v>
          </cell>
          <cell r="D2354" t="str">
            <v>回归之星</v>
          </cell>
        </row>
        <row r="2355">
          <cell r="A2355">
            <v>10002</v>
          </cell>
          <cell r="D2355" t="str">
            <v>丰收佳节-葡萄</v>
          </cell>
        </row>
        <row r="2356">
          <cell r="A2356">
            <v>10003</v>
          </cell>
          <cell r="D2356" t="str">
            <v>BP高级版解锁道具</v>
          </cell>
        </row>
        <row r="2357">
          <cell r="A2357">
            <v>49540</v>
          </cell>
          <cell r="D2357" t="str">
            <v>水晶球兑换道具</v>
          </cell>
        </row>
        <row r="2358">
          <cell r="A2358">
            <v>56001</v>
          </cell>
          <cell r="D2358" t="str">
            <v>锻造装备消耗材料</v>
          </cell>
        </row>
        <row r="2359">
          <cell r="A2359">
            <v>56002</v>
          </cell>
          <cell r="D2359" t="str">
            <v>强化装备消耗材料</v>
          </cell>
        </row>
        <row r="2360">
          <cell r="A2360">
            <v>56003</v>
          </cell>
          <cell r="D2360" t="str">
            <v>突破蓝装消耗材料</v>
          </cell>
        </row>
        <row r="2361">
          <cell r="A2361">
            <v>56004</v>
          </cell>
          <cell r="D2361" t="str">
            <v>突破紫装消耗材料</v>
          </cell>
        </row>
        <row r="2362">
          <cell r="A2362">
            <v>56005</v>
          </cell>
          <cell r="D2362" t="str">
            <v>突破橙装消耗材料</v>
          </cell>
        </row>
        <row r="2363">
          <cell r="A2363">
            <v>56026</v>
          </cell>
          <cell r="D2363" t="str">
            <v>突破橙装消耗材料-2</v>
          </cell>
        </row>
        <row r="2364">
          <cell r="A2364">
            <v>56006</v>
          </cell>
          <cell r="D2364" t="str">
            <v>头盔图纸</v>
          </cell>
        </row>
        <row r="2365">
          <cell r="A2365">
            <v>56007</v>
          </cell>
          <cell r="D2365" t="str">
            <v>护手图纸</v>
          </cell>
        </row>
        <row r="2366">
          <cell r="A2366">
            <v>56008</v>
          </cell>
          <cell r="D2366" t="str">
            <v>胸甲图纸</v>
          </cell>
        </row>
        <row r="2367">
          <cell r="A2367">
            <v>56009</v>
          </cell>
          <cell r="D2367" t="str">
            <v>腿甲图纸</v>
          </cell>
        </row>
        <row r="2368">
          <cell r="A2368">
            <v>56010</v>
          </cell>
          <cell r="D2368" t="str">
            <v>随机部位图纸</v>
          </cell>
        </row>
        <row r="2369">
          <cell r="A2369">
            <v>56011</v>
          </cell>
          <cell r="D2369" t="str">
            <v>解锁锻造队列的道具</v>
          </cell>
        </row>
        <row r="2370">
          <cell r="A2370">
            <v>56016</v>
          </cell>
          <cell r="D2370" t="str">
            <v>随机头盔</v>
          </cell>
        </row>
        <row r="2371">
          <cell r="A2371">
            <v>56017</v>
          </cell>
          <cell r="D2371" t="str">
            <v>随机护手</v>
          </cell>
        </row>
        <row r="2372">
          <cell r="A2372">
            <v>56018</v>
          </cell>
          <cell r="D2372" t="str">
            <v>随机胸甲</v>
          </cell>
        </row>
        <row r="2373">
          <cell r="A2373">
            <v>56019</v>
          </cell>
          <cell r="D2373" t="str">
            <v>随机腿甲</v>
          </cell>
        </row>
        <row r="2374">
          <cell r="A2374">
            <v>56020</v>
          </cell>
          <cell r="D2374" t="str">
            <v>随机部位</v>
          </cell>
        </row>
        <row r="2375">
          <cell r="A2375">
            <v>56021</v>
          </cell>
          <cell r="D2375" t="str">
            <v>随机头盔-火焰</v>
          </cell>
        </row>
        <row r="2376">
          <cell r="A2376">
            <v>56022</v>
          </cell>
          <cell r="D2376" t="str">
            <v>随机护手-火焰</v>
          </cell>
        </row>
        <row r="2377">
          <cell r="A2377">
            <v>56023</v>
          </cell>
          <cell r="D2377" t="str">
            <v>随机胸甲-火焰</v>
          </cell>
        </row>
        <row r="2378">
          <cell r="A2378">
            <v>56024</v>
          </cell>
          <cell r="D2378" t="str">
            <v>随机腿甲-火焰</v>
          </cell>
        </row>
        <row r="2379">
          <cell r="A2379">
            <v>56025</v>
          </cell>
          <cell r="D2379" t="str">
            <v>随机部位-火焰</v>
          </cell>
        </row>
        <row r="2380">
          <cell r="A2380">
            <v>56028</v>
          </cell>
          <cell r="D2380" t="str">
            <v>战略宝石-兵种攻击</v>
          </cell>
        </row>
        <row r="2381">
          <cell r="A2381">
            <v>56029</v>
          </cell>
          <cell r="D2381" t="str">
            <v>战略宝石-兵种防御</v>
          </cell>
        </row>
        <row r="2382">
          <cell r="A2382">
            <v>56030</v>
          </cell>
          <cell r="D2382" t="str">
            <v>战略宝石-兵种生命</v>
          </cell>
        </row>
        <row r="2383">
          <cell r="A2383">
            <v>56031</v>
          </cell>
          <cell r="D2383" t="str">
            <v>战略宝石-出征容量</v>
          </cell>
        </row>
        <row r="2384">
          <cell r="A2384">
            <v>56032</v>
          </cell>
          <cell r="D2384" t="str">
            <v>战略宝石-采集速度</v>
          </cell>
        </row>
        <row r="2385">
          <cell r="A2385">
            <v>56033</v>
          </cell>
          <cell r="D2385" t="str">
            <v>英雄宝石-武力</v>
          </cell>
        </row>
        <row r="2386">
          <cell r="A2386">
            <v>56034</v>
          </cell>
          <cell r="D2386" t="str">
            <v>英雄宝石-谋略</v>
          </cell>
        </row>
        <row r="2387">
          <cell r="A2387">
            <v>56035</v>
          </cell>
          <cell r="D2387" t="str">
            <v>英雄宝石-守备</v>
          </cell>
        </row>
        <row r="2388">
          <cell r="A2388">
            <v>56036</v>
          </cell>
          <cell r="D2388" t="str">
            <v>英雄宝石-摧城</v>
          </cell>
        </row>
        <row r="2389">
          <cell r="A2389">
            <v>56037</v>
          </cell>
          <cell r="D2389" t="str">
            <v>英雄宝石-三维</v>
          </cell>
        </row>
        <row r="2390">
          <cell r="A2390">
            <v>56038</v>
          </cell>
          <cell r="D2390" t="str">
            <v>战术宝石-被动</v>
          </cell>
        </row>
        <row r="2391">
          <cell r="A2391">
            <v>56039</v>
          </cell>
          <cell r="D2391" t="str">
            <v>战术宝石-追击</v>
          </cell>
        </row>
        <row r="2392">
          <cell r="A2392">
            <v>56040</v>
          </cell>
          <cell r="D2392" t="str">
            <v>战术宝石-主动</v>
          </cell>
        </row>
        <row r="2393">
          <cell r="A2393">
            <v>56041</v>
          </cell>
          <cell r="D2393" t="str">
            <v>战术宝石-指挥</v>
          </cell>
        </row>
        <row r="2394">
          <cell r="A2394">
            <v>56042</v>
          </cell>
          <cell r="D2394" t="str">
            <v>战术宝石-治疗</v>
          </cell>
        </row>
        <row r="2395">
          <cell r="A2395">
            <v>56043</v>
          </cell>
          <cell r="D2395" t="str">
            <v>战术宝石-普攻</v>
          </cell>
        </row>
        <row r="2396">
          <cell r="A2396">
            <v>56044</v>
          </cell>
          <cell r="D2396" t="str">
            <v>战略宝石-兵种攻击</v>
          </cell>
        </row>
        <row r="2397">
          <cell r="A2397">
            <v>56045</v>
          </cell>
          <cell r="D2397" t="str">
            <v>战略宝石-兵种防御</v>
          </cell>
        </row>
        <row r="2398">
          <cell r="A2398">
            <v>56046</v>
          </cell>
          <cell r="D2398" t="str">
            <v>战略宝石-兵种生命</v>
          </cell>
        </row>
        <row r="2399">
          <cell r="A2399">
            <v>56047</v>
          </cell>
          <cell r="D2399" t="str">
            <v>战略宝石-出征容量</v>
          </cell>
        </row>
        <row r="2400">
          <cell r="A2400">
            <v>56048</v>
          </cell>
          <cell r="D2400" t="str">
            <v>战略宝石-采集速度</v>
          </cell>
        </row>
        <row r="2401">
          <cell r="A2401">
            <v>56049</v>
          </cell>
          <cell r="D2401" t="str">
            <v>英雄宝石-武力</v>
          </cell>
        </row>
        <row r="2402">
          <cell r="A2402">
            <v>56050</v>
          </cell>
          <cell r="D2402" t="str">
            <v>英雄宝石-谋略</v>
          </cell>
        </row>
        <row r="2403">
          <cell r="A2403">
            <v>56051</v>
          </cell>
          <cell r="D2403" t="str">
            <v>英雄宝石-守备</v>
          </cell>
        </row>
        <row r="2404">
          <cell r="A2404">
            <v>56052</v>
          </cell>
          <cell r="D2404" t="str">
            <v>英雄宝石-摧城</v>
          </cell>
        </row>
        <row r="2405">
          <cell r="A2405">
            <v>56053</v>
          </cell>
          <cell r="D2405" t="str">
            <v>英雄宝石-三维</v>
          </cell>
        </row>
        <row r="2406">
          <cell r="A2406">
            <v>56054</v>
          </cell>
          <cell r="D2406" t="str">
            <v>战术宝石-被动</v>
          </cell>
        </row>
        <row r="2407">
          <cell r="A2407">
            <v>56055</v>
          </cell>
          <cell r="D2407" t="str">
            <v>战术宝石-追击</v>
          </cell>
        </row>
        <row r="2408">
          <cell r="A2408">
            <v>56056</v>
          </cell>
          <cell r="D2408" t="str">
            <v>战术宝石-主动</v>
          </cell>
        </row>
        <row r="2409">
          <cell r="A2409">
            <v>56057</v>
          </cell>
          <cell r="D2409" t="str">
            <v>战术宝石-指挥</v>
          </cell>
        </row>
        <row r="2410">
          <cell r="A2410">
            <v>56058</v>
          </cell>
          <cell r="D2410" t="str">
            <v>战术宝石-治疗</v>
          </cell>
        </row>
        <row r="2411">
          <cell r="A2411">
            <v>56059</v>
          </cell>
          <cell r="D2411" t="str">
            <v>战术宝石-普攻</v>
          </cell>
        </row>
        <row r="2412">
          <cell r="A2412">
            <v>56060</v>
          </cell>
          <cell r="D2412" t="str">
            <v>战略宝石-兵种攻击</v>
          </cell>
        </row>
        <row r="2413">
          <cell r="A2413">
            <v>56061</v>
          </cell>
          <cell r="D2413" t="str">
            <v>战略宝石-兵种防御</v>
          </cell>
        </row>
        <row r="2414">
          <cell r="A2414">
            <v>56062</v>
          </cell>
          <cell r="D2414" t="str">
            <v>战略宝石-兵种生命</v>
          </cell>
        </row>
        <row r="2415">
          <cell r="A2415">
            <v>56063</v>
          </cell>
          <cell r="D2415" t="str">
            <v>战略宝石-出征容量</v>
          </cell>
        </row>
        <row r="2416">
          <cell r="A2416">
            <v>56064</v>
          </cell>
          <cell r="D2416" t="str">
            <v>战略宝石-采集速度</v>
          </cell>
        </row>
        <row r="2417">
          <cell r="A2417">
            <v>56065</v>
          </cell>
          <cell r="D2417" t="str">
            <v>英雄宝石-武力</v>
          </cell>
        </row>
        <row r="2418">
          <cell r="A2418">
            <v>56066</v>
          </cell>
          <cell r="D2418" t="str">
            <v>英雄宝石-谋略</v>
          </cell>
        </row>
        <row r="2419">
          <cell r="A2419">
            <v>56067</v>
          </cell>
          <cell r="D2419" t="str">
            <v>英雄宝石-守备</v>
          </cell>
        </row>
        <row r="2420">
          <cell r="A2420">
            <v>56068</v>
          </cell>
          <cell r="D2420" t="str">
            <v>英雄宝石-摧城</v>
          </cell>
        </row>
        <row r="2421">
          <cell r="A2421">
            <v>56069</v>
          </cell>
          <cell r="D2421" t="str">
            <v>英雄宝石-三维</v>
          </cell>
        </row>
        <row r="2422">
          <cell r="A2422">
            <v>56070</v>
          </cell>
          <cell r="D2422" t="str">
            <v>战术宝石-被动</v>
          </cell>
        </row>
        <row r="2423">
          <cell r="A2423">
            <v>56071</v>
          </cell>
          <cell r="D2423" t="str">
            <v>战术宝石-追击</v>
          </cell>
        </row>
        <row r="2424">
          <cell r="A2424">
            <v>56072</v>
          </cell>
          <cell r="D2424" t="str">
            <v>战术宝石-主动</v>
          </cell>
        </row>
        <row r="2425">
          <cell r="A2425">
            <v>56073</v>
          </cell>
          <cell r="D2425" t="str">
            <v>战术宝石-指挥</v>
          </cell>
        </row>
        <row r="2426">
          <cell r="A2426">
            <v>56074</v>
          </cell>
          <cell r="D2426" t="str">
            <v>战术宝石-治疗</v>
          </cell>
        </row>
        <row r="2427">
          <cell r="A2427">
            <v>56075</v>
          </cell>
          <cell r="D2427" t="str">
            <v>战术宝石-普攻</v>
          </cell>
        </row>
        <row r="2428">
          <cell r="A2428">
            <v>56076</v>
          </cell>
          <cell r="D2428" t="str">
            <v>战略宝石-兵种攻击</v>
          </cell>
        </row>
        <row r="2429">
          <cell r="A2429">
            <v>56077</v>
          </cell>
          <cell r="D2429" t="str">
            <v>战略宝石-兵种防御</v>
          </cell>
        </row>
        <row r="2430">
          <cell r="A2430">
            <v>56078</v>
          </cell>
          <cell r="D2430" t="str">
            <v>战略宝石-兵种生命</v>
          </cell>
        </row>
        <row r="2431">
          <cell r="A2431">
            <v>56079</v>
          </cell>
          <cell r="D2431" t="str">
            <v>战略宝石-出征容量</v>
          </cell>
        </row>
        <row r="2432">
          <cell r="A2432">
            <v>56080</v>
          </cell>
          <cell r="D2432" t="str">
            <v>战略宝石-采集速度</v>
          </cell>
        </row>
        <row r="2433">
          <cell r="A2433">
            <v>56081</v>
          </cell>
          <cell r="D2433" t="str">
            <v>英雄宝石-武力</v>
          </cell>
        </row>
        <row r="2434">
          <cell r="A2434">
            <v>56082</v>
          </cell>
          <cell r="D2434" t="str">
            <v>英雄宝石-谋略</v>
          </cell>
        </row>
        <row r="2435">
          <cell r="A2435">
            <v>56083</v>
          </cell>
          <cell r="D2435" t="str">
            <v>英雄宝石-守备</v>
          </cell>
        </row>
        <row r="2436">
          <cell r="A2436">
            <v>56084</v>
          </cell>
          <cell r="D2436" t="str">
            <v>英雄宝石-摧城</v>
          </cell>
        </row>
        <row r="2437">
          <cell r="A2437">
            <v>56085</v>
          </cell>
          <cell r="D2437" t="str">
            <v>英雄宝石-三维</v>
          </cell>
        </row>
        <row r="2438">
          <cell r="A2438">
            <v>56086</v>
          </cell>
          <cell r="D2438" t="str">
            <v>战术宝石-被动</v>
          </cell>
        </row>
        <row r="2439">
          <cell r="A2439">
            <v>56087</v>
          </cell>
          <cell r="D2439" t="str">
            <v>战术宝石-追击</v>
          </cell>
        </row>
        <row r="2440">
          <cell r="A2440">
            <v>56088</v>
          </cell>
          <cell r="D2440" t="str">
            <v>战术宝石-主动</v>
          </cell>
        </row>
        <row r="2441">
          <cell r="A2441">
            <v>56089</v>
          </cell>
          <cell r="D2441" t="str">
            <v>战术宝石-指挥</v>
          </cell>
        </row>
        <row r="2442">
          <cell r="A2442">
            <v>56090</v>
          </cell>
          <cell r="D2442" t="str">
            <v>战术宝石-治疗</v>
          </cell>
        </row>
        <row r="2443">
          <cell r="A2443">
            <v>56091</v>
          </cell>
          <cell r="D2443" t="str">
            <v>战术宝石-普攻</v>
          </cell>
        </row>
        <row r="2444">
          <cell r="A2444">
            <v>56300</v>
          </cell>
          <cell r="D2444" t="str">
            <v>战略宝石-兵种攻击</v>
          </cell>
        </row>
        <row r="2445">
          <cell r="A2445">
            <v>56301</v>
          </cell>
          <cell r="D2445" t="str">
            <v>战略宝石-兵种防御</v>
          </cell>
        </row>
        <row r="2446">
          <cell r="A2446">
            <v>56302</v>
          </cell>
          <cell r="D2446" t="str">
            <v>战略宝石-兵种生命</v>
          </cell>
        </row>
        <row r="2447">
          <cell r="A2447">
            <v>56303</v>
          </cell>
          <cell r="D2447" t="str">
            <v>战略宝石-出征容量</v>
          </cell>
        </row>
        <row r="2448">
          <cell r="A2448">
            <v>56304</v>
          </cell>
          <cell r="D2448" t="str">
            <v>战略宝石-采集速度</v>
          </cell>
        </row>
        <row r="2449">
          <cell r="A2449">
            <v>56305</v>
          </cell>
          <cell r="D2449" t="str">
            <v>英雄宝石-武力</v>
          </cell>
        </row>
        <row r="2450">
          <cell r="A2450">
            <v>56306</v>
          </cell>
          <cell r="D2450" t="str">
            <v>英雄宝石-谋略</v>
          </cell>
        </row>
        <row r="2451">
          <cell r="A2451">
            <v>56307</v>
          </cell>
          <cell r="D2451" t="str">
            <v>英雄宝石-守备</v>
          </cell>
        </row>
        <row r="2452">
          <cell r="A2452">
            <v>56308</v>
          </cell>
          <cell r="D2452" t="str">
            <v>英雄宝石-摧城</v>
          </cell>
        </row>
        <row r="2453">
          <cell r="A2453">
            <v>56309</v>
          </cell>
          <cell r="D2453" t="str">
            <v>英雄宝石-三维</v>
          </cell>
        </row>
        <row r="2454">
          <cell r="A2454">
            <v>56310</v>
          </cell>
          <cell r="D2454" t="str">
            <v>战术宝石-被动</v>
          </cell>
        </row>
        <row r="2455">
          <cell r="A2455">
            <v>56311</v>
          </cell>
          <cell r="D2455" t="str">
            <v>战术宝石-追击</v>
          </cell>
        </row>
        <row r="2456">
          <cell r="A2456">
            <v>56312</v>
          </cell>
          <cell r="D2456" t="str">
            <v>战术宝石-主动</v>
          </cell>
        </row>
        <row r="2457">
          <cell r="A2457">
            <v>56313</v>
          </cell>
          <cell r="D2457" t="str">
            <v>战术宝石-指挥</v>
          </cell>
        </row>
        <row r="2458">
          <cell r="A2458">
            <v>56314</v>
          </cell>
          <cell r="D2458" t="str">
            <v>战术宝石-治疗</v>
          </cell>
        </row>
        <row r="2459">
          <cell r="A2459">
            <v>56315</v>
          </cell>
          <cell r="D2459" t="str">
            <v>战术宝石-普攻</v>
          </cell>
        </row>
        <row r="2460">
          <cell r="A2460">
            <v>56316</v>
          </cell>
          <cell r="D2460" t="str">
            <v>战略宝石-兵种攻击</v>
          </cell>
        </row>
        <row r="2461">
          <cell r="A2461">
            <v>56317</v>
          </cell>
          <cell r="D2461" t="str">
            <v>战略宝石-兵种防御</v>
          </cell>
        </row>
        <row r="2462">
          <cell r="A2462">
            <v>56318</v>
          </cell>
          <cell r="D2462" t="str">
            <v>战略宝石-兵种生命</v>
          </cell>
        </row>
        <row r="2463">
          <cell r="A2463">
            <v>56319</v>
          </cell>
          <cell r="D2463" t="str">
            <v>战略宝石-出征容量</v>
          </cell>
        </row>
        <row r="2464">
          <cell r="A2464">
            <v>56320</v>
          </cell>
          <cell r="D2464" t="str">
            <v>战略宝石-采集速度</v>
          </cell>
        </row>
        <row r="2465">
          <cell r="A2465">
            <v>56321</v>
          </cell>
          <cell r="D2465" t="str">
            <v>英雄宝石-武力</v>
          </cell>
        </row>
        <row r="2466">
          <cell r="A2466">
            <v>56322</v>
          </cell>
          <cell r="D2466" t="str">
            <v>英雄宝石-谋略</v>
          </cell>
        </row>
        <row r="2467">
          <cell r="A2467">
            <v>56323</v>
          </cell>
          <cell r="D2467" t="str">
            <v>英雄宝石-守备</v>
          </cell>
        </row>
        <row r="2468">
          <cell r="A2468">
            <v>56324</v>
          </cell>
          <cell r="D2468" t="str">
            <v>英雄宝石-摧城</v>
          </cell>
        </row>
        <row r="2469">
          <cell r="A2469">
            <v>56325</v>
          </cell>
          <cell r="D2469" t="str">
            <v>英雄宝石-三维</v>
          </cell>
        </row>
        <row r="2470">
          <cell r="A2470">
            <v>56326</v>
          </cell>
          <cell r="D2470" t="str">
            <v>战术宝石-被动</v>
          </cell>
        </row>
        <row r="2471">
          <cell r="A2471">
            <v>56327</v>
          </cell>
          <cell r="D2471" t="str">
            <v>战术宝石-追击</v>
          </cell>
        </row>
        <row r="2472">
          <cell r="A2472">
            <v>56328</v>
          </cell>
          <cell r="D2472" t="str">
            <v>战术宝石-主动</v>
          </cell>
        </row>
        <row r="2473">
          <cell r="A2473">
            <v>56329</v>
          </cell>
          <cell r="D2473" t="str">
            <v>战术宝石-指挥</v>
          </cell>
        </row>
        <row r="2474">
          <cell r="A2474">
            <v>56330</v>
          </cell>
          <cell r="D2474" t="str">
            <v>战术宝石-治疗</v>
          </cell>
        </row>
        <row r="2475">
          <cell r="A2475">
            <v>56331</v>
          </cell>
          <cell r="D2475" t="str">
            <v>战术宝石-普攻</v>
          </cell>
        </row>
        <row r="2476">
          <cell r="A2476">
            <v>56500</v>
          </cell>
          <cell r="D2476" t="str">
            <v>正方形宝石-白</v>
          </cell>
        </row>
        <row r="2477">
          <cell r="A2477">
            <v>56501</v>
          </cell>
          <cell r="D2477" t="str">
            <v>六边形宝石-白</v>
          </cell>
        </row>
        <row r="2478">
          <cell r="A2478">
            <v>56502</v>
          </cell>
          <cell r="D2478" t="str">
            <v>三角形宝石-白</v>
          </cell>
        </row>
        <row r="2479">
          <cell r="A2479">
            <v>56503</v>
          </cell>
          <cell r="D2479" t="str">
            <v>正方形宝石-绿</v>
          </cell>
        </row>
        <row r="2480">
          <cell r="A2480">
            <v>56504</v>
          </cell>
          <cell r="D2480" t="str">
            <v>六边形宝石-绿</v>
          </cell>
        </row>
        <row r="2481">
          <cell r="A2481">
            <v>56505</v>
          </cell>
          <cell r="D2481" t="str">
            <v>三角形宝石-绿</v>
          </cell>
        </row>
        <row r="2482">
          <cell r="A2482">
            <v>56506</v>
          </cell>
          <cell r="D2482" t="str">
            <v>正方形宝石-蓝</v>
          </cell>
        </row>
        <row r="2483">
          <cell r="A2483">
            <v>56507</v>
          </cell>
          <cell r="D2483" t="str">
            <v>六边形宝石</v>
          </cell>
        </row>
        <row r="2484">
          <cell r="A2484">
            <v>56508</v>
          </cell>
          <cell r="D2484" t="str">
            <v>三角形宝石</v>
          </cell>
        </row>
        <row r="2485">
          <cell r="A2485">
            <v>56509</v>
          </cell>
          <cell r="D2485" t="str">
            <v>正方形宝石-紫</v>
          </cell>
        </row>
        <row r="2486">
          <cell r="A2486">
            <v>56510</v>
          </cell>
          <cell r="D2486" t="str">
            <v>六边形宝石</v>
          </cell>
        </row>
        <row r="2487">
          <cell r="A2487">
            <v>56511</v>
          </cell>
          <cell r="D2487" t="str">
            <v>三角形宝石</v>
          </cell>
        </row>
        <row r="2488">
          <cell r="A2488">
            <v>56512</v>
          </cell>
          <cell r="D2488" t="str">
            <v>正方形宝石-橙</v>
          </cell>
        </row>
        <row r="2489">
          <cell r="A2489">
            <v>56513</v>
          </cell>
          <cell r="D2489" t="str">
            <v>六边形宝石</v>
          </cell>
        </row>
        <row r="2490">
          <cell r="A2490">
            <v>56514</v>
          </cell>
          <cell r="D2490" t="str">
            <v>三角形宝石</v>
          </cell>
        </row>
        <row r="2491">
          <cell r="A2491">
            <v>56515</v>
          </cell>
          <cell r="D2491" t="str">
            <v>兵种攻击</v>
          </cell>
        </row>
        <row r="2492">
          <cell r="A2492">
            <v>56516</v>
          </cell>
          <cell r="D2492" t="str">
            <v>兵种防御</v>
          </cell>
        </row>
        <row r="2493">
          <cell r="A2493">
            <v>56517</v>
          </cell>
          <cell r="D2493" t="str">
            <v>兵种生命</v>
          </cell>
        </row>
        <row r="2494">
          <cell r="A2494">
            <v>56518</v>
          </cell>
          <cell r="D2494" t="str">
            <v>出征容量</v>
          </cell>
        </row>
        <row r="2495">
          <cell r="A2495">
            <v>56519</v>
          </cell>
          <cell r="D2495" t="str">
            <v>采集速度</v>
          </cell>
        </row>
        <row r="2496">
          <cell r="A2496">
            <v>56520</v>
          </cell>
          <cell r="D2496" t="str">
            <v>武力</v>
          </cell>
        </row>
        <row r="2497">
          <cell r="A2497">
            <v>56521</v>
          </cell>
          <cell r="D2497" t="str">
            <v>谋略</v>
          </cell>
        </row>
        <row r="2498">
          <cell r="A2498">
            <v>56522</v>
          </cell>
          <cell r="D2498" t="str">
            <v>守备</v>
          </cell>
        </row>
        <row r="2499">
          <cell r="A2499">
            <v>56523</v>
          </cell>
          <cell r="D2499" t="str">
            <v>摧城</v>
          </cell>
        </row>
        <row r="2500">
          <cell r="A2500">
            <v>56524</v>
          </cell>
          <cell r="D2500" t="str">
            <v>三维</v>
          </cell>
        </row>
        <row r="2501">
          <cell r="A2501">
            <v>56525</v>
          </cell>
          <cell r="D2501" t="str">
            <v>被动</v>
          </cell>
        </row>
        <row r="2502">
          <cell r="A2502">
            <v>56526</v>
          </cell>
          <cell r="D2502" t="str">
            <v>追击</v>
          </cell>
        </row>
        <row r="2503">
          <cell r="A2503">
            <v>56527</v>
          </cell>
          <cell r="D2503" t="str">
            <v>主动</v>
          </cell>
        </row>
        <row r="2504">
          <cell r="A2504">
            <v>56528</v>
          </cell>
          <cell r="D2504" t="str">
            <v>指挥</v>
          </cell>
        </row>
        <row r="2505">
          <cell r="A2505">
            <v>56529</v>
          </cell>
          <cell r="D2505" t="str">
            <v>治疗</v>
          </cell>
        </row>
        <row r="2506">
          <cell r="A2506">
            <v>56530</v>
          </cell>
          <cell r="D2506" t="str">
            <v>普攻</v>
          </cell>
        </row>
        <row r="2507">
          <cell r="A2507">
            <v>56200</v>
          </cell>
          <cell r="D2507" t="str">
            <v>稀有图纸</v>
          </cell>
        </row>
        <row r="2508">
          <cell r="A2508">
            <v>56201</v>
          </cell>
          <cell r="D2508" t="str">
            <v>史诗图纸</v>
          </cell>
        </row>
        <row r="2509">
          <cell r="A2509">
            <v>56202</v>
          </cell>
          <cell r="D2509" t="str">
            <v>传说图纸</v>
          </cell>
        </row>
        <row r="2510">
          <cell r="A2510">
            <v>56203</v>
          </cell>
          <cell r="D2510" t="str">
            <v>全随机图纸</v>
          </cell>
        </row>
        <row r="2511">
          <cell r="A2511">
            <v>56204</v>
          </cell>
          <cell r="D2511" t="str">
            <v>剑士图纸</v>
          </cell>
        </row>
        <row r="2512">
          <cell r="A2512">
            <v>56205</v>
          </cell>
          <cell r="D2512" t="str">
            <v>枪兵图纸</v>
          </cell>
        </row>
        <row r="2513">
          <cell r="A2513">
            <v>56206</v>
          </cell>
          <cell r="D2513" t="str">
            <v>骑士图纸</v>
          </cell>
        </row>
        <row r="2514">
          <cell r="A2514">
            <v>56207</v>
          </cell>
          <cell r="D2514" t="str">
            <v>弓兵图纸</v>
          </cell>
        </row>
        <row r="2515">
          <cell r="A2515">
            <v>56208</v>
          </cell>
          <cell r="D2515" t="str">
            <v>剑士史诗图纸</v>
          </cell>
        </row>
        <row r="2516">
          <cell r="A2516">
            <v>56209</v>
          </cell>
          <cell r="D2516" t="str">
            <v>枪兵史诗图纸</v>
          </cell>
        </row>
        <row r="2517">
          <cell r="A2517">
            <v>56210</v>
          </cell>
          <cell r="D2517" t="str">
            <v>骑士史诗图纸</v>
          </cell>
        </row>
        <row r="2518">
          <cell r="A2518">
            <v>56211</v>
          </cell>
          <cell r="D2518" t="str">
            <v>弓兵史诗图纸</v>
          </cell>
        </row>
        <row r="2519">
          <cell r="A2519">
            <v>56100</v>
          </cell>
          <cell r="D2519" t="str">
            <v>粗麻头巾</v>
          </cell>
        </row>
        <row r="2520">
          <cell r="A2520">
            <v>56101</v>
          </cell>
          <cell r="D2520" t="str">
            <v>编绳护腕</v>
          </cell>
        </row>
        <row r="2521">
          <cell r="A2521">
            <v>56102</v>
          </cell>
          <cell r="D2521" t="str">
            <v>破落布甲</v>
          </cell>
        </row>
        <row r="2522">
          <cell r="A2522">
            <v>56103</v>
          </cell>
          <cell r="D2522" t="str">
            <v>流浪长靴</v>
          </cell>
        </row>
        <row r="2523">
          <cell r="A2523">
            <v>56104</v>
          </cell>
          <cell r="D2523" t="str">
            <v>月桂头冠</v>
          </cell>
        </row>
        <row r="2524">
          <cell r="A2524">
            <v>56105</v>
          </cell>
          <cell r="D2524" t="str">
            <v>星纹护手</v>
          </cell>
        </row>
        <row r="2525">
          <cell r="A2525">
            <v>56106</v>
          </cell>
          <cell r="D2525" t="str">
            <v>银光胸甲</v>
          </cell>
        </row>
        <row r="2526">
          <cell r="A2526">
            <v>56107</v>
          </cell>
          <cell r="D2526" t="str">
            <v>暗影轻靴</v>
          </cell>
        </row>
        <row r="2527">
          <cell r="A2527">
            <v>56108</v>
          </cell>
          <cell r="D2527" t="str">
            <v>烈火之心</v>
          </cell>
        </row>
        <row r="2528">
          <cell r="A2528">
            <v>56109</v>
          </cell>
          <cell r="D2528" t="str">
            <v>流水之势</v>
          </cell>
        </row>
        <row r="2529">
          <cell r="A2529">
            <v>56110</v>
          </cell>
          <cell r="D2529" t="str">
            <v>无尽大地</v>
          </cell>
        </row>
        <row r="2530">
          <cell r="A2530">
            <v>56111</v>
          </cell>
          <cell r="D2530" t="str">
            <v>无影疾风</v>
          </cell>
        </row>
        <row r="2531">
          <cell r="A2531">
            <v>56112</v>
          </cell>
          <cell r="D2531" t="str">
            <v>鹿皮猎帽</v>
          </cell>
        </row>
        <row r="2532">
          <cell r="A2532">
            <v>56113</v>
          </cell>
          <cell r="D2532" t="str">
            <v>松木扳指</v>
          </cell>
        </row>
        <row r="2533">
          <cell r="A2533">
            <v>56114</v>
          </cell>
          <cell r="D2533" t="str">
            <v>熊革护胸</v>
          </cell>
        </row>
        <row r="2534">
          <cell r="A2534">
            <v>56115</v>
          </cell>
          <cell r="D2534" t="str">
            <v>灰兔短靴</v>
          </cell>
        </row>
        <row r="2535">
          <cell r="A2535">
            <v>56116</v>
          </cell>
          <cell r="D2535" t="str">
            <v>鹰眼护额</v>
          </cell>
        </row>
        <row r="2536">
          <cell r="A2536">
            <v>56117</v>
          </cell>
          <cell r="D2536" t="str">
            <v>破空手套</v>
          </cell>
        </row>
        <row r="2537">
          <cell r="A2537">
            <v>56118</v>
          </cell>
          <cell r="D2537" t="str">
            <v>隼羽软甲</v>
          </cell>
        </row>
        <row r="2538">
          <cell r="A2538">
            <v>56119</v>
          </cell>
          <cell r="D2538" t="str">
            <v>夜枭长靴</v>
          </cell>
        </row>
        <row r="2539">
          <cell r="A2539">
            <v>56120</v>
          </cell>
          <cell r="D2539" t="str">
            <v>不灭炽阳</v>
          </cell>
        </row>
        <row r="2540">
          <cell r="A2540">
            <v>56121</v>
          </cell>
          <cell r="D2540" t="str">
            <v>拥光之握</v>
          </cell>
        </row>
        <row r="2541">
          <cell r="A2541">
            <v>56122</v>
          </cell>
          <cell r="D2541" t="str">
            <v>永恒斑耀</v>
          </cell>
        </row>
        <row r="2542">
          <cell r="A2542">
            <v>56123</v>
          </cell>
          <cell r="D2542" t="str">
            <v>破晓战靴</v>
          </cell>
        </row>
        <row r="2543">
          <cell r="A2543">
            <v>56124</v>
          </cell>
          <cell r="D2543" t="str">
            <v>羊毡风帽</v>
          </cell>
        </row>
        <row r="2544">
          <cell r="A2544">
            <v>56125</v>
          </cell>
          <cell r="D2544" t="str">
            <v>北地手套</v>
          </cell>
        </row>
        <row r="2545">
          <cell r="A2545">
            <v>56126</v>
          </cell>
          <cell r="D2545" t="str">
            <v>麂皮短衫</v>
          </cell>
        </row>
        <row r="2546">
          <cell r="A2546">
            <v>56127</v>
          </cell>
          <cell r="D2546" t="str">
            <v>翻毛长靴</v>
          </cell>
        </row>
        <row r="2547">
          <cell r="A2547">
            <v>56128</v>
          </cell>
          <cell r="D2547" t="str">
            <v>狮纹铜盔</v>
          </cell>
        </row>
        <row r="2548">
          <cell r="A2548">
            <v>56129</v>
          </cell>
          <cell r="D2548" t="str">
            <v>白狼护腕</v>
          </cell>
        </row>
        <row r="2549">
          <cell r="A2549">
            <v>56130</v>
          </cell>
          <cell r="D2549" t="str">
            <v>灰熊胸甲</v>
          </cell>
        </row>
        <row r="2550">
          <cell r="A2550">
            <v>56131</v>
          </cell>
          <cell r="D2550" t="str">
            <v>黑羽铁靴</v>
          </cell>
        </row>
        <row r="2551">
          <cell r="A2551">
            <v>56132</v>
          </cell>
          <cell r="D2551" t="str">
            <v>神视冠冕</v>
          </cell>
        </row>
        <row r="2552">
          <cell r="A2552">
            <v>56133</v>
          </cell>
          <cell r="D2552" t="str">
            <v>重光契约</v>
          </cell>
        </row>
        <row r="2553">
          <cell r="A2553">
            <v>56134</v>
          </cell>
          <cell r="D2553" t="str">
            <v>全明至圣</v>
          </cell>
        </row>
        <row r="2554">
          <cell r="A2554">
            <v>56135</v>
          </cell>
          <cell r="D2554" t="str">
            <v>无尘之靴</v>
          </cell>
        </row>
        <row r="2555">
          <cell r="A2555">
            <v>56136</v>
          </cell>
          <cell r="D2555" t="str">
            <v>简易草帽</v>
          </cell>
        </row>
        <row r="2556">
          <cell r="A2556">
            <v>56137</v>
          </cell>
          <cell r="D2556" t="str">
            <v>粗麻手套</v>
          </cell>
        </row>
        <row r="2557">
          <cell r="A2557">
            <v>56138</v>
          </cell>
          <cell r="D2557" t="str">
            <v>棉布上衣</v>
          </cell>
        </row>
        <row r="2558">
          <cell r="A2558">
            <v>56139</v>
          </cell>
          <cell r="D2558" t="str">
            <v>手工布靴</v>
          </cell>
        </row>
        <row r="2559">
          <cell r="A2559">
            <v>56140</v>
          </cell>
          <cell r="D2559" t="str">
            <v>翎羽头盔</v>
          </cell>
        </row>
        <row r="2560">
          <cell r="A2560">
            <v>56141</v>
          </cell>
          <cell r="D2560" t="str">
            <v>传承臂甲</v>
          </cell>
        </row>
        <row r="2561">
          <cell r="A2561">
            <v>56142</v>
          </cell>
          <cell r="D2561" t="str">
            <v>丝绸短衫</v>
          </cell>
        </row>
        <row r="2562">
          <cell r="A2562">
            <v>56143</v>
          </cell>
          <cell r="D2562" t="str">
            <v>精致皮靴</v>
          </cell>
        </row>
        <row r="2563">
          <cell r="A2563">
            <v>56144</v>
          </cell>
          <cell r="D2563" t="str">
            <v>深渊权柄</v>
          </cell>
        </row>
        <row r="2564">
          <cell r="A2564">
            <v>56145</v>
          </cell>
          <cell r="D2564" t="str">
            <v>混沌辉环</v>
          </cell>
        </row>
        <row r="2565">
          <cell r="A2565">
            <v>56146</v>
          </cell>
          <cell r="D2565" t="str">
            <v>死亡主宰</v>
          </cell>
        </row>
        <row r="2566">
          <cell r="A2566">
            <v>56147</v>
          </cell>
          <cell r="D2566" t="str">
            <v>梦魇战靴</v>
          </cell>
        </row>
        <row r="2567">
          <cell r="A2567">
            <v>56148</v>
          </cell>
          <cell r="D2567" t="str">
            <v>粗麻头巾</v>
          </cell>
        </row>
        <row r="2568">
          <cell r="A2568">
            <v>56149</v>
          </cell>
          <cell r="D2568" t="str">
            <v>编绳护腕</v>
          </cell>
        </row>
        <row r="2569">
          <cell r="A2569">
            <v>56150</v>
          </cell>
          <cell r="D2569" t="str">
            <v>破落布甲</v>
          </cell>
        </row>
        <row r="2570">
          <cell r="A2570">
            <v>56151</v>
          </cell>
          <cell r="D2570" t="str">
            <v>流浪长靴</v>
          </cell>
        </row>
        <row r="2571">
          <cell r="A2571">
            <v>56152</v>
          </cell>
          <cell r="D2571" t="str">
            <v>月桂头冠</v>
          </cell>
        </row>
        <row r="2572">
          <cell r="A2572">
            <v>56153</v>
          </cell>
          <cell r="D2572" t="str">
            <v>星纹护手</v>
          </cell>
        </row>
        <row r="2573">
          <cell r="A2573">
            <v>56154</v>
          </cell>
          <cell r="D2573" t="str">
            <v>银光胸甲</v>
          </cell>
        </row>
        <row r="2574">
          <cell r="A2574">
            <v>56155</v>
          </cell>
          <cell r="D2574" t="str">
            <v>暗影轻靴</v>
          </cell>
        </row>
        <row r="2575">
          <cell r="A2575">
            <v>56156</v>
          </cell>
          <cell r="D2575" t="str">
            <v>烈火之心</v>
          </cell>
        </row>
        <row r="2576">
          <cell r="A2576">
            <v>56157</v>
          </cell>
          <cell r="D2576" t="str">
            <v>流水之势</v>
          </cell>
        </row>
        <row r="2577">
          <cell r="A2577">
            <v>56158</v>
          </cell>
          <cell r="D2577" t="str">
            <v>无尽大地</v>
          </cell>
        </row>
        <row r="2578">
          <cell r="A2578">
            <v>56159</v>
          </cell>
          <cell r="D2578" t="str">
            <v>无影疾风</v>
          </cell>
        </row>
        <row r="2579">
          <cell r="A2579">
            <v>56160</v>
          </cell>
          <cell r="D2579" t="str">
            <v>鹿皮猎帽</v>
          </cell>
        </row>
        <row r="2580">
          <cell r="A2580">
            <v>56161</v>
          </cell>
          <cell r="D2580" t="str">
            <v>松木扳指</v>
          </cell>
        </row>
        <row r="2581">
          <cell r="A2581">
            <v>56162</v>
          </cell>
          <cell r="D2581" t="str">
            <v>熊革护胸</v>
          </cell>
        </row>
        <row r="2582">
          <cell r="A2582">
            <v>56163</v>
          </cell>
          <cell r="D2582" t="str">
            <v>灰兔短靴</v>
          </cell>
        </row>
        <row r="2583">
          <cell r="A2583">
            <v>56164</v>
          </cell>
          <cell r="D2583" t="str">
            <v>鹰眼护额</v>
          </cell>
        </row>
        <row r="2584">
          <cell r="A2584">
            <v>56165</v>
          </cell>
          <cell r="D2584" t="str">
            <v>破空手套</v>
          </cell>
        </row>
        <row r="2585">
          <cell r="A2585">
            <v>56166</v>
          </cell>
          <cell r="D2585" t="str">
            <v>隼羽软甲</v>
          </cell>
        </row>
        <row r="2586">
          <cell r="A2586">
            <v>56167</v>
          </cell>
          <cell r="D2586" t="str">
            <v>夜枭长靴</v>
          </cell>
        </row>
        <row r="2587">
          <cell r="A2587">
            <v>56168</v>
          </cell>
          <cell r="D2587" t="str">
            <v>不灭炽阳</v>
          </cell>
        </row>
        <row r="2588">
          <cell r="A2588">
            <v>56169</v>
          </cell>
          <cell r="D2588" t="str">
            <v>拥光之握</v>
          </cell>
        </row>
        <row r="2589">
          <cell r="A2589">
            <v>56170</v>
          </cell>
          <cell r="D2589" t="str">
            <v>永恒斑耀</v>
          </cell>
        </row>
        <row r="2590">
          <cell r="A2590">
            <v>56171</v>
          </cell>
          <cell r="D2590" t="str">
            <v>破晓战靴</v>
          </cell>
        </row>
        <row r="2591">
          <cell r="A2591">
            <v>56172</v>
          </cell>
          <cell r="D2591" t="str">
            <v>羊毡风帽</v>
          </cell>
        </row>
        <row r="2592">
          <cell r="A2592">
            <v>56173</v>
          </cell>
          <cell r="D2592" t="str">
            <v>北地手套</v>
          </cell>
        </row>
        <row r="2593">
          <cell r="A2593">
            <v>56174</v>
          </cell>
          <cell r="D2593" t="str">
            <v>麂皮短衫</v>
          </cell>
        </row>
        <row r="2594">
          <cell r="A2594">
            <v>56175</v>
          </cell>
          <cell r="D2594" t="str">
            <v>翻毛长靴</v>
          </cell>
        </row>
        <row r="2595">
          <cell r="A2595">
            <v>56176</v>
          </cell>
          <cell r="D2595" t="str">
            <v>狮纹铜盔</v>
          </cell>
        </row>
        <row r="2596">
          <cell r="A2596">
            <v>56177</v>
          </cell>
          <cell r="D2596" t="str">
            <v>白狼护腕</v>
          </cell>
        </row>
        <row r="2597">
          <cell r="A2597">
            <v>56178</v>
          </cell>
          <cell r="D2597" t="str">
            <v>灰熊胸甲</v>
          </cell>
        </row>
        <row r="2598">
          <cell r="A2598">
            <v>56179</v>
          </cell>
          <cell r="D2598" t="str">
            <v>黑羽铁靴</v>
          </cell>
        </row>
        <row r="2599">
          <cell r="A2599">
            <v>56180</v>
          </cell>
          <cell r="D2599" t="str">
            <v>神视冠冕</v>
          </cell>
        </row>
        <row r="2600">
          <cell r="A2600">
            <v>56181</v>
          </cell>
          <cell r="D2600" t="str">
            <v>重光契约</v>
          </cell>
        </row>
        <row r="2601">
          <cell r="A2601">
            <v>56182</v>
          </cell>
          <cell r="D2601" t="str">
            <v>全明至圣</v>
          </cell>
        </row>
        <row r="2602">
          <cell r="A2602">
            <v>56183</v>
          </cell>
          <cell r="D2602" t="str">
            <v>无尘之靴</v>
          </cell>
        </row>
        <row r="2603">
          <cell r="A2603">
            <v>56184</v>
          </cell>
          <cell r="D2603" t="str">
            <v>简易草帽</v>
          </cell>
        </row>
        <row r="2604">
          <cell r="A2604">
            <v>56185</v>
          </cell>
          <cell r="D2604" t="str">
            <v>粗麻手套</v>
          </cell>
        </row>
        <row r="2605">
          <cell r="A2605">
            <v>56186</v>
          </cell>
          <cell r="D2605" t="str">
            <v>棉布上衣</v>
          </cell>
        </row>
        <row r="2606">
          <cell r="A2606">
            <v>56187</v>
          </cell>
          <cell r="D2606" t="str">
            <v>手工布靴</v>
          </cell>
        </row>
        <row r="2607">
          <cell r="A2607">
            <v>56188</v>
          </cell>
          <cell r="D2607" t="str">
            <v>翎羽头盔</v>
          </cell>
        </row>
        <row r="2608">
          <cell r="A2608">
            <v>56189</v>
          </cell>
          <cell r="D2608" t="str">
            <v>传承臂甲</v>
          </cell>
        </row>
        <row r="2609">
          <cell r="A2609">
            <v>56190</v>
          </cell>
          <cell r="D2609" t="str">
            <v>丝绸短衫</v>
          </cell>
        </row>
        <row r="2610">
          <cell r="A2610">
            <v>56191</v>
          </cell>
          <cell r="D2610" t="str">
            <v>精致皮靴</v>
          </cell>
        </row>
        <row r="2611">
          <cell r="A2611">
            <v>56192</v>
          </cell>
          <cell r="D2611" t="str">
            <v>深渊权柄</v>
          </cell>
        </row>
        <row r="2612">
          <cell r="A2612">
            <v>56193</v>
          </cell>
          <cell r="D2612" t="str">
            <v>混沌辉环</v>
          </cell>
        </row>
        <row r="2613">
          <cell r="A2613">
            <v>56194</v>
          </cell>
          <cell r="D2613" t="str">
            <v>死亡主宰</v>
          </cell>
        </row>
        <row r="2614">
          <cell r="A2614">
            <v>56195</v>
          </cell>
          <cell r="D2614" t="str">
            <v>梦魇战靴</v>
          </cell>
        </row>
        <row r="2615">
          <cell r="A2615">
            <v>56196</v>
          </cell>
          <cell r="D2615" t="str">
            <v>装备进阶通用碎片-蓝</v>
          </cell>
        </row>
        <row r="2616">
          <cell r="A2616">
            <v>56197</v>
          </cell>
          <cell r="D2616" t="str">
            <v>装备进阶通用碎片-紫</v>
          </cell>
        </row>
        <row r="2617">
          <cell r="A2617">
            <v>56198</v>
          </cell>
          <cell r="D2617" t="str">
            <v>装备进阶通用碎片-橙</v>
          </cell>
        </row>
        <row r="2618">
          <cell r="A2618">
            <v>49538</v>
          </cell>
          <cell r="D2618" t="str">
            <v>小BP第2期解锁道具-打野BP</v>
          </cell>
        </row>
        <row r="2619">
          <cell r="A2619">
            <v>49541</v>
          </cell>
          <cell r="D2619" t="str">
            <v>BP第2期升级道具</v>
          </cell>
        </row>
        <row r="2620">
          <cell r="A2620">
            <v>49542</v>
          </cell>
          <cell r="D2620" t="str">
            <v>BP第2期高级版解锁道具</v>
          </cell>
        </row>
        <row r="2621">
          <cell r="A2621">
            <v>49543</v>
          </cell>
          <cell r="D2621" t="str">
            <v>BP第2期自选宝箱</v>
          </cell>
        </row>
        <row r="2622">
          <cell r="A2622">
            <v>49549</v>
          </cell>
          <cell r="D2622" t="str">
            <v>补偿用自选宝箱——屋大维/苏莱曼</v>
          </cell>
        </row>
        <row r="2623">
          <cell r="A2623">
            <v>49550</v>
          </cell>
          <cell r="D2623" t="str">
            <v>补偿用自选宝箱——理查一世/阿提拉</v>
          </cell>
        </row>
        <row r="2624">
          <cell r="A2624">
            <v>49551</v>
          </cell>
          <cell r="D2624" t="str">
            <v>探索挑战宝箱</v>
          </cell>
        </row>
        <row r="2625">
          <cell r="A2625">
            <v>49552</v>
          </cell>
          <cell r="D2625" t="str">
            <v>5006BP第一期自选宝箱</v>
          </cell>
        </row>
        <row r="2626">
          <cell r="A2626">
            <v>49553</v>
          </cell>
          <cell r="D2626" t="str">
            <v>橙色兵种图纸自选宝箱</v>
          </cell>
        </row>
        <row r="2627">
          <cell r="A2627">
            <v>49554</v>
          </cell>
          <cell r="D2627" t="str">
            <v>BP升级道具</v>
          </cell>
        </row>
        <row r="2628">
          <cell r="A2628">
            <v>49555</v>
          </cell>
          <cell r="D2628" t="str">
            <v>转盘抽奖券2</v>
          </cell>
        </row>
        <row r="2629">
          <cell r="A2629">
            <v>49556</v>
          </cell>
          <cell r="D2629" t="str">
            <v>10商队补给</v>
          </cell>
        </row>
        <row r="2630">
          <cell r="A2630">
            <v>49557</v>
          </cell>
          <cell r="D2630" t="str">
            <v>50商队补给</v>
          </cell>
        </row>
        <row r="2631">
          <cell r="A2631">
            <v>49558</v>
          </cell>
          <cell r="D2631" t="str">
            <v>100商队补给</v>
          </cell>
        </row>
        <row r="2632">
          <cell r="A2632">
            <v>49559</v>
          </cell>
          <cell r="D2632" t="str">
            <v>BP第3期高级版解锁道具</v>
          </cell>
        </row>
        <row r="2633">
          <cell r="A2633">
            <v>49560</v>
          </cell>
          <cell r="D2633" t="str">
            <v>BP第4期高级版解锁道具</v>
          </cell>
        </row>
        <row r="2634">
          <cell r="A2634">
            <v>49561</v>
          </cell>
          <cell r="D2634" t="str">
            <v>BP第5期高级版解锁道具</v>
          </cell>
        </row>
        <row r="2635">
          <cell r="A2635">
            <v>49562</v>
          </cell>
          <cell r="D2635" t="str">
            <v>BP第3期升级道具</v>
          </cell>
        </row>
        <row r="2636">
          <cell r="A2636">
            <v>49563</v>
          </cell>
          <cell r="D2636" t="str">
            <v>BP第4期升级道具</v>
          </cell>
        </row>
        <row r="2637">
          <cell r="A2637">
            <v>49564</v>
          </cell>
          <cell r="D2637" t="str">
            <v>BP第5期升级道具</v>
          </cell>
        </row>
        <row r="2638">
          <cell r="A2638">
            <v>49565</v>
          </cell>
          <cell r="D2638" t="str">
            <v>小BP第3期解锁道具-装备BP</v>
          </cell>
        </row>
        <row r="2639">
          <cell r="A2639">
            <v>49566</v>
          </cell>
          <cell r="D2639" t="str">
            <v>小BP第4期解锁道具-登录BP</v>
          </cell>
        </row>
        <row r="2640">
          <cell r="A2640">
            <v>49567</v>
          </cell>
          <cell r="D2640" t="str">
            <v>小BP第5期解锁道具-打野BP</v>
          </cell>
        </row>
        <row r="2641">
          <cell r="A2641">
            <v>49568</v>
          </cell>
          <cell r="D2641" t="str">
            <v>小BP第6期解锁道具-装备BP</v>
          </cell>
        </row>
        <row r="2642">
          <cell r="A2642">
            <v>49569</v>
          </cell>
          <cell r="D2642" t="str">
            <v>小BP第7期解锁道具-登录BP</v>
          </cell>
        </row>
        <row r="2643">
          <cell r="A2643">
            <v>49570</v>
          </cell>
          <cell r="D2643" t="str">
            <v>小BP第8期解锁道具-打野BP</v>
          </cell>
        </row>
        <row r="2644">
          <cell r="A2644">
            <v>49571</v>
          </cell>
          <cell r="D2644" t="str">
            <v>小BP第9期解锁道具-装备BP</v>
          </cell>
        </row>
        <row r="2645">
          <cell r="A2645">
            <v>49572</v>
          </cell>
          <cell r="D2645" t="str">
            <v>小BP第10期解锁道具-登录BP</v>
          </cell>
        </row>
        <row r="2646">
          <cell r="A2646">
            <v>49573</v>
          </cell>
          <cell r="D2646" t="str">
            <v>小BP第11期解锁道具-打野BP</v>
          </cell>
        </row>
        <row r="2647">
          <cell r="A2647">
            <v>49574</v>
          </cell>
          <cell r="D2647" t="str">
            <v>小BP第12期解锁道具-装备BP</v>
          </cell>
        </row>
        <row r="2648">
          <cell r="A2648">
            <v>49575</v>
          </cell>
          <cell r="D2648" t="str">
            <v>小BP第13期解锁道具-登录BP</v>
          </cell>
        </row>
        <row r="2649">
          <cell r="A2649">
            <v>49576</v>
          </cell>
          <cell r="D2649" t="str">
            <v>小BP第14期解锁道具-打野BP</v>
          </cell>
        </row>
        <row r="2650">
          <cell r="A2650">
            <v>49577</v>
          </cell>
          <cell r="D2650" t="str">
            <v>小BP第15期解锁道具-装备BP</v>
          </cell>
        </row>
        <row r="2651">
          <cell r="A2651">
            <v>49578</v>
          </cell>
          <cell r="D2651" t="str">
            <v>小BP第16期解锁道具-登录BP</v>
          </cell>
        </row>
        <row r="2652">
          <cell r="A2652">
            <v>49579</v>
          </cell>
          <cell r="D2652" t="str">
            <v>小BP第17期解锁道具-打野BP</v>
          </cell>
        </row>
        <row r="2653">
          <cell r="A2653">
            <v>49580</v>
          </cell>
          <cell r="D2653" t="str">
            <v>小BP第18期解锁道具-装备BP</v>
          </cell>
        </row>
        <row r="2654">
          <cell r="A2654">
            <v>49581</v>
          </cell>
          <cell r="D2654" t="str">
            <v>BP积分获取效率提高-第2期</v>
          </cell>
        </row>
        <row r="2655">
          <cell r="A2655">
            <v>49582</v>
          </cell>
          <cell r="D2655" t="str">
            <v>BP积分获取效率提高-第3期</v>
          </cell>
        </row>
        <row r="2656">
          <cell r="A2656">
            <v>49583</v>
          </cell>
          <cell r="D2656" t="str">
            <v>BP积分获取效率提高-第4期</v>
          </cell>
        </row>
        <row r="2657">
          <cell r="A2657">
            <v>49584</v>
          </cell>
          <cell r="D2657" t="str">
            <v>BP积分获取效率提高-第5期</v>
          </cell>
        </row>
        <row r="2658">
          <cell r="A2658">
            <v>49585</v>
          </cell>
          <cell r="D2658" t="str">
            <v>BP高级版解锁道具-登录BP</v>
          </cell>
        </row>
        <row r="2659">
          <cell r="A2659">
            <v>49586</v>
          </cell>
          <cell r="D2659" t="str">
            <v>小BP第2期解锁道具-打野BP</v>
          </cell>
        </row>
        <row r="2660">
          <cell r="A2660">
            <v>49587</v>
          </cell>
          <cell r="D2660" t="str">
            <v>小BP第3期解锁道具-装备BP</v>
          </cell>
        </row>
        <row r="2661">
          <cell r="A2661">
            <v>49588</v>
          </cell>
          <cell r="D2661" t="str">
            <v>小BP第4期解锁道具-登录BP</v>
          </cell>
        </row>
        <row r="2662">
          <cell r="A2662">
            <v>49589</v>
          </cell>
          <cell r="D2662" t="str">
            <v>小BP第5期解锁道具-打野BP</v>
          </cell>
        </row>
        <row r="2663">
          <cell r="A2663">
            <v>49590</v>
          </cell>
          <cell r="D2663" t="str">
            <v>小BP第6期解锁道具-装备BP</v>
          </cell>
        </row>
        <row r="2664">
          <cell r="A2664">
            <v>49591</v>
          </cell>
          <cell r="D2664" t="str">
            <v>小BP第7期解锁道具-登录BP</v>
          </cell>
        </row>
        <row r="2665">
          <cell r="A2665">
            <v>49592</v>
          </cell>
          <cell r="D2665" t="str">
            <v>小BP第8期解锁道具-打野BP</v>
          </cell>
        </row>
        <row r="2666">
          <cell r="A2666">
            <v>49593</v>
          </cell>
          <cell r="D2666" t="str">
            <v>小BP第9期解锁道具-装备BP</v>
          </cell>
        </row>
        <row r="2667">
          <cell r="A2667">
            <v>49594</v>
          </cell>
          <cell r="D2667" t="str">
            <v>小BP第10期解锁道具-登录BP</v>
          </cell>
        </row>
        <row r="2668">
          <cell r="A2668">
            <v>49595</v>
          </cell>
          <cell r="D2668" t="str">
            <v>小BP第11期解锁道具-打野BP</v>
          </cell>
        </row>
        <row r="2669">
          <cell r="A2669">
            <v>49596</v>
          </cell>
          <cell r="D2669" t="str">
            <v>小BP第12期解锁道具-装备BP</v>
          </cell>
        </row>
        <row r="2670">
          <cell r="A2670">
            <v>49597</v>
          </cell>
          <cell r="D2670" t="str">
            <v>小BP第13期解锁道具-登录BP</v>
          </cell>
        </row>
        <row r="2671">
          <cell r="A2671">
            <v>49598</v>
          </cell>
          <cell r="D2671" t="str">
            <v>小BP第14期解锁道具-打野BP</v>
          </cell>
        </row>
        <row r="2672">
          <cell r="A2672">
            <v>49599</v>
          </cell>
          <cell r="D2672" t="str">
            <v>小BP第15期解锁道具-装备BP</v>
          </cell>
        </row>
        <row r="2673">
          <cell r="A2673">
            <v>49600</v>
          </cell>
          <cell r="D2673" t="str">
            <v>小BP第16期解锁道具-登录BP</v>
          </cell>
        </row>
        <row r="2674">
          <cell r="A2674">
            <v>49610</v>
          </cell>
          <cell r="D2674" t="str">
            <v>小BP第17期解锁道具-打野BP</v>
          </cell>
        </row>
        <row r="2675">
          <cell r="A2675">
            <v>49611</v>
          </cell>
          <cell r="D2675" t="str">
            <v>小BP第18期解锁道具-装备BP</v>
          </cell>
        </row>
        <row r="2676">
          <cell r="A2676">
            <v>49612</v>
          </cell>
          <cell r="D2676" t="str">
            <v>小BP第19期解锁道具-登录BP</v>
          </cell>
        </row>
        <row r="2677">
          <cell r="A2677">
            <v>49613</v>
          </cell>
          <cell r="D2677" t="str">
            <v>小BP第20期解锁道具-打野BP</v>
          </cell>
        </row>
        <row r="2678">
          <cell r="A2678">
            <v>49614</v>
          </cell>
          <cell r="D2678" t="str">
            <v>小BP第21期解锁道具-装备BP</v>
          </cell>
        </row>
        <row r="2679">
          <cell r="A2679">
            <v>49615</v>
          </cell>
          <cell r="D2679" t="str">
            <v>BP第6期高级版解锁道具</v>
          </cell>
        </row>
        <row r="2680">
          <cell r="A2680">
            <v>49616</v>
          </cell>
          <cell r="D2680" t="str">
            <v>BP第7期高级版解锁道具</v>
          </cell>
        </row>
        <row r="2681">
          <cell r="A2681">
            <v>49617</v>
          </cell>
          <cell r="D2681" t="str">
            <v>BP第8期高级版解锁道具</v>
          </cell>
        </row>
        <row r="2682">
          <cell r="A2682">
            <v>49618</v>
          </cell>
          <cell r="D2682" t="str">
            <v>BP第9期高级版解锁道具</v>
          </cell>
        </row>
        <row r="2683">
          <cell r="A2683">
            <v>49619</v>
          </cell>
          <cell r="D2683" t="str">
            <v>BP第6期升级道具</v>
          </cell>
        </row>
        <row r="2684">
          <cell r="A2684">
            <v>49620</v>
          </cell>
          <cell r="D2684" t="str">
            <v>BP第7期升级道具</v>
          </cell>
        </row>
        <row r="2685">
          <cell r="A2685">
            <v>49621</v>
          </cell>
          <cell r="D2685" t="str">
            <v>BP第8期升级道具</v>
          </cell>
        </row>
        <row r="2686">
          <cell r="A2686">
            <v>49622</v>
          </cell>
          <cell r="D2686" t="str">
            <v>BP第9期升级道具</v>
          </cell>
        </row>
        <row r="2687">
          <cell r="A2687">
            <v>49623</v>
          </cell>
          <cell r="D2687" t="str">
            <v>BP积分获取效率提高-第6期</v>
          </cell>
        </row>
        <row r="2688">
          <cell r="A2688">
            <v>49624</v>
          </cell>
          <cell r="D2688" t="str">
            <v>BP积分获取效率提高-第7期</v>
          </cell>
        </row>
        <row r="2689">
          <cell r="A2689">
            <v>49625</v>
          </cell>
          <cell r="D2689" t="str">
            <v>BP积分获取效率提高-第8期</v>
          </cell>
        </row>
        <row r="2690">
          <cell r="A2690">
            <v>49626</v>
          </cell>
          <cell r="D2690" t="str">
            <v>BP积分获取效率提高-第9期</v>
          </cell>
        </row>
        <row r="2691">
          <cell r="A2691">
            <v>49627</v>
          </cell>
          <cell r="D2691" t="str">
            <v>小BP第22期解锁道具-登录BP</v>
          </cell>
        </row>
        <row r="2692">
          <cell r="A2692">
            <v>49628</v>
          </cell>
          <cell r="D2692" t="str">
            <v>小BP第23期解锁道具-打野BP</v>
          </cell>
        </row>
        <row r="2693">
          <cell r="A2693">
            <v>49629</v>
          </cell>
          <cell r="D2693" t="str">
            <v>小BP第24期解锁道具-装备BP</v>
          </cell>
        </row>
        <row r="2694">
          <cell r="A2694">
            <v>49630</v>
          </cell>
          <cell r="D2694" t="str">
            <v>小BP第25期解锁道具-登录BP</v>
          </cell>
        </row>
        <row r="2695">
          <cell r="A2695">
            <v>49631</v>
          </cell>
          <cell r="D2695" t="str">
            <v>小BP第26期解锁道具-打野BP</v>
          </cell>
        </row>
        <row r="2696">
          <cell r="A2696">
            <v>49632</v>
          </cell>
          <cell r="D2696" t="str">
            <v>小BP第27期解锁道具-装备BP</v>
          </cell>
        </row>
        <row r="2697">
          <cell r="A2697">
            <v>49634</v>
          </cell>
          <cell r="D2697" t="str">
            <v>回流-登录小bp-第一期</v>
          </cell>
        </row>
        <row r="2698">
          <cell r="A2698">
            <v>49635</v>
          </cell>
          <cell r="D2698" t="str">
            <v>BP第10期高级版解锁道具</v>
          </cell>
        </row>
        <row r="2699">
          <cell r="A2699">
            <v>49636</v>
          </cell>
          <cell r="D2699" t="str">
            <v>BP第10期升级道具</v>
          </cell>
        </row>
        <row r="2700">
          <cell r="A2700">
            <v>49637</v>
          </cell>
          <cell r="D2700" t="str">
            <v>BP积分获取效率提高-第10期</v>
          </cell>
        </row>
        <row r="2701">
          <cell r="A2701">
            <v>49638</v>
          </cell>
          <cell r="D2701" t="str">
            <v>小BP第28期解锁道具-登录BP</v>
          </cell>
        </row>
        <row r="2702">
          <cell r="A2702">
            <v>49639</v>
          </cell>
          <cell r="D2702" t="str">
            <v>小BP第29期解锁道具-打野BP</v>
          </cell>
        </row>
        <row r="2703">
          <cell r="A2703">
            <v>49640</v>
          </cell>
          <cell r="D2703" t="str">
            <v>小BP第30期解锁道具-装备BP</v>
          </cell>
        </row>
        <row r="2704">
          <cell r="A2704">
            <v>49641</v>
          </cell>
          <cell r="D2704" t="str">
            <v>A橙色英雄信物宝箱</v>
          </cell>
        </row>
        <row r="2705">
          <cell r="A2705">
            <v>49642</v>
          </cell>
          <cell r="D2705" t="str">
            <v>春节-打野小bp</v>
          </cell>
        </row>
        <row r="2706">
          <cell r="A2706">
            <v>49644</v>
          </cell>
          <cell r="D2706" t="str">
            <v>BP第1期高级版解锁道具-新服</v>
          </cell>
        </row>
        <row r="2707">
          <cell r="A2707">
            <v>49645</v>
          </cell>
          <cell r="D2707" t="str">
            <v>BP第1期升级道具-新服</v>
          </cell>
        </row>
        <row r="2708">
          <cell r="A2708">
            <v>49646</v>
          </cell>
          <cell r="D2708" t="str">
            <v>BP积分获取效率提高-第1期-新服</v>
          </cell>
        </row>
        <row r="2709">
          <cell r="A2709">
            <v>49647</v>
          </cell>
          <cell r="D2709" t="str">
            <v>BP第2期高级版解锁道具-新服</v>
          </cell>
        </row>
        <row r="2710">
          <cell r="A2710">
            <v>49648</v>
          </cell>
          <cell r="D2710" t="str">
            <v>BP第2期升级道具-新服</v>
          </cell>
        </row>
        <row r="2711">
          <cell r="A2711">
            <v>49649</v>
          </cell>
          <cell r="D2711" t="str">
            <v>BP积分获取效率提高-第2期-新服</v>
          </cell>
        </row>
        <row r="2712">
          <cell r="A2712">
            <v>49650</v>
          </cell>
          <cell r="D2712" t="str">
            <v>BP第3期高级版解锁道具-新服</v>
          </cell>
        </row>
        <row r="2713">
          <cell r="A2713">
            <v>49651</v>
          </cell>
          <cell r="D2713" t="str">
            <v>BP第3期升级道具-新服</v>
          </cell>
        </row>
        <row r="2714">
          <cell r="A2714">
            <v>49652</v>
          </cell>
          <cell r="D2714" t="str">
            <v>BP积分获取效率提高-第3期-新服</v>
          </cell>
        </row>
        <row r="2715">
          <cell r="A2715">
            <v>49653</v>
          </cell>
          <cell r="D2715" t="str">
            <v>斋月-登录BP-新</v>
          </cell>
        </row>
        <row r="2716">
          <cell r="A2716">
            <v>52001</v>
          </cell>
          <cell r="D2716" t="str">
            <v>BP自选宝箱-全副将</v>
          </cell>
        </row>
        <row r="2717">
          <cell r="A2717">
            <v>52002</v>
          </cell>
          <cell r="D2717" t="str">
            <v>代金券宝箱-49.99兑换</v>
          </cell>
        </row>
        <row r="2718">
          <cell r="A2718">
            <v>52003</v>
          </cell>
          <cell r="D2718" t="str">
            <v>代金券宝箱-39.99兑换</v>
          </cell>
        </row>
        <row r="2719">
          <cell r="A2719">
            <v>52004</v>
          </cell>
          <cell r="D2719" t="str">
            <v>代金券宝箱-29.99兑换</v>
          </cell>
        </row>
        <row r="2720">
          <cell r="A2720">
            <v>52005</v>
          </cell>
          <cell r="D2720" t="str">
            <v>代金券宝箱-24.99兑换</v>
          </cell>
        </row>
        <row r="2721">
          <cell r="A2721">
            <v>52006</v>
          </cell>
          <cell r="D2721" t="str">
            <v>代金券宝箱-19.99兑换</v>
          </cell>
        </row>
        <row r="2722">
          <cell r="A2722">
            <v>52007</v>
          </cell>
          <cell r="D2722" t="str">
            <v>代金券宝箱-14.99兑换</v>
          </cell>
        </row>
        <row r="2723">
          <cell r="A2723">
            <v>52008</v>
          </cell>
          <cell r="D2723" t="str">
            <v>代金券宝箱-9.99兑换</v>
          </cell>
        </row>
        <row r="2724">
          <cell r="A2724">
            <v>52009</v>
          </cell>
          <cell r="D2724" t="str">
            <v>代金券宝箱-4.99兑换</v>
          </cell>
        </row>
        <row r="2725">
          <cell r="A2725">
            <v>52010</v>
          </cell>
          <cell r="D2725" t="str">
            <v>代金券宝箱-2.99兑换</v>
          </cell>
        </row>
        <row r="2726">
          <cell r="A2726">
            <v>58001</v>
          </cell>
          <cell r="D2726" t="str">
            <v>1级装备田宝箱</v>
          </cell>
        </row>
        <row r="2727">
          <cell r="A2727">
            <v>58002</v>
          </cell>
          <cell r="D2727" t="str">
            <v>2级装备田宝箱</v>
          </cell>
        </row>
        <row r="2728">
          <cell r="A2728">
            <v>58003</v>
          </cell>
          <cell r="D2728" t="str">
            <v>3级装备田宝箱</v>
          </cell>
        </row>
        <row r="2729">
          <cell r="A2729">
            <v>58004</v>
          </cell>
          <cell r="D2729" t="str">
            <v>4级装备田宝箱</v>
          </cell>
        </row>
        <row r="2730">
          <cell r="A2730">
            <v>58005</v>
          </cell>
          <cell r="D2730" t="str">
            <v>5级装备田宝箱</v>
          </cell>
        </row>
        <row r="2731">
          <cell r="A2731">
            <v>58006</v>
          </cell>
          <cell r="D2731" t="str">
            <v>1级装备田宝箱卡池1</v>
          </cell>
        </row>
        <row r="2732">
          <cell r="A2732">
            <v>58007</v>
          </cell>
          <cell r="D2732" t="str">
            <v>2级装备田宝箱卡池1</v>
          </cell>
        </row>
        <row r="2733">
          <cell r="A2733">
            <v>58008</v>
          </cell>
          <cell r="D2733" t="str">
            <v>2级装备田宝箱卡池2</v>
          </cell>
        </row>
        <row r="2734">
          <cell r="A2734">
            <v>58009</v>
          </cell>
          <cell r="D2734" t="str">
            <v>3级装备田宝箱卡池1</v>
          </cell>
        </row>
        <row r="2735">
          <cell r="A2735">
            <v>58010</v>
          </cell>
          <cell r="D2735" t="str">
            <v>3级装备田宝箱卡池2</v>
          </cell>
        </row>
        <row r="2736">
          <cell r="A2736">
            <v>58011</v>
          </cell>
          <cell r="D2736" t="str">
            <v>3级装备田宝箱卡池3</v>
          </cell>
        </row>
        <row r="2737">
          <cell r="A2737">
            <v>58012</v>
          </cell>
          <cell r="D2737" t="str">
            <v>4级装备田宝箱卡池1</v>
          </cell>
        </row>
        <row r="2738">
          <cell r="A2738">
            <v>58013</v>
          </cell>
          <cell r="D2738" t="str">
            <v>4级装备田宝箱卡池2</v>
          </cell>
        </row>
        <row r="2739">
          <cell r="A2739">
            <v>58014</v>
          </cell>
          <cell r="D2739" t="str">
            <v>4级装备田宝箱卡池3</v>
          </cell>
        </row>
        <row r="2740">
          <cell r="A2740">
            <v>58015</v>
          </cell>
          <cell r="D2740" t="str">
            <v>5级装备田宝箱卡池1</v>
          </cell>
        </row>
        <row r="2741">
          <cell r="A2741">
            <v>58016</v>
          </cell>
          <cell r="D2741" t="str">
            <v>5级装备田宝箱卡池2</v>
          </cell>
        </row>
        <row r="2742">
          <cell r="A2742">
            <v>58017</v>
          </cell>
          <cell r="D2742" t="str">
            <v>5级装备田宝箱卡池3</v>
          </cell>
        </row>
        <row r="2743">
          <cell r="A2743">
            <v>6684</v>
          </cell>
          <cell r="D2743" t="str">
            <v>荣誉之星</v>
          </cell>
        </row>
        <row r="2744">
          <cell r="A2744">
            <v>6685</v>
          </cell>
          <cell r="D2744" t="str">
            <v>奥运会金牌</v>
          </cell>
        </row>
        <row r="2745">
          <cell r="A2745">
            <v>6686</v>
          </cell>
          <cell r="D2745" t="str">
            <v>奥运会银牌</v>
          </cell>
        </row>
        <row r="2746">
          <cell r="A2746">
            <v>6687</v>
          </cell>
          <cell r="D2746" t="str">
            <v>奥运会铜牌</v>
          </cell>
        </row>
        <row r="2747">
          <cell r="A2747">
            <v>3000001</v>
          </cell>
          <cell r="D2747" t="str">
            <v>自走棋放置货币</v>
          </cell>
        </row>
        <row r="2748">
          <cell r="A2748">
            <v>80001</v>
          </cell>
          <cell r="D2748" t="str">
            <v>代金券0.99</v>
          </cell>
        </row>
        <row r="2749">
          <cell r="A2749">
            <v>80002</v>
          </cell>
          <cell r="D2749" t="str">
            <v>代金券1.99</v>
          </cell>
        </row>
        <row r="2750">
          <cell r="A2750">
            <v>80003</v>
          </cell>
          <cell r="D2750" t="str">
            <v>代金券2.99</v>
          </cell>
        </row>
        <row r="2751">
          <cell r="A2751">
            <v>80004</v>
          </cell>
          <cell r="D2751" t="str">
            <v>代金券4.99</v>
          </cell>
        </row>
        <row r="2752">
          <cell r="A2752">
            <v>80005</v>
          </cell>
          <cell r="D2752" t="str">
            <v>代金券9.99</v>
          </cell>
        </row>
        <row r="2753">
          <cell r="A2753">
            <v>80006</v>
          </cell>
          <cell r="D2753" t="str">
            <v>代金券14.99</v>
          </cell>
        </row>
        <row r="2754">
          <cell r="A2754">
            <v>80007</v>
          </cell>
          <cell r="D2754" t="str">
            <v>代金券19.99</v>
          </cell>
        </row>
        <row r="2755">
          <cell r="A2755">
            <v>80008</v>
          </cell>
          <cell r="D2755" t="str">
            <v>代金券24.99</v>
          </cell>
        </row>
        <row r="2756">
          <cell r="A2756">
            <v>80009</v>
          </cell>
          <cell r="D2756" t="str">
            <v>代金券29.99</v>
          </cell>
        </row>
        <row r="2757">
          <cell r="A2757">
            <v>80010</v>
          </cell>
          <cell r="D2757" t="str">
            <v>代金券34.99</v>
          </cell>
        </row>
        <row r="2758">
          <cell r="A2758">
            <v>80011</v>
          </cell>
          <cell r="D2758" t="str">
            <v>代金券39.99</v>
          </cell>
        </row>
        <row r="2759">
          <cell r="A2759">
            <v>80012</v>
          </cell>
          <cell r="D2759" t="str">
            <v>代金券44.99</v>
          </cell>
        </row>
        <row r="2760">
          <cell r="A2760">
            <v>80013</v>
          </cell>
          <cell r="D2760" t="str">
            <v>代金券49.99</v>
          </cell>
        </row>
        <row r="2761">
          <cell r="A2761">
            <v>80014</v>
          </cell>
          <cell r="D2761" t="str">
            <v>代金券59.99</v>
          </cell>
        </row>
        <row r="2762">
          <cell r="A2762">
            <v>80015</v>
          </cell>
          <cell r="D2762" t="str">
            <v>代金券69.99</v>
          </cell>
        </row>
        <row r="2763">
          <cell r="A2763">
            <v>80016</v>
          </cell>
          <cell r="D2763" t="str">
            <v>代金券79.99</v>
          </cell>
        </row>
        <row r="2764">
          <cell r="A2764">
            <v>80017</v>
          </cell>
          <cell r="D2764" t="str">
            <v>代金券89.99</v>
          </cell>
        </row>
        <row r="2765">
          <cell r="A2765">
            <v>80018</v>
          </cell>
          <cell r="D2765" t="str">
            <v>代金券99.99</v>
          </cell>
        </row>
        <row r="2766">
          <cell r="A2766">
            <v>80019</v>
          </cell>
          <cell r="D2766" t="str">
            <v>代金券109.99</v>
          </cell>
        </row>
        <row r="2767">
          <cell r="A2767">
            <v>80020</v>
          </cell>
          <cell r="D2767" t="str">
            <v>代金券119.99</v>
          </cell>
        </row>
        <row r="2768">
          <cell r="A2768">
            <v>80021</v>
          </cell>
          <cell r="D2768" t="str">
            <v>代金券139.99</v>
          </cell>
        </row>
        <row r="2769">
          <cell r="A2769">
            <v>80022</v>
          </cell>
          <cell r="D2769" t="str">
            <v>代金券149.99</v>
          </cell>
        </row>
        <row r="2770">
          <cell r="A2770">
            <v>80023</v>
          </cell>
          <cell r="D2770" t="str">
            <v>代金券199.99</v>
          </cell>
        </row>
        <row r="2771">
          <cell r="A2771">
            <v>80024</v>
          </cell>
          <cell r="D2771" t="str">
            <v>月卡折扣券（进阶版）</v>
          </cell>
        </row>
        <row r="2772">
          <cell r="A2772">
            <v>80025</v>
          </cell>
          <cell r="D2772" t="str">
            <v>周卡折扣券</v>
          </cell>
        </row>
        <row r="2773">
          <cell r="A2773">
            <v>80026</v>
          </cell>
          <cell r="D2773" t="str">
            <v>王国秘藏折扣券</v>
          </cell>
        </row>
        <row r="2774">
          <cell r="A2774">
            <v>80027</v>
          </cell>
          <cell r="D2774" t="str">
            <v>成长基金折扣券</v>
          </cell>
        </row>
        <row r="2775">
          <cell r="A2775">
            <v>80028</v>
          </cell>
          <cell r="D2775" t="str">
            <v>超值礼包折扣券</v>
          </cell>
        </row>
        <row r="2776">
          <cell r="A2776">
            <v>80029</v>
          </cell>
          <cell r="D2776" t="str">
            <v>每日特惠折扣券</v>
          </cell>
        </row>
        <row r="2777">
          <cell r="A2777">
            <v>80030</v>
          </cell>
          <cell r="D2777" t="str">
            <v>心愿自选折扣券</v>
          </cell>
        </row>
        <row r="2778">
          <cell r="A2778">
            <v>80031</v>
          </cell>
          <cell r="D2778" t="str">
            <v>限时悬赏折扣券</v>
          </cell>
        </row>
        <row r="2779">
          <cell r="A2779">
            <v>80032</v>
          </cell>
          <cell r="D2779" t="str">
            <v>好礼连环折扣券</v>
          </cell>
        </row>
        <row r="2780">
          <cell r="A2780">
            <v>80033</v>
          </cell>
          <cell r="D2780" t="str">
            <v>主题礼包折扣券</v>
          </cell>
        </row>
        <row r="2781">
          <cell r="A2781">
            <v>80034</v>
          </cell>
          <cell r="D2781" t="str">
            <v>每日特惠折扣券</v>
          </cell>
        </row>
        <row r="2782">
          <cell r="A2782">
            <v>80035</v>
          </cell>
          <cell r="D2782" t="str">
            <v>珍品精选礼包折扣券</v>
          </cell>
        </row>
        <row r="2783">
          <cell r="A2783">
            <v>80036</v>
          </cell>
          <cell r="D2783" t="str">
            <v>折扣券49.99</v>
          </cell>
        </row>
        <row r="2784">
          <cell r="A2784">
            <v>80037</v>
          </cell>
          <cell r="D2784" t="str">
            <v>折扣券59.99</v>
          </cell>
        </row>
        <row r="2785">
          <cell r="A2785">
            <v>80038</v>
          </cell>
          <cell r="D2785" t="str">
            <v>折扣券69.99</v>
          </cell>
        </row>
        <row r="2786">
          <cell r="A2786">
            <v>80039</v>
          </cell>
          <cell r="D2786" t="str">
            <v>折扣券79.99</v>
          </cell>
        </row>
        <row r="2787">
          <cell r="A2787">
            <v>80040</v>
          </cell>
          <cell r="D2787" t="str">
            <v>折扣券89.99</v>
          </cell>
        </row>
        <row r="2788">
          <cell r="A2788">
            <v>80041</v>
          </cell>
          <cell r="D2788" t="str">
            <v>折扣券99.99</v>
          </cell>
        </row>
        <row r="2789">
          <cell r="A2789">
            <v>80042</v>
          </cell>
          <cell r="D2789" t="str">
            <v>折扣券109.99</v>
          </cell>
        </row>
        <row r="2790">
          <cell r="A2790">
            <v>80043</v>
          </cell>
          <cell r="D2790" t="str">
            <v>折扣券119.99</v>
          </cell>
        </row>
        <row r="2791">
          <cell r="A2791">
            <v>80044</v>
          </cell>
          <cell r="D2791" t="str">
            <v>折扣券139.99</v>
          </cell>
        </row>
        <row r="2792">
          <cell r="A2792">
            <v>80045</v>
          </cell>
          <cell r="D2792" t="str">
            <v>折扣券149.99</v>
          </cell>
        </row>
        <row r="2793">
          <cell r="A2793">
            <v>80046</v>
          </cell>
          <cell r="D2793" t="str">
            <v>折扣券199.99</v>
          </cell>
        </row>
        <row r="2794">
          <cell r="A2794">
            <v>80047</v>
          </cell>
          <cell r="D2794" t="str">
            <v>线上补发用自选宝箱-孙武/熙德</v>
          </cell>
        </row>
        <row r="2795">
          <cell r="A2795">
            <v>80048</v>
          </cell>
          <cell r="D2795" t="str">
            <v>线上补发用自选宝箱-哈里德/席巴女王/腓力四世/迪奥多拉</v>
          </cell>
        </row>
        <row r="2796">
          <cell r="A2796">
            <v>80049</v>
          </cell>
          <cell r="D2796" t="str">
            <v>月卡折扣券（基础版）</v>
          </cell>
        </row>
        <row r="2797">
          <cell r="A2797">
            <v>80067</v>
          </cell>
          <cell r="D2797" t="str">
            <v>主题礼包免单券</v>
          </cell>
        </row>
        <row r="2798">
          <cell r="A2798">
            <v>80068</v>
          </cell>
          <cell r="D2798" t="str">
            <v>主题礼包免单券</v>
          </cell>
        </row>
        <row r="2799">
          <cell r="A2799">
            <v>56212</v>
          </cell>
          <cell r="D2799" t="str">
            <v>合成橙+1宝石材料</v>
          </cell>
        </row>
        <row r="2800">
          <cell r="A2800">
            <v>56213</v>
          </cell>
          <cell r="D2800" t="str">
            <v>白色宝石宝箱-随机</v>
          </cell>
        </row>
        <row r="2801">
          <cell r="A2801">
            <v>56214</v>
          </cell>
          <cell r="D2801" t="str">
            <v>绿色宝石宝箱-随机</v>
          </cell>
        </row>
        <row r="2802">
          <cell r="A2802">
            <v>56215</v>
          </cell>
          <cell r="D2802" t="str">
            <v>蓝色宝石宝箱-随机</v>
          </cell>
        </row>
        <row r="2803">
          <cell r="A2803">
            <v>56216</v>
          </cell>
          <cell r="D2803" t="str">
            <v>紫色宝石宝箱-随机</v>
          </cell>
        </row>
        <row r="2804">
          <cell r="A2804">
            <v>56217</v>
          </cell>
          <cell r="D2804" t="str">
            <v>橙色宝石宝箱-随机</v>
          </cell>
        </row>
        <row r="2805">
          <cell r="A2805">
            <v>56218</v>
          </cell>
          <cell r="D2805" t="str">
            <v>紫色宝石宝箱-自选</v>
          </cell>
        </row>
        <row r="2806">
          <cell r="A2806">
            <v>56219</v>
          </cell>
          <cell r="D2806" t="str">
            <v>橙色宝石宝箱-自选</v>
          </cell>
        </row>
        <row r="2807">
          <cell r="A2807">
            <v>6688</v>
          </cell>
          <cell r="D2807" t="str">
            <v>万圣节积分</v>
          </cell>
        </row>
        <row r="2808">
          <cell r="A2808">
            <v>6689</v>
          </cell>
          <cell r="D2808" t="str">
            <v>感恩节积分</v>
          </cell>
        </row>
        <row r="2809">
          <cell r="A2809">
            <v>6690</v>
          </cell>
          <cell r="D2809" t="str">
            <v>万圣节礼盒</v>
          </cell>
        </row>
        <row r="2810">
          <cell r="A2810">
            <v>6691</v>
          </cell>
          <cell r="D2810" t="str">
            <v>感恩节礼盒</v>
          </cell>
        </row>
        <row r="2811">
          <cell r="A2811">
            <v>6692</v>
          </cell>
          <cell r="D2811" t="str">
            <v>火鸡</v>
          </cell>
        </row>
        <row r="2812">
          <cell r="A2812">
            <v>6693</v>
          </cell>
          <cell r="D2812" t="str">
            <v>土司面包</v>
          </cell>
        </row>
        <row r="2813">
          <cell r="A2813">
            <v>6694</v>
          </cell>
          <cell r="D2813" t="str">
            <v>水果酱</v>
          </cell>
        </row>
        <row r="2814">
          <cell r="A2814">
            <v>6695</v>
          </cell>
          <cell r="D2814" t="str">
            <v>土豆泥</v>
          </cell>
        </row>
        <row r="2815">
          <cell r="A2815">
            <v>6696</v>
          </cell>
          <cell r="D2815" t="str">
            <v>四季豆砂锅</v>
          </cell>
        </row>
        <row r="2816">
          <cell r="A2816">
            <v>6697</v>
          </cell>
          <cell r="D2816" t="str">
            <v>南瓜派</v>
          </cell>
        </row>
        <row r="2817">
          <cell r="A2817">
            <v>6698</v>
          </cell>
          <cell r="D2817" t="str">
            <v>肉</v>
          </cell>
        </row>
        <row r="2818">
          <cell r="A2818">
            <v>6699</v>
          </cell>
          <cell r="D2818" t="str">
            <v>黄油</v>
          </cell>
        </row>
        <row r="2819">
          <cell r="A2819">
            <v>6700</v>
          </cell>
          <cell r="D2819" t="str">
            <v>蔬菜</v>
          </cell>
        </row>
        <row r="2820">
          <cell r="A2820">
            <v>6701</v>
          </cell>
          <cell r="D2820" t="str">
            <v>水果</v>
          </cell>
        </row>
        <row r="2821">
          <cell r="A2821">
            <v>6702</v>
          </cell>
          <cell r="D2821" t="str">
            <v>粮食</v>
          </cell>
        </row>
        <row r="2822">
          <cell r="A2822">
            <v>6703</v>
          </cell>
          <cell r="D2822" t="str">
            <v>糖</v>
          </cell>
        </row>
        <row r="2823">
          <cell r="A2823">
            <v>6704</v>
          </cell>
          <cell r="D2823" t="str">
            <v>奶油</v>
          </cell>
        </row>
        <row r="2824">
          <cell r="A2824">
            <v>6705</v>
          </cell>
          <cell r="D2824" t="str">
            <v>万圣节糖果</v>
          </cell>
        </row>
        <row r="2825">
          <cell r="A2825">
            <v>6706</v>
          </cell>
          <cell r="D2825" t="str">
            <v>惊魂镰刀</v>
          </cell>
        </row>
        <row r="2826">
          <cell r="A2826">
            <v>6707</v>
          </cell>
          <cell r="D2826" t="str">
            <v>万圣节BP南瓜</v>
          </cell>
        </row>
        <row r="2827">
          <cell r="A2827">
            <v>6708</v>
          </cell>
          <cell r="D2827" t="str">
            <v>感恩节BP火鸡</v>
          </cell>
        </row>
        <row r="2828">
          <cell r="A2828">
            <v>56220</v>
          </cell>
          <cell r="D2828" t="str">
            <v>正方形宝石-红</v>
          </cell>
        </row>
        <row r="2829">
          <cell r="A2829">
            <v>56221</v>
          </cell>
          <cell r="D2829" t="str">
            <v>六边形宝石</v>
          </cell>
        </row>
        <row r="2830">
          <cell r="A2830">
            <v>56222</v>
          </cell>
          <cell r="D2830" t="str">
            <v>三角形宝石</v>
          </cell>
        </row>
        <row r="2831">
          <cell r="A2831">
            <v>6709</v>
          </cell>
          <cell r="D2831" t="str">
            <v>万圣节BP-高级奖励-解锁</v>
          </cell>
        </row>
        <row r="2832">
          <cell r="A2832">
            <v>6710</v>
          </cell>
          <cell r="D2832" t="str">
            <v>感恩节BP-高级奖励-解锁</v>
          </cell>
        </row>
        <row r="2833">
          <cell r="A2833">
            <v>56223</v>
          </cell>
          <cell r="D2833" t="str">
            <v>紫色宝石宝箱-自选-战略</v>
          </cell>
        </row>
        <row r="2834">
          <cell r="A2834">
            <v>56224</v>
          </cell>
          <cell r="D2834" t="str">
            <v>紫色宝石宝箱-自选-英雄</v>
          </cell>
        </row>
        <row r="2835">
          <cell r="A2835">
            <v>56225</v>
          </cell>
          <cell r="D2835" t="str">
            <v>紫色宝石宝箱-自选-战术</v>
          </cell>
        </row>
        <row r="2836">
          <cell r="A2836">
            <v>56226</v>
          </cell>
          <cell r="D2836" t="str">
            <v>橙色宝石宝箱-自选-战略</v>
          </cell>
        </row>
        <row r="2837">
          <cell r="A2837">
            <v>56227</v>
          </cell>
          <cell r="D2837" t="str">
            <v>橙色宝石宝箱-自选-英雄</v>
          </cell>
        </row>
        <row r="2838">
          <cell r="A2838">
            <v>56228</v>
          </cell>
          <cell r="D2838" t="str">
            <v>橙色宝石宝箱-自选-战术</v>
          </cell>
        </row>
        <row r="2839">
          <cell r="A2839">
            <v>56332</v>
          </cell>
          <cell r="D2839" t="str">
            <v>战略宝石-兵种攻击</v>
          </cell>
        </row>
        <row r="2840">
          <cell r="A2840">
            <v>56333</v>
          </cell>
          <cell r="D2840" t="str">
            <v>战略宝石-兵种防御</v>
          </cell>
        </row>
        <row r="2841">
          <cell r="A2841">
            <v>56334</v>
          </cell>
          <cell r="D2841" t="str">
            <v>战略宝石-兵种生命</v>
          </cell>
        </row>
        <row r="2842">
          <cell r="A2842">
            <v>56335</v>
          </cell>
          <cell r="D2842" t="str">
            <v>战略宝石-出征容量</v>
          </cell>
        </row>
        <row r="2843">
          <cell r="A2843">
            <v>56336</v>
          </cell>
          <cell r="D2843" t="str">
            <v>战略宝石-采集速度</v>
          </cell>
        </row>
        <row r="2844">
          <cell r="A2844">
            <v>56337</v>
          </cell>
          <cell r="D2844" t="str">
            <v>英雄宝石-武力</v>
          </cell>
        </row>
        <row r="2845">
          <cell r="A2845">
            <v>56338</v>
          </cell>
          <cell r="D2845" t="str">
            <v>英雄宝石-谋略</v>
          </cell>
        </row>
        <row r="2846">
          <cell r="A2846">
            <v>56339</v>
          </cell>
          <cell r="D2846" t="str">
            <v>英雄宝石-守备</v>
          </cell>
        </row>
        <row r="2847">
          <cell r="A2847">
            <v>56340</v>
          </cell>
          <cell r="D2847" t="str">
            <v>英雄宝石-摧城</v>
          </cell>
        </row>
        <row r="2848">
          <cell r="A2848">
            <v>56341</v>
          </cell>
          <cell r="D2848" t="str">
            <v>英雄宝石-三维</v>
          </cell>
        </row>
        <row r="2849">
          <cell r="A2849">
            <v>56342</v>
          </cell>
          <cell r="D2849" t="str">
            <v>战术宝石-被动</v>
          </cell>
        </row>
        <row r="2850">
          <cell r="A2850">
            <v>56343</v>
          </cell>
          <cell r="D2850" t="str">
            <v>战术宝石-追击</v>
          </cell>
        </row>
        <row r="2851">
          <cell r="A2851">
            <v>56344</v>
          </cell>
          <cell r="D2851" t="str">
            <v>战术宝石-主动</v>
          </cell>
        </row>
        <row r="2852">
          <cell r="A2852">
            <v>56345</v>
          </cell>
          <cell r="D2852" t="str">
            <v>战术宝石-指挥</v>
          </cell>
        </row>
        <row r="2853">
          <cell r="A2853">
            <v>56346</v>
          </cell>
          <cell r="D2853" t="str">
            <v>战术宝石-治疗</v>
          </cell>
        </row>
        <row r="2854">
          <cell r="A2854">
            <v>56347</v>
          </cell>
          <cell r="D2854" t="str">
            <v>战术宝石-普攻</v>
          </cell>
        </row>
        <row r="2855">
          <cell r="A2855">
            <v>56348</v>
          </cell>
          <cell r="D2855" t="str">
            <v>战略宝石-兵种攻击</v>
          </cell>
        </row>
        <row r="2856">
          <cell r="A2856">
            <v>56349</v>
          </cell>
          <cell r="D2856" t="str">
            <v>战略宝石-兵种防御</v>
          </cell>
        </row>
        <row r="2857">
          <cell r="A2857">
            <v>56350</v>
          </cell>
          <cell r="D2857" t="str">
            <v>战略宝石-兵种生命</v>
          </cell>
        </row>
        <row r="2858">
          <cell r="A2858">
            <v>56351</v>
          </cell>
          <cell r="D2858" t="str">
            <v>战略宝石-出征容量</v>
          </cell>
        </row>
        <row r="2859">
          <cell r="A2859">
            <v>56352</v>
          </cell>
          <cell r="D2859" t="str">
            <v>战略宝石-采集速度</v>
          </cell>
        </row>
        <row r="2860">
          <cell r="A2860">
            <v>56353</v>
          </cell>
          <cell r="D2860" t="str">
            <v>英雄宝石-武力</v>
          </cell>
        </row>
        <row r="2861">
          <cell r="A2861">
            <v>56354</v>
          </cell>
          <cell r="D2861" t="str">
            <v>英雄宝石-谋略</v>
          </cell>
        </row>
        <row r="2862">
          <cell r="A2862">
            <v>56355</v>
          </cell>
          <cell r="D2862" t="str">
            <v>英雄宝石-守备</v>
          </cell>
        </row>
        <row r="2863">
          <cell r="A2863">
            <v>56356</v>
          </cell>
          <cell r="D2863" t="str">
            <v>英雄宝石-摧城</v>
          </cell>
        </row>
        <row r="2864">
          <cell r="A2864">
            <v>56357</v>
          </cell>
          <cell r="D2864" t="str">
            <v>英雄宝石-三维</v>
          </cell>
        </row>
        <row r="2865">
          <cell r="A2865">
            <v>56358</v>
          </cell>
          <cell r="D2865" t="str">
            <v>战术宝石-被动</v>
          </cell>
        </row>
        <row r="2866">
          <cell r="A2866">
            <v>56359</v>
          </cell>
          <cell r="D2866" t="str">
            <v>战术宝石-追击</v>
          </cell>
        </row>
        <row r="2867">
          <cell r="A2867">
            <v>56360</v>
          </cell>
          <cell r="D2867" t="str">
            <v>战术宝石-主动</v>
          </cell>
        </row>
        <row r="2868">
          <cell r="A2868">
            <v>56361</v>
          </cell>
          <cell r="D2868" t="str">
            <v>战术宝石-指挥</v>
          </cell>
        </row>
        <row r="2869">
          <cell r="A2869">
            <v>56362</v>
          </cell>
          <cell r="D2869" t="str">
            <v>战术宝石-治疗</v>
          </cell>
        </row>
        <row r="2870">
          <cell r="A2870">
            <v>56363</v>
          </cell>
          <cell r="D2870" t="str">
            <v>战术宝石-普攻</v>
          </cell>
        </row>
        <row r="2871">
          <cell r="A2871">
            <v>56364</v>
          </cell>
          <cell r="D2871" t="str">
            <v>战略宝石-兵种攻击</v>
          </cell>
        </row>
        <row r="2872">
          <cell r="A2872">
            <v>56365</v>
          </cell>
          <cell r="D2872" t="str">
            <v>战略宝石-兵种防御</v>
          </cell>
        </row>
        <row r="2873">
          <cell r="A2873">
            <v>56366</v>
          </cell>
          <cell r="D2873" t="str">
            <v>战略宝石-兵种生命</v>
          </cell>
        </row>
        <row r="2874">
          <cell r="A2874">
            <v>56367</v>
          </cell>
          <cell r="D2874" t="str">
            <v>战略宝石-出征容量</v>
          </cell>
        </row>
        <row r="2875">
          <cell r="A2875">
            <v>56368</v>
          </cell>
          <cell r="D2875" t="str">
            <v>战略宝石-采集速度</v>
          </cell>
        </row>
        <row r="2876">
          <cell r="A2876">
            <v>56369</v>
          </cell>
          <cell r="D2876" t="str">
            <v>英雄宝石-武力</v>
          </cell>
        </row>
        <row r="2877">
          <cell r="A2877">
            <v>56370</v>
          </cell>
          <cell r="D2877" t="str">
            <v>英雄宝石-谋略</v>
          </cell>
        </row>
        <row r="2878">
          <cell r="A2878">
            <v>56371</v>
          </cell>
          <cell r="D2878" t="str">
            <v>英雄宝石-守备</v>
          </cell>
        </row>
        <row r="2879">
          <cell r="A2879">
            <v>56372</v>
          </cell>
          <cell r="D2879" t="str">
            <v>英雄宝石-摧城</v>
          </cell>
        </row>
        <row r="2880">
          <cell r="A2880">
            <v>56373</v>
          </cell>
          <cell r="D2880" t="str">
            <v>英雄宝石-三维</v>
          </cell>
        </row>
        <row r="2881">
          <cell r="A2881">
            <v>56374</v>
          </cell>
          <cell r="D2881" t="str">
            <v>战术宝石-被动</v>
          </cell>
        </row>
        <row r="2882">
          <cell r="A2882">
            <v>56375</v>
          </cell>
          <cell r="D2882" t="str">
            <v>战术宝石-追击</v>
          </cell>
        </row>
        <row r="2883">
          <cell r="A2883">
            <v>56376</v>
          </cell>
          <cell r="D2883" t="str">
            <v>战术宝石-主动</v>
          </cell>
        </row>
        <row r="2884">
          <cell r="A2884">
            <v>56377</v>
          </cell>
          <cell r="D2884" t="str">
            <v>战术宝石-指挥</v>
          </cell>
        </row>
        <row r="2885">
          <cell r="A2885">
            <v>56378</v>
          </cell>
          <cell r="D2885" t="str">
            <v>战术宝石-治疗</v>
          </cell>
        </row>
        <row r="2886">
          <cell r="A2886">
            <v>56379</v>
          </cell>
          <cell r="D2886" t="str">
            <v>战术宝石-普攻</v>
          </cell>
        </row>
        <row r="2887">
          <cell r="A2887">
            <v>56380</v>
          </cell>
          <cell r="D2887" t="str">
            <v>战略宝石-兵种攻击</v>
          </cell>
        </row>
        <row r="2888">
          <cell r="A2888">
            <v>56381</v>
          </cell>
          <cell r="D2888" t="str">
            <v>战略宝石-兵种防御</v>
          </cell>
        </row>
        <row r="2889">
          <cell r="A2889">
            <v>56382</v>
          </cell>
          <cell r="D2889" t="str">
            <v>战略宝石-兵种生命</v>
          </cell>
        </row>
        <row r="2890">
          <cell r="A2890">
            <v>56383</v>
          </cell>
          <cell r="D2890" t="str">
            <v>战略宝石-出征容量</v>
          </cell>
        </row>
        <row r="2891">
          <cell r="A2891">
            <v>56384</v>
          </cell>
          <cell r="D2891" t="str">
            <v>战略宝石-采集速度</v>
          </cell>
        </row>
        <row r="2892">
          <cell r="A2892">
            <v>56385</v>
          </cell>
          <cell r="D2892" t="str">
            <v>英雄宝石-武力</v>
          </cell>
        </row>
        <row r="2893">
          <cell r="A2893">
            <v>56386</v>
          </cell>
          <cell r="D2893" t="str">
            <v>英雄宝石-谋略</v>
          </cell>
        </row>
        <row r="2894">
          <cell r="A2894">
            <v>56387</v>
          </cell>
          <cell r="D2894" t="str">
            <v>英雄宝石-守备</v>
          </cell>
        </row>
        <row r="2895">
          <cell r="A2895">
            <v>56388</v>
          </cell>
          <cell r="D2895" t="str">
            <v>英雄宝石-摧城</v>
          </cell>
        </row>
        <row r="2896">
          <cell r="A2896">
            <v>56389</v>
          </cell>
          <cell r="D2896" t="str">
            <v>英雄宝石-三维</v>
          </cell>
        </row>
        <row r="2897">
          <cell r="A2897">
            <v>56390</v>
          </cell>
          <cell r="D2897" t="str">
            <v>战术宝石-被动</v>
          </cell>
        </row>
        <row r="2898">
          <cell r="A2898">
            <v>56391</v>
          </cell>
          <cell r="D2898" t="str">
            <v>战术宝石-追击</v>
          </cell>
        </row>
        <row r="2899">
          <cell r="A2899">
            <v>56392</v>
          </cell>
          <cell r="D2899" t="str">
            <v>战术宝石-主动</v>
          </cell>
        </row>
        <row r="2900">
          <cell r="A2900">
            <v>56393</v>
          </cell>
          <cell r="D2900" t="str">
            <v>战术宝石-指挥</v>
          </cell>
        </row>
        <row r="2901">
          <cell r="A2901">
            <v>56394</v>
          </cell>
          <cell r="D2901" t="str">
            <v>战术宝石-治疗</v>
          </cell>
        </row>
        <row r="2902">
          <cell r="A2902">
            <v>56395</v>
          </cell>
          <cell r="D2902" t="str">
            <v>战术宝石-普攻</v>
          </cell>
        </row>
        <row r="2903">
          <cell r="A2903">
            <v>6711</v>
          </cell>
          <cell r="D2903" t="str">
            <v>万圣节巧克力</v>
          </cell>
        </row>
        <row r="2904">
          <cell r="A2904">
            <v>56396</v>
          </cell>
          <cell r="D2904" t="str">
            <v>兵种攻击[图标迭代]</v>
          </cell>
        </row>
        <row r="2905">
          <cell r="A2905">
            <v>56397</v>
          </cell>
          <cell r="D2905" t="str">
            <v>兵种防御</v>
          </cell>
        </row>
        <row r="2906">
          <cell r="A2906">
            <v>56398</v>
          </cell>
          <cell r="D2906" t="str">
            <v>兵种生命</v>
          </cell>
        </row>
        <row r="2907">
          <cell r="A2907">
            <v>56399</v>
          </cell>
          <cell r="D2907" t="str">
            <v>出征容量</v>
          </cell>
        </row>
        <row r="2908">
          <cell r="A2908">
            <v>56400</v>
          </cell>
          <cell r="D2908" t="str">
            <v>采集速度</v>
          </cell>
        </row>
        <row r="2909">
          <cell r="A2909">
            <v>56401</v>
          </cell>
          <cell r="D2909" t="str">
            <v>武力</v>
          </cell>
        </row>
        <row r="2910">
          <cell r="A2910">
            <v>56402</v>
          </cell>
          <cell r="D2910" t="str">
            <v>谋略</v>
          </cell>
        </row>
        <row r="2911">
          <cell r="A2911">
            <v>56403</v>
          </cell>
          <cell r="D2911" t="str">
            <v>守备</v>
          </cell>
        </row>
        <row r="2912">
          <cell r="A2912">
            <v>56404</v>
          </cell>
          <cell r="D2912" t="str">
            <v>摧城</v>
          </cell>
        </row>
        <row r="2913">
          <cell r="A2913">
            <v>56405</v>
          </cell>
          <cell r="D2913" t="str">
            <v>三维</v>
          </cell>
        </row>
        <row r="2914">
          <cell r="A2914">
            <v>56406</v>
          </cell>
          <cell r="D2914" t="str">
            <v>被动</v>
          </cell>
        </row>
        <row r="2915">
          <cell r="A2915">
            <v>56407</v>
          </cell>
          <cell r="D2915" t="str">
            <v>追击</v>
          </cell>
        </row>
        <row r="2916">
          <cell r="A2916">
            <v>56408</v>
          </cell>
          <cell r="D2916" t="str">
            <v>主动</v>
          </cell>
        </row>
        <row r="2917">
          <cell r="A2917">
            <v>56409</v>
          </cell>
          <cell r="D2917" t="str">
            <v>指挥</v>
          </cell>
        </row>
        <row r="2918">
          <cell r="A2918">
            <v>56410</v>
          </cell>
          <cell r="D2918" t="str">
            <v>治疗</v>
          </cell>
        </row>
        <row r="2919">
          <cell r="A2919">
            <v>56411</v>
          </cell>
          <cell r="D2919" t="str">
            <v>普攻</v>
          </cell>
        </row>
        <row r="2920">
          <cell r="A2920">
            <v>6712</v>
          </cell>
          <cell r="D2920" t="str">
            <v>圣诞节积分</v>
          </cell>
        </row>
        <row r="2921">
          <cell r="A2921">
            <v>6713</v>
          </cell>
          <cell r="D2921" t="str">
            <v>圣诞节礼物</v>
          </cell>
        </row>
        <row r="2922">
          <cell r="A2922">
            <v>6714</v>
          </cell>
          <cell r="D2922" t="str">
            <v>彩灯</v>
          </cell>
        </row>
        <row r="2923">
          <cell r="A2923">
            <v>6715</v>
          </cell>
          <cell r="D2923" t="str">
            <v>雪球</v>
          </cell>
        </row>
        <row r="2924">
          <cell r="A2924">
            <v>6716</v>
          </cell>
          <cell r="D2924" t="str">
            <v>雪花</v>
          </cell>
        </row>
        <row r="2925">
          <cell r="A2925">
            <v>49633</v>
          </cell>
          <cell r="D2925" t="str">
            <v>每日特惠自选宝箱</v>
          </cell>
        </row>
        <row r="2926">
          <cell r="A2926">
            <v>6717</v>
          </cell>
          <cell r="D2926" t="str">
            <v>拼图碎片</v>
          </cell>
        </row>
        <row r="2927">
          <cell r="A2927">
            <v>6800</v>
          </cell>
          <cell r="D2927" t="str">
            <v>帝国荣耀勋章</v>
          </cell>
        </row>
        <row r="2928">
          <cell r="A2928">
            <v>6718</v>
          </cell>
          <cell r="D2928" t="str">
            <v>节日气球</v>
          </cell>
        </row>
        <row r="2929">
          <cell r="A2929">
            <v>6719</v>
          </cell>
          <cell r="D2929" t="str">
            <v>海岛段位基金解锁道具</v>
          </cell>
        </row>
        <row r="2930">
          <cell r="A2930">
            <v>6801</v>
          </cell>
          <cell r="D2930" t="str">
            <v>最强帝国金币</v>
          </cell>
        </row>
        <row r="2931">
          <cell r="A2931">
            <v>6802</v>
          </cell>
          <cell r="D2931" t="str">
            <v>死兵恢复券</v>
          </cell>
        </row>
        <row r="2932">
          <cell r="A2932">
            <v>6803</v>
          </cell>
          <cell r="D2932" t="str">
            <v>死兵恢复助力</v>
          </cell>
        </row>
        <row r="2933">
          <cell r="A2933">
            <v>6720</v>
          </cell>
          <cell r="D2933" t="str">
            <v>新年头像框</v>
          </cell>
        </row>
        <row r="2934">
          <cell r="A2934">
            <v>6721</v>
          </cell>
          <cell r="D2934" t="str">
            <v>春节积分</v>
          </cell>
        </row>
        <row r="2935">
          <cell r="A2935">
            <v>6722</v>
          </cell>
          <cell r="D2935" t="str">
            <v>春节礼盒</v>
          </cell>
        </row>
        <row r="2936">
          <cell r="A2936">
            <v>6723</v>
          </cell>
          <cell r="D2936" t="str">
            <v>迎春灯笼</v>
          </cell>
        </row>
        <row r="2937">
          <cell r="A2937">
            <v>6724</v>
          </cell>
          <cell r="D2937" t="str">
            <v>新春爆竹</v>
          </cell>
        </row>
        <row r="2938">
          <cell r="A2938">
            <v>6725</v>
          </cell>
          <cell r="D2938" t="str">
            <v>喜庆烟花</v>
          </cell>
        </row>
        <row r="2939">
          <cell r="A2939">
            <v>6726</v>
          </cell>
          <cell r="D2939" t="str">
            <v>新年红包</v>
          </cell>
        </row>
        <row r="2940">
          <cell r="A2940">
            <v>6727</v>
          </cell>
          <cell r="D2940" t="str">
            <v>春节BP-高级奖励-解锁</v>
          </cell>
        </row>
        <row r="2941">
          <cell r="A2941">
            <v>6728</v>
          </cell>
          <cell r="D2941" t="str">
            <v>圣诞节BP-高级奖励-解锁</v>
          </cell>
        </row>
        <row r="2942">
          <cell r="A2942">
            <v>42155</v>
          </cell>
          <cell r="D2942" t="str">
            <v>米大师幸运头像框</v>
          </cell>
        </row>
        <row r="2943">
          <cell r="A2943">
            <v>6729</v>
          </cell>
          <cell r="D2943" t="str">
            <v>春节行军套装</v>
          </cell>
        </row>
        <row r="2944">
          <cell r="A2944">
            <v>6730</v>
          </cell>
          <cell r="D2944" t="str">
            <v>春节城堡皮肤（7天）</v>
          </cell>
        </row>
        <row r="2945">
          <cell r="A2945">
            <v>6731</v>
          </cell>
          <cell r="D2945" t="str">
            <v>春节城堡皮肤（永久）</v>
          </cell>
        </row>
        <row r="2946">
          <cell r="A2946">
            <v>64002</v>
          </cell>
          <cell r="D2946" t="str">
            <v>圣诞红包</v>
          </cell>
        </row>
        <row r="2947">
          <cell r="A2947">
            <v>64005</v>
          </cell>
          <cell r="D2947" t="str">
            <v>圣诞红包-大</v>
          </cell>
        </row>
        <row r="2948">
          <cell r="A2948">
            <v>64001</v>
          </cell>
          <cell r="D2948" t="str">
            <v>征程金币</v>
          </cell>
        </row>
        <row r="2949">
          <cell r="A2949">
            <v>80050</v>
          </cell>
          <cell r="D2949" t="str">
            <v>最强王国英雄自选箱1期</v>
          </cell>
        </row>
        <row r="2950">
          <cell r="A2950">
            <v>80051</v>
          </cell>
          <cell r="D2950" t="str">
            <v>最强王国英雄自选箱2期</v>
          </cell>
        </row>
        <row r="2951">
          <cell r="A2951">
            <v>80052</v>
          </cell>
          <cell r="D2951" t="str">
            <v>最强王国英雄自选箱3期</v>
          </cell>
        </row>
        <row r="2952">
          <cell r="A2952">
            <v>6732</v>
          </cell>
          <cell r="D2952" t="str">
            <v>积分</v>
          </cell>
        </row>
        <row r="2953">
          <cell r="A2953">
            <v>6733</v>
          </cell>
          <cell r="D2953" t="str">
            <v>传说英雄自选宝箱</v>
          </cell>
        </row>
        <row r="2954">
          <cell r="A2954">
            <v>6734</v>
          </cell>
          <cell r="D2954" t="str">
            <v>传说英雄自选宝箱</v>
          </cell>
        </row>
        <row r="2955">
          <cell r="A2955">
            <v>6735</v>
          </cell>
          <cell r="D2955" t="str">
            <v>传说英雄自选宝箱</v>
          </cell>
        </row>
        <row r="2956">
          <cell r="A2956">
            <v>6736</v>
          </cell>
          <cell r="D2956" t="str">
            <v>传说英雄自选宝箱</v>
          </cell>
        </row>
        <row r="2957">
          <cell r="A2957">
            <v>6737</v>
          </cell>
          <cell r="D2957" t="str">
            <v>传说英雄自选宝箱</v>
          </cell>
        </row>
        <row r="2958">
          <cell r="A2958">
            <v>80053</v>
          </cell>
          <cell r="D2958" t="str">
            <v>首充部分奖励宝箱</v>
          </cell>
        </row>
        <row r="2959">
          <cell r="A2959">
            <v>80056</v>
          </cell>
          <cell r="D2959" t="str">
            <v>冰雪大世界自选宝箱</v>
          </cell>
        </row>
        <row r="2960">
          <cell r="A2960">
            <v>80054</v>
          </cell>
          <cell r="D2960" t="str">
            <v>最强领主橙色信物自选</v>
          </cell>
        </row>
        <row r="2961">
          <cell r="A2961">
            <v>80055</v>
          </cell>
          <cell r="D2961" t="str">
            <v>最强领主橙色信物自选</v>
          </cell>
        </row>
        <row r="2962">
          <cell r="A2962">
            <v>80057</v>
          </cell>
          <cell r="D2962" t="str">
            <v>每日特惠折扣券</v>
          </cell>
        </row>
        <row r="2963">
          <cell r="A2963">
            <v>80058</v>
          </cell>
          <cell r="D2963" t="str">
            <v>每日特惠折扣券</v>
          </cell>
        </row>
        <row r="2964">
          <cell r="A2964">
            <v>80059</v>
          </cell>
          <cell r="D2964" t="str">
            <v>每日特惠折扣券</v>
          </cell>
        </row>
        <row r="2965">
          <cell r="A2965">
            <v>80060</v>
          </cell>
          <cell r="D2965" t="str">
            <v>超值礼包折扣券</v>
          </cell>
        </row>
        <row r="2966">
          <cell r="A2966">
            <v>80061</v>
          </cell>
          <cell r="D2966" t="str">
            <v>超值礼包折扣券</v>
          </cell>
        </row>
        <row r="2967">
          <cell r="A2967">
            <v>80062</v>
          </cell>
          <cell r="D2967" t="str">
            <v>超值礼包折扣券</v>
          </cell>
        </row>
        <row r="2968">
          <cell r="A2968">
            <v>90001</v>
          </cell>
          <cell r="D2968" t="str">
            <v>测试用宝箱</v>
          </cell>
        </row>
        <row r="2969">
          <cell r="A2969">
            <v>6738</v>
          </cell>
          <cell r="D2969" t="str">
            <v>荣耀启程-船舵</v>
          </cell>
        </row>
        <row r="2970">
          <cell r="A2970">
            <v>6739</v>
          </cell>
          <cell r="D2970" t="str">
            <v>荣耀印记</v>
          </cell>
        </row>
        <row r="2971">
          <cell r="A2971">
            <v>6740</v>
          </cell>
          <cell r="D2971" t="str">
            <v>骰子</v>
          </cell>
        </row>
        <row r="2972">
          <cell r="A2972">
            <v>6753</v>
          </cell>
          <cell r="D2972" t="str">
            <v>传说英雄自选宝箱</v>
          </cell>
        </row>
        <row r="2973">
          <cell r="A2973">
            <v>6754</v>
          </cell>
          <cell r="D2973" t="str">
            <v>传说英雄自选宝箱</v>
          </cell>
        </row>
        <row r="2974">
          <cell r="A2974">
            <v>6755</v>
          </cell>
          <cell r="D2974" t="str">
            <v>传说英雄自选宝箱</v>
          </cell>
        </row>
        <row r="2975">
          <cell r="A2975">
            <v>6746</v>
          </cell>
          <cell r="D2975" t="str">
            <v>开月绢花</v>
          </cell>
        </row>
        <row r="2976">
          <cell r="A2976">
            <v>6747</v>
          </cell>
          <cell r="D2976" t="str">
            <v>彩纹暖灯</v>
          </cell>
        </row>
        <row r="2977">
          <cell r="A2977">
            <v>6748</v>
          </cell>
          <cell r="D2977" t="str">
            <v>吉庆星月</v>
          </cell>
        </row>
        <row r="2978">
          <cell r="A2978">
            <v>6749</v>
          </cell>
          <cell r="D2978" t="str">
            <v>资源仓库道具</v>
          </cell>
        </row>
        <row r="2979">
          <cell r="A2979">
            <v>6750</v>
          </cell>
          <cell r="D2979" t="str">
            <v>开月绢花</v>
          </cell>
        </row>
        <row r="2980">
          <cell r="A2980">
            <v>6751</v>
          </cell>
          <cell r="D2980" t="str">
            <v>彩纹暖灯</v>
          </cell>
        </row>
        <row r="2981">
          <cell r="A2981">
            <v>6752</v>
          </cell>
          <cell r="D2981" t="str">
            <v>吉庆星月</v>
          </cell>
        </row>
        <row r="2982">
          <cell r="A2982">
            <v>80063</v>
          </cell>
          <cell r="D2982" t="str">
            <v>先祖手稿</v>
          </cell>
        </row>
        <row r="2983">
          <cell r="A2983">
            <v>80064</v>
          </cell>
          <cell r="D2983" t="str">
            <v>宝石印记</v>
          </cell>
        </row>
        <row r="2984">
          <cell r="A2984">
            <v>80065</v>
          </cell>
          <cell r="D2984" t="str">
            <v>阳辉宝券</v>
          </cell>
        </row>
        <row r="2985">
          <cell r="A2985">
            <v>81997</v>
          </cell>
          <cell r="D2985" t="str">
            <v>迷情宝匣</v>
          </cell>
        </row>
        <row r="2986">
          <cell r="A2986">
            <v>81998</v>
          </cell>
          <cell r="D2986" t="str">
            <v>浪漫宝匣</v>
          </cell>
        </row>
        <row r="2987">
          <cell r="A2987">
            <v>81999</v>
          </cell>
          <cell r="D2987" t="str">
            <v>誓言宝匣</v>
          </cell>
        </row>
        <row r="2988">
          <cell r="A2988">
            <v>82000</v>
          </cell>
          <cell r="D2988" t="str">
            <v>称号宝匣</v>
          </cell>
        </row>
        <row r="2989">
          <cell r="A2989">
            <v>82001</v>
          </cell>
          <cell r="D2989" t="str">
            <v>聊天气泡宝匣</v>
          </cell>
        </row>
        <row r="2990">
          <cell r="A2990">
            <v>6741</v>
          </cell>
          <cell r="D2990" t="str">
            <v>春日节积分</v>
          </cell>
        </row>
        <row r="2991">
          <cell r="A2991">
            <v>6742</v>
          </cell>
          <cell r="D2991" t="str">
            <v>花篮</v>
          </cell>
        </row>
        <row r="2992">
          <cell r="A2992">
            <v>6743</v>
          </cell>
          <cell r="D2992" t="str">
            <v>鲜花</v>
          </cell>
        </row>
        <row r="2993">
          <cell r="A2993">
            <v>6744</v>
          </cell>
          <cell r="D2993" t="str">
            <v>绿叶</v>
          </cell>
        </row>
        <row r="2994">
          <cell r="A2994">
            <v>6745</v>
          </cell>
          <cell r="D2994" t="str">
            <v>溪水</v>
          </cell>
        </row>
        <row r="2995">
          <cell r="A2995">
            <v>64006</v>
          </cell>
          <cell r="D2995" t="str">
            <v>周循环登录BP解锁道具</v>
          </cell>
        </row>
        <row r="2996">
          <cell r="A2996">
            <v>64007</v>
          </cell>
          <cell r="D2996" t="str">
            <v>联盟航海-海神祝福</v>
          </cell>
        </row>
        <row r="2997">
          <cell r="A2997">
            <v>64008</v>
          </cell>
          <cell r="D2997" t="str">
            <v>联盟航海-里程</v>
          </cell>
        </row>
        <row r="2998">
          <cell r="A2998">
            <v>64009</v>
          </cell>
          <cell r="D2998" t="str">
            <v>联盟航海-海盗秘宝</v>
          </cell>
        </row>
        <row r="2999">
          <cell r="A2999">
            <v>64010</v>
          </cell>
          <cell r="D2999" t="str">
            <v>联盟航海-海盗秘宝</v>
          </cell>
        </row>
        <row r="3000">
          <cell r="A3000">
            <v>64011</v>
          </cell>
          <cell r="D3000" t="str">
            <v>联盟航海-海盗秘宝</v>
          </cell>
        </row>
        <row r="3001">
          <cell r="A3001">
            <v>64012</v>
          </cell>
          <cell r="D3001" t="str">
            <v>闪光金币</v>
          </cell>
        </row>
        <row r="3002">
          <cell r="A3002">
            <v>64013</v>
          </cell>
          <cell r="D3002" t="str">
            <v>至高奖章</v>
          </cell>
        </row>
        <row r="3003">
          <cell r="A3003">
            <v>64015</v>
          </cell>
          <cell r="D3003" t="str">
            <v>豪华红包</v>
          </cell>
        </row>
        <row r="3004">
          <cell r="A3004">
            <v>64016</v>
          </cell>
          <cell r="D3004" t="str">
            <v>周循环登录BP解锁道具-装备</v>
          </cell>
        </row>
        <row r="3005">
          <cell r="A3005">
            <v>82002</v>
          </cell>
          <cell r="D3005" t="str">
            <v>A级橙英雄随机宝箱</v>
          </cell>
        </row>
        <row r="3006">
          <cell r="A3006">
            <v>56412</v>
          </cell>
          <cell r="D3006" t="str">
            <v>佣兵合同</v>
          </cell>
        </row>
        <row r="3007">
          <cell r="A3007">
            <v>56413</v>
          </cell>
          <cell r="D3007" t="str">
            <v>城堡科技消耗道具</v>
          </cell>
        </row>
        <row r="3008">
          <cell r="A3008">
            <v>80066</v>
          </cell>
          <cell r="D3008" t="str">
            <v>最强领主橙色信物自选</v>
          </cell>
        </row>
        <row r="3009">
          <cell r="A3009">
            <v>64017</v>
          </cell>
          <cell r="D3009" t="str">
            <v>补偿用自选宝箱——屋大维/苏莱曼</v>
          </cell>
        </row>
        <row r="3010">
          <cell r="A3010">
            <v>64018</v>
          </cell>
          <cell r="D3010" t="str">
            <v>补偿用自选宝箱——布狄卡/贝利薇</v>
          </cell>
        </row>
        <row r="3011">
          <cell r="A3011">
            <v>80070</v>
          </cell>
          <cell r="D3011" t="str">
            <v>首充部分奖励宝箱</v>
          </cell>
        </row>
        <row r="3012">
          <cell r="A3012">
            <v>49643</v>
          </cell>
          <cell r="D3012" t="str">
            <v>斋月-登录BP</v>
          </cell>
        </row>
        <row r="3013">
          <cell r="A3013">
            <v>64025</v>
          </cell>
          <cell r="D3013" t="str">
            <v>周循环登录BP解锁道具</v>
          </cell>
        </row>
        <row r="3014">
          <cell r="A3014">
            <v>64026</v>
          </cell>
          <cell r="D3014" t="str">
            <v>周循环登录BP解锁道具-装备</v>
          </cell>
        </row>
        <row r="3016">
          <cell r="A3016">
            <v>80071</v>
          </cell>
          <cell r="D3016" t="str">
            <v>新手折扣券宝箱</v>
          </cell>
        </row>
        <row r="3017">
          <cell r="A3017">
            <v>6776</v>
          </cell>
          <cell r="D3017" t="str">
            <v>传说英雄自选宝箱</v>
          </cell>
        </row>
        <row r="3018">
          <cell r="A3018">
            <v>6777</v>
          </cell>
          <cell r="D3018" t="str">
            <v>传说英雄自选宝箱</v>
          </cell>
        </row>
        <row r="3019">
          <cell r="A3019">
            <v>80073</v>
          </cell>
          <cell r="D3019" t="str">
            <v>周卡折扣券-限时</v>
          </cell>
        </row>
        <row r="3020">
          <cell r="A3020">
            <v>80074</v>
          </cell>
          <cell r="D3020" t="str">
            <v>首充升红礼包折扣券-限时</v>
          </cell>
        </row>
        <row r="3021">
          <cell r="A3021">
            <v>80075</v>
          </cell>
          <cell r="D3021" t="str">
            <v>首充升红礼包折扣券-限时</v>
          </cell>
        </row>
        <row r="3022">
          <cell r="A3022">
            <v>80076</v>
          </cell>
          <cell r="D3022" t="str">
            <v>新手主题礼包折扣券-限时</v>
          </cell>
        </row>
        <row r="3023">
          <cell r="A3023">
            <v>80077</v>
          </cell>
          <cell r="D3023" t="str">
            <v>新手主题礼包折扣券-限时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923"/>
  <sheetViews>
    <sheetView tabSelected="1" zoomScaleNormal="100" workbookViewId="0">
      <pane xSplit="1" ySplit="3" topLeftCell="B7667" activePane="bottomRight" state="frozen"/>
      <selection pane="topRight" activeCell="B1" sqref="B1"/>
      <selection pane="bottomLeft" activeCell="A5" sqref="A5"/>
      <selection pane="bottomRight" activeCell="N7716" sqref="N7716"/>
    </sheetView>
  </sheetViews>
  <sheetFormatPr defaultColWidth="9" defaultRowHeight="14.5" outlineLevelRow="1" x14ac:dyDescent="0.25"/>
  <cols>
    <col min="1" max="1" width="20.453125" style="13" customWidth="1"/>
    <col min="2" max="2" width="33.08984375" style="13" customWidth="1"/>
    <col min="3" max="3" width="10.26953125" style="13" customWidth="1"/>
    <col min="4" max="4" width="25.90625" style="13" customWidth="1"/>
    <col min="5" max="5" width="27.453125" style="13" customWidth="1"/>
    <col min="6" max="6" width="12.08984375" style="13" bestFit="1" customWidth="1"/>
    <col min="7" max="7" width="15.90625" style="13" customWidth="1"/>
    <col min="8" max="8" width="14.90625" style="13" customWidth="1"/>
    <col min="9" max="9" width="16.90625" style="13" customWidth="1"/>
    <col min="10" max="11" width="20.90625" style="13" customWidth="1"/>
    <col min="12" max="12" width="14.08984375" style="13" bestFit="1" customWidth="1"/>
    <col min="13" max="13" width="21.08984375" style="13" bestFit="1" customWidth="1"/>
    <col min="14" max="21" width="18.90625" style="13" customWidth="1"/>
    <col min="22" max="30" width="15.90625" style="13" customWidth="1"/>
    <col min="31" max="31" width="9" style="13" customWidth="1"/>
    <col min="32" max="16384" width="9" style="13"/>
  </cols>
  <sheetData>
    <row r="1" spans="1:30" x14ac:dyDescent="0.4">
      <c r="A1" s="10" t="s">
        <v>205</v>
      </c>
      <c r="B1" s="10"/>
      <c r="C1" s="11"/>
      <c r="D1" s="10"/>
      <c r="E1" s="10"/>
      <c r="F1" s="10"/>
      <c r="G1" s="138" t="s">
        <v>0</v>
      </c>
      <c r="H1" s="139"/>
      <c r="I1" s="139"/>
      <c r="J1" s="139"/>
      <c r="K1" s="10"/>
      <c r="L1" s="10"/>
      <c r="M1" s="10"/>
      <c r="N1" s="10"/>
    </row>
    <row r="2" spans="1:30" s="14" customFormat="1" ht="13.5" customHeight="1" x14ac:dyDescent="0.25">
      <c r="A2" s="12" t="s">
        <v>1</v>
      </c>
      <c r="B2" s="12" t="s">
        <v>2</v>
      </c>
      <c r="C2" s="12" t="s">
        <v>120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V2" s="15"/>
      <c r="W2" s="15"/>
      <c r="X2" s="15"/>
      <c r="Y2" s="15"/>
      <c r="Z2" s="15"/>
      <c r="AA2" s="15"/>
      <c r="AB2" s="15"/>
      <c r="AC2" s="15"/>
      <c r="AD2" s="15"/>
    </row>
    <row r="3" spans="1:30" s="14" customFormat="1" ht="13.5" customHeight="1" x14ac:dyDescent="0.25">
      <c r="A3" s="12" t="s">
        <v>14</v>
      </c>
      <c r="B3" s="12"/>
      <c r="C3" s="12"/>
      <c r="D3" s="12" t="s">
        <v>15</v>
      </c>
      <c r="E3" s="12"/>
      <c r="F3" s="12" t="s">
        <v>16</v>
      </c>
      <c r="G3" s="12" t="s">
        <v>17</v>
      </c>
      <c r="H3" s="12" t="s">
        <v>18</v>
      </c>
      <c r="I3" s="12" t="s">
        <v>19</v>
      </c>
      <c r="J3" s="12" t="s">
        <v>20</v>
      </c>
      <c r="K3" s="12" t="s">
        <v>21</v>
      </c>
      <c r="L3" s="12" t="s">
        <v>22</v>
      </c>
      <c r="M3" s="12" t="s">
        <v>23</v>
      </c>
      <c r="N3" s="12" t="s">
        <v>24</v>
      </c>
      <c r="V3" s="15"/>
      <c r="W3" s="15"/>
      <c r="X3" s="15"/>
      <c r="Y3" s="15"/>
      <c r="Z3" s="15"/>
      <c r="AA3" s="15"/>
      <c r="AB3" s="15"/>
      <c r="AC3" s="15"/>
      <c r="AD3" s="15"/>
    </row>
    <row r="4" spans="1:30" ht="13.5" customHeight="1" x14ac:dyDescent="0.25">
      <c r="A4" s="16">
        <v>6600101</v>
      </c>
      <c r="B4" s="16" t="str">
        <f>MOD(A4,100)&amp;"级城全盟奖励"</f>
        <v>1级城全盟奖励</v>
      </c>
      <c r="C4" s="26" t="str">
        <f>IF(A4="","",IF((COUNTIFS(A:A,A4))&gt;1,"ID重复",""))</f>
        <v/>
      </c>
      <c r="D4" s="16">
        <v>501</v>
      </c>
      <c r="E4" s="21" t="str">
        <f>INDEX([1]道具配置表!$D:$D,MATCH(D4,[1]道具配置表!$A:$A,0))</f>
        <v>1千资源自选宝箱</v>
      </c>
      <c r="F4" s="16">
        <v>100</v>
      </c>
      <c r="G4" s="16"/>
      <c r="H4" s="16"/>
      <c r="I4" s="16"/>
      <c r="J4" s="16"/>
      <c r="K4" s="16">
        <v>1</v>
      </c>
      <c r="L4" s="16"/>
      <c r="M4" s="16" t="b">
        <v>1</v>
      </c>
      <c r="N4" s="16"/>
      <c r="V4" s="20"/>
      <c r="W4" s="20"/>
      <c r="X4" s="20"/>
      <c r="Y4" s="20"/>
      <c r="Z4" s="20"/>
      <c r="AA4" s="20"/>
      <c r="AB4" s="20"/>
      <c r="AC4" s="20"/>
      <c r="AD4" s="20"/>
    </row>
    <row r="5" spans="1:30" ht="13.5" customHeight="1" x14ac:dyDescent="0.25">
      <c r="A5" s="16"/>
      <c r="B5" s="16"/>
      <c r="C5" s="26" t="str">
        <f>IF(A5="","",IF((COUNTIFS(A:A,A5))&gt;1,"ID重复",""))</f>
        <v/>
      </c>
      <c r="D5" s="16">
        <v>6120</v>
      </c>
      <c r="E5" s="21" t="str">
        <f>INDEX([1]道具配置表!$D:$D,MATCH(D5,[1]道具配置表!$A:$A,0))</f>
        <v>1分钟建造加速</v>
      </c>
      <c r="F5" s="16">
        <v>50</v>
      </c>
      <c r="G5" s="16"/>
      <c r="H5" s="16"/>
      <c r="I5" s="16"/>
      <c r="J5" s="16"/>
      <c r="K5" s="16">
        <v>1</v>
      </c>
      <c r="L5" s="16"/>
      <c r="M5" s="16" t="b">
        <v>1</v>
      </c>
      <c r="N5" s="16"/>
      <c r="V5" s="20"/>
      <c r="W5" s="20"/>
      <c r="X5" s="20"/>
      <c r="Y5" s="20"/>
      <c r="Z5" s="20"/>
      <c r="AA5" s="20"/>
      <c r="AB5" s="20"/>
      <c r="AC5" s="20"/>
      <c r="AD5" s="20"/>
    </row>
    <row r="6" spans="1:30" ht="13.5" customHeight="1" x14ac:dyDescent="0.25">
      <c r="A6" s="16"/>
      <c r="B6" s="16"/>
      <c r="C6" s="26" t="str">
        <f>IF(A6="","",IF((COUNTIFS(A:A,A6))&gt;1,"ID重复",""))</f>
        <v/>
      </c>
      <c r="D6" s="16">
        <v>6140</v>
      </c>
      <c r="E6" s="21" t="str">
        <f>INDEX([1]道具配置表!$D:$D,MATCH(D6,[1]道具配置表!$A:$A,0))</f>
        <v>1分钟科技加速</v>
      </c>
      <c r="F6" s="16">
        <v>50</v>
      </c>
      <c r="G6" s="16"/>
      <c r="H6" s="16"/>
      <c r="I6" s="16"/>
      <c r="J6" s="16"/>
      <c r="K6" s="16">
        <v>1</v>
      </c>
      <c r="L6" s="16"/>
      <c r="M6" s="16" t="b">
        <v>1</v>
      </c>
      <c r="N6" s="16"/>
      <c r="V6" s="20"/>
      <c r="W6" s="20"/>
      <c r="X6" s="20"/>
      <c r="Y6" s="20"/>
      <c r="Z6" s="20"/>
      <c r="AA6" s="20"/>
      <c r="AB6" s="20"/>
      <c r="AC6" s="20"/>
      <c r="AD6" s="20"/>
    </row>
    <row r="7" spans="1:30" ht="13.5" customHeight="1" x14ac:dyDescent="0.25">
      <c r="A7" s="16">
        <f>A4+1</f>
        <v>6600102</v>
      </c>
      <c r="B7" s="16" t="str">
        <f>MOD(A7,100)&amp;"级城全盟奖励"</f>
        <v>2级城全盟奖励</v>
      </c>
      <c r="C7" s="26" t="str">
        <f>IF(A7="","",IF((COUNTIFS(A:A,A7))&gt;1,"ID重复",""))</f>
        <v/>
      </c>
      <c r="D7" s="16">
        <v>501</v>
      </c>
      <c r="E7" s="21" t="str">
        <f>INDEX([1]道具配置表!$D:$D,MATCH(D7,[1]道具配置表!$A:$A,0))</f>
        <v>1千资源自选宝箱</v>
      </c>
      <c r="F7" s="16">
        <f>F4+20</f>
        <v>120</v>
      </c>
      <c r="G7" s="16"/>
      <c r="H7" s="16"/>
      <c r="I7" s="16"/>
      <c r="J7" s="16"/>
      <c r="K7" s="16">
        <v>1</v>
      </c>
      <c r="L7" s="16"/>
      <c r="M7" s="16" t="b">
        <v>1</v>
      </c>
      <c r="N7" s="16"/>
      <c r="V7" s="20"/>
      <c r="W7" s="20"/>
      <c r="X7" s="20"/>
      <c r="Y7" s="20"/>
      <c r="Z7" s="20"/>
      <c r="AA7" s="20"/>
      <c r="AB7" s="20"/>
      <c r="AC7" s="20"/>
      <c r="AD7" s="20"/>
    </row>
    <row r="8" spans="1:30" ht="13.5" customHeight="1" x14ac:dyDescent="0.25">
      <c r="A8" s="16"/>
      <c r="B8" s="16"/>
      <c r="C8" s="26" t="str">
        <f>IF(A8="","",IF((COUNTIFS(A:A,A8))&gt;1,"ID重复",""))</f>
        <v/>
      </c>
      <c r="D8" s="16">
        <v>6120</v>
      </c>
      <c r="E8" s="21" t="str">
        <f>INDEX([1]道具配置表!$D:$D,MATCH(D8,[1]道具配置表!$A:$A,0))</f>
        <v>1分钟建造加速</v>
      </c>
      <c r="F8" s="16">
        <f>F5+10</f>
        <v>60</v>
      </c>
      <c r="G8" s="16"/>
      <c r="H8" s="16"/>
      <c r="I8" s="16"/>
      <c r="J8" s="16"/>
      <c r="K8" s="16">
        <v>1</v>
      </c>
      <c r="L8" s="16"/>
      <c r="M8" s="16" t="b">
        <v>1</v>
      </c>
      <c r="N8" s="16"/>
      <c r="V8" s="20"/>
      <c r="W8" s="20"/>
      <c r="X8" s="20"/>
      <c r="Y8" s="20"/>
      <c r="Z8" s="20"/>
      <c r="AA8" s="20"/>
      <c r="AB8" s="20"/>
      <c r="AC8" s="20"/>
      <c r="AD8" s="20"/>
    </row>
    <row r="9" spans="1:30" ht="13.5" customHeight="1" x14ac:dyDescent="0.25">
      <c r="A9" s="16"/>
      <c r="B9" s="16"/>
      <c r="C9" s="26" t="str">
        <f>IF(A9="","",IF((COUNTIFS(A:A,A9))&gt;1,"ID重复",""))</f>
        <v/>
      </c>
      <c r="D9" s="16">
        <v>6140</v>
      </c>
      <c r="E9" s="21" t="str">
        <f>INDEX([1]道具配置表!$D:$D,MATCH(D9,[1]道具配置表!$A:$A,0))</f>
        <v>1分钟科技加速</v>
      </c>
      <c r="F9" s="16">
        <f>F6+10</f>
        <v>60</v>
      </c>
      <c r="G9" s="16"/>
      <c r="H9" s="16"/>
      <c r="I9" s="16"/>
      <c r="J9" s="16"/>
      <c r="K9" s="16">
        <v>1</v>
      </c>
      <c r="L9" s="16"/>
      <c r="M9" s="16" t="b">
        <v>1</v>
      </c>
      <c r="N9" s="16"/>
      <c r="V9" s="20"/>
      <c r="W9" s="20"/>
      <c r="X9" s="20"/>
      <c r="Y9" s="20"/>
      <c r="Z9" s="20"/>
      <c r="AA9" s="20"/>
      <c r="AB9" s="20"/>
      <c r="AC9" s="20"/>
      <c r="AD9" s="20"/>
    </row>
    <row r="10" spans="1:30" ht="13.5" customHeight="1" x14ac:dyDescent="0.25">
      <c r="A10" s="16">
        <f>A7+1</f>
        <v>6600103</v>
      </c>
      <c r="B10" s="16" t="str">
        <f>MOD(A10,100)&amp;"级城全盟奖励"</f>
        <v>3级城全盟奖励</v>
      </c>
      <c r="C10" s="26" t="str">
        <f>IF(A10="","",IF((COUNTIFS(A:A,A10))&gt;1,"ID重复",""))</f>
        <v/>
      </c>
      <c r="D10" s="16">
        <v>501</v>
      </c>
      <c r="E10" s="21" t="str">
        <f>INDEX([1]道具配置表!$D:$D,MATCH(D10,[1]道具配置表!$A:$A,0))</f>
        <v>1千资源自选宝箱</v>
      </c>
      <c r="F10" s="29">
        <f t="shared" ref="F10" si="0">F7+20</f>
        <v>140</v>
      </c>
      <c r="G10" s="16"/>
      <c r="H10" s="16"/>
      <c r="I10" s="16"/>
      <c r="J10" s="16"/>
      <c r="K10" s="16">
        <v>1</v>
      </c>
      <c r="L10" s="16"/>
      <c r="M10" s="16" t="b">
        <v>1</v>
      </c>
      <c r="N10" s="16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13.5" customHeight="1" x14ac:dyDescent="0.25">
      <c r="A11" s="16"/>
      <c r="B11" s="16"/>
      <c r="C11" s="26" t="str">
        <f>IF(A11="","",IF((COUNTIFS(A:A,A11))&gt;1,"ID重复",""))</f>
        <v/>
      </c>
      <c r="D11" s="16">
        <v>6120</v>
      </c>
      <c r="E11" s="21" t="str">
        <f>INDEX([1]道具配置表!$D:$D,MATCH(D11,[1]道具配置表!$A:$A,0))</f>
        <v>1分钟建造加速</v>
      </c>
      <c r="F11" s="29">
        <f t="shared" ref="F11:F12" si="1">F8+10</f>
        <v>70</v>
      </c>
      <c r="G11" s="16"/>
      <c r="H11" s="16"/>
      <c r="I11" s="16"/>
      <c r="J11" s="16"/>
      <c r="K11" s="16">
        <v>1</v>
      </c>
      <c r="L11" s="16"/>
      <c r="M11" s="16" t="b">
        <v>1</v>
      </c>
      <c r="N11" s="16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3.5" customHeight="1" x14ac:dyDescent="0.25">
      <c r="A12" s="16"/>
      <c r="B12" s="16"/>
      <c r="C12" s="26" t="str">
        <f>IF(A12="","",IF((COUNTIFS(A:A,A12))&gt;1,"ID重复",""))</f>
        <v/>
      </c>
      <c r="D12" s="16">
        <v>6140</v>
      </c>
      <c r="E12" s="21" t="str">
        <f>INDEX([1]道具配置表!$D:$D,MATCH(D12,[1]道具配置表!$A:$A,0))</f>
        <v>1分钟科技加速</v>
      </c>
      <c r="F12" s="29">
        <f t="shared" si="1"/>
        <v>70</v>
      </c>
      <c r="G12" s="16"/>
      <c r="H12" s="16"/>
      <c r="I12" s="16"/>
      <c r="J12" s="16"/>
      <c r="K12" s="16">
        <v>1</v>
      </c>
      <c r="L12" s="16"/>
      <c r="M12" s="16" t="b">
        <v>1</v>
      </c>
      <c r="N12" s="16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3.5" customHeight="1" x14ac:dyDescent="0.25">
      <c r="A13" s="16">
        <f>A10+1</f>
        <v>6600104</v>
      </c>
      <c r="B13" s="16" t="str">
        <f>MOD(A13,100)&amp;"级城全盟奖励"</f>
        <v>4级城全盟奖励</v>
      </c>
      <c r="C13" s="26" t="str">
        <f>IF(A13="","",IF((COUNTIFS(A:A,A13))&gt;1,"ID重复",""))</f>
        <v/>
      </c>
      <c r="D13" s="16">
        <v>501</v>
      </c>
      <c r="E13" s="21" t="str">
        <f>INDEX([1]道具配置表!$D:$D,MATCH(D13,[1]道具配置表!$A:$A,0))</f>
        <v>1千资源自选宝箱</v>
      </c>
      <c r="F13" s="29">
        <f t="shared" ref="F13" si="2">F10+20</f>
        <v>160</v>
      </c>
      <c r="G13" s="16"/>
      <c r="H13" s="16"/>
      <c r="I13" s="16"/>
      <c r="J13" s="16"/>
      <c r="K13" s="16">
        <v>1</v>
      </c>
      <c r="L13" s="16"/>
      <c r="M13" s="16" t="b">
        <v>1</v>
      </c>
      <c r="N13" s="16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ht="13.5" customHeight="1" x14ac:dyDescent="0.25">
      <c r="A14" s="16"/>
      <c r="B14" s="16"/>
      <c r="C14" s="26" t="str">
        <f>IF(A14="","",IF((COUNTIFS(A:A,A14))&gt;1,"ID重复",""))</f>
        <v/>
      </c>
      <c r="D14" s="16">
        <v>6120</v>
      </c>
      <c r="E14" s="21" t="str">
        <f>INDEX([1]道具配置表!$D:$D,MATCH(D14,[1]道具配置表!$A:$A,0))</f>
        <v>1分钟建造加速</v>
      </c>
      <c r="F14" s="29">
        <f t="shared" ref="F14:F15" si="3">F11+10</f>
        <v>80</v>
      </c>
      <c r="G14" s="16"/>
      <c r="H14" s="16"/>
      <c r="I14" s="16"/>
      <c r="J14" s="16"/>
      <c r="K14" s="16">
        <v>1</v>
      </c>
      <c r="L14" s="16"/>
      <c r="M14" s="16" t="b">
        <v>1</v>
      </c>
      <c r="N14" s="16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3.5" customHeight="1" x14ac:dyDescent="0.25">
      <c r="A15" s="16"/>
      <c r="B15" s="16"/>
      <c r="C15" s="26" t="str">
        <f>IF(A15="","",IF((COUNTIFS(A:A,A15))&gt;1,"ID重复",""))</f>
        <v/>
      </c>
      <c r="D15" s="16">
        <v>6140</v>
      </c>
      <c r="E15" s="21" t="str">
        <f>INDEX([1]道具配置表!$D:$D,MATCH(D15,[1]道具配置表!$A:$A,0))</f>
        <v>1分钟科技加速</v>
      </c>
      <c r="F15" s="29">
        <f t="shared" si="3"/>
        <v>80</v>
      </c>
      <c r="G15" s="16"/>
      <c r="H15" s="16"/>
      <c r="I15" s="16"/>
      <c r="J15" s="16"/>
      <c r="K15" s="16">
        <v>1</v>
      </c>
      <c r="L15" s="16"/>
      <c r="M15" s="16" t="b">
        <v>1</v>
      </c>
      <c r="N15" s="16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3.5" customHeight="1" x14ac:dyDescent="0.25">
      <c r="A16" s="16">
        <f>A13+1</f>
        <v>6600105</v>
      </c>
      <c r="B16" s="16" t="str">
        <f>MOD(A16,100)&amp;"级城全盟奖励"</f>
        <v>5级城全盟奖励</v>
      </c>
      <c r="C16" s="26" t="str">
        <f>IF(A16="","",IF((COUNTIFS(A:A,A16))&gt;1,"ID重复",""))</f>
        <v/>
      </c>
      <c r="D16" s="16">
        <v>501</v>
      </c>
      <c r="E16" s="21" t="str">
        <f>INDEX([1]道具配置表!$D:$D,MATCH(D16,[1]道具配置表!$A:$A,0))</f>
        <v>1千资源自选宝箱</v>
      </c>
      <c r="F16" s="29">
        <f t="shared" ref="F16" si="4">F13+20</f>
        <v>180</v>
      </c>
      <c r="G16" s="16"/>
      <c r="H16" s="16"/>
      <c r="I16" s="16"/>
      <c r="J16" s="16"/>
      <c r="K16" s="16">
        <v>1</v>
      </c>
      <c r="L16" s="16"/>
      <c r="M16" s="16" t="b">
        <v>1</v>
      </c>
      <c r="N16" s="16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13.5" customHeight="1" x14ac:dyDescent="0.25">
      <c r="A17" s="16"/>
      <c r="B17" s="16"/>
      <c r="C17" s="26" t="str">
        <f>IF(A17="","",IF((COUNTIFS(A:A,A17))&gt;1,"ID重复",""))</f>
        <v/>
      </c>
      <c r="D17" s="16">
        <v>6120</v>
      </c>
      <c r="E17" s="21" t="str">
        <f>INDEX([1]道具配置表!$D:$D,MATCH(D17,[1]道具配置表!$A:$A,0))</f>
        <v>1分钟建造加速</v>
      </c>
      <c r="F17" s="29">
        <f t="shared" ref="F17:F18" si="5">F14+10</f>
        <v>90</v>
      </c>
      <c r="G17" s="16"/>
      <c r="H17" s="16"/>
      <c r="I17" s="16"/>
      <c r="J17" s="16"/>
      <c r="K17" s="16">
        <v>1</v>
      </c>
      <c r="L17" s="16"/>
      <c r="M17" s="16" t="b">
        <v>1</v>
      </c>
      <c r="N17" s="16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13.5" customHeight="1" x14ac:dyDescent="0.25">
      <c r="A18" s="16"/>
      <c r="B18" s="16"/>
      <c r="C18" s="26" t="str">
        <f>IF(A18="","",IF((COUNTIFS(A:A,A18))&gt;1,"ID重复",""))</f>
        <v/>
      </c>
      <c r="D18" s="16">
        <v>6140</v>
      </c>
      <c r="E18" s="21" t="str">
        <f>INDEX([1]道具配置表!$D:$D,MATCH(D18,[1]道具配置表!$A:$A,0))</f>
        <v>1分钟科技加速</v>
      </c>
      <c r="F18" s="29">
        <f t="shared" si="5"/>
        <v>90</v>
      </c>
      <c r="G18" s="16"/>
      <c r="H18" s="16"/>
      <c r="I18" s="16"/>
      <c r="J18" s="16"/>
      <c r="K18" s="16">
        <v>1</v>
      </c>
      <c r="L18" s="16"/>
      <c r="M18" s="16" t="b">
        <v>1</v>
      </c>
      <c r="N18" s="16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13.5" customHeight="1" x14ac:dyDescent="0.25">
      <c r="A19" s="16">
        <f>A16+1</f>
        <v>6600106</v>
      </c>
      <c r="B19" s="16" t="str">
        <f>MOD(A19,100)&amp;"级城全盟奖励"</f>
        <v>6级城全盟奖励</v>
      </c>
      <c r="C19" s="26" t="str">
        <f>IF(A19="","",IF((COUNTIFS(A:A,A19))&gt;1,"ID重复",""))</f>
        <v/>
      </c>
      <c r="D19" s="16">
        <v>501</v>
      </c>
      <c r="E19" s="21" t="str">
        <f>INDEX([1]道具配置表!$D:$D,MATCH(D19,[1]道具配置表!$A:$A,0))</f>
        <v>1千资源自选宝箱</v>
      </c>
      <c r="F19" s="29">
        <f t="shared" ref="F19" si="6">F16+20</f>
        <v>200</v>
      </c>
      <c r="G19" s="16"/>
      <c r="H19" s="16"/>
      <c r="I19" s="16"/>
      <c r="J19" s="16"/>
      <c r="K19" s="16">
        <v>1</v>
      </c>
      <c r="L19" s="16"/>
      <c r="M19" s="16" t="b">
        <v>1</v>
      </c>
      <c r="N19" s="16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13.5" customHeight="1" x14ac:dyDescent="0.25">
      <c r="A20" s="16"/>
      <c r="B20" s="16"/>
      <c r="C20" s="26" t="str">
        <f>IF(A20="","",IF((COUNTIFS(A:A,A20))&gt;1,"ID重复",""))</f>
        <v/>
      </c>
      <c r="D20" s="16">
        <v>6120</v>
      </c>
      <c r="E20" s="21" t="str">
        <f>INDEX([1]道具配置表!$D:$D,MATCH(D20,[1]道具配置表!$A:$A,0))</f>
        <v>1分钟建造加速</v>
      </c>
      <c r="F20" s="29">
        <f t="shared" ref="F20:F21" si="7">F17+10</f>
        <v>100</v>
      </c>
      <c r="G20" s="16"/>
      <c r="H20" s="16"/>
      <c r="I20" s="16"/>
      <c r="J20" s="16"/>
      <c r="K20" s="16">
        <v>1</v>
      </c>
      <c r="L20" s="16"/>
      <c r="M20" s="16" t="b">
        <v>1</v>
      </c>
      <c r="N20" s="16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13.5" customHeight="1" x14ac:dyDescent="0.25">
      <c r="A21" s="16"/>
      <c r="B21" s="16"/>
      <c r="C21" s="26" t="str">
        <f>IF(A21="","",IF((COUNTIFS(A:A,A21))&gt;1,"ID重复",""))</f>
        <v/>
      </c>
      <c r="D21" s="16">
        <v>6140</v>
      </c>
      <c r="E21" s="21" t="str">
        <f>INDEX([1]道具配置表!$D:$D,MATCH(D21,[1]道具配置表!$A:$A,0))</f>
        <v>1分钟科技加速</v>
      </c>
      <c r="F21" s="29">
        <f t="shared" si="7"/>
        <v>100</v>
      </c>
      <c r="G21" s="16"/>
      <c r="H21" s="16"/>
      <c r="I21" s="16"/>
      <c r="J21" s="16"/>
      <c r="K21" s="16">
        <v>1</v>
      </c>
      <c r="L21" s="16"/>
      <c r="M21" s="16" t="b">
        <v>1</v>
      </c>
      <c r="N21" s="16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13.5" customHeight="1" x14ac:dyDescent="0.25">
      <c r="A22" s="16">
        <f>A19+1</f>
        <v>6600107</v>
      </c>
      <c r="B22" s="16" t="str">
        <f>MOD(A22,100)&amp;"级城全盟奖励"</f>
        <v>7级城全盟奖励</v>
      </c>
      <c r="C22" s="26" t="str">
        <f>IF(A22="","",IF((COUNTIFS(A:A,A22))&gt;1,"ID重复",""))</f>
        <v/>
      </c>
      <c r="D22" s="16">
        <v>501</v>
      </c>
      <c r="E22" s="21" t="str">
        <f>INDEX([1]道具配置表!$D:$D,MATCH(D22,[1]道具配置表!$A:$A,0))</f>
        <v>1千资源自选宝箱</v>
      </c>
      <c r="F22" s="29">
        <f t="shared" ref="F22" si="8">F19+20</f>
        <v>220</v>
      </c>
      <c r="G22" s="16"/>
      <c r="H22" s="16"/>
      <c r="I22" s="16"/>
      <c r="J22" s="16"/>
      <c r="K22" s="16">
        <v>1</v>
      </c>
      <c r="L22" s="16"/>
      <c r="M22" s="16" t="b">
        <v>1</v>
      </c>
      <c r="N22" s="16"/>
      <c r="V22" s="20"/>
      <c r="W22" s="20"/>
      <c r="X22" s="20"/>
      <c r="Y22" s="20"/>
      <c r="Z22" s="20"/>
      <c r="AA22" s="20"/>
      <c r="AB22" s="20"/>
      <c r="AC22" s="20"/>
      <c r="AD22" s="20"/>
    </row>
    <row r="23" spans="1:30" ht="13.5" customHeight="1" x14ac:dyDescent="0.25">
      <c r="A23" s="16"/>
      <c r="B23" s="16"/>
      <c r="C23" s="26" t="str">
        <f>IF(A23="","",IF((COUNTIFS(A:A,A23))&gt;1,"ID重复",""))</f>
        <v/>
      </c>
      <c r="D23" s="16">
        <v>6120</v>
      </c>
      <c r="E23" s="21" t="str">
        <f>INDEX([1]道具配置表!$D:$D,MATCH(D23,[1]道具配置表!$A:$A,0))</f>
        <v>1分钟建造加速</v>
      </c>
      <c r="F23" s="29">
        <f t="shared" ref="F23:F24" si="9">F20+10</f>
        <v>110</v>
      </c>
      <c r="G23" s="16"/>
      <c r="H23" s="16"/>
      <c r="I23" s="16"/>
      <c r="J23" s="16"/>
      <c r="K23" s="16">
        <v>1</v>
      </c>
      <c r="L23" s="16"/>
      <c r="M23" s="16" t="b">
        <v>1</v>
      </c>
      <c r="N23" s="16"/>
      <c r="V23" s="20"/>
      <c r="W23" s="20"/>
      <c r="X23" s="20"/>
      <c r="Y23" s="20"/>
      <c r="Z23" s="20"/>
      <c r="AA23" s="20"/>
      <c r="AB23" s="20"/>
      <c r="AC23" s="20"/>
      <c r="AD23" s="20"/>
    </row>
    <row r="24" spans="1:30" ht="13.5" customHeight="1" x14ac:dyDescent="0.25">
      <c r="A24" s="16"/>
      <c r="B24" s="16"/>
      <c r="C24" s="26" t="str">
        <f>IF(A24="","",IF((COUNTIFS(A:A,A24))&gt;1,"ID重复",""))</f>
        <v/>
      </c>
      <c r="D24" s="16">
        <v>6140</v>
      </c>
      <c r="E24" s="21" t="str">
        <f>INDEX([1]道具配置表!$D:$D,MATCH(D24,[1]道具配置表!$A:$A,0))</f>
        <v>1分钟科技加速</v>
      </c>
      <c r="F24" s="29">
        <f t="shared" si="9"/>
        <v>110</v>
      </c>
      <c r="G24" s="16"/>
      <c r="H24" s="16"/>
      <c r="I24" s="16"/>
      <c r="J24" s="16"/>
      <c r="K24" s="16">
        <v>1</v>
      </c>
      <c r="L24" s="16"/>
      <c r="M24" s="16" t="b">
        <v>1</v>
      </c>
      <c r="N24" s="16"/>
      <c r="V24" s="20"/>
      <c r="W24" s="20"/>
      <c r="X24" s="20"/>
      <c r="Y24" s="20"/>
      <c r="Z24" s="20"/>
      <c r="AA24" s="20"/>
      <c r="AB24" s="20"/>
      <c r="AC24" s="20"/>
      <c r="AD24" s="20"/>
    </row>
    <row r="25" spans="1:30" ht="13.5" customHeight="1" x14ac:dyDescent="0.25">
      <c r="A25" s="16">
        <f>A22+1</f>
        <v>6600108</v>
      </c>
      <c r="B25" s="16" t="str">
        <f>MOD(A25,100)&amp;"级城全盟奖励"</f>
        <v>8级城全盟奖励</v>
      </c>
      <c r="C25" s="26" t="str">
        <f>IF(A25="","",IF((COUNTIFS(A:A,A25))&gt;1,"ID重复",""))</f>
        <v/>
      </c>
      <c r="D25" s="16">
        <v>501</v>
      </c>
      <c r="E25" s="21" t="str">
        <f>INDEX([1]道具配置表!$D:$D,MATCH(D25,[1]道具配置表!$A:$A,0))</f>
        <v>1千资源自选宝箱</v>
      </c>
      <c r="F25" s="29">
        <f t="shared" ref="F25" si="10">F22+20</f>
        <v>240</v>
      </c>
      <c r="G25" s="16"/>
      <c r="H25" s="16"/>
      <c r="I25" s="16"/>
      <c r="J25" s="16"/>
      <c r="K25" s="16">
        <v>1</v>
      </c>
      <c r="L25" s="16"/>
      <c r="M25" s="16" t="b">
        <v>1</v>
      </c>
      <c r="N25" s="16"/>
      <c r="V25" s="20"/>
      <c r="W25" s="20"/>
      <c r="X25" s="20"/>
      <c r="Y25" s="20"/>
      <c r="Z25" s="20"/>
      <c r="AA25" s="20"/>
      <c r="AB25" s="20"/>
      <c r="AC25" s="20"/>
      <c r="AD25" s="20"/>
    </row>
    <row r="26" spans="1:30" ht="13.5" customHeight="1" x14ac:dyDescent="0.25">
      <c r="A26" s="16"/>
      <c r="B26" s="16"/>
      <c r="C26" s="26" t="str">
        <f>IF(A26="","",IF((COUNTIFS(A:A,A26))&gt;1,"ID重复",""))</f>
        <v/>
      </c>
      <c r="D26" s="16">
        <v>6120</v>
      </c>
      <c r="E26" s="21" t="str">
        <f>INDEX([1]道具配置表!$D:$D,MATCH(D26,[1]道具配置表!$A:$A,0))</f>
        <v>1分钟建造加速</v>
      </c>
      <c r="F26" s="29">
        <f t="shared" ref="F26:F27" si="11">F23+10</f>
        <v>120</v>
      </c>
      <c r="G26" s="16"/>
      <c r="H26" s="16"/>
      <c r="I26" s="16"/>
      <c r="J26" s="16"/>
      <c r="K26" s="16">
        <v>1</v>
      </c>
      <c r="L26" s="16"/>
      <c r="M26" s="16" t="b">
        <v>1</v>
      </c>
      <c r="N26" s="16"/>
      <c r="V26" s="20"/>
      <c r="W26" s="20"/>
      <c r="X26" s="20"/>
      <c r="Y26" s="20"/>
      <c r="Z26" s="20"/>
      <c r="AA26" s="20"/>
      <c r="AB26" s="20"/>
      <c r="AC26" s="20"/>
      <c r="AD26" s="20"/>
    </row>
    <row r="27" spans="1:30" ht="13.5" customHeight="1" x14ac:dyDescent="0.25">
      <c r="A27" s="16"/>
      <c r="B27" s="16"/>
      <c r="C27" s="26" t="str">
        <f>IF(A27="","",IF((COUNTIFS(A:A,A27))&gt;1,"ID重复",""))</f>
        <v/>
      </c>
      <c r="D27" s="16">
        <v>6140</v>
      </c>
      <c r="E27" s="21" t="str">
        <f>INDEX([1]道具配置表!$D:$D,MATCH(D27,[1]道具配置表!$A:$A,0))</f>
        <v>1分钟科技加速</v>
      </c>
      <c r="F27" s="29">
        <f t="shared" si="11"/>
        <v>120</v>
      </c>
      <c r="G27" s="16"/>
      <c r="H27" s="16"/>
      <c r="I27" s="16"/>
      <c r="J27" s="16"/>
      <c r="K27" s="16">
        <v>1</v>
      </c>
      <c r="L27" s="16"/>
      <c r="M27" s="16" t="b">
        <v>1</v>
      </c>
      <c r="N27" s="16"/>
      <c r="V27" s="20"/>
      <c r="W27" s="20"/>
      <c r="X27" s="20"/>
      <c r="Y27" s="20"/>
      <c r="Z27" s="20"/>
      <c r="AA27" s="20"/>
      <c r="AB27" s="20"/>
      <c r="AC27" s="20"/>
      <c r="AD27" s="20"/>
    </row>
    <row r="28" spans="1:30" ht="13.5" customHeight="1" x14ac:dyDescent="0.25">
      <c r="A28" s="16">
        <f>A25+1</f>
        <v>6600109</v>
      </c>
      <c r="B28" s="16" t="str">
        <f>MOD(A28,100)&amp;"级城全盟奖励"</f>
        <v>9级城全盟奖励</v>
      </c>
      <c r="C28" s="26" t="str">
        <f>IF(A28="","",IF((COUNTIFS(A:A,A28))&gt;1,"ID重复",""))</f>
        <v/>
      </c>
      <c r="D28" s="16">
        <v>501</v>
      </c>
      <c r="E28" s="21" t="str">
        <f>INDEX([1]道具配置表!$D:$D,MATCH(D28,[1]道具配置表!$A:$A,0))</f>
        <v>1千资源自选宝箱</v>
      </c>
      <c r="F28" s="29">
        <f t="shared" ref="F28" si="12">F25+20</f>
        <v>260</v>
      </c>
      <c r="G28" s="16"/>
      <c r="H28" s="16"/>
      <c r="I28" s="16"/>
      <c r="J28" s="16"/>
      <c r="K28" s="16">
        <v>1</v>
      </c>
      <c r="L28" s="16"/>
      <c r="M28" s="16" t="b">
        <v>1</v>
      </c>
      <c r="N28" s="16"/>
      <c r="V28" s="20"/>
      <c r="W28" s="20"/>
      <c r="X28" s="20"/>
      <c r="Y28" s="20"/>
      <c r="Z28" s="20"/>
      <c r="AA28" s="20"/>
      <c r="AB28" s="20"/>
      <c r="AC28" s="20"/>
      <c r="AD28" s="20"/>
    </row>
    <row r="29" spans="1:30" ht="13.5" customHeight="1" x14ac:dyDescent="0.25">
      <c r="A29" s="16"/>
      <c r="B29" s="16"/>
      <c r="C29" s="26" t="str">
        <f>IF(A29="","",IF((COUNTIFS(A:A,A29))&gt;1,"ID重复",""))</f>
        <v/>
      </c>
      <c r="D29" s="16">
        <v>6120</v>
      </c>
      <c r="E29" s="21" t="str">
        <f>INDEX([1]道具配置表!$D:$D,MATCH(D29,[1]道具配置表!$A:$A,0))</f>
        <v>1分钟建造加速</v>
      </c>
      <c r="F29" s="29">
        <f t="shared" ref="F29:F30" si="13">F26+10</f>
        <v>130</v>
      </c>
      <c r="G29" s="16"/>
      <c r="H29" s="16"/>
      <c r="I29" s="16"/>
      <c r="J29" s="16"/>
      <c r="K29" s="16">
        <v>1</v>
      </c>
      <c r="L29" s="16"/>
      <c r="M29" s="16" t="b">
        <v>1</v>
      </c>
      <c r="N29" s="16"/>
      <c r="V29" s="20"/>
      <c r="W29" s="20"/>
      <c r="X29" s="20"/>
      <c r="Y29" s="20"/>
      <c r="Z29" s="20"/>
      <c r="AA29" s="20"/>
      <c r="AB29" s="20"/>
      <c r="AC29" s="20"/>
      <c r="AD29" s="20"/>
    </row>
    <row r="30" spans="1:30" ht="13.5" customHeight="1" x14ac:dyDescent="0.25">
      <c r="A30" s="16"/>
      <c r="B30" s="16"/>
      <c r="C30" s="26" t="str">
        <f>IF(A30="","",IF((COUNTIFS(A:A,A30))&gt;1,"ID重复",""))</f>
        <v/>
      </c>
      <c r="D30" s="16">
        <v>6140</v>
      </c>
      <c r="E30" s="21" t="str">
        <f>INDEX([1]道具配置表!$D:$D,MATCH(D30,[1]道具配置表!$A:$A,0))</f>
        <v>1分钟科技加速</v>
      </c>
      <c r="F30" s="29">
        <f t="shared" si="13"/>
        <v>130</v>
      </c>
      <c r="G30" s="16"/>
      <c r="H30" s="16"/>
      <c r="I30" s="16"/>
      <c r="J30" s="16"/>
      <c r="K30" s="16">
        <v>1</v>
      </c>
      <c r="L30" s="16"/>
      <c r="M30" s="16" t="b">
        <v>1</v>
      </c>
      <c r="N30" s="16"/>
      <c r="V30" s="20"/>
      <c r="W30" s="20"/>
      <c r="X30" s="20"/>
      <c r="Y30" s="20"/>
      <c r="Z30" s="20"/>
      <c r="AA30" s="20"/>
      <c r="AB30" s="20"/>
      <c r="AC30" s="20"/>
      <c r="AD30" s="20"/>
    </row>
    <row r="31" spans="1:30" ht="13.5" customHeight="1" x14ac:dyDescent="0.25">
      <c r="A31" s="16">
        <f>A28+1</f>
        <v>6600110</v>
      </c>
      <c r="B31" s="16" t="str">
        <f>MOD(A31,100)&amp;"级城全盟奖励"</f>
        <v>10级城全盟奖励</v>
      </c>
      <c r="C31" s="26" t="str">
        <f>IF(A31="","",IF((COUNTIFS(A:A,A31))&gt;1,"ID重复",""))</f>
        <v/>
      </c>
      <c r="D31" s="16">
        <v>501</v>
      </c>
      <c r="E31" s="21" t="str">
        <f>INDEX([1]道具配置表!$D:$D,MATCH(D31,[1]道具配置表!$A:$A,0))</f>
        <v>1千资源自选宝箱</v>
      </c>
      <c r="F31" s="29">
        <f t="shared" ref="F31" si="14">F28+20</f>
        <v>280</v>
      </c>
      <c r="G31" s="16"/>
      <c r="H31" s="16"/>
      <c r="I31" s="16"/>
      <c r="J31" s="16"/>
      <c r="K31" s="16">
        <v>1</v>
      </c>
      <c r="L31" s="16"/>
      <c r="M31" s="16" t="b">
        <v>1</v>
      </c>
      <c r="N31" s="16"/>
      <c r="V31" s="20"/>
      <c r="W31" s="20"/>
      <c r="X31" s="20"/>
      <c r="Y31" s="20"/>
      <c r="Z31" s="20"/>
      <c r="AA31" s="20"/>
      <c r="AB31" s="20"/>
      <c r="AC31" s="20"/>
      <c r="AD31" s="20"/>
    </row>
    <row r="32" spans="1:30" ht="13.5" customHeight="1" x14ac:dyDescent="0.25">
      <c r="A32" s="16"/>
      <c r="B32" s="16"/>
      <c r="C32" s="26" t="str">
        <f>IF(A32="","",IF((COUNTIFS(A:A,A32))&gt;1,"ID重复",""))</f>
        <v/>
      </c>
      <c r="D32" s="16">
        <v>6120</v>
      </c>
      <c r="E32" s="21" t="str">
        <f>INDEX([1]道具配置表!$D:$D,MATCH(D32,[1]道具配置表!$A:$A,0))</f>
        <v>1分钟建造加速</v>
      </c>
      <c r="F32" s="29">
        <f t="shared" ref="F32:F33" si="15">F29+10</f>
        <v>140</v>
      </c>
      <c r="G32" s="16"/>
      <c r="H32" s="16"/>
      <c r="I32" s="16"/>
      <c r="J32" s="16"/>
      <c r="K32" s="16">
        <v>1</v>
      </c>
      <c r="L32" s="16"/>
      <c r="M32" s="16" t="b">
        <v>1</v>
      </c>
      <c r="N32" s="16"/>
      <c r="V32" s="20"/>
      <c r="W32" s="20"/>
      <c r="X32" s="20"/>
      <c r="Y32" s="20"/>
      <c r="Z32" s="20"/>
      <c r="AA32" s="20"/>
      <c r="AB32" s="20"/>
      <c r="AC32" s="20"/>
      <c r="AD32" s="20"/>
    </row>
    <row r="33" spans="1:30" ht="13.5" customHeight="1" x14ac:dyDescent="0.25">
      <c r="A33" s="16"/>
      <c r="B33" s="16"/>
      <c r="C33" s="26" t="str">
        <f>IF(A33="","",IF((COUNTIFS(A:A,A33))&gt;1,"ID重复",""))</f>
        <v/>
      </c>
      <c r="D33" s="16">
        <v>6140</v>
      </c>
      <c r="E33" s="21" t="str">
        <f>INDEX([1]道具配置表!$D:$D,MATCH(D33,[1]道具配置表!$A:$A,0))</f>
        <v>1分钟科技加速</v>
      </c>
      <c r="F33" s="29">
        <f t="shared" si="15"/>
        <v>140</v>
      </c>
      <c r="G33" s="16"/>
      <c r="H33" s="16"/>
      <c r="I33" s="16"/>
      <c r="J33" s="16"/>
      <c r="K33" s="16">
        <v>1</v>
      </c>
      <c r="L33" s="16"/>
      <c r="M33" s="16" t="b">
        <v>1</v>
      </c>
      <c r="N33" s="16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ht="13.5" customHeight="1" x14ac:dyDescent="0.25">
      <c r="A34" s="16">
        <v>6600201</v>
      </c>
      <c r="B34" s="16" t="str">
        <f>MOD(A34,100)&amp;"级城参与奖励"</f>
        <v>1级城参与奖励</v>
      </c>
      <c r="C34" s="26" t="str">
        <f>IF(A34="","",IF((COUNTIFS(A:A,A34))&gt;1,"ID重复",""))</f>
        <v/>
      </c>
      <c r="D34" s="16">
        <v>7003</v>
      </c>
      <c r="E34" s="21" t="str">
        <f>INDEX([1]道具配置表!$D:$D,MATCH(D34,[1]道具配置表!$A:$A,0))</f>
        <v>1银币（立即使用，不进背包）</v>
      </c>
      <c r="F34" s="16">
        <v>300</v>
      </c>
      <c r="G34" s="16"/>
      <c r="H34" s="16"/>
      <c r="I34" s="16"/>
      <c r="J34" s="16"/>
      <c r="K34" s="16">
        <v>1</v>
      </c>
      <c r="L34" s="16"/>
      <c r="M34" s="16" t="b">
        <v>1</v>
      </c>
      <c r="N34" s="16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ht="13.5" customHeight="1" x14ac:dyDescent="0.25">
      <c r="A35" s="16"/>
      <c r="B35" s="16"/>
      <c r="C35" s="26" t="str">
        <f>IF(A35="","",IF((COUNTIFS(A:A,A35))&gt;1,"ID重复",""))</f>
        <v/>
      </c>
      <c r="D35" s="16">
        <v>6160</v>
      </c>
      <c r="E35" s="21" t="str">
        <f>INDEX([1]道具配置表!$D:$D,MATCH(D35,[1]道具配置表!$A:$A,0))</f>
        <v>1分钟训练加速</v>
      </c>
      <c r="F35" s="16">
        <v>100</v>
      </c>
      <c r="G35" s="16"/>
      <c r="H35" s="16"/>
      <c r="I35" s="16"/>
      <c r="J35" s="16"/>
      <c r="K35" s="16">
        <v>1</v>
      </c>
      <c r="L35" s="16"/>
      <c r="M35" s="16" t="b">
        <v>1</v>
      </c>
      <c r="N35" s="16"/>
      <c r="V35" s="20"/>
      <c r="W35" s="20"/>
      <c r="X35" s="20"/>
      <c r="Y35" s="20"/>
      <c r="Z35" s="20"/>
      <c r="AA35" s="20"/>
      <c r="AB35" s="20"/>
      <c r="AC35" s="20"/>
      <c r="AD35" s="20"/>
    </row>
    <row r="36" spans="1:30" ht="13.5" customHeight="1" x14ac:dyDescent="0.25">
      <c r="A36" s="16"/>
      <c r="B36" s="16"/>
      <c r="C36" s="26" t="str">
        <f>IF(A36="","",IF((COUNTIFS(A:A,A36))&gt;1,"ID重复",""))</f>
        <v/>
      </c>
      <c r="D36" s="16">
        <v>6180</v>
      </c>
      <c r="E36" s="21" t="str">
        <f>INDEX([1]道具配置表!$D:$D,MATCH(D36,[1]道具配置表!$A:$A,0))</f>
        <v>1分钟治疗加速</v>
      </c>
      <c r="F36" s="16">
        <v>50</v>
      </c>
      <c r="G36" s="16"/>
      <c r="H36" s="16"/>
      <c r="I36" s="16"/>
      <c r="J36" s="16"/>
      <c r="K36" s="16">
        <v>1</v>
      </c>
      <c r="L36" s="16"/>
      <c r="M36" s="16" t="b">
        <v>1</v>
      </c>
      <c r="N36" s="16"/>
      <c r="V36" s="20"/>
      <c r="W36" s="20"/>
      <c r="X36" s="20"/>
      <c r="Y36" s="20"/>
      <c r="Z36" s="20"/>
      <c r="AA36" s="20"/>
      <c r="AB36" s="20"/>
      <c r="AC36" s="20"/>
      <c r="AD36" s="20"/>
    </row>
    <row r="37" spans="1:30" ht="13.5" customHeight="1" x14ac:dyDescent="0.25">
      <c r="A37" s="16">
        <f>A34+1</f>
        <v>6600202</v>
      </c>
      <c r="B37" s="16" t="str">
        <f>MOD(A37,100)&amp;"级城参与奖励"</f>
        <v>2级城参与奖励</v>
      </c>
      <c r="C37" s="26" t="str">
        <f>IF(A37="","",IF((COUNTIFS(A:A,A37))&gt;1,"ID重复",""))</f>
        <v/>
      </c>
      <c r="D37" s="16">
        <v>7003</v>
      </c>
      <c r="E37" s="21" t="str">
        <f>INDEX([1]道具配置表!$D:$D,MATCH(D37,[1]道具配置表!$A:$A,0))</f>
        <v>1银币（立即使用，不进背包）</v>
      </c>
      <c r="F37" s="16">
        <f>F34+60</f>
        <v>360</v>
      </c>
      <c r="G37" s="16"/>
      <c r="H37" s="16"/>
      <c r="I37" s="16"/>
      <c r="J37" s="16"/>
      <c r="K37" s="16">
        <v>1</v>
      </c>
      <c r="L37" s="16"/>
      <c r="M37" s="16" t="b">
        <v>1</v>
      </c>
      <c r="N37" s="16"/>
      <c r="V37" s="20"/>
      <c r="W37" s="20"/>
      <c r="X37" s="20"/>
      <c r="Y37" s="20"/>
      <c r="Z37" s="20"/>
      <c r="AA37" s="20"/>
      <c r="AB37" s="20"/>
      <c r="AC37" s="20"/>
      <c r="AD37" s="20"/>
    </row>
    <row r="38" spans="1:30" ht="13.5" customHeight="1" x14ac:dyDescent="0.25">
      <c r="A38" s="16"/>
      <c r="B38" s="16"/>
      <c r="C38" s="26" t="str">
        <f>IF(A38="","",IF((COUNTIFS(A:A,A38))&gt;1,"ID重复",""))</f>
        <v/>
      </c>
      <c r="D38" s="16">
        <v>6160</v>
      </c>
      <c r="E38" s="21" t="str">
        <f>INDEX([1]道具配置表!$D:$D,MATCH(D38,[1]道具配置表!$A:$A,0))</f>
        <v>1分钟训练加速</v>
      </c>
      <c r="F38" s="16">
        <f>F35+20</f>
        <v>120</v>
      </c>
      <c r="G38" s="16"/>
      <c r="H38" s="16"/>
      <c r="I38" s="16"/>
      <c r="J38" s="16"/>
      <c r="K38" s="16">
        <v>1</v>
      </c>
      <c r="L38" s="16"/>
      <c r="M38" s="16" t="b">
        <v>1</v>
      </c>
      <c r="N38" s="16"/>
      <c r="V38" s="20"/>
      <c r="W38" s="20"/>
      <c r="X38" s="20"/>
      <c r="Y38" s="20"/>
      <c r="Z38" s="20"/>
      <c r="AA38" s="20"/>
      <c r="AB38" s="20"/>
      <c r="AC38" s="20"/>
      <c r="AD38" s="20"/>
    </row>
    <row r="39" spans="1:30" ht="13.5" customHeight="1" x14ac:dyDescent="0.25">
      <c r="A39" s="16"/>
      <c r="B39" s="16"/>
      <c r="C39" s="26" t="str">
        <f>IF(A39="","",IF((COUNTIFS(A:A,A39))&gt;1,"ID重复",""))</f>
        <v/>
      </c>
      <c r="D39" s="16">
        <v>6180</v>
      </c>
      <c r="E39" s="21" t="str">
        <f>INDEX([1]道具配置表!$D:$D,MATCH(D39,[1]道具配置表!$A:$A,0))</f>
        <v>1分钟治疗加速</v>
      </c>
      <c r="F39" s="16">
        <f>F36+10</f>
        <v>60</v>
      </c>
      <c r="G39" s="16"/>
      <c r="H39" s="16"/>
      <c r="I39" s="16"/>
      <c r="J39" s="16"/>
      <c r="K39" s="16">
        <v>1</v>
      </c>
      <c r="L39" s="16"/>
      <c r="M39" s="16" t="b">
        <v>1</v>
      </c>
      <c r="N39" s="16"/>
      <c r="V39" s="20"/>
      <c r="W39" s="20"/>
      <c r="X39" s="20"/>
      <c r="Y39" s="20"/>
      <c r="Z39" s="20"/>
      <c r="AA39" s="20"/>
      <c r="AB39" s="20"/>
      <c r="AC39" s="20"/>
      <c r="AD39" s="20"/>
    </row>
    <row r="40" spans="1:30" ht="13.5" customHeight="1" x14ac:dyDescent="0.25">
      <c r="A40" s="16">
        <f>A37+1</f>
        <v>6600203</v>
      </c>
      <c r="B40" s="16" t="str">
        <f>MOD(A40,100)&amp;"级城参与奖励"</f>
        <v>3级城参与奖励</v>
      </c>
      <c r="C40" s="26" t="str">
        <f>IF(A40="","",IF((COUNTIFS(A:A,A40))&gt;1,"ID重复",""))</f>
        <v/>
      </c>
      <c r="D40" s="16">
        <v>7003</v>
      </c>
      <c r="E40" s="21" t="str">
        <f>INDEX([1]道具配置表!$D:$D,MATCH(D40,[1]道具配置表!$A:$A,0))</f>
        <v>1银币（立即使用，不进背包）</v>
      </c>
      <c r="F40" s="29">
        <f t="shared" ref="F40" si="16">F37+60</f>
        <v>420</v>
      </c>
      <c r="G40" s="16"/>
      <c r="H40" s="16"/>
      <c r="I40" s="16"/>
      <c r="J40" s="16"/>
      <c r="K40" s="16">
        <v>1</v>
      </c>
      <c r="L40" s="16"/>
      <c r="M40" s="16" t="b">
        <v>1</v>
      </c>
      <c r="N40" s="16"/>
      <c r="V40" s="20"/>
      <c r="W40" s="20"/>
      <c r="X40" s="20"/>
      <c r="Y40" s="20"/>
      <c r="Z40" s="20"/>
      <c r="AA40" s="20"/>
      <c r="AB40" s="20"/>
      <c r="AC40" s="20"/>
      <c r="AD40" s="20"/>
    </row>
    <row r="41" spans="1:30" ht="13.5" customHeight="1" x14ac:dyDescent="0.25">
      <c r="A41" s="16"/>
      <c r="B41" s="16"/>
      <c r="C41" s="26" t="str">
        <f>IF(A41="","",IF((COUNTIFS(A:A,A41))&gt;1,"ID重复",""))</f>
        <v/>
      </c>
      <c r="D41" s="16">
        <v>6160</v>
      </c>
      <c r="E41" s="21" t="str">
        <f>INDEX([1]道具配置表!$D:$D,MATCH(D41,[1]道具配置表!$A:$A,0))</f>
        <v>1分钟训练加速</v>
      </c>
      <c r="F41" s="29">
        <f t="shared" ref="F41" si="17">F38+20</f>
        <v>140</v>
      </c>
      <c r="G41" s="16"/>
      <c r="H41" s="16"/>
      <c r="I41" s="16"/>
      <c r="J41" s="16"/>
      <c r="K41" s="16">
        <v>1</v>
      </c>
      <c r="L41" s="16"/>
      <c r="M41" s="16" t="b">
        <v>1</v>
      </c>
      <c r="N41" s="16"/>
      <c r="V41" s="20"/>
      <c r="W41" s="20"/>
      <c r="X41" s="20"/>
      <c r="Y41" s="20"/>
      <c r="Z41" s="20"/>
      <c r="AA41" s="20"/>
      <c r="AB41" s="20"/>
      <c r="AC41" s="20"/>
      <c r="AD41" s="20"/>
    </row>
    <row r="42" spans="1:30" ht="13.5" customHeight="1" x14ac:dyDescent="0.25">
      <c r="A42" s="16"/>
      <c r="B42" s="16"/>
      <c r="C42" s="26" t="str">
        <f>IF(A42="","",IF((COUNTIFS(A:A,A42))&gt;1,"ID重复",""))</f>
        <v/>
      </c>
      <c r="D42" s="16">
        <v>6180</v>
      </c>
      <c r="E42" s="21" t="str">
        <f>INDEX([1]道具配置表!$D:$D,MATCH(D42,[1]道具配置表!$A:$A,0))</f>
        <v>1分钟治疗加速</v>
      </c>
      <c r="F42" s="29">
        <f t="shared" ref="F42" si="18">F39+10</f>
        <v>70</v>
      </c>
      <c r="G42" s="16"/>
      <c r="H42" s="16"/>
      <c r="I42" s="16"/>
      <c r="J42" s="16"/>
      <c r="K42" s="16">
        <v>1</v>
      </c>
      <c r="L42" s="16"/>
      <c r="M42" s="16" t="b">
        <v>1</v>
      </c>
      <c r="N42" s="16"/>
      <c r="V42" s="20"/>
      <c r="W42" s="20"/>
      <c r="X42" s="20"/>
      <c r="Y42" s="20"/>
      <c r="Z42" s="20"/>
      <c r="AA42" s="20"/>
      <c r="AB42" s="20"/>
      <c r="AC42" s="20"/>
      <c r="AD42" s="20"/>
    </row>
    <row r="43" spans="1:30" ht="13.5" customHeight="1" x14ac:dyDescent="0.25">
      <c r="A43" s="16">
        <f>A40+1</f>
        <v>6600204</v>
      </c>
      <c r="B43" s="16" t="str">
        <f>MOD(A43,100)&amp;"级城参与奖励"</f>
        <v>4级城参与奖励</v>
      </c>
      <c r="C43" s="26" t="str">
        <f>IF(A43="","",IF((COUNTIFS(A:A,A43))&gt;1,"ID重复",""))</f>
        <v/>
      </c>
      <c r="D43" s="16">
        <v>7003</v>
      </c>
      <c r="E43" s="21" t="str">
        <f>INDEX([1]道具配置表!$D:$D,MATCH(D43,[1]道具配置表!$A:$A,0))</f>
        <v>1银币（立即使用，不进背包）</v>
      </c>
      <c r="F43" s="29">
        <f t="shared" ref="F43" si="19">F40+60</f>
        <v>480</v>
      </c>
      <c r="G43" s="16"/>
      <c r="H43" s="16"/>
      <c r="I43" s="16"/>
      <c r="J43" s="16"/>
      <c r="K43" s="16">
        <v>1</v>
      </c>
      <c r="L43" s="16"/>
      <c r="M43" s="16" t="b">
        <v>1</v>
      </c>
      <c r="N43" s="16"/>
      <c r="V43" s="20"/>
      <c r="W43" s="20"/>
      <c r="X43" s="20"/>
      <c r="Y43" s="20"/>
      <c r="Z43" s="20"/>
      <c r="AA43" s="20"/>
      <c r="AB43" s="20"/>
      <c r="AC43" s="20"/>
      <c r="AD43" s="20"/>
    </row>
    <row r="44" spans="1:30" ht="13.5" customHeight="1" x14ac:dyDescent="0.25">
      <c r="A44" s="16"/>
      <c r="B44" s="16"/>
      <c r="C44" s="26" t="str">
        <f>IF(A44="","",IF((COUNTIFS(A:A,A44))&gt;1,"ID重复",""))</f>
        <v/>
      </c>
      <c r="D44" s="16">
        <v>6160</v>
      </c>
      <c r="E44" s="21" t="str">
        <f>INDEX([1]道具配置表!$D:$D,MATCH(D44,[1]道具配置表!$A:$A,0))</f>
        <v>1分钟训练加速</v>
      </c>
      <c r="F44" s="29">
        <f t="shared" ref="F44" si="20">F41+20</f>
        <v>160</v>
      </c>
      <c r="G44" s="16"/>
      <c r="H44" s="16"/>
      <c r="I44" s="16"/>
      <c r="J44" s="16"/>
      <c r="K44" s="16">
        <v>1</v>
      </c>
      <c r="L44" s="16"/>
      <c r="M44" s="16" t="b">
        <v>1</v>
      </c>
      <c r="N44" s="16"/>
      <c r="V44" s="20"/>
      <c r="W44" s="20"/>
      <c r="X44" s="20"/>
      <c r="Y44" s="20"/>
      <c r="Z44" s="20"/>
      <c r="AA44" s="20"/>
      <c r="AB44" s="20"/>
      <c r="AC44" s="20"/>
      <c r="AD44" s="20"/>
    </row>
    <row r="45" spans="1:30" ht="13.5" customHeight="1" x14ac:dyDescent="0.25">
      <c r="A45" s="16"/>
      <c r="B45" s="16"/>
      <c r="C45" s="26" t="str">
        <f>IF(A45="","",IF((COUNTIFS(A:A,A45))&gt;1,"ID重复",""))</f>
        <v/>
      </c>
      <c r="D45" s="16">
        <v>6180</v>
      </c>
      <c r="E45" s="21" t="str">
        <f>INDEX([1]道具配置表!$D:$D,MATCH(D45,[1]道具配置表!$A:$A,0))</f>
        <v>1分钟治疗加速</v>
      </c>
      <c r="F45" s="29">
        <f t="shared" ref="F45" si="21">F42+10</f>
        <v>80</v>
      </c>
      <c r="G45" s="16"/>
      <c r="H45" s="16"/>
      <c r="I45" s="16"/>
      <c r="J45" s="16"/>
      <c r="K45" s="16">
        <v>1</v>
      </c>
      <c r="L45" s="16"/>
      <c r="M45" s="16" t="b">
        <v>1</v>
      </c>
      <c r="N45" s="16"/>
      <c r="V45" s="20"/>
      <c r="W45" s="20"/>
      <c r="X45" s="20"/>
      <c r="Y45" s="20"/>
      <c r="Z45" s="20"/>
      <c r="AA45" s="20"/>
      <c r="AB45" s="20"/>
      <c r="AC45" s="20"/>
      <c r="AD45" s="20"/>
    </row>
    <row r="46" spans="1:30" ht="13.5" customHeight="1" x14ac:dyDescent="0.25">
      <c r="A46" s="16">
        <f>A43+1</f>
        <v>6600205</v>
      </c>
      <c r="B46" s="16" t="str">
        <f>MOD(A46,100)&amp;"级城参与奖励"</f>
        <v>5级城参与奖励</v>
      </c>
      <c r="C46" s="26" t="str">
        <f>IF(A46="","",IF((COUNTIFS(A:A,A46))&gt;1,"ID重复",""))</f>
        <v/>
      </c>
      <c r="D46" s="16">
        <v>7003</v>
      </c>
      <c r="E46" s="21" t="str">
        <f>INDEX([1]道具配置表!$D:$D,MATCH(D46,[1]道具配置表!$A:$A,0))</f>
        <v>1银币（立即使用，不进背包）</v>
      </c>
      <c r="F46" s="29">
        <f t="shared" ref="F46" si="22">F43+60</f>
        <v>540</v>
      </c>
      <c r="G46" s="16"/>
      <c r="H46" s="16"/>
      <c r="I46" s="16"/>
      <c r="J46" s="16"/>
      <c r="K46" s="16">
        <v>1</v>
      </c>
      <c r="L46" s="16"/>
      <c r="M46" s="16" t="b">
        <v>1</v>
      </c>
      <c r="N46" s="16"/>
      <c r="V46" s="20"/>
      <c r="W46" s="20"/>
      <c r="X46" s="20"/>
      <c r="Y46" s="20"/>
      <c r="Z46" s="20"/>
      <c r="AA46" s="20"/>
      <c r="AB46" s="20"/>
      <c r="AC46" s="20"/>
      <c r="AD46" s="20"/>
    </row>
    <row r="47" spans="1:30" ht="13.5" customHeight="1" x14ac:dyDescent="0.25">
      <c r="A47" s="16"/>
      <c r="B47" s="16"/>
      <c r="C47" s="26" t="str">
        <f>IF(A47="","",IF((COUNTIFS(A:A,A47))&gt;1,"ID重复",""))</f>
        <v/>
      </c>
      <c r="D47" s="16">
        <v>6160</v>
      </c>
      <c r="E47" s="21" t="str">
        <f>INDEX([1]道具配置表!$D:$D,MATCH(D47,[1]道具配置表!$A:$A,0))</f>
        <v>1分钟训练加速</v>
      </c>
      <c r="F47" s="29">
        <f t="shared" ref="F47" si="23">F44+20</f>
        <v>180</v>
      </c>
      <c r="G47" s="16"/>
      <c r="H47" s="16"/>
      <c r="I47" s="16"/>
      <c r="J47" s="16"/>
      <c r="K47" s="16">
        <v>1</v>
      </c>
      <c r="L47" s="16"/>
      <c r="M47" s="16" t="b">
        <v>1</v>
      </c>
      <c r="N47" s="16"/>
      <c r="V47" s="20"/>
      <c r="W47" s="20"/>
      <c r="X47" s="20"/>
      <c r="Y47" s="20"/>
      <c r="Z47" s="20"/>
      <c r="AA47" s="20"/>
      <c r="AB47" s="20"/>
      <c r="AC47" s="20"/>
      <c r="AD47" s="20"/>
    </row>
    <row r="48" spans="1:30" ht="13.5" customHeight="1" x14ac:dyDescent="0.25">
      <c r="A48" s="16"/>
      <c r="B48" s="16"/>
      <c r="C48" s="26" t="str">
        <f>IF(A48="","",IF((COUNTIFS(A:A,A48))&gt;1,"ID重复",""))</f>
        <v/>
      </c>
      <c r="D48" s="16">
        <v>6180</v>
      </c>
      <c r="E48" s="21" t="str">
        <f>INDEX([1]道具配置表!$D:$D,MATCH(D48,[1]道具配置表!$A:$A,0))</f>
        <v>1分钟治疗加速</v>
      </c>
      <c r="F48" s="29">
        <f t="shared" ref="F48" si="24">F45+10</f>
        <v>90</v>
      </c>
      <c r="G48" s="16"/>
      <c r="H48" s="16"/>
      <c r="I48" s="16"/>
      <c r="J48" s="16"/>
      <c r="K48" s="16">
        <v>1</v>
      </c>
      <c r="L48" s="16"/>
      <c r="M48" s="16" t="b">
        <v>1</v>
      </c>
      <c r="N48" s="16"/>
      <c r="V48" s="20"/>
      <c r="W48" s="20"/>
      <c r="X48" s="20"/>
      <c r="Y48" s="20"/>
      <c r="Z48" s="20"/>
      <c r="AA48" s="20"/>
      <c r="AB48" s="20"/>
      <c r="AC48" s="20"/>
      <c r="AD48" s="20"/>
    </row>
    <row r="49" spans="1:30" ht="13.5" customHeight="1" x14ac:dyDescent="0.25">
      <c r="A49" s="16">
        <f>A46+1</f>
        <v>6600206</v>
      </c>
      <c r="B49" s="16" t="str">
        <f>MOD(A49,100)&amp;"级城参与奖励"</f>
        <v>6级城参与奖励</v>
      </c>
      <c r="C49" s="26" t="str">
        <f>IF(A49="","",IF((COUNTIFS(A:A,A49))&gt;1,"ID重复",""))</f>
        <v/>
      </c>
      <c r="D49" s="16">
        <v>7003</v>
      </c>
      <c r="E49" s="21" t="str">
        <f>INDEX([1]道具配置表!$D:$D,MATCH(D49,[1]道具配置表!$A:$A,0))</f>
        <v>1银币（立即使用，不进背包）</v>
      </c>
      <c r="F49" s="29">
        <f t="shared" ref="F49" si="25">F46+60</f>
        <v>600</v>
      </c>
      <c r="G49" s="16"/>
      <c r="H49" s="16"/>
      <c r="I49" s="16"/>
      <c r="J49" s="16"/>
      <c r="K49" s="16">
        <v>1</v>
      </c>
      <c r="L49" s="16"/>
      <c r="M49" s="16" t="b">
        <v>1</v>
      </c>
      <c r="N49" s="16"/>
      <c r="V49" s="20"/>
      <c r="W49" s="20"/>
      <c r="X49" s="20"/>
      <c r="Y49" s="20"/>
      <c r="Z49" s="20"/>
      <c r="AA49" s="20"/>
      <c r="AB49" s="20"/>
      <c r="AC49" s="20"/>
      <c r="AD49" s="20"/>
    </row>
    <row r="50" spans="1:30" ht="13.5" customHeight="1" x14ac:dyDescent="0.25">
      <c r="A50" s="16"/>
      <c r="B50" s="16"/>
      <c r="C50" s="26" t="str">
        <f>IF(A50="","",IF((COUNTIFS(A:A,A50))&gt;1,"ID重复",""))</f>
        <v/>
      </c>
      <c r="D50" s="16">
        <v>6160</v>
      </c>
      <c r="E50" s="21" t="str">
        <f>INDEX([1]道具配置表!$D:$D,MATCH(D50,[1]道具配置表!$A:$A,0))</f>
        <v>1分钟训练加速</v>
      </c>
      <c r="F50" s="29">
        <f t="shared" ref="F50" si="26">F47+20</f>
        <v>200</v>
      </c>
      <c r="G50" s="16"/>
      <c r="H50" s="16"/>
      <c r="I50" s="16"/>
      <c r="J50" s="16"/>
      <c r="K50" s="16">
        <v>1</v>
      </c>
      <c r="L50" s="16"/>
      <c r="M50" s="16" t="b">
        <v>1</v>
      </c>
      <c r="N50" s="16"/>
      <c r="V50" s="20"/>
      <c r="W50" s="20"/>
      <c r="X50" s="20"/>
      <c r="Y50" s="20"/>
      <c r="Z50" s="20"/>
      <c r="AA50" s="20"/>
      <c r="AB50" s="20"/>
      <c r="AC50" s="20"/>
      <c r="AD50" s="20"/>
    </row>
    <row r="51" spans="1:30" ht="13.5" customHeight="1" x14ac:dyDescent="0.25">
      <c r="A51" s="16"/>
      <c r="B51" s="16"/>
      <c r="C51" s="26" t="str">
        <f>IF(A51="","",IF((COUNTIFS(A:A,A51))&gt;1,"ID重复",""))</f>
        <v/>
      </c>
      <c r="D51" s="16">
        <v>6180</v>
      </c>
      <c r="E51" s="21" t="str">
        <f>INDEX([1]道具配置表!$D:$D,MATCH(D51,[1]道具配置表!$A:$A,0))</f>
        <v>1分钟治疗加速</v>
      </c>
      <c r="F51" s="29">
        <f t="shared" ref="F51" si="27">F48+10</f>
        <v>100</v>
      </c>
      <c r="G51" s="16"/>
      <c r="H51" s="16"/>
      <c r="I51" s="16"/>
      <c r="J51" s="16"/>
      <c r="K51" s="16">
        <v>1</v>
      </c>
      <c r="L51" s="16"/>
      <c r="M51" s="16" t="b">
        <v>1</v>
      </c>
      <c r="N51" s="16"/>
      <c r="V51" s="20"/>
      <c r="W51" s="20"/>
      <c r="X51" s="20"/>
      <c r="Y51" s="20"/>
      <c r="Z51" s="20"/>
      <c r="AA51" s="20"/>
      <c r="AB51" s="20"/>
      <c r="AC51" s="20"/>
      <c r="AD51" s="20"/>
    </row>
    <row r="52" spans="1:30" ht="13.5" customHeight="1" x14ac:dyDescent="0.25">
      <c r="A52" s="16">
        <f>A49+1</f>
        <v>6600207</v>
      </c>
      <c r="B52" s="16" t="str">
        <f>MOD(A52,100)&amp;"级城参与奖励"</f>
        <v>7级城参与奖励</v>
      </c>
      <c r="C52" s="26" t="str">
        <f>IF(A52="","",IF((COUNTIFS(A:A,A52))&gt;1,"ID重复",""))</f>
        <v/>
      </c>
      <c r="D52" s="16">
        <v>7003</v>
      </c>
      <c r="E52" s="21" t="str">
        <f>INDEX([1]道具配置表!$D:$D,MATCH(D52,[1]道具配置表!$A:$A,0))</f>
        <v>1银币（立即使用，不进背包）</v>
      </c>
      <c r="F52" s="29">
        <f t="shared" ref="F52" si="28">F49+60</f>
        <v>660</v>
      </c>
      <c r="G52" s="16"/>
      <c r="H52" s="16"/>
      <c r="I52" s="16"/>
      <c r="J52" s="16"/>
      <c r="K52" s="16">
        <v>1</v>
      </c>
      <c r="L52" s="16"/>
      <c r="M52" s="16" t="b">
        <v>1</v>
      </c>
      <c r="N52" s="16"/>
      <c r="V52" s="20"/>
      <c r="W52" s="20"/>
      <c r="X52" s="20"/>
      <c r="Y52" s="20"/>
      <c r="Z52" s="20"/>
      <c r="AA52" s="20"/>
      <c r="AB52" s="20"/>
      <c r="AC52" s="20"/>
      <c r="AD52" s="20"/>
    </row>
    <row r="53" spans="1:30" ht="13.5" customHeight="1" x14ac:dyDescent="0.25">
      <c r="A53" s="16"/>
      <c r="B53" s="16"/>
      <c r="C53" s="26" t="str">
        <f>IF(A53="","",IF((COUNTIFS(A:A,A53))&gt;1,"ID重复",""))</f>
        <v/>
      </c>
      <c r="D53" s="16">
        <v>6160</v>
      </c>
      <c r="E53" s="21" t="str">
        <f>INDEX([1]道具配置表!$D:$D,MATCH(D53,[1]道具配置表!$A:$A,0))</f>
        <v>1分钟训练加速</v>
      </c>
      <c r="F53" s="29">
        <f t="shared" ref="F53" si="29">F50+20</f>
        <v>220</v>
      </c>
      <c r="G53" s="16"/>
      <c r="H53" s="16"/>
      <c r="I53" s="16"/>
      <c r="J53" s="16"/>
      <c r="K53" s="16">
        <v>1</v>
      </c>
      <c r="L53" s="16"/>
      <c r="M53" s="16" t="b">
        <v>1</v>
      </c>
      <c r="N53" s="16"/>
      <c r="V53" s="20"/>
      <c r="W53" s="20"/>
      <c r="X53" s="20"/>
      <c r="Y53" s="20"/>
      <c r="Z53" s="20"/>
      <c r="AA53" s="20"/>
      <c r="AB53" s="20"/>
      <c r="AC53" s="20"/>
      <c r="AD53" s="20"/>
    </row>
    <row r="54" spans="1:30" ht="13.5" customHeight="1" x14ac:dyDescent="0.25">
      <c r="A54" s="16"/>
      <c r="B54" s="16"/>
      <c r="C54" s="26" t="str">
        <f>IF(A54="","",IF((COUNTIFS(A:A,A54))&gt;1,"ID重复",""))</f>
        <v/>
      </c>
      <c r="D54" s="16">
        <v>6180</v>
      </c>
      <c r="E54" s="21" t="str">
        <f>INDEX([1]道具配置表!$D:$D,MATCH(D54,[1]道具配置表!$A:$A,0))</f>
        <v>1分钟治疗加速</v>
      </c>
      <c r="F54" s="29">
        <f t="shared" ref="F54" si="30">F51+10</f>
        <v>110</v>
      </c>
      <c r="G54" s="16"/>
      <c r="H54" s="16"/>
      <c r="I54" s="16"/>
      <c r="J54" s="16"/>
      <c r="K54" s="16">
        <v>1</v>
      </c>
      <c r="L54" s="16"/>
      <c r="M54" s="16" t="b">
        <v>1</v>
      </c>
      <c r="N54" s="16"/>
      <c r="V54" s="20"/>
      <c r="W54" s="20"/>
      <c r="X54" s="20"/>
      <c r="Y54" s="20"/>
      <c r="Z54" s="20"/>
      <c r="AA54" s="20"/>
      <c r="AB54" s="20"/>
      <c r="AC54" s="20"/>
      <c r="AD54" s="20"/>
    </row>
    <row r="55" spans="1:30" ht="13.5" customHeight="1" x14ac:dyDescent="0.25">
      <c r="A55" s="16">
        <f>A52+1</f>
        <v>6600208</v>
      </c>
      <c r="B55" s="16" t="str">
        <f>MOD(A55,100)&amp;"级城参与奖励"</f>
        <v>8级城参与奖励</v>
      </c>
      <c r="C55" s="26" t="str">
        <f>IF(A55="","",IF((COUNTIFS(A:A,A55))&gt;1,"ID重复",""))</f>
        <v/>
      </c>
      <c r="D55" s="16">
        <v>7003</v>
      </c>
      <c r="E55" s="21" t="str">
        <f>INDEX([1]道具配置表!$D:$D,MATCH(D55,[1]道具配置表!$A:$A,0))</f>
        <v>1银币（立即使用，不进背包）</v>
      </c>
      <c r="F55" s="29">
        <f t="shared" ref="F55" si="31">F52+60</f>
        <v>720</v>
      </c>
      <c r="G55" s="16"/>
      <c r="H55" s="16"/>
      <c r="I55" s="16"/>
      <c r="J55" s="16"/>
      <c r="K55" s="16">
        <v>1</v>
      </c>
      <c r="L55" s="16"/>
      <c r="M55" s="16" t="b">
        <v>1</v>
      </c>
      <c r="N55" s="16"/>
      <c r="V55" s="20"/>
      <c r="W55" s="20"/>
      <c r="X55" s="20"/>
      <c r="Y55" s="20"/>
      <c r="Z55" s="20"/>
      <c r="AA55" s="20"/>
      <c r="AB55" s="20"/>
      <c r="AC55" s="20"/>
      <c r="AD55" s="20"/>
    </row>
    <row r="56" spans="1:30" ht="13.5" customHeight="1" x14ac:dyDescent="0.25">
      <c r="A56" s="16"/>
      <c r="B56" s="16"/>
      <c r="C56" s="26" t="str">
        <f>IF(A56="","",IF((COUNTIFS(A:A,A56))&gt;1,"ID重复",""))</f>
        <v/>
      </c>
      <c r="D56" s="16">
        <v>6160</v>
      </c>
      <c r="E56" s="21" t="str">
        <f>INDEX([1]道具配置表!$D:$D,MATCH(D56,[1]道具配置表!$A:$A,0))</f>
        <v>1分钟训练加速</v>
      </c>
      <c r="F56" s="29">
        <f t="shared" ref="F56" si="32">F53+20</f>
        <v>240</v>
      </c>
      <c r="G56" s="16"/>
      <c r="H56" s="16"/>
      <c r="I56" s="16"/>
      <c r="J56" s="16"/>
      <c r="K56" s="16">
        <v>1</v>
      </c>
      <c r="L56" s="16"/>
      <c r="M56" s="16" t="b">
        <v>1</v>
      </c>
      <c r="N56" s="16"/>
      <c r="V56" s="20"/>
      <c r="W56" s="20"/>
      <c r="X56" s="20"/>
      <c r="Y56" s="20"/>
      <c r="Z56" s="20"/>
      <c r="AA56" s="20"/>
      <c r="AB56" s="20"/>
      <c r="AC56" s="20"/>
      <c r="AD56" s="20"/>
    </row>
    <row r="57" spans="1:30" ht="13.5" customHeight="1" x14ac:dyDescent="0.25">
      <c r="A57" s="16"/>
      <c r="B57" s="16"/>
      <c r="C57" s="26" t="str">
        <f>IF(A57="","",IF((COUNTIFS(A:A,A57))&gt;1,"ID重复",""))</f>
        <v/>
      </c>
      <c r="D57" s="16">
        <v>6180</v>
      </c>
      <c r="E57" s="21" t="str">
        <f>INDEX([1]道具配置表!$D:$D,MATCH(D57,[1]道具配置表!$A:$A,0))</f>
        <v>1分钟治疗加速</v>
      </c>
      <c r="F57" s="29">
        <f t="shared" ref="F57" si="33">F54+10</f>
        <v>120</v>
      </c>
      <c r="G57" s="16"/>
      <c r="H57" s="16"/>
      <c r="I57" s="16"/>
      <c r="J57" s="16"/>
      <c r="K57" s="16">
        <v>1</v>
      </c>
      <c r="L57" s="16"/>
      <c r="M57" s="16" t="b">
        <v>1</v>
      </c>
      <c r="N57" s="16"/>
      <c r="V57" s="20"/>
      <c r="W57" s="20"/>
      <c r="X57" s="20"/>
      <c r="Y57" s="20"/>
      <c r="Z57" s="20"/>
      <c r="AA57" s="20"/>
      <c r="AB57" s="20"/>
      <c r="AC57" s="20"/>
      <c r="AD57" s="20"/>
    </row>
    <row r="58" spans="1:30" ht="13.5" customHeight="1" x14ac:dyDescent="0.25">
      <c r="A58" s="16">
        <f>A55+1</f>
        <v>6600209</v>
      </c>
      <c r="B58" s="16" t="str">
        <f>MOD(A58,100)&amp;"级城参与奖励"</f>
        <v>9级城参与奖励</v>
      </c>
      <c r="C58" s="26" t="str">
        <f>IF(A58="","",IF((COUNTIFS(A:A,A58))&gt;1,"ID重复",""))</f>
        <v/>
      </c>
      <c r="D58" s="16">
        <v>7003</v>
      </c>
      <c r="E58" s="21" t="str">
        <f>INDEX([1]道具配置表!$D:$D,MATCH(D58,[1]道具配置表!$A:$A,0))</f>
        <v>1银币（立即使用，不进背包）</v>
      </c>
      <c r="F58" s="29">
        <f t="shared" ref="F58" si="34">F55+60</f>
        <v>780</v>
      </c>
      <c r="G58" s="16"/>
      <c r="H58" s="16"/>
      <c r="I58" s="16"/>
      <c r="J58" s="16"/>
      <c r="K58" s="16">
        <v>1</v>
      </c>
      <c r="L58" s="16"/>
      <c r="M58" s="16" t="b">
        <v>1</v>
      </c>
      <c r="N58" s="16"/>
      <c r="V58" s="20"/>
      <c r="W58" s="20"/>
      <c r="X58" s="20"/>
      <c r="Y58" s="20"/>
      <c r="Z58" s="20"/>
      <c r="AA58" s="20"/>
      <c r="AB58" s="20"/>
      <c r="AC58" s="20"/>
      <c r="AD58" s="20"/>
    </row>
    <row r="59" spans="1:30" ht="13.5" customHeight="1" x14ac:dyDescent="0.25">
      <c r="A59" s="16"/>
      <c r="B59" s="16"/>
      <c r="C59" s="26" t="str">
        <f>IF(A59="","",IF((COUNTIFS(A:A,A59))&gt;1,"ID重复",""))</f>
        <v/>
      </c>
      <c r="D59" s="16">
        <v>6160</v>
      </c>
      <c r="E59" s="21" t="str">
        <f>INDEX([1]道具配置表!$D:$D,MATCH(D59,[1]道具配置表!$A:$A,0))</f>
        <v>1分钟训练加速</v>
      </c>
      <c r="F59" s="29">
        <f t="shared" ref="F59" si="35">F56+20</f>
        <v>260</v>
      </c>
      <c r="G59" s="16"/>
      <c r="H59" s="16"/>
      <c r="I59" s="16"/>
      <c r="J59" s="16"/>
      <c r="K59" s="16">
        <v>1</v>
      </c>
      <c r="L59" s="16"/>
      <c r="M59" s="16" t="b">
        <v>1</v>
      </c>
      <c r="N59" s="16"/>
      <c r="V59" s="20"/>
      <c r="W59" s="20"/>
      <c r="X59" s="20"/>
      <c r="Y59" s="20"/>
      <c r="Z59" s="20"/>
      <c r="AA59" s="20"/>
      <c r="AB59" s="20"/>
      <c r="AC59" s="20"/>
      <c r="AD59" s="20"/>
    </row>
    <row r="60" spans="1:30" ht="13.5" customHeight="1" x14ac:dyDescent="0.25">
      <c r="A60" s="16"/>
      <c r="B60" s="16"/>
      <c r="C60" s="26" t="str">
        <f>IF(A60="","",IF((COUNTIFS(A:A,A60))&gt;1,"ID重复",""))</f>
        <v/>
      </c>
      <c r="D60" s="16">
        <v>6180</v>
      </c>
      <c r="E60" s="21" t="str">
        <f>INDEX([1]道具配置表!$D:$D,MATCH(D60,[1]道具配置表!$A:$A,0))</f>
        <v>1分钟治疗加速</v>
      </c>
      <c r="F60" s="29">
        <f t="shared" ref="F60" si="36">F57+10</f>
        <v>130</v>
      </c>
      <c r="G60" s="16"/>
      <c r="H60" s="16"/>
      <c r="I60" s="16"/>
      <c r="J60" s="16"/>
      <c r="K60" s="16">
        <v>1</v>
      </c>
      <c r="L60" s="16"/>
      <c r="M60" s="16" t="b">
        <v>1</v>
      </c>
      <c r="N60" s="16"/>
      <c r="V60" s="20"/>
      <c r="W60" s="20"/>
      <c r="X60" s="20"/>
      <c r="Y60" s="20"/>
      <c r="Z60" s="20"/>
      <c r="AA60" s="20"/>
      <c r="AB60" s="20"/>
      <c r="AC60" s="20"/>
      <c r="AD60" s="20"/>
    </row>
    <row r="61" spans="1:30" ht="13.5" customHeight="1" x14ac:dyDescent="0.25">
      <c r="A61" s="16">
        <f>A58+1</f>
        <v>6600210</v>
      </c>
      <c r="B61" s="16" t="str">
        <f>MOD(A61,100)&amp;"级城参与奖励"</f>
        <v>10级城参与奖励</v>
      </c>
      <c r="C61" s="26" t="str">
        <f>IF(A61="","",IF((COUNTIFS(A:A,A61))&gt;1,"ID重复",""))</f>
        <v/>
      </c>
      <c r="D61" s="16">
        <v>7003</v>
      </c>
      <c r="E61" s="21" t="str">
        <f>INDEX([1]道具配置表!$D:$D,MATCH(D61,[1]道具配置表!$A:$A,0))</f>
        <v>1银币（立即使用，不进背包）</v>
      </c>
      <c r="F61" s="29">
        <f t="shared" ref="F61" si="37">F58+60</f>
        <v>840</v>
      </c>
      <c r="G61" s="16"/>
      <c r="H61" s="16"/>
      <c r="I61" s="16"/>
      <c r="J61" s="16"/>
      <c r="K61" s="16">
        <v>1</v>
      </c>
      <c r="L61" s="16"/>
      <c r="M61" s="16" t="b">
        <v>1</v>
      </c>
      <c r="N61" s="16"/>
      <c r="V61" s="20"/>
      <c r="W61" s="20"/>
      <c r="X61" s="20"/>
      <c r="Y61" s="20"/>
      <c r="Z61" s="20"/>
      <c r="AA61" s="20"/>
      <c r="AB61" s="20"/>
      <c r="AC61" s="20"/>
      <c r="AD61" s="20"/>
    </row>
    <row r="62" spans="1:30" ht="13.5" customHeight="1" x14ac:dyDescent="0.25">
      <c r="A62" s="16"/>
      <c r="B62" s="16"/>
      <c r="C62" s="26" t="str">
        <f>IF(A62="","",IF((COUNTIFS(A:A,A62))&gt;1,"ID重复",""))</f>
        <v/>
      </c>
      <c r="D62" s="16">
        <v>6160</v>
      </c>
      <c r="E62" s="21" t="str">
        <f>INDEX([1]道具配置表!$D:$D,MATCH(D62,[1]道具配置表!$A:$A,0))</f>
        <v>1分钟训练加速</v>
      </c>
      <c r="F62" s="29">
        <f t="shared" ref="F62" si="38">F59+20</f>
        <v>280</v>
      </c>
      <c r="G62" s="16"/>
      <c r="H62" s="16"/>
      <c r="I62" s="16"/>
      <c r="J62" s="16"/>
      <c r="K62" s="16">
        <v>1</v>
      </c>
      <c r="L62" s="16"/>
      <c r="M62" s="16" t="b">
        <v>1</v>
      </c>
      <c r="N62" s="16"/>
      <c r="V62" s="20"/>
      <c r="W62" s="20"/>
      <c r="X62" s="20"/>
      <c r="Y62" s="20"/>
      <c r="Z62" s="20"/>
      <c r="AA62" s="20"/>
      <c r="AB62" s="20"/>
      <c r="AC62" s="20"/>
      <c r="AD62" s="20"/>
    </row>
    <row r="63" spans="1:30" ht="13.5" customHeight="1" x14ac:dyDescent="0.25">
      <c r="A63" s="16"/>
      <c r="B63" s="16"/>
      <c r="C63" s="26" t="str">
        <f>IF(A63="","",IF((COUNTIFS(A:A,A63))&gt;1,"ID重复",""))</f>
        <v/>
      </c>
      <c r="D63" s="16">
        <v>6180</v>
      </c>
      <c r="E63" s="21" t="str">
        <f>INDEX([1]道具配置表!$D:$D,MATCH(D63,[1]道具配置表!$A:$A,0))</f>
        <v>1分钟治疗加速</v>
      </c>
      <c r="F63" s="29">
        <f t="shared" ref="F63" si="39">F60+10</f>
        <v>140</v>
      </c>
      <c r="G63" s="16"/>
      <c r="H63" s="16"/>
      <c r="I63" s="16"/>
      <c r="J63" s="16"/>
      <c r="K63" s="16">
        <v>1</v>
      </c>
      <c r="L63" s="16"/>
      <c r="M63" s="16" t="b">
        <v>1</v>
      </c>
      <c r="N63" s="16"/>
      <c r="V63" s="20"/>
      <c r="W63" s="20"/>
      <c r="X63" s="20"/>
      <c r="Y63" s="20"/>
      <c r="Z63" s="20"/>
      <c r="AA63" s="20"/>
      <c r="AB63" s="20"/>
      <c r="AC63" s="20"/>
      <c r="AD63" s="20"/>
    </row>
    <row r="64" spans="1:30" ht="13.5" customHeight="1" x14ac:dyDescent="0.25">
      <c r="A64" s="16">
        <v>6600301</v>
      </c>
      <c r="B64" s="16" t="str">
        <f>MOD(A64,100)&amp;"级城每日奖励"</f>
        <v>1级城每日奖励</v>
      </c>
      <c r="C64" s="26" t="str">
        <f>IF(A64="","",IF((COUNTIFS(A:A,A64))&gt;1,"ID重复",""))</f>
        <v/>
      </c>
      <c r="D64" s="16">
        <v>102</v>
      </c>
      <c r="E64" s="21" t="str">
        <f>INDEX([1]道具配置表!$D:$D,MATCH(D64,[1]道具配置表!$A:$A,0))</f>
        <v>1食物</v>
      </c>
      <c r="F64" s="16">
        <v>9000</v>
      </c>
      <c r="G64" s="16"/>
      <c r="H64" s="16"/>
      <c r="I64" s="16"/>
      <c r="J64" s="16"/>
      <c r="K64" s="16">
        <v>1</v>
      </c>
      <c r="L64" s="16"/>
      <c r="M64" s="16" t="b">
        <v>1</v>
      </c>
      <c r="N64" s="16"/>
      <c r="V64" s="20"/>
      <c r="W64" s="20"/>
      <c r="X64" s="20"/>
      <c r="Y64" s="20"/>
      <c r="Z64" s="20"/>
      <c r="AA64" s="20"/>
      <c r="AB64" s="20"/>
      <c r="AC64" s="20"/>
      <c r="AD64" s="20"/>
    </row>
    <row r="65" spans="1:30" ht="13.5" customHeight="1" x14ac:dyDescent="0.25">
      <c r="A65" s="16"/>
      <c r="B65" s="16"/>
      <c r="C65" s="26" t="str">
        <f>IF(A65="","",IF((COUNTIFS(A:A,A65))&gt;1,"ID重复",""))</f>
        <v/>
      </c>
      <c r="D65" s="16">
        <v>101</v>
      </c>
      <c r="E65" s="21" t="str">
        <f>INDEX([1]道具配置表!$D:$D,MATCH(D65,[1]道具配置表!$A:$A,0))</f>
        <v>1木材</v>
      </c>
      <c r="F65" s="16">
        <v>9000</v>
      </c>
      <c r="G65" s="16"/>
      <c r="H65" s="16"/>
      <c r="I65" s="16"/>
      <c r="J65" s="16"/>
      <c r="K65" s="16">
        <v>1</v>
      </c>
      <c r="L65" s="16"/>
      <c r="M65" s="16" t="b">
        <v>1</v>
      </c>
      <c r="N65" s="16"/>
      <c r="V65" s="20"/>
      <c r="W65" s="20"/>
      <c r="X65" s="20"/>
      <c r="Y65" s="20"/>
      <c r="Z65" s="20"/>
      <c r="AA65" s="20"/>
      <c r="AB65" s="20"/>
      <c r="AC65" s="20"/>
      <c r="AD65" s="20"/>
    </row>
    <row r="66" spans="1:30" ht="13.5" customHeight="1" x14ac:dyDescent="0.25">
      <c r="A66" s="16"/>
      <c r="B66" s="16"/>
      <c r="C66" s="26" t="str">
        <f>IF(A66="","",IF((COUNTIFS(A:A,A66))&gt;1,"ID重复",""))</f>
        <v/>
      </c>
      <c r="D66" s="16">
        <v>103</v>
      </c>
      <c r="E66" s="21" t="str">
        <f>INDEX([1]道具配置表!$D:$D,MATCH(D66,[1]道具配置表!$A:$A,0))</f>
        <v>1石头</v>
      </c>
      <c r="F66" s="16">
        <v>9000</v>
      </c>
      <c r="G66" s="16"/>
      <c r="H66" s="16"/>
      <c r="I66" s="16"/>
      <c r="J66" s="16"/>
      <c r="K66" s="16">
        <v>1</v>
      </c>
      <c r="L66" s="16"/>
      <c r="M66" s="16" t="b">
        <v>1</v>
      </c>
      <c r="N66" s="16"/>
      <c r="V66" s="20"/>
      <c r="W66" s="20"/>
      <c r="X66" s="20"/>
      <c r="Y66" s="20"/>
      <c r="Z66" s="20"/>
      <c r="AA66" s="20"/>
      <c r="AB66" s="20"/>
      <c r="AC66" s="20"/>
      <c r="AD66" s="20"/>
    </row>
    <row r="67" spans="1:30" ht="13.5" customHeight="1" x14ac:dyDescent="0.25">
      <c r="A67" s="16"/>
      <c r="B67" s="16"/>
      <c r="C67" s="26" t="str">
        <f>IF(A67="","",IF((COUNTIFS(A:A,A67))&gt;1,"ID重复",""))</f>
        <v/>
      </c>
      <c r="D67" s="16">
        <v>104</v>
      </c>
      <c r="E67" s="21" t="str">
        <f>INDEX([1]道具配置表!$D:$D,MATCH(D67,[1]道具配置表!$A:$A,0))</f>
        <v>1黄金</v>
      </c>
      <c r="F67" s="16">
        <v>9000</v>
      </c>
      <c r="G67" s="16"/>
      <c r="H67" s="16"/>
      <c r="I67" s="16"/>
      <c r="J67" s="16"/>
      <c r="K67" s="16">
        <v>1</v>
      </c>
      <c r="L67" s="16"/>
      <c r="M67" s="16" t="b">
        <v>1</v>
      </c>
      <c r="N67" s="16"/>
      <c r="V67" s="20"/>
      <c r="W67" s="20"/>
      <c r="X67" s="20"/>
      <c r="Y67" s="20"/>
      <c r="Z67" s="20"/>
      <c r="AA67" s="20"/>
      <c r="AB67" s="20"/>
      <c r="AC67" s="20"/>
      <c r="AD67" s="20"/>
    </row>
    <row r="68" spans="1:30" ht="13.5" customHeight="1" x14ac:dyDescent="0.25">
      <c r="A68" s="16">
        <f>A64+1</f>
        <v>6600302</v>
      </c>
      <c r="B68" s="16" t="str">
        <f>MOD(A68,100)&amp;"级城每日奖励"</f>
        <v>2级城每日奖励</v>
      </c>
      <c r="C68" s="26" t="str">
        <f>IF(A68="","",IF((COUNTIFS(A:A,A68))&gt;1,"ID重复",""))</f>
        <v/>
      </c>
      <c r="D68" s="16">
        <v>102</v>
      </c>
      <c r="E68" s="21" t="str">
        <f>INDEX([1]道具配置表!$D:$D,MATCH(D68,[1]道具配置表!$A:$A,0))</f>
        <v>1食物</v>
      </c>
      <c r="F68" s="16">
        <f>F64+3000</f>
        <v>12000</v>
      </c>
      <c r="G68" s="16"/>
      <c r="H68" s="16"/>
      <c r="I68" s="16"/>
      <c r="J68" s="16"/>
      <c r="K68" s="16">
        <v>1</v>
      </c>
      <c r="L68" s="16"/>
      <c r="M68" s="16" t="b">
        <v>1</v>
      </c>
      <c r="N68" s="16"/>
      <c r="V68" s="20"/>
      <c r="W68" s="20"/>
      <c r="X68" s="20"/>
      <c r="Y68" s="20"/>
      <c r="Z68" s="20"/>
      <c r="AA68" s="20"/>
      <c r="AB68" s="20"/>
      <c r="AC68" s="20"/>
      <c r="AD68" s="20"/>
    </row>
    <row r="69" spans="1:30" ht="13.5" customHeight="1" x14ac:dyDescent="0.25">
      <c r="A69" s="16"/>
      <c r="B69" s="16"/>
      <c r="C69" s="26" t="str">
        <f>IF(A69="","",IF((COUNTIFS(A:A,A69))&gt;1,"ID重复",""))</f>
        <v/>
      </c>
      <c r="D69" s="16">
        <v>101</v>
      </c>
      <c r="E69" s="21" t="str">
        <f>INDEX([1]道具配置表!$D:$D,MATCH(D69,[1]道具配置表!$A:$A,0))</f>
        <v>1木材</v>
      </c>
      <c r="F69" s="16">
        <f t="shared" ref="F69:F103" si="40">F65+3000</f>
        <v>12000</v>
      </c>
      <c r="G69" s="16"/>
      <c r="H69" s="16"/>
      <c r="I69" s="16"/>
      <c r="J69" s="16"/>
      <c r="K69" s="16">
        <v>1</v>
      </c>
      <c r="L69" s="16"/>
      <c r="M69" s="16" t="b">
        <v>1</v>
      </c>
      <c r="N69" s="16"/>
      <c r="V69" s="20"/>
      <c r="W69" s="20"/>
      <c r="X69" s="20"/>
      <c r="Y69" s="20"/>
      <c r="Z69" s="20"/>
      <c r="AA69" s="20"/>
      <c r="AB69" s="20"/>
      <c r="AC69" s="20"/>
      <c r="AD69" s="20"/>
    </row>
    <row r="70" spans="1:30" ht="13.5" customHeight="1" x14ac:dyDescent="0.25">
      <c r="A70" s="16"/>
      <c r="B70" s="16"/>
      <c r="C70" s="26" t="str">
        <f>IF(A70="","",IF((COUNTIFS(A:A,A70))&gt;1,"ID重复",""))</f>
        <v/>
      </c>
      <c r="D70" s="16">
        <v>103</v>
      </c>
      <c r="E70" s="21" t="str">
        <f>INDEX([1]道具配置表!$D:$D,MATCH(D70,[1]道具配置表!$A:$A,0))</f>
        <v>1石头</v>
      </c>
      <c r="F70" s="16">
        <f t="shared" si="40"/>
        <v>12000</v>
      </c>
      <c r="G70" s="16"/>
      <c r="H70" s="16"/>
      <c r="I70" s="16"/>
      <c r="J70" s="16"/>
      <c r="K70" s="16">
        <v>1</v>
      </c>
      <c r="L70" s="16"/>
      <c r="M70" s="16" t="b">
        <v>1</v>
      </c>
      <c r="N70" s="16"/>
      <c r="V70" s="20"/>
      <c r="W70" s="20"/>
      <c r="X70" s="20"/>
      <c r="Y70" s="20"/>
      <c r="Z70" s="20"/>
      <c r="AA70" s="20"/>
      <c r="AB70" s="20"/>
      <c r="AC70" s="20"/>
      <c r="AD70" s="20"/>
    </row>
    <row r="71" spans="1:30" ht="13.5" customHeight="1" x14ac:dyDescent="0.25">
      <c r="A71" s="16"/>
      <c r="B71" s="16"/>
      <c r="C71" s="26" t="str">
        <f>IF(A71="","",IF((COUNTIFS(A:A,A71))&gt;1,"ID重复",""))</f>
        <v/>
      </c>
      <c r="D71" s="16">
        <v>104</v>
      </c>
      <c r="E71" s="21" t="str">
        <f>INDEX([1]道具配置表!$D:$D,MATCH(D71,[1]道具配置表!$A:$A,0))</f>
        <v>1黄金</v>
      </c>
      <c r="F71" s="16">
        <f t="shared" si="40"/>
        <v>12000</v>
      </c>
      <c r="G71" s="16"/>
      <c r="H71" s="16"/>
      <c r="I71" s="16"/>
      <c r="J71" s="16"/>
      <c r="K71" s="16">
        <v>1</v>
      </c>
      <c r="L71" s="16"/>
      <c r="M71" s="16" t="b">
        <v>1</v>
      </c>
      <c r="N71" s="16"/>
      <c r="V71" s="20"/>
      <c r="W71" s="20"/>
      <c r="X71" s="20"/>
      <c r="Y71" s="20"/>
      <c r="Z71" s="20"/>
      <c r="AA71" s="20"/>
      <c r="AB71" s="20"/>
      <c r="AC71" s="20"/>
      <c r="AD71" s="20"/>
    </row>
    <row r="72" spans="1:30" ht="13.5" customHeight="1" x14ac:dyDescent="0.25">
      <c r="A72" s="16">
        <f>A68+1</f>
        <v>6600303</v>
      </c>
      <c r="B72" s="16" t="str">
        <f>MOD(A72,100)&amp;"级城每日奖励"</f>
        <v>3级城每日奖励</v>
      </c>
      <c r="C72" s="26" t="str">
        <f>IF(A72="","",IF((COUNTIFS(A:A,A72))&gt;1,"ID重复",""))</f>
        <v/>
      </c>
      <c r="D72" s="16">
        <v>102</v>
      </c>
      <c r="E72" s="21" t="str">
        <f>INDEX([1]道具配置表!$D:$D,MATCH(D72,[1]道具配置表!$A:$A,0))</f>
        <v>1食物</v>
      </c>
      <c r="F72" s="16">
        <f>F68+3000</f>
        <v>15000</v>
      </c>
      <c r="G72" s="16"/>
      <c r="H72" s="16"/>
      <c r="I72" s="16"/>
      <c r="J72" s="16"/>
      <c r="K72" s="16">
        <v>1</v>
      </c>
      <c r="L72" s="16"/>
      <c r="M72" s="16" t="b">
        <v>1</v>
      </c>
      <c r="N72" s="16"/>
      <c r="V72" s="20"/>
      <c r="W72" s="20"/>
      <c r="X72" s="20"/>
      <c r="Y72" s="20"/>
      <c r="Z72" s="20"/>
      <c r="AA72" s="20"/>
      <c r="AB72" s="20"/>
      <c r="AC72" s="20"/>
      <c r="AD72" s="20"/>
    </row>
    <row r="73" spans="1:30" ht="13.5" customHeight="1" x14ac:dyDescent="0.25">
      <c r="A73" s="16"/>
      <c r="B73" s="16"/>
      <c r="C73" s="26" t="str">
        <f>IF(A73="","",IF((COUNTIFS(A:A,A73))&gt;1,"ID重复",""))</f>
        <v/>
      </c>
      <c r="D73" s="16">
        <v>101</v>
      </c>
      <c r="E73" s="21" t="str">
        <f>INDEX([1]道具配置表!$D:$D,MATCH(D73,[1]道具配置表!$A:$A,0))</f>
        <v>1木材</v>
      </c>
      <c r="F73" s="16">
        <f t="shared" si="40"/>
        <v>15000</v>
      </c>
      <c r="G73" s="16"/>
      <c r="H73" s="16"/>
      <c r="I73" s="16"/>
      <c r="J73" s="16"/>
      <c r="K73" s="16">
        <v>1</v>
      </c>
      <c r="L73" s="16"/>
      <c r="M73" s="16" t="b">
        <v>1</v>
      </c>
      <c r="N73" s="16"/>
      <c r="V73" s="20"/>
      <c r="W73" s="20"/>
      <c r="X73" s="20"/>
      <c r="Y73" s="20"/>
      <c r="Z73" s="20"/>
      <c r="AA73" s="20"/>
      <c r="AB73" s="20"/>
      <c r="AC73" s="20"/>
      <c r="AD73" s="20"/>
    </row>
    <row r="74" spans="1:30" ht="13.5" customHeight="1" x14ac:dyDescent="0.25">
      <c r="A74" s="16"/>
      <c r="B74" s="16"/>
      <c r="C74" s="26" t="str">
        <f>IF(A74="","",IF((COUNTIFS(A:A,A74))&gt;1,"ID重复",""))</f>
        <v/>
      </c>
      <c r="D74" s="16">
        <v>103</v>
      </c>
      <c r="E74" s="21" t="str">
        <f>INDEX([1]道具配置表!$D:$D,MATCH(D74,[1]道具配置表!$A:$A,0))</f>
        <v>1石头</v>
      </c>
      <c r="F74" s="16">
        <f t="shared" si="40"/>
        <v>15000</v>
      </c>
      <c r="G74" s="16"/>
      <c r="H74" s="16"/>
      <c r="I74" s="16"/>
      <c r="J74" s="16"/>
      <c r="K74" s="16">
        <v>1</v>
      </c>
      <c r="L74" s="16"/>
      <c r="M74" s="16" t="b">
        <v>1</v>
      </c>
      <c r="N74" s="16"/>
      <c r="V74" s="20"/>
      <c r="W74" s="20"/>
      <c r="X74" s="20"/>
      <c r="Y74" s="20"/>
      <c r="Z74" s="20"/>
      <c r="AA74" s="20"/>
      <c r="AB74" s="20"/>
      <c r="AC74" s="20"/>
      <c r="AD74" s="20"/>
    </row>
    <row r="75" spans="1:30" ht="13.5" customHeight="1" x14ac:dyDescent="0.25">
      <c r="A75" s="16"/>
      <c r="B75" s="16"/>
      <c r="C75" s="26" t="str">
        <f>IF(A75="","",IF((COUNTIFS(A:A,A75))&gt;1,"ID重复",""))</f>
        <v/>
      </c>
      <c r="D75" s="16">
        <v>104</v>
      </c>
      <c r="E75" s="21" t="str">
        <f>INDEX([1]道具配置表!$D:$D,MATCH(D75,[1]道具配置表!$A:$A,0))</f>
        <v>1黄金</v>
      </c>
      <c r="F75" s="16">
        <f t="shared" si="40"/>
        <v>15000</v>
      </c>
      <c r="G75" s="16"/>
      <c r="H75" s="16"/>
      <c r="I75" s="16"/>
      <c r="J75" s="16"/>
      <c r="K75" s="16">
        <v>1</v>
      </c>
      <c r="L75" s="16"/>
      <c r="M75" s="16" t="b">
        <v>1</v>
      </c>
      <c r="N75" s="16"/>
      <c r="V75" s="20"/>
      <c r="W75" s="20"/>
      <c r="X75" s="20"/>
      <c r="Y75" s="20"/>
      <c r="Z75" s="20"/>
      <c r="AA75" s="20"/>
      <c r="AB75" s="20"/>
      <c r="AC75" s="20"/>
      <c r="AD75" s="20"/>
    </row>
    <row r="76" spans="1:30" ht="13.5" customHeight="1" x14ac:dyDescent="0.25">
      <c r="A76" s="16">
        <f>A72+1</f>
        <v>6600304</v>
      </c>
      <c r="B76" s="16" t="str">
        <f>MOD(A76,100)&amp;"级城每日奖励"</f>
        <v>4级城每日奖励</v>
      </c>
      <c r="C76" s="26" t="str">
        <f>IF(A76="","",IF((COUNTIFS(A:A,A76))&gt;1,"ID重复",""))</f>
        <v/>
      </c>
      <c r="D76" s="16">
        <v>102</v>
      </c>
      <c r="E76" s="21" t="str">
        <f>INDEX([1]道具配置表!$D:$D,MATCH(D76,[1]道具配置表!$A:$A,0))</f>
        <v>1食物</v>
      </c>
      <c r="F76" s="16">
        <f>F72+3000</f>
        <v>18000</v>
      </c>
      <c r="G76" s="16"/>
      <c r="H76" s="16"/>
      <c r="I76" s="16"/>
      <c r="J76" s="16"/>
      <c r="K76" s="16">
        <v>1</v>
      </c>
      <c r="L76" s="16"/>
      <c r="M76" s="16" t="b">
        <v>1</v>
      </c>
      <c r="N76" s="16"/>
      <c r="V76" s="20"/>
      <c r="W76" s="20"/>
      <c r="X76" s="20"/>
      <c r="Y76" s="20"/>
      <c r="Z76" s="20"/>
      <c r="AA76" s="20"/>
      <c r="AB76" s="20"/>
      <c r="AC76" s="20"/>
      <c r="AD76" s="20"/>
    </row>
    <row r="77" spans="1:30" ht="13.5" customHeight="1" x14ac:dyDescent="0.25">
      <c r="A77" s="16"/>
      <c r="B77" s="16"/>
      <c r="C77" s="26" t="str">
        <f>IF(A77="","",IF((COUNTIFS(A:A,A77))&gt;1,"ID重复",""))</f>
        <v/>
      </c>
      <c r="D77" s="16">
        <v>101</v>
      </c>
      <c r="E77" s="21" t="str">
        <f>INDEX([1]道具配置表!$D:$D,MATCH(D77,[1]道具配置表!$A:$A,0))</f>
        <v>1木材</v>
      </c>
      <c r="F77" s="16">
        <f t="shared" si="40"/>
        <v>18000</v>
      </c>
      <c r="G77" s="16"/>
      <c r="H77" s="16"/>
      <c r="I77" s="16"/>
      <c r="J77" s="16"/>
      <c r="K77" s="16">
        <v>1</v>
      </c>
      <c r="L77" s="16"/>
      <c r="M77" s="16" t="b">
        <v>1</v>
      </c>
      <c r="N77" s="16"/>
      <c r="V77" s="20"/>
      <c r="W77" s="20"/>
      <c r="X77" s="20"/>
      <c r="Y77" s="20"/>
      <c r="Z77" s="20"/>
      <c r="AA77" s="20"/>
      <c r="AB77" s="20"/>
      <c r="AC77" s="20"/>
      <c r="AD77" s="20"/>
    </row>
    <row r="78" spans="1:30" ht="13.5" customHeight="1" x14ac:dyDescent="0.25">
      <c r="A78" s="16"/>
      <c r="B78" s="16"/>
      <c r="C78" s="26" t="str">
        <f>IF(A78="","",IF((COUNTIFS(A:A,A78))&gt;1,"ID重复",""))</f>
        <v/>
      </c>
      <c r="D78" s="16">
        <v>103</v>
      </c>
      <c r="E78" s="21" t="str">
        <f>INDEX([1]道具配置表!$D:$D,MATCH(D78,[1]道具配置表!$A:$A,0))</f>
        <v>1石头</v>
      </c>
      <c r="F78" s="16">
        <f t="shared" si="40"/>
        <v>18000</v>
      </c>
      <c r="G78" s="16"/>
      <c r="H78" s="16"/>
      <c r="I78" s="16"/>
      <c r="J78" s="16"/>
      <c r="K78" s="16">
        <v>1</v>
      </c>
      <c r="L78" s="16"/>
      <c r="M78" s="16" t="b">
        <v>1</v>
      </c>
      <c r="N78" s="16"/>
      <c r="V78" s="20"/>
      <c r="W78" s="20"/>
      <c r="X78" s="20"/>
      <c r="Y78" s="20"/>
      <c r="Z78" s="20"/>
      <c r="AA78" s="20"/>
      <c r="AB78" s="20"/>
      <c r="AC78" s="20"/>
      <c r="AD78" s="20"/>
    </row>
    <row r="79" spans="1:30" ht="13.5" customHeight="1" x14ac:dyDescent="0.25">
      <c r="A79" s="16"/>
      <c r="B79" s="16"/>
      <c r="C79" s="26" t="str">
        <f>IF(A79="","",IF((COUNTIFS(A:A,A79))&gt;1,"ID重复",""))</f>
        <v/>
      </c>
      <c r="D79" s="16">
        <v>104</v>
      </c>
      <c r="E79" s="21" t="str">
        <f>INDEX([1]道具配置表!$D:$D,MATCH(D79,[1]道具配置表!$A:$A,0))</f>
        <v>1黄金</v>
      </c>
      <c r="F79" s="16">
        <f t="shared" si="40"/>
        <v>18000</v>
      </c>
      <c r="G79" s="16"/>
      <c r="H79" s="16"/>
      <c r="I79" s="16"/>
      <c r="J79" s="16"/>
      <c r="K79" s="16">
        <v>1</v>
      </c>
      <c r="L79" s="16"/>
      <c r="M79" s="16" t="b">
        <v>1</v>
      </c>
      <c r="N79" s="16"/>
      <c r="V79" s="20"/>
      <c r="W79" s="20"/>
      <c r="X79" s="20"/>
      <c r="Y79" s="20"/>
      <c r="Z79" s="20"/>
      <c r="AA79" s="20"/>
      <c r="AB79" s="20"/>
      <c r="AC79" s="20"/>
      <c r="AD79" s="20"/>
    </row>
    <row r="80" spans="1:30" ht="13.5" customHeight="1" x14ac:dyDescent="0.25">
      <c r="A80" s="16">
        <f>A76+1</f>
        <v>6600305</v>
      </c>
      <c r="B80" s="16" t="str">
        <f>MOD(A80,100)&amp;"级城每日奖励"</f>
        <v>5级城每日奖励</v>
      </c>
      <c r="C80" s="26" t="str">
        <f>IF(A80="","",IF((COUNTIFS(A:A,A80))&gt;1,"ID重复",""))</f>
        <v/>
      </c>
      <c r="D80" s="16">
        <v>102</v>
      </c>
      <c r="E80" s="21" t="str">
        <f>INDEX([1]道具配置表!$D:$D,MATCH(D80,[1]道具配置表!$A:$A,0))</f>
        <v>1食物</v>
      </c>
      <c r="F80" s="16">
        <f>F76+3000</f>
        <v>21000</v>
      </c>
      <c r="G80" s="16"/>
      <c r="H80" s="16"/>
      <c r="I80" s="16"/>
      <c r="J80" s="16"/>
      <c r="K80" s="16">
        <v>1</v>
      </c>
      <c r="L80" s="16"/>
      <c r="M80" s="16" t="b">
        <v>1</v>
      </c>
      <c r="N80" s="16"/>
      <c r="V80" s="20"/>
      <c r="W80" s="20"/>
      <c r="X80" s="20"/>
      <c r="Y80" s="20"/>
      <c r="Z80" s="20"/>
      <c r="AA80" s="20"/>
      <c r="AB80" s="20"/>
      <c r="AC80" s="20"/>
      <c r="AD80" s="20"/>
    </row>
    <row r="81" spans="1:30" ht="13.5" customHeight="1" x14ac:dyDescent="0.25">
      <c r="A81" s="16"/>
      <c r="B81" s="16"/>
      <c r="C81" s="26" t="str">
        <f>IF(A81="","",IF((COUNTIFS(A:A,A81))&gt;1,"ID重复",""))</f>
        <v/>
      </c>
      <c r="D81" s="16">
        <v>101</v>
      </c>
      <c r="E81" s="21" t="str">
        <f>INDEX([1]道具配置表!$D:$D,MATCH(D81,[1]道具配置表!$A:$A,0))</f>
        <v>1木材</v>
      </c>
      <c r="F81" s="16">
        <f t="shared" si="40"/>
        <v>21000</v>
      </c>
      <c r="G81" s="16"/>
      <c r="H81" s="16"/>
      <c r="I81" s="16"/>
      <c r="J81" s="16"/>
      <c r="K81" s="16">
        <v>1</v>
      </c>
      <c r="L81" s="16"/>
      <c r="M81" s="16" t="b">
        <v>1</v>
      </c>
      <c r="N81" s="16"/>
      <c r="V81" s="20"/>
      <c r="W81" s="20"/>
      <c r="X81" s="20"/>
      <c r="Y81" s="20"/>
      <c r="Z81" s="20"/>
      <c r="AA81" s="20"/>
      <c r="AB81" s="20"/>
      <c r="AC81" s="20"/>
      <c r="AD81" s="20"/>
    </row>
    <row r="82" spans="1:30" ht="13.5" customHeight="1" x14ac:dyDescent="0.25">
      <c r="A82" s="16"/>
      <c r="B82" s="16"/>
      <c r="C82" s="26" t="str">
        <f>IF(A82="","",IF((COUNTIFS(A:A,A82))&gt;1,"ID重复",""))</f>
        <v/>
      </c>
      <c r="D82" s="16">
        <v>103</v>
      </c>
      <c r="E82" s="21" t="str">
        <f>INDEX([1]道具配置表!$D:$D,MATCH(D82,[1]道具配置表!$A:$A,0))</f>
        <v>1石头</v>
      </c>
      <c r="F82" s="16">
        <f t="shared" si="40"/>
        <v>21000</v>
      </c>
      <c r="G82" s="16"/>
      <c r="H82" s="16"/>
      <c r="I82" s="16"/>
      <c r="J82" s="16"/>
      <c r="K82" s="16">
        <v>1</v>
      </c>
      <c r="L82" s="16"/>
      <c r="M82" s="16" t="b">
        <v>1</v>
      </c>
      <c r="N82" s="16"/>
      <c r="V82" s="20"/>
      <c r="W82" s="20"/>
      <c r="X82" s="20"/>
      <c r="Y82" s="20"/>
      <c r="Z82" s="20"/>
      <c r="AA82" s="20"/>
      <c r="AB82" s="20"/>
      <c r="AC82" s="20"/>
      <c r="AD82" s="20"/>
    </row>
    <row r="83" spans="1:30" ht="13.5" customHeight="1" x14ac:dyDescent="0.25">
      <c r="A83" s="16"/>
      <c r="B83" s="16"/>
      <c r="C83" s="26" t="str">
        <f>IF(A83="","",IF((COUNTIFS(A:A,A83))&gt;1,"ID重复",""))</f>
        <v/>
      </c>
      <c r="D83" s="16">
        <v>104</v>
      </c>
      <c r="E83" s="21" t="str">
        <f>INDEX([1]道具配置表!$D:$D,MATCH(D83,[1]道具配置表!$A:$A,0))</f>
        <v>1黄金</v>
      </c>
      <c r="F83" s="16">
        <f t="shared" si="40"/>
        <v>21000</v>
      </c>
      <c r="G83" s="16"/>
      <c r="H83" s="16"/>
      <c r="I83" s="16"/>
      <c r="J83" s="16"/>
      <c r="K83" s="16">
        <v>1</v>
      </c>
      <c r="L83" s="16"/>
      <c r="M83" s="16" t="b">
        <v>1</v>
      </c>
      <c r="N83" s="16"/>
      <c r="V83" s="20"/>
      <c r="W83" s="20"/>
      <c r="X83" s="20"/>
      <c r="Y83" s="20"/>
      <c r="Z83" s="20"/>
      <c r="AA83" s="20"/>
      <c r="AB83" s="20"/>
      <c r="AC83" s="20"/>
      <c r="AD83" s="20"/>
    </row>
    <row r="84" spans="1:30" ht="13.5" customHeight="1" x14ac:dyDescent="0.25">
      <c r="A84" s="16">
        <f>A80+1</f>
        <v>6600306</v>
      </c>
      <c r="B84" s="16" t="str">
        <f>MOD(A84,100)&amp;"级城每日奖励"</f>
        <v>6级城每日奖励</v>
      </c>
      <c r="C84" s="26" t="str">
        <f>IF(A84="","",IF((COUNTIFS(A:A,A84))&gt;1,"ID重复",""))</f>
        <v/>
      </c>
      <c r="D84" s="16">
        <v>102</v>
      </c>
      <c r="E84" s="21" t="str">
        <f>INDEX([1]道具配置表!$D:$D,MATCH(D84,[1]道具配置表!$A:$A,0))</f>
        <v>1食物</v>
      </c>
      <c r="F84" s="16">
        <f>F80+3000</f>
        <v>24000</v>
      </c>
      <c r="G84" s="16"/>
      <c r="H84" s="16"/>
      <c r="I84" s="16"/>
      <c r="J84" s="16"/>
      <c r="K84" s="16">
        <v>1</v>
      </c>
      <c r="L84" s="16"/>
      <c r="M84" s="16" t="b">
        <v>1</v>
      </c>
      <c r="N84" s="16"/>
      <c r="V84" s="20"/>
      <c r="W84" s="20"/>
      <c r="X84" s="20"/>
      <c r="Y84" s="20"/>
      <c r="Z84" s="20"/>
      <c r="AA84" s="20"/>
      <c r="AB84" s="20"/>
      <c r="AC84" s="20"/>
      <c r="AD84" s="20"/>
    </row>
    <row r="85" spans="1:30" ht="13.5" customHeight="1" x14ac:dyDescent="0.25">
      <c r="A85" s="16"/>
      <c r="B85" s="16"/>
      <c r="C85" s="26" t="str">
        <f>IF(A85="","",IF((COUNTIFS(A:A,A85))&gt;1,"ID重复",""))</f>
        <v/>
      </c>
      <c r="D85" s="16">
        <v>101</v>
      </c>
      <c r="E85" s="21" t="str">
        <f>INDEX([1]道具配置表!$D:$D,MATCH(D85,[1]道具配置表!$A:$A,0))</f>
        <v>1木材</v>
      </c>
      <c r="F85" s="16">
        <f t="shared" si="40"/>
        <v>24000</v>
      </c>
      <c r="G85" s="16"/>
      <c r="H85" s="16"/>
      <c r="I85" s="16"/>
      <c r="J85" s="16"/>
      <c r="K85" s="16">
        <v>1</v>
      </c>
      <c r="L85" s="16"/>
      <c r="M85" s="16" t="b">
        <v>1</v>
      </c>
      <c r="N85" s="16"/>
      <c r="V85" s="20"/>
      <c r="W85" s="20"/>
      <c r="X85" s="20"/>
      <c r="Y85" s="20"/>
      <c r="Z85" s="20"/>
      <c r="AA85" s="20"/>
      <c r="AB85" s="20"/>
      <c r="AC85" s="20"/>
      <c r="AD85" s="20"/>
    </row>
    <row r="86" spans="1:30" ht="13.5" customHeight="1" x14ac:dyDescent="0.25">
      <c r="A86" s="16"/>
      <c r="B86" s="16"/>
      <c r="C86" s="26" t="str">
        <f>IF(A86="","",IF((COUNTIFS(A:A,A86))&gt;1,"ID重复",""))</f>
        <v/>
      </c>
      <c r="D86" s="16">
        <v>103</v>
      </c>
      <c r="E86" s="21" t="str">
        <f>INDEX([1]道具配置表!$D:$D,MATCH(D86,[1]道具配置表!$A:$A,0))</f>
        <v>1石头</v>
      </c>
      <c r="F86" s="16">
        <f t="shared" si="40"/>
        <v>24000</v>
      </c>
      <c r="G86" s="16"/>
      <c r="H86" s="16"/>
      <c r="I86" s="16"/>
      <c r="J86" s="16"/>
      <c r="K86" s="16">
        <v>1</v>
      </c>
      <c r="L86" s="16"/>
      <c r="M86" s="16" t="b">
        <v>1</v>
      </c>
      <c r="N86" s="16"/>
      <c r="V86" s="20"/>
      <c r="W86" s="20"/>
      <c r="X86" s="20"/>
      <c r="Y86" s="20"/>
      <c r="Z86" s="20"/>
      <c r="AA86" s="20"/>
      <c r="AB86" s="20"/>
      <c r="AC86" s="20"/>
      <c r="AD86" s="20"/>
    </row>
    <row r="87" spans="1:30" ht="13.5" customHeight="1" x14ac:dyDescent="0.25">
      <c r="A87" s="16"/>
      <c r="B87" s="16"/>
      <c r="C87" s="26" t="str">
        <f>IF(A87="","",IF((COUNTIFS(A:A,A87))&gt;1,"ID重复",""))</f>
        <v/>
      </c>
      <c r="D87" s="16">
        <v>104</v>
      </c>
      <c r="E87" s="21" t="str">
        <f>INDEX([1]道具配置表!$D:$D,MATCH(D87,[1]道具配置表!$A:$A,0))</f>
        <v>1黄金</v>
      </c>
      <c r="F87" s="16">
        <f t="shared" si="40"/>
        <v>24000</v>
      </c>
      <c r="G87" s="16"/>
      <c r="H87" s="16"/>
      <c r="I87" s="16"/>
      <c r="J87" s="16"/>
      <c r="K87" s="16">
        <v>1</v>
      </c>
      <c r="L87" s="16"/>
      <c r="M87" s="16" t="b">
        <v>1</v>
      </c>
      <c r="N87" s="16"/>
      <c r="V87" s="20"/>
      <c r="W87" s="20"/>
      <c r="X87" s="20"/>
      <c r="Y87" s="20"/>
      <c r="Z87" s="20"/>
      <c r="AA87" s="20"/>
      <c r="AB87" s="20"/>
      <c r="AC87" s="20"/>
      <c r="AD87" s="20"/>
    </row>
    <row r="88" spans="1:30" ht="13.5" customHeight="1" x14ac:dyDescent="0.25">
      <c r="A88" s="16">
        <f>A84+1</f>
        <v>6600307</v>
      </c>
      <c r="B88" s="16" t="str">
        <f>MOD(A88,100)&amp;"级城每日奖励"</f>
        <v>7级城每日奖励</v>
      </c>
      <c r="C88" s="26" t="str">
        <f>IF(A88="","",IF((COUNTIFS(A:A,A88))&gt;1,"ID重复",""))</f>
        <v/>
      </c>
      <c r="D88" s="16">
        <v>102</v>
      </c>
      <c r="E88" s="21" t="str">
        <f>INDEX([1]道具配置表!$D:$D,MATCH(D88,[1]道具配置表!$A:$A,0))</f>
        <v>1食物</v>
      </c>
      <c r="F88" s="16">
        <f>F84+3000</f>
        <v>27000</v>
      </c>
      <c r="G88" s="16"/>
      <c r="H88" s="16"/>
      <c r="I88" s="16"/>
      <c r="J88" s="16"/>
      <c r="K88" s="16">
        <v>1</v>
      </c>
      <c r="L88" s="16"/>
      <c r="M88" s="16" t="b">
        <v>1</v>
      </c>
      <c r="N88" s="16"/>
      <c r="V88" s="20"/>
      <c r="W88" s="20"/>
      <c r="X88" s="20"/>
      <c r="Y88" s="20"/>
      <c r="Z88" s="20"/>
      <c r="AA88" s="20"/>
      <c r="AB88" s="20"/>
      <c r="AC88" s="20"/>
      <c r="AD88" s="20"/>
    </row>
    <row r="89" spans="1:30" ht="13.5" customHeight="1" x14ac:dyDescent="0.25">
      <c r="A89" s="16"/>
      <c r="B89" s="16"/>
      <c r="C89" s="26" t="str">
        <f>IF(A89="","",IF((COUNTIFS(A:A,A89))&gt;1,"ID重复",""))</f>
        <v/>
      </c>
      <c r="D89" s="16">
        <v>101</v>
      </c>
      <c r="E89" s="21" t="str">
        <f>INDEX([1]道具配置表!$D:$D,MATCH(D89,[1]道具配置表!$A:$A,0))</f>
        <v>1木材</v>
      </c>
      <c r="F89" s="16">
        <f t="shared" si="40"/>
        <v>27000</v>
      </c>
      <c r="G89" s="16"/>
      <c r="H89" s="16"/>
      <c r="I89" s="16"/>
      <c r="J89" s="16"/>
      <c r="K89" s="16">
        <v>1</v>
      </c>
      <c r="L89" s="16"/>
      <c r="M89" s="16" t="b">
        <v>1</v>
      </c>
      <c r="N89" s="16"/>
      <c r="V89" s="20"/>
      <c r="W89" s="20"/>
      <c r="X89" s="20"/>
      <c r="Y89" s="20"/>
      <c r="Z89" s="20"/>
      <c r="AA89" s="20"/>
      <c r="AB89" s="20"/>
      <c r="AC89" s="20"/>
      <c r="AD89" s="20"/>
    </row>
    <row r="90" spans="1:30" ht="13.5" customHeight="1" x14ac:dyDescent="0.25">
      <c r="A90" s="16"/>
      <c r="B90" s="16"/>
      <c r="C90" s="26" t="str">
        <f>IF(A90="","",IF((COUNTIFS(A:A,A90))&gt;1,"ID重复",""))</f>
        <v/>
      </c>
      <c r="D90" s="16">
        <v>103</v>
      </c>
      <c r="E90" s="21" t="str">
        <f>INDEX([1]道具配置表!$D:$D,MATCH(D90,[1]道具配置表!$A:$A,0))</f>
        <v>1石头</v>
      </c>
      <c r="F90" s="16">
        <f t="shared" si="40"/>
        <v>27000</v>
      </c>
      <c r="G90" s="16"/>
      <c r="H90" s="16"/>
      <c r="I90" s="16"/>
      <c r="J90" s="16"/>
      <c r="K90" s="16">
        <v>1</v>
      </c>
      <c r="L90" s="16"/>
      <c r="M90" s="16" t="b">
        <v>1</v>
      </c>
      <c r="N90" s="16"/>
      <c r="V90" s="20"/>
      <c r="W90" s="20"/>
      <c r="X90" s="20"/>
      <c r="Y90" s="20"/>
      <c r="Z90" s="20"/>
      <c r="AA90" s="20"/>
      <c r="AB90" s="20"/>
      <c r="AC90" s="20"/>
      <c r="AD90" s="20"/>
    </row>
    <row r="91" spans="1:30" ht="13.5" customHeight="1" x14ac:dyDescent="0.25">
      <c r="A91" s="16"/>
      <c r="B91" s="16"/>
      <c r="C91" s="26" t="str">
        <f>IF(A91="","",IF((COUNTIFS(A:A,A91))&gt;1,"ID重复",""))</f>
        <v/>
      </c>
      <c r="D91" s="16">
        <v>104</v>
      </c>
      <c r="E91" s="21" t="str">
        <f>INDEX([1]道具配置表!$D:$D,MATCH(D91,[1]道具配置表!$A:$A,0))</f>
        <v>1黄金</v>
      </c>
      <c r="F91" s="16">
        <f t="shared" si="40"/>
        <v>27000</v>
      </c>
      <c r="G91" s="16"/>
      <c r="H91" s="16"/>
      <c r="I91" s="16"/>
      <c r="J91" s="16"/>
      <c r="K91" s="16">
        <v>1</v>
      </c>
      <c r="L91" s="16"/>
      <c r="M91" s="16" t="b">
        <v>1</v>
      </c>
      <c r="N91" s="16"/>
      <c r="V91" s="20"/>
      <c r="W91" s="20"/>
      <c r="X91" s="20"/>
      <c r="Y91" s="20"/>
      <c r="Z91" s="20"/>
      <c r="AA91" s="20"/>
      <c r="AB91" s="20"/>
      <c r="AC91" s="20"/>
      <c r="AD91" s="20"/>
    </row>
    <row r="92" spans="1:30" ht="13.5" customHeight="1" x14ac:dyDescent="0.25">
      <c r="A92" s="16">
        <f>A88+1</f>
        <v>6600308</v>
      </c>
      <c r="B92" s="16" t="str">
        <f>MOD(A92,100)&amp;"级城每日奖励"</f>
        <v>8级城每日奖励</v>
      </c>
      <c r="C92" s="26" t="str">
        <f>IF(A92="","",IF((COUNTIFS(A:A,A92))&gt;1,"ID重复",""))</f>
        <v/>
      </c>
      <c r="D92" s="16">
        <v>102</v>
      </c>
      <c r="E92" s="21" t="str">
        <f>INDEX([1]道具配置表!$D:$D,MATCH(D92,[1]道具配置表!$A:$A,0))</f>
        <v>1食物</v>
      </c>
      <c r="F92" s="16">
        <f>F88+3000</f>
        <v>30000</v>
      </c>
      <c r="G92" s="16"/>
      <c r="H92" s="16"/>
      <c r="I92" s="16"/>
      <c r="J92" s="16"/>
      <c r="K92" s="16">
        <v>1</v>
      </c>
      <c r="L92" s="16"/>
      <c r="M92" s="16" t="b">
        <v>1</v>
      </c>
      <c r="N92" s="16"/>
      <c r="V92" s="20"/>
      <c r="W92" s="20"/>
      <c r="X92" s="20"/>
      <c r="Y92" s="20"/>
      <c r="Z92" s="20"/>
      <c r="AA92" s="20"/>
      <c r="AB92" s="20"/>
      <c r="AC92" s="20"/>
      <c r="AD92" s="20"/>
    </row>
    <row r="93" spans="1:30" ht="13.5" customHeight="1" x14ac:dyDescent="0.25">
      <c r="A93" s="16"/>
      <c r="B93" s="16"/>
      <c r="C93" s="26" t="str">
        <f>IF(A93="","",IF((COUNTIFS(A:A,A93))&gt;1,"ID重复",""))</f>
        <v/>
      </c>
      <c r="D93" s="16">
        <v>101</v>
      </c>
      <c r="E93" s="21" t="str">
        <f>INDEX([1]道具配置表!$D:$D,MATCH(D93,[1]道具配置表!$A:$A,0))</f>
        <v>1木材</v>
      </c>
      <c r="F93" s="16">
        <f t="shared" si="40"/>
        <v>30000</v>
      </c>
      <c r="G93" s="16"/>
      <c r="H93" s="16"/>
      <c r="I93" s="16"/>
      <c r="J93" s="16"/>
      <c r="K93" s="16">
        <v>1</v>
      </c>
      <c r="L93" s="16"/>
      <c r="M93" s="16" t="b">
        <v>1</v>
      </c>
      <c r="N93" s="16"/>
      <c r="V93" s="20"/>
      <c r="W93" s="20"/>
      <c r="X93" s="20"/>
      <c r="Y93" s="20"/>
      <c r="Z93" s="20"/>
      <c r="AA93" s="20"/>
      <c r="AB93" s="20"/>
      <c r="AC93" s="20"/>
      <c r="AD93" s="20"/>
    </row>
    <row r="94" spans="1:30" ht="13.5" customHeight="1" x14ac:dyDescent="0.25">
      <c r="A94" s="16"/>
      <c r="B94" s="16"/>
      <c r="C94" s="26" t="str">
        <f>IF(A94="","",IF((COUNTIFS(A:A,A94))&gt;1,"ID重复",""))</f>
        <v/>
      </c>
      <c r="D94" s="16">
        <v>103</v>
      </c>
      <c r="E94" s="21" t="str">
        <f>INDEX([1]道具配置表!$D:$D,MATCH(D94,[1]道具配置表!$A:$A,0))</f>
        <v>1石头</v>
      </c>
      <c r="F94" s="16">
        <f t="shared" si="40"/>
        <v>30000</v>
      </c>
      <c r="G94" s="16"/>
      <c r="H94" s="16"/>
      <c r="I94" s="16"/>
      <c r="J94" s="16"/>
      <c r="K94" s="16">
        <v>1</v>
      </c>
      <c r="L94" s="16"/>
      <c r="M94" s="16" t="b">
        <v>1</v>
      </c>
      <c r="N94" s="16"/>
      <c r="V94" s="20"/>
      <c r="W94" s="20"/>
      <c r="X94" s="20"/>
      <c r="Y94" s="20"/>
      <c r="Z94" s="20"/>
      <c r="AA94" s="20"/>
      <c r="AB94" s="20"/>
      <c r="AC94" s="20"/>
      <c r="AD94" s="20"/>
    </row>
    <row r="95" spans="1:30" ht="13.5" customHeight="1" x14ac:dyDescent="0.25">
      <c r="A95" s="16"/>
      <c r="B95" s="16"/>
      <c r="C95" s="26" t="str">
        <f>IF(A95="","",IF((COUNTIFS(A:A,A95))&gt;1,"ID重复",""))</f>
        <v/>
      </c>
      <c r="D95" s="16">
        <v>104</v>
      </c>
      <c r="E95" s="21" t="str">
        <f>INDEX([1]道具配置表!$D:$D,MATCH(D95,[1]道具配置表!$A:$A,0))</f>
        <v>1黄金</v>
      </c>
      <c r="F95" s="16">
        <f t="shared" si="40"/>
        <v>30000</v>
      </c>
      <c r="G95" s="16"/>
      <c r="H95" s="16"/>
      <c r="I95" s="16"/>
      <c r="J95" s="16"/>
      <c r="K95" s="16">
        <v>1</v>
      </c>
      <c r="L95" s="16"/>
      <c r="M95" s="16" t="b">
        <v>1</v>
      </c>
      <c r="N95" s="16"/>
      <c r="V95" s="20"/>
      <c r="W95" s="20"/>
      <c r="X95" s="20"/>
      <c r="Y95" s="20"/>
      <c r="Z95" s="20"/>
      <c r="AA95" s="20"/>
      <c r="AB95" s="20"/>
      <c r="AC95" s="20"/>
      <c r="AD95" s="20"/>
    </row>
    <row r="96" spans="1:30" ht="13.5" customHeight="1" x14ac:dyDescent="0.25">
      <c r="A96" s="16">
        <f>A92+1</f>
        <v>6600309</v>
      </c>
      <c r="B96" s="16" t="str">
        <f>MOD(A96,100)&amp;"级城每日奖励"</f>
        <v>9级城每日奖励</v>
      </c>
      <c r="C96" s="26" t="str">
        <f>IF(A96="","",IF((COUNTIFS(A:A,A96))&gt;1,"ID重复",""))</f>
        <v/>
      </c>
      <c r="D96" s="16">
        <v>102</v>
      </c>
      <c r="E96" s="21" t="str">
        <f>INDEX([1]道具配置表!$D:$D,MATCH(D96,[1]道具配置表!$A:$A,0))</f>
        <v>1食物</v>
      </c>
      <c r="F96" s="16">
        <f>F92+3000</f>
        <v>33000</v>
      </c>
      <c r="G96" s="16"/>
      <c r="H96" s="16"/>
      <c r="I96" s="16"/>
      <c r="J96" s="16"/>
      <c r="K96" s="16">
        <v>1</v>
      </c>
      <c r="L96" s="16"/>
      <c r="M96" s="16" t="b">
        <v>1</v>
      </c>
      <c r="N96" s="16"/>
      <c r="V96" s="20"/>
      <c r="W96" s="20"/>
      <c r="X96" s="20"/>
      <c r="Y96" s="20"/>
      <c r="Z96" s="20"/>
      <c r="AA96" s="20"/>
      <c r="AB96" s="20"/>
      <c r="AC96" s="20"/>
      <c r="AD96" s="20"/>
    </row>
    <row r="97" spans="1:30" ht="13.5" customHeight="1" x14ac:dyDescent="0.25">
      <c r="A97" s="16"/>
      <c r="B97" s="16"/>
      <c r="C97" s="26" t="str">
        <f>IF(A97="","",IF((COUNTIFS(A:A,A97))&gt;1,"ID重复",""))</f>
        <v/>
      </c>
      <c r="D97" s="16">
        <v>101</v>
      </c>
      <c r="E97" s="21" t="str">
        <f>INDEX([1]道具配置表!$D:$D,MATCH(D97,[1]道具配置表!$A:$A,0))</f>
        <v>1木材</v>
      </c>
      <c r="F97" s="16">
        <f t="shared" si="40"/>
        <v>33000</v>
      </c>
      <c r="G97" s="16"/>
      <c r="H97" s="16"/>
      <c r="I97" s="16"/>
      <c r="J97" s="16"/>
      <c r="K97" s="16">
        <v>1</v>
      </c>
      <c r="L97" s="16"/>
      <c r="M97" s="16" t="b">
        <v>1</v>
      </c>
      <c r="N97" s="16"/>
      <c r="V97" s="20"/>
      <c r="W97" s="20"/>
      <c r="X97" s="20"/>
      <c r="Y97" s="20"/>
      <c r="Z97" s="20"/>
      <c r="AA97" s="20"/>
      <c r="AB97" s="20"/>
      <c r="AC97" s="20"/>
      <c r="AD97" s="20"/>
    </row>
    <row r="98" spans="1:30" ht="13.5" customHeight="1" x14ac:dyDescent="0.25">
      <c r="A98" s="16"/>
      <c r="B98" s="16"/>
      <c r="C98" s="26" t="str">
        <f>IF(A98="","",IF((COUNTIFS(A:A,A98))&gt;1,"ID重复",""))</f>
        <v/>
      </c>
      <c r="D98" s="16">
        <v>103</v>
      </c>
      <c r="E98" s="21" t="str">
        <f>INDEX([1]道具配置表!$D:$D,MATCH(D98,[1]道具配置表!$A:$A,0))</f>
        <v>1石头</v>
      </c>
      <c r="F98" s="16">
        <f t="shared" si="40"/>
        <v>33000</v>
      </c>
      <c r="G98" s="16"/>
      <c r="H98" s="16"/>
      <c r="I98" s="16"/>
      <c r="J98" s="16"/>
      <c r="K98" s="16">
        <v>1</v>
      </c>
      <c r="L98" s="16"/>
      <c r="M98" s="16" t="b">
        <v>1</v>
      </c>
      <c r="N98" s="16"/>
      <c r="V98" s="20"/>
      <c r="W98" s="20"/>
      <c r="X98" s="20"/>
      <c r="Y98" s="20"/>
      <c r="Z98" s="20"/>
      <c r="AA98" s="20"/>
      <c r="AB98" s="20"/>
      <c r="AC98" s="20"/>
      <c r="AD98" s="20"/>
    </row>
    <row r="99" spans="1:30" ht="13.5" customHeight="1" x14ac:dyDescent="0.25">
      <c r="A99" s="16"/>
      <c r="B99" s="16"/>
      <c r="C99" s="26" t="str">
        <f>IF(A99="","",IF((COUNTIFS(A:A,A99))&gt;1,"ID重复",""))</f>
        <v/>
      </c>
      <c r="D99" s="16">
        <v>104</v>
      </c>
      <c r="E99" s="21" t="str">
        <f>INDEX([1]道具配置表!$D:$D,MATCH(D99,[1]道具配置表!$A:$A,0))</f>
        <v>1黄金</v>
      </c>
      <c r="F99" s="16">
        <f t="shared" si="40"/>
        <v>33000</v>
      </c>
      <c r="G99" s="16"/>
      <c r="H99" s="16"/>
      <c r="I99" s="16"/>
      <c r="J99" s="16"/>
      <c r="K99" s="16">
        <v>1</v>
      </c>
      <c r="L99" s="16"/>
      <c r="M99" s="16" t="b">
        <v>1</v>
      </c>
      <c r="N99" s="16"/>
      <c r="V99" s="20"/>
      <c r="W99" s="20"/>
      <c r="X99" s="20"/>
      <c r="Y99" s="20"/>
      <c r="Z99" s="20"/>
      <c r="AA99" s="20"/>
      <c r="AB99" s="20"/>
      <c r="AC99" s="20"/>
      <c r="AD99" s="20"/>
    </row>
    <row r="100" spans="1:30" ht="13.5" customHeight="1" x14ac:dyDescent="0.25">
      <c r="A100" s="16">
        <f>A96+1</f>
        <v>6600310</v>
      </c>
      <c r="B100" s="16" t="str">
        <f>MOD(A100,100)&amp;"级城每日奖励"</f>
        <v>10级城每日奖励</v>
      </c>
      <c r="C100" s="26" t="str">
        <f>IF(A100="","",IF((COUNTIFS(A:A,A100))&gt;1,"ID重复",""))</f>
        <v/>
      </c>
      <c r="D100" s="16">
        <v>102</v>
      </c>
      <c r="E100" s="21" t="str">
        <f>INDEX([1]道具配置表!$D:$D,MATCH(D100,[1]道具配置表!$A:$A,0))</f>
        <v>1食物</v>
      </c>
      <c r="F100" s="16">
        <f>F96+3000</f>
        <v>36000</v>
      </c>
      <c r="G100" s="16"/>
      <c r="H100" s="16"/>
      <c r="I100" s="16"/>
      <c r="J100" s="16"/>
      <c r="K100" s="16">
        <v>1</v>
      </c>
      <c r="L100" s="16"/>
      <c r="M100" s="16" t="b">
        <v>1</v>
      </c>
      <c r="N100" s="16"/>
      <c r="V100" s="20"/>
      <c r="W100" s="20"/>
      <c r="X100" s="20"/>
      <c r="Y100" s="20"/>
      <c r="Z100" s="20"/>
      <c r="AA100" s="20"/>
      <c r="AB100" s="20"/>
      <c r="AC100" s="20"/>
      <c r="AD100" s="20"/>
    </row>
    <row r="101" spans="1:30" ht="13.5" customHeight="1" x14ac:dyDescent="0.25">
      <c r="A101" s="16"/>
      <c r="B101" s="16"/>
      <c r="C101" s="26" t="str">
        <f>IF(A101="","",IF((COUNTIFS(A:A,A101))&gt;1,"ID重复",""))</f>
        <v/>
      </c>
      <c r="D101" s="16">
        <v>101</v>
      </c>
      <c r="E101" s="21" t="str">
        <f>INDEX([1]道具配置表!$D:$D,MATCH(D101,[1]道具配置表!$A:$A,0))</f>
        <v>1木材</v>
      </c>
      <c r="F101" s="16">
        <f t="shared" si="40"/>
        <v>36000</v>
      </c>
      <c r="G101" s="16"/>
      <c r="H101" s="16"/>
      <c r="I101" s="16"/>
      <c r="J101" s="16"/>
      <c r="K101" s="16">
        <v>1</v>
      </c>
      <c r="L101" s="16"/>
      <c r="M101" s="16" t="b">
        <v>1</v>
      </c>
      <c r="N101" s="16"/>
      <c r="V101" s="20"/>
      <c r="W101" s="20"/>
      <c r="X101" s="20"/>
      <c r="Y101" s="20"/>
      <c r="Z101" s="20"/>
      <c r="AA101" s="20"/>
      <c r="AB101" s="20"/>
      <c r="AC101" s="20"/>
      <c r="AD101" s="20"/>
    </row>
    <row r="102" spans="1:30" ht="13.5" customHeight="1" x14ac:dyDescent="0.25">
      <c r="A102" s="16"/>
      <c r="B102" s="16"/>
      <c r="C102" s="26" t="str">
        <f>IF(A102="","",IF((COUNTIFS(A:A,A102))&gt;1,"ID重复",""))</f>
        <v/>
      </c>
      <c r="D102" s="16">
        <v>103</v>
      </c>
      <c r="E102" s="21" t="str">
        <f>INDEX([1]道具配置表!$D:$D,MATCH(D102,[1]道具配置表!$A:$A,0))</f>
        <v>1石头</v>
      </c>
      <c r="F102" s="16">
        <f t="shared" si="40"/>
        <v>36000</v>
      </c>
      <c r="G102" s="16"/>
      <c r="H102" s="16"/>
      <c r="I102" s="16"/>
      <c r="J102" s="16"/>
      <c r="K102" s="16">
        <v>1</v>
      </c>
      <c r="L102" s="16"/>
      <c r="M102" s="16" t="b">
        <v>1</v>
      </c>
      <c r="N102" s="16"/>
      <c r="V102" s="20"/>
      <c r="W102" s="20"/>
      <c r="X102" s="20"/>
      <c r="Y102" s="20"/>
      <c r="Z102" s="20"/>
      <c r="AA102" s="20"/>
      <c r="AB102" s="20"/>
      <c r="AC102" s="20"/>
      <c r="AD102" s="20"/>
    </row>
    <row r="103" spans="1:30" ht="13.5" customHeight="1" x14ac:dyDescent="0.25">
      <c r="A103" s="16"/>
      <c r="B103" s="16"/>
      <c r="C103" s="26" t="str">
        <f>IF(A103="","",IF((COUNTIFS(A:A,A103))&gt;1,"ID重复",""))</f>
        <v/>
      </c>
      <c r="D103" s="16">
        <v>104</v>
      </c>
      <c r="E103" s="21" t="str">
        <f>INDEX([1]道具配置表!$D:$D,MATCH(D103,[1]道具配置表!$A:$A,0))</f>
        <v>1黄金</v>
      </c>
      <c r="F103" s="16">
        <f t="shared" si="40"/>
        <v>36000</v>
      </c>
      <c r="G103" s="16"/>
      <c r="H103" s="16"/>
      <c r="I103" s="16"/>
      <c r="J103" s="16"/>
      <c r="K103" s="16">
        <v>1</v>
      </c>
      <c r="L103" s="16"/>
      <c r="M103" s="16" t="b">
        <v>1</v>
      </c>
      <c r="N103" s="16"/>
      <c r="V103" s="20"/>
      <c r="W103" s="20"/>
      <c r="X103" s="20"/>
      <c r="Y103" s="20"/>
      <c r="Z103" s="20"/>
      <c r="AA103" s="20"/>
      <c r="AB103" s="20"/>
      <c r="AC103" s="20"/>
      <c r="AD103" s="20"/>
    </row>
    <row r="104" spans="1:30" ht="13.5" customHeight="1" x14ac:dyDescent="0.25">
      <c r="A104" s="38">
        <v>6600401</v>
      </c>
      <c r="B104" s="38" t="s">
        <v>612</v>
      </c>
      <c r="C104" s="38"/>
      <c r="D104" s="38">
        <v>600</v>
      </c>
      <c r="E104" s="38" t="str">
        <f>INDEX([1]道具配置表!$D:$D,MATCH(D104,[1]道具配置表!$A:$A,0))</f>
        <v>定点迁城</v>
      </c>
      <c r="F104" s="38">
        <v>1</v>
      </c>
      <c r="G104" s="38"/>
      <c r="H104" s="38"/>
      <c r="I104" s="38"/>
      <c r="J104" s="38"/>
      <c r="K104" s="38">
        <v>1</v>
      </c>
      <c r="L104" s="38"/>
      <c r="M104" s="38" t="b">
        <v>1</v>
      </c>
      <c r="N104" s="38"/>
      <c r="V104" s="20"/>
      <c r="W104" s="20"/>
      <c r="X104" s="20"/>
      <c r="Y104" s="20"/>
      <c r="Z104" s="20"/>
      <c r="AA104" s="20"/>
      <c r="AB104" s="20"/>
      <c r="AC104" s="20"/>
      <c r="AD104" s="20"/>
    </row>
    <row r="105" spans="1:30" ht="13.5" customHeight="1" x14ac:dyDescent="0.25">
      <c r="A105" s="38"/>
      <c r="B105" s="38"/>
      <c r="C105" s="38"/>
      <c r="D105" s="61">
        <v>6105</v>
      </c>
      <c r="E105" s="38" t="str">
        <f>INDEX([1]道具配置表!$D:$D,MATCH(D105,[1]道具配置表!$A:$A,0))</f>
        <v>60分钟通用加速</v>
      </c>
      <c r="F105" s="38">
        <v>6</v>
      </c>
      <c r="G105" s="38"/>
      <c r="H105" s="38"/>
      <c r="I105" s="38"/>
      <c r="J105" s="38"/>
      <c r="K105" s="38">
        <v>1</v>
      </c>
      <c r="L105" s="38"/>
      <c r="M105" s="38" t="b">
        <v>1</v>
      </c>
      <c r="N105" s="38"/>
      <c r="V105" s="20"/>
      <c r="W105" s="20"/>
      <c r="X105" s="20"/>
      <c r="Y105" s="20"/>
      <c r="Z105" s="20"/>
      <c r="AA105" s="20"/>
      <c r="AB105" s="20"/>
      <c r="AC105" s="20"/>
      <c r="AD105" s="20"/>
    </row>
    <row r="106" spans="1:30" ht="13.5" customHeight="1" x14ac:dyDescent="0.25">
      <c r="A106" s="38"/>
      <c r="B106" s="38"/>
      <c r="C106" s="38"/>
      <c r="D106" s="38">
        <v>232</v>
      </c>
      <c r="E106" s="38" t="str">
        <f>INDEX([1]道具配置表!$D:$D,MATCH(D106,[1]道具配置表!$A:$A,0))</f>
        <v>1万食物</v>
      </c>
      <c r="F106" s="38">
        <v>50</v>
      </c>
      <c r="G106" s="38"/>
      <c r="H106" s="38"/>
      <c r="I106" s="38"/>
      <c r="J106" s="38"/>
      <c r="K106" s="38">
        <v>1</v>
      </c>
      <c r="L106" s="38"/>
      <c r="M106" s="38" t="b">
        <v>1</v>
      </c>
      <c r="N106" s="38"/>
      <c r="V106" s="20"/>
      <c r="W106" s="20"/>
      <c r="X106" s="20"/>
      <c r="Y106" s="20"/>
      <c r="Z106" s="20"/>
      <c r="AA106" s="20"/>
      <c r="AB106" s="20"/>
      <c r="AC106" s="20"/>
      <c r="AD106" s="20"/>
    </row>
    <row r="107" spans="1:30" ht="13.5" customHeight="1" x14ac:dyDescent="0.25">
      <c r="A107" s="38"/>
      <c r="B107" s="38"/>
      <c r="C107" s="38"/>
      <c r="D107" s="38">
        <v>231</v>
      </c>
      <c r="E107" s="38" t="str">
        <f>INDEX([1]道具配置表!$D:$D,MATCH(D107,[1]道具配置表!$A:$A,0))</f>
        <v>1万木材</v>
      </c>
      <c r="F107" s="38">
        <v>50</v>
      </c>
      <c r="G107" s="38"/>
      <c r="H107" s="38"/>
      <c r="I107" s="38"/>
      <c r="J107" s="38"/>
      <c r="K107" s="38">
        <v>1</v>
      </c>
      <c r="L107" s="38"/>
      <c r="M107" s="38" t="b">
        <v>1</v>
      </c>
      <c r="N107" s="38"/>
      <c r="V107" s="20"/>
      <c r="W107" s="20"/>
      <c r="X107" s="20"/>
      <c r="Y107" s="20"/>
      <c r="Z107" s="20"/>
      <c r="AA107" s="20"/>
      <c r="AB107" s="20"/>
      <c r="AC107" s="20"/>
      <c r="AD107" s="20"/>
    </row>
    <row r="108" spans="1:30" ht="13.5" customHeight="1" x14ac:dyDescent="0.25">
      <c r="A108" s="38"/>
      <c r="B108" s="38"/>
      <c r="C108" s="38"/>
      <c r="D108" s="38">
        <v>233</v>
      </c>
      <c r="E108" s="38" t="str">
        <f>INDEX([1]道具配置表!$D:$D,MATCH(D108,[1]道具配置表!$A:$A,0))</f>
        <v>1万石头</v>
      </c>
      <c r="F108" s="38">
        <v>50</v>
      </c>
      <c r="G108" s="38"/>
      <c r="H108" s="38"/>
      <c r="I108" s="38"/>
      <c r="J108" s="38"/>
      <c r="K108" s="38">
        <v>1</v>
      </c>
      <c r="L108" s="38"/>
      <c r="M108" s="38" t="b">
        <v>1</v>
      </c>
      <c r="N108" s="38"/>
      <c r="V108" s="20"/>
      <c r="W108" s="20"/>
      <c r="X108" s="20"/>
      <c r="Y108" s="20"/>
      <c r="Z108" s="20"/>
      <c r="AA108" s="20"/>
      <c r="AB108" s="20"/>
      <c r="AC108" s="20"/>
      <c r="AD108" s="20"/>
    </row>
    <row r="109" spans="1:30" ht="13.5" customHeight="1" x14ac:dyDescent="0.25">
      <c r="A109" s="38"/>
      <c r="B109" s="38"/>
      <c r="C109" s="38"/>
      <c r="D109" s="38">
        <v>234</v>
      </c>
      <c r="E109" s="38" t="str">
        <f>INDEX([1]道具配置表!$D:$D,MATCH(D109,[1]道具配置表!$A:$A,0))</f>
        <v>1万黄金</v>
      </c>
      <c r="F109" s="38">
        <v>50</v>
      </c>
      <c r="G109" s="38"/>
      <c r="H109" s="38"/>
      <c r="I109" s="38"/>
      <c r="J109" s="38"/>
      <c r="K109" s="38">
        <v>1</v>
      </c>
      <c r="L109" s="38"/>
      <c r="M109" s="38" t="b">
        <v>1</v>
      </c>
      <c r="N109" s="38"/>
      <c r="V109" s="20"/>
      <c r="W109" s="20"/>
      <c r="X109" s="20"/>
      <c r="Y109" s="20"/>
      <c r="Z109" s="20"/>
      <c r="AA109" s="20"/>
      <c r="AB109" s="20"/>
      <c r="AC109" s="20"/>
      <c r="AD109" s="20"/>
    </row>
    <row r="110" spans="1:30" ht="13.5" customHeight="1" x14ac:dyDescent="0.25">
      <c r="A110" s="38">
        <v>6600402</v>
      </c>
      <c r="B110" s="38" t="s">
        <v>613</v>
      </c>
      <c r="C110" s="38"/>
      <c r="D110" s="61">
        <v>600</v>
      </c>
      <c r="E110" s="38" t="str">
        <f>INDEX([1]道具配置表!$D:$D,MATCH(D110,[1]道具配置表!$A:$A,0))</f>
        <v>定点迁城</v>
      </c>
      <c r="F110" s="38">
        <v>1</v>
      </c>
      <c r="G110" s="38"/>
      <c r="H110" s="38"/>
      <c r="I110" s="38"/>
      <c r="J110" s="38"/>
      <c r="K110" s="38">
        <v>1</v>
      </c>
      <c r="L110" s="38"/>
      <c r="M110" s="38" t="b">
        <v>1</v>
      </c>
      <c r="N110" s="38"/>
      <c r="V110" s="20"/>
      <c r="W110" s="20"/>
      <c r="X110" s="20"/>
      <c r="Y110" s="20"/>
      <c r="Z110" s="20"/>
      <c r="AA110" s="20"/>
      <c r="AB110" s="20"/>
      <c r="AC110" s="20"/>
      <c r="AD110" s="20"/>
    </row>
    <row r="111" spans="1:30" ht="13.5" customHeight="1" x14ac:dyDescent="0.25">
      <c r="A111" s="38"/>
      <c r="B111" s="38"/>
      <c r="C111" s="38"/>
      <c r="D111" s="61">
        <v>6105</v>
      </c>
      <c r="E111" s="38" t="str">
        <f>INDEX([1]道具配置表!$D:$D,MATCH(D111,[1]道具配置表!$A:$A,0))</f>
        <v>60分钟通用加速</v>
      </c>
      <c r="F111" s="38">
        <v>12</v>
      </c>
      <c r="G111" s="38"/>
      <c r="H111" s="38"/>
      <c r="I111" s="38"/>
      <c r="J111" s="38"/>
      <c r="K111" s="38">
        <v>1</v>
      </c>
      <c r="L111" s="38"/>
      <c r="M111" s="38" t="b">
        <v>1</v>
      </c>
      <c r="N111" s="38"/>
      <c r="V111" s="20"/>
      <c r="W111" s="20"/>
      <c r="X111" s="20"/>
      <c r="Y111" s="20"/>
      <c r="Z111" s="20"/>
      <c r="AA111" s="20"/>
      <c r="AB111" s="20"/>
      <c r="AC111" s="20"/>
      <c r="AD111" s="20"/>
    </row>
    <row r="112" spans="1:30" ht="13.5" customHeight="1" x14ac:dyDescent="0.25">
      <c r="A112" s="38"/>
      <c r="B112" s="38"/>
      <c r="C112" s="38"/>
      <c r="D112" s="61">
        <v>232</v>
      </c>
      <c r="E112" s="38" t="str">
        <f>INDEX([1]道具配置表!$D:$D,MATCH(D112,[1]道具配置表!$A:$A,0))</f>
        <v>1万食物</v>
      </c>
      <c r="F112" s="38">
        <v>100</v>
      </c>
      <c r="G112" s="38"/>
      <c r="H112" s="38"/>
      <c r="I112" s="38"/>
      <c r="J112" s="38"/>
      <c r="K112" s="38">
        <v>1</v>
      </c>
      <c r="L112" s="38"/>
      <c r="M112" s="38" t="b">
        <v>1</v>
      </c>
      <c r="N112" s="38"/>
      <c r="V112" s="20"/>
      <c r="W112" s="20"/>
      <c r="X112" s="20"/>
      <c r="Y112" s="20"/>
      <c r="Z112" s="20"/>
      <c r="AA112" s="20"/>
      <c r="AB112" s="20"/>
      <c r="AC112" s="20"/>
      <c r="AD112" s="20"/>
    </row>
    <row r="113" spans="1:30" ht="13.5" customHeight="1" x14ac:dyDescent="0.25">
      <c r="A113" s="38"/>
      <c r="B113" s="38"/>
      <c r="C113" s="38"/>
      <c r="D113" s="61">
        <v>231</v>
      </c>
      <c r="E113" s="38" t="str">
        <f>INDEX([1]道具配置表!$D:$D,MATCH(D113,[1]道具配置表!$A:$A,0))</f>
        <v>1万木材</v>
      </c>
      <c r="F113" s="38">
        <v>100</v>
      </c>
      <c r="G113" s="38"/>
      <c r="H113" s="38"/>
      <c r="I113" s="38"/>
      <c r="J113" s="38"/>
      <c r="K113" s="38">
        <v>1</v>
      </c>
      <c r="L113" s="38"/>
      <c r="M113" s="38" t="b">
        <v>1</v>
      </c>
      <c r="N113" s="38"/>
      <c r="V113" s="20"/>
      <c r="W113" s="20"/>
      <c r="X113" s="20"/>
      <c r="Y113" s="20"/>
      <c r="Z113" s="20"/>
      <c r="AA113" s="20"/>
      <c r="AB113" s="20"/>
      <c r="AC113" s="20"/>
      <c r="AD113" s="20"/>
    </row>
    <row r="114" spans="1:30" ht="13.5" customHeight="1" x14ac:dyDescent="0.25">
      <c r="A114" s="38"/>
      <c r="B114" s="38"/>
      <c r="C114" s="38"/>
      <c r="D114" s="61">
        <v>233</v>
      </c>
      <c r="E114" s="38" t="str">
        <f>INDEX([1]道具配置表!$D:$D,MATCH(D114,[1]道具配置表!$A:$A,0))</f>
        <v>1万石头</v>
      </c>
      <c r="F114" s="38">
        <v>100</v>
      </c>
      <c r="G114" s="38"/>
      <c r="H114" s="38"/>
      <c r="I114" s="38"/>
      <c r="J114" s="38"/>
      <c r="K114" s="38">
        <v>1</v>
      </c>
      <c r="L114" s="38"/>
      <c r="M114" s="38" t="b">
        <v>1</v>
      </c>
      <c r="N114" s="38"/>
      <c r="V114" s="20"/>
      <c r="W114" s="20"/>
      <c r="X114" s="20"/>
      <c r="Y114" s="20"/>
      <c r="Z114" s="20"/>
      <c r="AA114" s="20"/>
      <c r="AB114" s="20"/>
      <c r="AC114" s="20"/>
      <c r="AD114" s="20"/>
    </row>
    <row r="115" spans="1:30" ht="13.5" customHeight="1" x14ac:dyDescent="0.25">
      <c r="A115" s="38"/>
      <c r="B115" s="38"/>
      <c r="C115" s="38"/>
      <c r="D115" s="61">
        <v>234</v>
      </c>
      <c r="E115" s="38" t="str">
        <f>INDEX([1]道具配置表!$D:$D,MATCH(D115,[1]道具配置表!$A:$A,0))</f>
        <v>1万黄金</v>
      </c>
      <c r="F115" s="38">
        <v>100</v>
      </c>
      <c r="G115" s="38"/>
      <c r="H115" s="38"/>
      <c r="I115" s="38"/>
      <c r="J115" s="38"/>
      <c r="K115" s="38">
        <v>1</v>
      </c>
      <c r="L115" s="38"/>
      <c r="M115" s="38" t="b">
        <v>1</v>
      </c>
      <c r="N115" s="38"/>
      <c r="V115" s="20"/>
      <c r="W115" s="20"/>
      <c r="X115" s="20"/>
      <c r="Y115" s="20"/>
      <c r="Z115" s="20"/>
      <c r="AA115" s="20"/>
      <c r="AB115" s="20"/>
      <c r="AC115" s="20"/>
      <c r="AD115" s="20"/>
    </row>
    <row r="116" spans="1:30" ht="13.5" customHeight="1" x14ac:dyDescent="0.25">
      <c r="A116" s="16">
        <v>6601011</v>
      </c>
      <c r="B116" s="16" t="str">
        <f>INT(RIGHT(A116,3)/10)&amp;"级城杀敌排名奖励第"&amp;1&amp;"名"</f>
        <v>1级城杀敌排名奖励第1名</v>
      </c>
      <c r="C116" s="26" t="str">
        <f>IF(A116="","",IF((COUNTIFS(A:A,A116))&gt;1,"ID重复",""))</f>
        <v/>
      </c>
      <c r="D116" s="16">
        <v>502</v>
      </c>
      <c r="E116" s="21" t="str">
        <f>INDEX([1]道具配置表!$D:$D,MATCH(D116,[1]道具配置表!$A:$A,0))</f>
        <v>1万资源自选宝箱</v>
      </c>
      <c r="F116" s="16">
        <v>72</v>
      </c>
      <c r="G116" s="16"/>
      <c r="H116" s="16"/>
      <c r="I116" s="16"/>
      <c r="J116" s="16"/>
      <c r="K116" s="16">
        <v>1</v>
      </c>
      <c r="L116" s="16"/>
      <c r="M116" s="16" t="b">
        <v>1</v>
      </c>
      <c r="N116" s="16"/>
      <c r="V116" s="20"/>
      <c r="W116" s="20"/>
      <c r="X116" s="20"/>
      <c r="Y116" s="20"/>
      <c r="Z116" s="20"/>
      <c r="AA116" s="20"/>
      <c r="AB116" s="20"/>
      <c r="AC116" s="20"/>
      <c r="AD116" s="20"/>
    </row>
    <row r="117" spans="1:30" ht="13.5" customHeight="1" x14ac:dyDescent="0.25">
      <c r="A117" s="16"/>
      <c r="B117" s="16"/>
      <c r="C117" s="26" t="str">
        <f>IF(A117="","",IF((COUNTIFS(A:A,A117))&gt;1,"ID重复",""))</f>
        <v/>
      </c>
      <c r="D117" s="16">
        <v>6161</v>
      </c>
      <c r="E117" s="21" t="str">
        <f>INDEX([1]道具配置表!$D:$D,MATCH(D117,[1]道具配置表!$A:$A,0))</f>
        <v>5分钟训练加速</v>
      </c>
      <c r="F117" s="16">
        <v>72</v>
      </c>
      <c r="G117" s="16"/>
      <c r="H117" s="16"/>
      <c r="I117" s="16"/>
      <c r="J117" s="16"/>
      <c r="K117" s="16">
        <v>1</v>
      </c>
      <c r="L117" s="16"/>
      <c r="M117" s="16" t="b">
        <v>1</v>
      </c>
      <c r="N117" s="16"/>
      <c r="V117" s="20"/>
      <c r="W117" s="20"/>
      <c r="X117" s="20"/>
      <c r="Y117" s="20"/>
      <c r="Z117" s="20"/>
      <c r="AA117" s="20"/>
      <c r="AB117" s="20"/>
      <c r="AC117" s="20"/>
      <c r="AD117" s="20"/>
    </row>
    <row r="118" spans="1:30" ht="13.5" customHeight="1" x14ac:dyDescent="0.25">
      <c r="A118" s="16">
        <f>A116+1</f>
        <v>6601012</v>
      </c>
      <c r="B118" s="16" t="str">
        <f>INT(RIGHT(A118,3)/10)&amp;"级城杀敌排名奖励第"&amp;2&amp;"名"</f>
        <v>1级城杀敌排名奖励第2名</v>
      </c>
      <c r="C118" s="26" t="str">
        <f>IF(A118="","",IF((COUNTIFS(A:A,A118))&gt;1,"ID重复",""))</f>
        <v/>
      </c>
      <c r="D118" s="29">
        <v>502</v>
      </c>
      <c r="E118" s="21" t="str">
        <f>INDEX([1]道具配置表!$D:$D,MATCH(D118,[1]道具配置表!$A:$A,0))</f>
        <v>1万资源自选宝箱</v>
      </c>
      <c r="F118" s="16">
        <v>60</v>
      </c>
      <c r="G118" s="16"/>
      <c r="H118" s="16"/>
      <c r="I118" s="16"/>
      <c r="J118" s="16"/>
      <c r="K118" s="16">
        <v>1</v>
      </c>
      <c r="L118" s="16"/>
      <c r="M118" s="16" t="b">
        <v>1</v>
      </c>
      <c r="N118" s="16"/>
      <c r="V118" s="20"/>
      <c r="W118" s="20"/>
      <c r="X118" s="20"/>
      <c r="Y118" s="20"/>
      <c r="Z118" s="20"/>
      <c r="AA118" s="20"/>
      <c r="AB118" s="20"/>
      <c r="AC118" s="20"/>
      <c r="AD118" s="20"/>
    </row>
    <row r="119" spans="1:30" ht="13.5" customHeight="1" x14ac:dyDescent="0.25">
      <c r="A119" s="16"/>
      <c r="B119" s="16"/>
      <c r="C119" s="26" t="str">
        <f>IF(A119="","",IF((COUNTIFS(A:A,A119))&gt;1,"ID重复",""))</f>
        <v/>
      </c>
      <c r="D119" s="29">
        <v>6161</v>
      </c>
      <c r="E119" s="21" t="str">
        <f>INDEX([1]道具配置表!$D:$D,MATCH(D119,[1]道具配置表!$A:$A,0))</f>
        <v>5分钟训练加速</v>
      </c>
      <c r="F119" s="16">
        <v>60</v>
      </c>
      <c r="G119" s="16"/>
      <c r="H119" s="16"/>
      <c r="I119" s="16"/>
      <c r="J119" s="16"/>
      <c r="K119" s="16">
        <v>1</v>
      </c>
      <c r="L119" s="16"/>
      <c r="M119" s="16" t="b">
        <v>1</v>
      </c>
      <c r="N119" s="16"/>
      <c r="V119" s="20"/>
      <c r="W119" s="20"/>
      <c r="X119" s="20"/>
      <c r="Y119" s="20"/>
      <c r="Z119" s="20"/>
      <c r="AA119" s="20"/>
      <c r="AB119" s="20"/>
      <c r="AC119" s="20"/>
      <c r="AD119" s="20"/>
    </row>
    <row r="120" spans="1:30" ht="13.5" customHeight="1" x14ac:dyDescent="0.25">
      <c r="A120" s="16">
        <f>A118+1</f>
        <v>6601013</v>
      </c>
      <c r="B120" s="16" t="str">
        <f>INT(RIGHT(A120,3)/10)&amp;"级城杀敌排名奖励第"&amp;3&amp;"名"</f>
        <v>1级城杀敌排名奖励第3名</v>
      </c>
      <c r="C120" s="26" t="str">
        <f>IF(A120="","",IF((COUNTIFS(A:A,A120))&gt;1,"ID重复",""))</f>
        <v/>
      </c>
      <c r="D120" s="29">
        <v>502</v>
      </c>
      <c r="E120" s="21" t="str">
        <f>INDEX([1]道具配置表!$D:$D,MATCH(D120,[1]道具配置表!$A:$A,0))</f>
        <v>1万资源自选宝箱</v>
      </c>
      <c r="F120" s="16">
        <v>48</v>
      </c>
      <c r="G120" s="16"/>
      <c r="H120" s="16"/>
      <c r="I120" s="16"/>
      <c r="J120" s="16"/>
      <c r="K120" s="16">
        <v>1</v>
      </c>
      <c r="L120" s="16"/>
      <c r="M120" s="16" t="b">
        <v>1</v>
      </c>
      <c r="N120" s="16"/>
      <c r="V120" s="20"/>
      <c r="W120" s="20"/>
      <c r="X120" s="20"/>
      <c r="Y120" s="20"/>
      <c r="Z120" s="20"/>
      <c r="AA120" s="20"/>
      <c r="AB120" s="20"/>
      <c r="AC120" s="20"/>
      <c r="AD120" s="20"/>
    </row>
    <row r="121" spans="1:30" ht="13.5" customHeight="1" x14ac:dyDescent="0.25">
      <c r="A121" s="16"/>
      <c r="B121" s="16"/>
      <c r="C121" s="26" t="str">
        <f>IF(A121="","",IF((COUNTIFS(A:A,A121))&gt;1,"ID重复",""))</f>
        <v/>
      </c>
      <c r="D121" s="29">
        <v>6161</v>
      </c>
      <c r="E121" s="21" t="str">
        <f>INDEX([1]道具配置表!$D:$D,MATCH(D121,[1]道具配置表!$A:$A,0))</f>
        <v>5分钟训练加速</v>
      </c>
      <c r="F121" s="16">
        <v>48</v>
      </c>
      <c r="G121" s="16"/>
      <c r="H121" s="16"/>
      <c r="I121" s="16"/>
      <c r="J121" s="16"/>
      <c r="K121" s="16">
        <v>1</v>
      </c>
      <c r="L121" s="16"/>
      <c r="M121" s="16" t="b">
        <v>1</v>
      </c>
      <c r="N121" s="16"/>
      <c r="V121" s="20"/>
      <c r="W121" s="20"/>
      <c r="X121" s="20"/>
      <c r="Y121" s="20"/>
      <c r="Z121" s="20"/>
      <c r="AA121" s="20"/>
      <c r="AB121" s="20"/>
      <c r="AC121" s="20"/>
      <c r="AD121" s="20"/>
    </row>
    <row r="122" spans="1:30" ht="13.5" customHeight="1" x14ac:dyDescent="0.25">
      <c r="A122" s="16">
        <f>A120+1</f>
        <v>6601014</v>
      </c>
      <c r="B122" s="16" t="str">
        <f>INT(RIGHT(A122,3)/10)&amp;"级城杀敌排名奖励第"&amp;"4-10"&amp;"名"</f>
        <v>1级城杀敌排名奖励第4-10名</v>
      </c>
      <c r="C122" s="26" t="str">
        <f>IF(A122="","",IF((COUNTIFS(A:A,A122))&gt;1,"ID重复",""))</f>
        <v/>
      </c>
      <c r="D122" s="29">
        <v>502</v>
      </c>
      <c r="E122" s="21" t="str">
        <f>INDEX([1]道具配置表!$D:$D,MATCH(D122,[1]道具配置表!$A:$A,0))</f>
        <v>1万资源自选宝箱</v>
      </c>
      <c r="F122" s="16">
        <v>36</v>
      </c>
      <c r="G122" s="16"/>
      <c r="H122" s="16"/>
      <c r="I122" s="16"/>
      <c r="J122" s="16"/>
      <c r="K122" s="16">
        <v>1</v>
      </c>
      <c r="L122" s="16"/>
      <c r="M122" s="16" t="b">
        <v>1</v>
      </c>
      <c r="N122" s="16"/>
      <c r="V122" s="20"/>
      <c r="W122" s="20"/>
      <c r="X122" s="20"/>
      <c r="Y122" s="20"/>
      <c r="Z122" s="20"/>
      <c r="AA122" s="20"/>
      <c r="AB122" s="20"/>
      <c r="AC122" s="20"/>
      <c r="AD122" s="20"/>
    </row>
    <row r="123" spans="1:30" ht="13.5" customHeight="1" x14ac:dyDescent="0.25">
      <c r="A123" s="16"/>
      <c r="B123" s="16"/>
      <c r="C123" s="26" t="str">
        <f>IF(A123="","",IF((COUNTIFS(A:A,A123))&gt;1,"ID重复",""))</f>
        <v/>
      </c>
      <c r="D123" s="29">
        <v>6161</v>
      </c>
      <c r="E123" s="21" t="str">
        <f>INDEX([1]道具配置表!$D:$D,MATCH(D123,[1]道具配置表!$A:$A,0))</f>
        <v>5分钟训练加速</v>
      </c>
      <c r="F123" s="16">
        <v>36</v>
      </c>
      <c r="G123" s="16"/>
      <c r="H123" s="16"/>
      <c r="I123" s="16"/>
      <c r="J123" s="16"/>
      <c r="K123" s="16">
        <v>1</v>
      </c>
      <c r="L123" s="16"/>
      <c r="M123" s="16" t="b">
        <v>1</v>
      </c>
      <c r="N123" s="16"/>
      <c r="V123" s="20"/>
      <c r="W123" s="20"/>
      <c r="X123" s="20"/>
      <c r="Y123" s="20"/>
      <c r="Z123" s="20"/>
      <c r="AA123" s="20"/>
      <c r="AB123" s="20"/>
      <c r="AC123" s="20"/>
      <c r="AD123" s="20"/>
    </row>
    <row r="124" spans="1:30" ht="13.5" customHeight="1" x14ac:dyDescent="0.25">
      <c r="A124" s="16">
        <f>A122+1</f>
        <v>6601015</v>
      </c>
      <c r="B124" s="16" t="str">
        <f>INT(RIGHT(A124,3)/10)&amp;"级城杀敌排名奖励第"&amp;"11-20"&amp;"名"</f>
        <v>1级城杀敌排名奖励第11-20名</v>
      </c>
      <c r="C124" s="26" t="str">
        <f>IF(A124="","",IF((COUNTIFS(A:A,A124))&gt;1,"ID重复",""))</f>
        <v/>
      </c>
      <c r="D124" s="29">
        <v>502</v>
      </c>
      <c r="E124" s="21" t="str">
        <f>INDEX([1]道具配置表!$D:$D,MATCH(D124,[1]道具配置表!$A:$A,0))</f>
        <v>1万资源自选宝箱</v>
      </c>
      <c r="F124" s="16">
        <v>30</v>
      </c>
      <c r="G124" s="16"/>
      <c r="H124" s="16"/>
      <c r="I124" s="16"/>
      <c r="J124" s="16"/>
      <c r="K124" s="16">
        <v>1</v>
      </c>
      <c r="L124" s="16"/>
      <c r="M124" s="16" t="b">
        <v>1</v>
      </c>
      <c r="N124" s="16"/>
      <c r="V124" s="20"/>
      <c r="W124" s="20"/>
      <c r="X124" s="20"/>
      <c r="Y124" s="20"/>
      <c r="Z124" s="20"/>
      <c r="AA124" s="20"/>
      <c r="AB124" s="20"/>
      <c r="AC124" s="20"/>
      <c r="AD124" s="20"/>
    </row>
    <row r="125" spans="1:30" ht="13.5" customHeight="1" x14ac:dyDescent="0.25">
      <c r="A125" s="16"/>
      <c r="B125" s="16"/>
      <c r="C125" s="26" t="str">
        <f>IF(A125="","",IF((COUNTIFS(A:A,A125))&gt;1,"ID重复",""))</f>
        <v/>
      </c>
      <c r="D125" s="29">
        <v>6161</v>
      </c>
      <c r="E125" s="21" t="str">
        <f>INDEX([1]道具配置表!$D:$D,MATCH(D125,[1]道具配置表!$A:$A,0))</f>
        <v>5分钟训练加速</v>
      </c>
      <c r="F125" s="16">
        <v>30</v>
      </c>
      <c r="G125" s="16"/>
      <c r="H125" s="16"/>
      <c r="I125" s="16"/>
      <c r="J125" s="16"/>
      <c r="K125" s="16">
        <v>1</v>
      </c>
      <c r="L125" s="16"/>
      <c r="M125" s="16" t="b">
        <v>1</v>
      </c>
      <c r="N125" s="16"/>
      <c r="V125" s="20"/>
      <c r="W125" s="20"/>
      <c r="X125" s="20"/>
      <c r="Y125" s="20"/>
      <c r="Z125" s="20"/>
      <c r="AA125" s="20"/>
      <c r="AB125" s="20"/>
      <c r="AC125" s="20"/>
      <c r="AD125" s="20"/>
    </row>
    <row r="126" spans="1:30" ht="13.5" customHeight="1" x14ac:dyDescent="0.25">
      <c r="A126" s="16">
        <f>A124+1</f>
        <v>6601016</v>
      </c>
      <c r="B126" s="16" t="str">
        <f>INT(RIGHT(A126,3)/10)&amp;"级城杀敌排名奖励第"&amp;"21-30"&amp;"名"</f>
        <v>1级城杀敌排名奖励第21-30名</v>
      </c>
      <c r="C126" s="26" t="str">
        <f>IF(A126="","",IF((COUNTIFS(A:A,A126))&gt;1,"ID重复",""))</f>
        <v/>
      </c>
      <c r="D126" s="29">
        <v>502</v>
      </c>
      <c r="E126" s="21" t="str">
        <f>INDEX([1]道具配置表!$D:$D,MATCH(D126,[1]道具配置表!$A:$A,0))</f>
        <v>1万资源自选宝箱</v>
      </c>
      <c r="F126" s="16">
        <v>24</v>
      </c>
      <c r="G126" s="16"/>
      <c r="H126" s="16"/>
      <c r="I126" s="16"/>
      <c r="J126" s="16"/>
      <c r="K126" s="16">
        <v>1</v>
      </c>
      <c r="L126" s="16"/>
      <c r="M126" s="16" t="b">
        <v>1</v>
      </c>
      <c r="N126" s="16"/>
      <c r="V126" s="20"/>
      <c r="W126" s="20"/>
      <c r="X126" s="20"/>
      <c r="Y126" s="20"/>
      <c r="Z126" s="20"/>
      <c r="AA126" s="20"/>
      <c r="AB126" s="20"/>
      <c r="AC126" s="20"/>
      <c r="AD126" s="20"/>
    </row>
    <row r="127" spans="1:30" ht="13.5" customHeight="1" x14ac:dyDescent="0.25">
      <c r="A127" s="16"/>
      <c r="B127" s="16"/>
      <c r="C127" s="26" t="str">
        <f>IF(A127="","",IF((COUNTIFS(A:A,A127))&gt;1,"ID重复",""))</f>
        <v/>
      </c>
      <c r="D127" s="29">
        <v>6161</v>
      </c>
      <c r="E127" s="21" t="str">
        <f>INDEX([1]道具配置表!$D:$D,MATCH(D127,[1]道具配置表!$A:$A,0))</f>
        <v>5分钟训练加速</v>
      </c>
      <c r="F127" s="16">
        <v>24</v>
      </c>
      <c r="G127" s="16"/>
      <c r="H127" s="16"/>
      <c r="I127" s="16"/>
      <c r="J127" s="16"/>
      <c r="K127" s="16">
        <v>1</v>
      </c>
      <c r="L127" s="16"/>
      <c r="M127" s="16" t="b">
        <v>1</v>
      </c>
      <c r="N127" s="16"/>
      <c r="V127" s="20"/>
      <c r="W127" s="20"/>
      <c r="X127" s="20"/>
      <c r="Y127" s="20"/>
      <c r="Z127" s="20"/>
      <c r="AA127" s="20"/>
      <c r="AB127" s="20"/>
      <c r="AC127" s="20"/>
      <c r="AD127" s="20"/>
    </row>
    <row r="128" spans="1:30" ht="13.5" customHeight="1" x14ac:dyDescent="0.25">
      <c r="A128" s="16">
        <f>A116+10</f>
        <v>6601021</v>
      </c>
      <c r="B128" s="16" t="str">
        <f>INT(RIGHT(A128,3)/10)&amp;"级城杀敌排名奖励第"&amp;1&amp;"名"</f>
        <v>2级城杀敌排名奖励第1名</v>
      </c>
      <c r="C128" s="26" t="str">
        <f>IF(A128="","",IF((COUNTIFS(A:A,A128))&gt;1,"ID重复",""))</f>
        <v/>
      </c>
      <c r="D128" s="29">
        <v>502</v>
      </c>
      <c r="E128" s="21" t="str">
        <f>INDEX([1]道具配置表!$D:$D,MATCH(D128,[1]道具配置表!$A:$A,0))</f>
        <v>1万资源自选宝箱</v>
      </c>
      <c r="F128" s="16">
        <f>F116+24</f>
        <v>96</v>
      </c>
      <c r="G128" s="16"/>
      <c r="H128" s="16"/>
      <c r="I128" s="16"/>
      <c r="J128" s="16"/>
      <c r="K128" s="16">
        <v>1</v>
      </c>
      <c r="L128" s="16"/>
      <c r="M128" s="16" t="b">
        <v>1</v>
      </c>
      <c r="N128" s="16"/>
      <c r="V128" s="20"/>
      <c r="W128" s="20"/>
      <c r="X128" s="20"/>
      <c r="Y128" s="20"/>
      <c r="Z128" s="20"/>
      <c r="AA128" s="20"/>
      <c r="AB128" s="20"/>
      <c r="AC128" s="20"/>
      <c r="AD128" s="20"/>
    </row>
    <row r="129" spans="1:30" ht="13.5" customHeight="1" x14ac:dyDescent="0.25">
      <c r="A129" s="16"/>
      <c r="B129" s="16"/>
      <c r="C129" s="26" t="str">
        <f>IF(A129="","",IF((COUNTIFS(A:A,A129))&gt;1,"ID重复",""))</f>
        <v/>
      </c>
      <c r="D129" s="29">
        <v>6161</v>
      </c>
      <c r="E129" s="21" t="str">
        <f>INDEX([1]道具配置表!$D:$D,MATCH(D129,[1]道具配置表!$A:$A,0))</f>
        <v>5分钟训练加速</v>
      </c>
      <c r="F129" s="16">
        <f>F117+24</f>
        <v>96</v>
      </c>
      <c r="G129" s="16"/>
      <c r="H129" s="16"/>
      <c r="I129" s="16"/>
      <c r="J129" s="16"/>
      <c r="K129" s="16">
        <v>1</v>
      </c>
      <c r="L129" s="16"/>
      <c r="M129" s="16" t="b">
        <v>1</v>
      </c>
      <c r="N129" s="16"/>
      <c r="V129" s="20"/>
      <c r="W129" s="20"/>
      <c r="X129" s="20"/>
      <c r="Y129" s="20"/>
      <c r="Z129" s="20"/>
      <c r="AA129" s="20"/>
      <c r="AB129" s="20"/>
      <c r="AC129" s="20"/>
      <c r="AD129" s="20"/>
    </row>
    <row r="130" spans="1:30" ht="13.5" customHeight="1" x14ac:dyDescent="0.25">
      <c r="A130" s="16">
        <f>A128+1</f>
        <v>6601022</v>
      </c>
      <c r="B130" s="16" t="str">
        <f>INT(RIGHT(A130,3)/10)&amp;"级城杀敌排名奖励第"&amp;2&amp;"名"</f>
        <v>2级城杀敌排名奖励第2名</v>
      </c>
      <c r="C130" s="26" t="str">
        <f>IF(A130="","",IF((COUNTIFS(A:A,A130))&gt;1,"ID重复",""))</f>
        <v/>
      </c>
      <c r="D130" s="29">
        <v>502</v>
      </c>
      <c r="E130" s="21" t="str">
        <f>INDEX([1]道具配置表!$D:$D,MATCH(D130,[1]道具配置表!$A:$A,0))</f>
        <v>1万资源自选宝箱</v>
      </c>
      <c r="F130" s="16">
        <f>F118+20</f>
        <v>80</v>
      </c>
      <c r="G130" s="16"/>
      <c r="H130" s="16"/>
      <c r="I130" s="16"/>
      <c r="J130" s="16"/>
      <c r="K130" s="16">
        <v>1</v>
      </c>
      <c r="L130" s="16"/>
      <c r="M130" s="16" t="b">
        <v>1</v>
      </c>
      <c r="N130" s="16"/>
      <c r="V130" s="20"/>
      <c r="W130" s="20"/>
      <c r="X130" s="20"/>
      <c r="Y130" s="20"/>
      <c r="Z130" s="20"/>
      <c r="AA130" s="20"/>
      <c r="AB130" s="20"/>
      <c r="AC130" s="20"/>
      <c r="AD130" s="20"/>
    </row>
    <row r="131" spans="1:30" ht="13.5" customHeight="1" x14ac:dyDescent="0.25">
      <c r="A131" s="16"/>
      <c r="B131" s="16"/>
      <c r="C131" s="26" t="str">
        <f>IF(A131="","",IF((COUNTIFS(A:A,A131))&gt;1,"ID重复",""))</f>
        <v/>
      </c>
      <c r="D131" s="29">
        <v>6161</v>
      </c>
      <c r="E131" s="21" t="str">
        <f>INDEX([1]道具配置表!$D:$D,MATCH(D131,[1]道具配置表!$A:$A,0))</f>
        <v>5分钟训练加速</v>
      </c>
      <c r="F131" s="16">
        <f>F119+20</f>
        <v>80</v>
      </c>
      <c r="G131" s="16"/>
      <c r="H131" s="16"/>
      <c r="I131" s="16"/>
      <c r="J131" s="16"/>
      <c r="K131" s="16">
        <v>1</v>
      </c>
      <c r="L131" s="16"/>
      <c r="M131" s="16" t="b">
        <v>1</v>
      </c>
      <c r="N131" s="16"/>
      <c r="V131" s="20"/>
      <c r="W131" s="20"/>
      <c r="X131" s="20"/>
      <c r="Y131" s="20"/>
      <c r="Z131" s="20"/>
      <c r="AA131" s="20"/>
      <c r="AB131" s="20"/>
      <c r="AC131" s="20"/>
      <c r="AD131" s="20"/>
    </row>
    <row r="132" spans="1:30" ht="13.5" customHeight="1" x14ac:dyDescent="0.25">
      <c r="A132" s="16">
        <f>A130+1</f>
        <v>6601023</v>
      </c>
      <c r="B132" s="16" t="str">
        <f>INT(RIGHT(A132,3)/10)&amp;"级城杀敌排名奖励第"&amp;3&amp;"名"</f>
        <v>2级城杀敌排名奖励第3名</v>
      </c>
      <c r="C132" s="26" t="str">
        <f>IF(A132="","",IF((COUNTIFS(A:A,A132))&gt;1,"ID重复",""))</f>
        <v/>
      </c>
      <c r="D132" s="29">
        <v>502</v>
      </c>
      <c r="E132" s="21" t="str">
        <f>INDEX([1]道具配置表!$D:$D,MATCH(D132,[1]道具配置表!$A:$A,0))</f>
        <v>1万资源自选宝箱</v>
      </c>
      <c r="F132" s="16">
        <f>F120+16</f>
        <v>64</v>
      </c>
      <c r="G132" s="16"/>
      <c r="H132" s="16"/>
      <c r="I132" s="16"/>
      <c r="J132" s="16"/>
      <c r="K132" s="16">
        <v>1</v>
      </c>
      <c r="L132" s="16"/>
      <c r="M132" s="16" t="b">
        <v>1</v>
      </c>
      <c r="N132" s="16"/>
      <c r="V132" s="20"/>
      <c r="W132" s="20"/>
      <c r="X132" s="20"/>
      <c r="Y132" s="20"/>
      <c r="Z132" s="20"/>
      <c r="AA132" s="20"/>
      <c r="AB132" s="20"/>
      <c r="AC132" s="20"/>
      <c r="AD132" s="20"/>
    </row>
    <row r="133" spans="1:30" ht="13.5" customHeight="1" x14ac:dyDescent="0.25">
      <c r="A133" s="16"/>
      <c r="B133" s="16"/>
      <c r="C133" s="26" t="str">
        <f>IF(A133="","",IF((COUNTIFS(A:A,A133))&gt;1,"ID重复",""))</f>
        <v/>
      </c>
      <c r="D133" s="29">
        <v>6161</v>
      </c>
      <c r="E133" s="21" t="str">
        <f>INDEX([1]道具配置表!$D:$D,MATCH(D133,[1]道具配置表!$A:$A,0))</f>
        <v>5分钟训练加速</v>
      </c>
      <c r="F133" s="16">
        <f>F121+16</f>
        <v>64</v>
      </c>
      <c r="G133" s="16"/>
      <c r="H133" s="16"/>
      <c r="I133" s="16"/>
      <c r="J133" s="16"/>
      <c r="K133" s="16">
        <v>1</v>
      </c>
      <c r="L133" s="16"/>
      <c r="M133" s="16" t="b">
        <v>1</v>
      </c>
      <c r="N133" s="16"/>
      <c r="V133" s="20"/>
      <c r="W133" s="20"/>
      <c r="X133" s="20"/>
      <c r="Y133" s="20"/>
      <c r="Z133" s="20"/>
      <c r="AA133" s="20"/>
      <c r="AB133" s="20"/>
      <c r="AC133" s="20"/>
      <c r="AD133" s="20"/>
    </row>
    <row r="134" spans="1:30" ht="13.5" customHeight="1" x14ac:dyDescent="0.25">
      <c r="A134" s="16">
        <f>A132+1</f>
        <v>6601024</v>
      </c>
      <c r="B134" s="16" t="str">
        <f>INT(RIGHT(A134,3)/10)&amp;"级城杀敌排名奖励第"&amp;"4-10"&amp;"名"</f>
        <v>2级城杀敌排名奖励第4-10名</v>
      </c>
      <c r="C134" s="26" t="str">
        <f>IF(A134="","",IF((COUNTIFS(A:A,A134))&gt;1,"ID重复",""))</f>
        <v/>
      </c>
      <c r="D134" s="29">
        <v>502</v>
      </c>
      <c r="E134" s="21" t="str">
        <f>INDEX([1]道具配置表!$D:$D,MATCH(D134,[1]道具配置表!$A:$A,0))</f>
        <v>1万资源自选宝箱</v>
      </c>
      <c r="F134" s="16">
        <f>F122+12</f>
        <v>48</v>
      </c>
      <c r="G134" s="16"/>
      <c r="H134" s="16"/>
      <c r="I134" s="16"/>
      <c r="J134" s="16"/>
      <c r="K134" s="16">
        <v>1</v>
      </c>
      <c r="L134" s="16"/>
      <c r="M134" s="16" t="b">
        <v>1</v>
      </c>
      <c r="N134" s="16"/>
      <c r="V134" s="20"/>
      <c r="W134" s="20"/>
      <c r="X134" s="20"/>
      <c r="Y134" s="20"/>
      <c r="Z134" s="20"/>
      <c r="AA134" s="20"/>
      <c r="AB134" s="20"/>
      <c r="AC134" s="20"/>
      <c r="AD134" s="20"/>
    </row>
    <row r="135" spans="1:30" ht="13.5" customHeight="1" x14ac:dyDescent="0.25">
      <c r="A135" s="16"/>
      <c r="B135" s="16"/>
      <c r="C135" s="26" t="str">
        <f>IF(A135="","",IF((COUNTIFS(A:A,A135))&gt;1,"ID重复",""))</f>
        <v/>
      </c>
      <c r="D135" s="29">
        <v>6161</v>
      </c>
      <c r="E135" s="21" t="str">
        <f>INDEX([1]道具配置表!$D:$D,MATCH(D135,[1]道具配置表!$A:$A,0))</f>
        <v>5分钟训练加速</v>
      </c>
      <c r="F135" s="16">
        <f>F123+12</f>
        <v>48</v>
      </c>
      <c r="G135" s="16"/>
      <c r="H135" s="16"/>
      <c r="I135" s="16"/>
      <c r="J135" s="16"/>
      <c r="K135" s="16">
        <v>1</v>
      </c>
      <c r="L135" s="16"/>
      <c r="M135" s="16" t="b">
        <v>1</v>
      </c>
      <c r="N135" s="16"/>
      <c r="V135" s="20"/>
      <c r="W135" s="20"/>
      <c r="X135" s="20"/>
      <c r="Y135" s="20"/>
      <c r="Z135" s="20"/>
      <c r="AA135" s="20"/>
      <c r="AB135" s="20"/>
      <c r="AC135" s="20"/>
      <c r="AD135" s="20"/>
    </row>
    <row r="136" spans="1:30" ht="13.5" customHeight="1" x14ac:dyDescent="0.25">
      <c r="A136" s="16">
        <f>A134+1</f>
        <v>6601025</v>
      </c>
      <c r="B136" s="16" t="str">
        <f>INT(RIGHT(A136,3)/10)&amp;"级城杀敌排名奖励第"&amp;"11-20"&amp;"名"</f>
        <v>2级城杀敌排名奖励第11-20名</v>
      </c>
      <c r="C136" s="26" t="str">
        <f>IF(A136="","",IF((COUNTIFS(A:A,A136))&gt;1,"ID重复",""))</f>
        <v/>
      </c>
      <c r="D136" s="29">
        <v>502</v>
      </c>
      <c r="E136" s="21" t="str">
        <f>INDEX([1]道具配置表!$D:$D,MATCH(D136,[1]道具配置表!$A:$A,0))</f>
        <v>1万资源自选宝箱</v>
      </c>
      <c r="F136" s="16">
        <f>F124+10</f>
        <v>40</v>
      </c>
      <c r="G136" s="16"/>
      <c r="H136" s="16"/>
      <c r="I136" s="16"/>
      <c r="J136" s="16"/>
      <c r="K136" s="16">
        <v>1</v>
      </c>
      <c r="L136" s="16"/>
      <c r="M136" s="16" t="b">
        <v>1</v>
      </c>
      <c r="N136" s="16"/>
      <c r="V136" s="20"/>
      <c r="W136" s="20"/>
      <c r="X136" s="20"/>
      <c r="Y136" s="20"/>
      <c r="Z136" s="20"/>
      <c r="AA136" s="20"/>
      <c r="AB136" s="20"/>
      <c r="AC136" s="20"/>
      <c r="AD136" s="20"/>
    </row>
    <row r="137" spans="1:30" ht="13.5" customHeight="1" x14ac:dyDescent="0.25">
      <c r="A137" s="16"/>
      <c r="B137" s="16"/>
      <c r="C137" s="26" t="str">
        <f>IF(A137="","",IF((COUNTIFS(A:A,A137))&gt;1,"ID重复",""))</f>
        <v/>
      </c>
      <c r="D137" s="29">
        <v>6161</v>
      </c>
      <c r="E137" s="21" t="str">
        <f>INDEX([1]道具配置表!$D:$D,MATCH(D137,[1]道具配置表!$A:$A,0))</f>
        <v>5分钟训练加速</v>
      </c>
      <c r="F137" s="16">
        <f>F125+10</f>
        <v>40</v>
      </c>
      <c r="G137" s="16"/>
      <c r="H137" s="16"/>
      <c r="I137" s="16"/>
      <c r="J137" s="16"/>
      <c r="K137" s="16">
        <v>1</v>
      </c>
      <c r="L137" s="16"/>
      <c r="M137" s="16" t="b">
        <v>1</v>
      </c>
      <c r="N137" s="16"/>
      <c r="V137" s="20"/>
      <c r="W137" s="20"/>
      <c r="X137" s="20"/>
      <c r="Y137" s="20"/>
      <c r="Z137" s="20"/>
      <c r="AA137" s="20"/>
      <c r="AB137" s="20"/>
      <c r="AC137" s="20"/>
      <c r="AD137" s="20"/>
    </row>
    <row r="138" spans="1:30" ht="13.5" customHeight="1" x14ac:dyDescent="0.25">
      <c r="A138" s="16">
        <f>A136+1</f>
        <v>6601026</v>
      </c>
      <c r="B138" s="16" t="str">
        <f>INT(RIGHT(A138,3)/10)&amp;"级城杀敌排名奖励第"&amp;"21-30"&amp;"名"</f>
        <v>2级城杀敌排名奖励第21-30名</v>
      </c>
      <c r="C138" s="26" t="str">
        <f>IF(A138="","",IF((COUNTIFS(A:A,A138))&gt;1,"ID重复",""))</f>
        <v/>
      </c>
      <c r="D138" s="29">
        <v>502</v>
      </c>
      <c r="E138" s="21" t="str">
        <f>INDEX([1]道具配置表!$D:$D,MATCH(D138,[1]道具配置表!$A:$A,0))</f>
        <v>1万资源自选宝箱</v>
      </c>
      <c r="F138" s="16">
        <f>F126+8</f>
        <v>32</v>
      </c>
      <c r="G138" s="16"/>
      <c r="H138" s="16"/>
      <c r="I138" s="16"/>
      <c r="J138" s="16"/>
      <c r="K138" s="16">
        <v>1</v>
      </c>
      <c r="L138" s="16"/>
      <c r="M138" s="16" t="b">
        <v>1</v>
      </c>
      <c r="N138" s="16"/>
      <c r="V138" s="20"/>
      <c r="W138" s="20"/>
      <c r="X138" s="20"/>
      <c r="Y138" s="20"/>
      <c r="Z138" s="20"/>
      <c r="AA138" s="20"/>
      <c r="AB138" s="20"/>
      <c r="AC138" s="20"/>
      <c r="AD138" s="20"/>
    </row>
    <row r="139" spans="1:30" ht="13.5" customHeight="1" x14ac:dyDescent="0.25">
      <c r="A139" s="16"/>
      <c r="B139" s="16"/>
      <c r="C139" s="26" t="str">
        <f>IF(A139="","",IF((COUNTIFS(A:A,A139))&gt;1,"ID重复",""))</f>
        <v/>
      </c>
      <c r="D139" s="29">
        <v>6161</v>
      </c>
      <c r="E139" s="21" t="str">
        <f>INDEX([1]道具配置表!$D:$D,MATCH(D139,[1]道具配置表!$A:$A,0))</f>
        <v>5分钟训练加速</v>
      </c>
      <c r="F139" s="16">
        <f>F127+8</f>
        <v>32</v>
      </c>
      <c r="G139" s="16"/>
      <c r="H139" s="16"/>
      <c r="I139" s="16"/>
      <c r="J139" s="16"/>
      <c r="K139" s="16">
        <v>1</v>
      </c>
      <c r="L139" s="16"/>
      <c r="M139" s="16" t="b">
        <v>1</v>
      </c>
      <c r="N139" s="16"/>
      <c r="V139" s="20"/>
      <c r="W139" s="20"/>
      <c r="X139" s="20"/>
      <c r="Y139" s="20"/>
      <c r="Z139" s="20"/>
      <c r="AA139" s="20"/>
      <c r="AB139" s="20"/>
      <c r="AC139" s="20"/>
      <c r="AD139" s="20"/>
    </row>
    <row r="140" spans="1:30" ht="13.5" customHeight="1" x14ac:dyDescent="0.25">
      <c r="A140" s="16">
        <f>A128+10</f>
        <v>6601031</v>
      </c>
      <c r="B140" s="16" t="str">
        <f>INT(RIGHT(A140,3)/10)&amp;"级城杀敌排名奖励第"&amp;1&amp;"名"</f>
        <v>3级城杀敌排名奖励第1名</v>
      </c>
      <c r="C140" s="26" t="str">
        <f>IF(A140="","",IF((COUNTIFS(A:A,A140))&gt;1,"ID重复",""))</f>
        <v/>
      </c>
      <c r="D140" s="29">
        <v>502</v>
      </c>
      <c r="E140" s="21" t="str">
        <f>INDEX([1]道具配置表!$D:$D,MATCH(D140,[1]道具配置表!$A:$A,0))</f>
        <v>1万资源自选宝箱</v>
      </c>
      <c r="F140" s="29">
        <f>F128+24</f>
        <v>120</v>
      </c>
      <c r="G140" s="16"/>
      <c r="H140" s="16"/>
      <c r="I140" s="16"/>
      <c r="J140" s="16"/>
      <c r="K140" s="16">
        <v>1</v>
      </c>
      <c r="L140" s="16"/>
      <c r="M140" s="16" t="b">
        <v>1</v>
      </c>
      <c r="N140" s="16"/>
      <c r="V140" s="20"/>
      <c r="W140" s="20"/>
      <c r="X140" s="20"/>
      <c r="Y140" s="20"/>
      <c r="Z140" s="20"/>
      <c r="AA140" s="20"/>
      <c r="AB140" s="20"/>
      <c r="AC140" s="20"/>
      <c r="AD140" s="20"/>
    </row>
    <row r="141" spans="1:30" ht="13.5" customHeight="1" x14ac:dyDescent="0.25">
      <c r="A141" s="16"/>
      <c r="B141" s="16"/>
      <c r="C141" s="26" t="str">
        <f>IF(A141="","",IF((COUNTIFS(A:A,A141))&gt;1,"ID重复",""))</f>
        <v/>
      </c>
      <c r="D141" s="29">
        <v>6161</v>
      </c>
      <c r="E141" s="21" t="str">
        <f>INDEX([1]道具配置表!$D:$D,MATCH(D141,[1]道具配置表!$A:$A,0))</f>
        <v>5分钟训练加速</v>
      </c>
      <c r="F141" s="29">
        <f>F129+24</f>
        <v>120</v>
      </c>
      <c r="G141" s="16"/>
      <c r="H141" s="16"/>
      <c r="I141" s="16"/>
      <c r="J141" s="16"/>
      <c r="K141" s="16">
        <v>1</v>
      </c>
      <c r="L141" s="16"/>
      <c r="M141" s="16" t="b">
        <v>1</v>
      </c>
      <c r="N141" s="16"/>
      <c r="V141" s="20"/>
      <c r="W141" s="20"/>
      <c r="X141" s="20"/>
      <c r="Y141" s="20"/>
      <c r="Z141" s="20"/>
      <c r="AA141" s="20"/>
      <c r="AB141" s="20"/>
      <c r="AC141" s="20"/>
      <c r="AD141" s="20"/>
    </row>
    <row r="142" spans="1:30" ht="13.5" customHeight="1" x14ac:dyDescent="0.25">
      <c r="A142" s="16">
        <f>A140+1</f>
        <v>6601032</v>
      </c>
      <c r="B142" s="16" t="str">
        <f>INT(RIGHT(A142,3)/10)&amp;"级城杀敌排名奖励第"&amp;2&amp;"名"</f>
        <v>3级城杀敌排名奖励第2名</v>
      </c>
      <c r="C142" s="26" t="str">
        <f>IF(A142="","",IF((COUNTIFS(A:A,A142))&gt;1,"ID重复",""))</f>
        <v/>
      </c>
      <c r="D142" s="29">
        <v>502</v>
      </c>
      <c r="E142" s="21" t="str">
        <f>INDEX([1]道具配置表!$D:$D,MATCH(D142,[1]道具配置表!$A:$A,0))</f>
        <v>1万资源自选宝箱</v>
      </c>
      <c r="F142" s="29">
        <f>F130+20</f>
        <v>100</v>
      </c>
      <c r="G142" s="16"/>
      <c r="H142" s="16"/>
      <c r="I142" s="16"/>
      <c r="J142" s="16"/>
      <c r="K142" s="16">
        <v>1</v>
      </c>
      <c r="L142" s="16"/>
      <c r="M142" s="16" t="b">
        <v>1</v>
      </c>
      <c r="N142" s="16"/>
      <c r="V142" s="20"/>
      <c r="W142" s="20"/>
      <c r="X142" s="20"/>
      <c r="Y142" s="20"/>
      <c r="Z142" s="20"/>
      <c r="AA142" s="20"/>
      <c r="AB142" s="20"/>
      <c r="AC142" s="20"/>
      <c r="AD142" s="20"/>
    </row>
    <row r="143" spans="1:30" ht="13.5" customHeight="1" x14ac:dyDescent="0.25">
      <c r="A143" s="16"/>
      <c r="B143" s="16"/>
      <c r="C143" s="26" t="str">
        <f>IF(A143="","",IF((COUNTIFS(A:A,A143))&gt;1,"ID重复",""))</f>
        <v/>
      </c>
      <c r="D143" s="29">
        <v>6161</v>
      </c>
      <c r="E143" s="21" t="str">
        <f>INDEX([1]道具配置表!$D:$D,MATCH(D143,[1]道具配置表!$A:$A,0))</f>
        <v>5分钟训练加速</v>
      </c>
      <c r="F143" s="29">
        <f>F131+20</f>
        <v>100</v>
      </c>
      <c r="G143" s="16"/>
      <c r="H143" s="16"/>
      <c r="I143" s="16"/>
      <c r="J143" s="16"/>
      <c r="K143" s="16">
        <v>1</v>
      </c>
      <c r="L143" s="16"/>
      <c r="M143" s="16" t="b">
        <v>1</v>
      </c>
      <c r="N143" s="16"/>
      <c r="V143" s="20"/>
      <c r="W143" s="20"/>
      <c r="X143" s="20"/>
      <c r="Y143" s="20"/>
      <c r="Z143" s="20"/>
      <c r="AA143" s="20"/>
      <c r="AB143" s="20"/>
      <c r="AC143" s="20"/>
      <c r="AD143" s="20"/>
    </row>
    <row r="144" spans="1:30" ht="13.5" customHeight="1" x14ac:dyDescent="0.25">
      <c r="A144" s="16">
        <f>A142+1</f>
        <v>6601033</v>
      </c>
      <c r="B144" s="16" t="str">
        <f>INT(RIGHT(A144,3)/10)&amp;"级城杀敌排名奖励第"&amp;3&amp;"名"</f>
        <v>3级城杀敌排名奖励第3名</v>
      </c>
      <c r="C144" s="26" t="str">
        <f>IF(A144="","",IF((COUNTIFS(A:A,A144))&gt;1,"ID重复",""))</f>
        <v/>
      </c>
      <c r="D144" s="29">
        <v>502</v>
      </c>
      <c r="E144" s="21" t="str">
        <f>INDEX([1]道具配置表!$D:$D,MATCH(D144,[1]道具配置表!$A:$A,0))</f>
        <v>1万资源自选宝箱</v>
      </c>
      <c r="F144" s="29">
        <f>F132+16</f>
        <v>80</v>
      </c>
      <c r="G144" s="16"/>
      <c r="H144" s="16"/>
      <c r="I144" s="16"/>
      <c r="J144" s="16"/>
      <c r="K144" s="16">
        <v>1</v>
      </c>
      <c r="L144" s="16"/>
      <c r="M144" s="16" t="b">
        <v>1</v>
      </c>
      <c r="N144" s="16"/>
      <c r="V144" s="20"/>
      <c r="W144" s="20"/>
      <c r="X144" s="20"/>
      <c r="Y144" s="20"/>
      <c r="Z144" s="20"/>
      <c r="AA144" s="20"/>
      <c r="AB144" s="20"/>
      <c r="AC144" s="20"/>
      <c r="AD144" s="20"/>
    </row>
    <row r="145" spans="1:30" ht="13.5" customHeight="1" x14ac:dyDescent="0.25">
      <c r="A145" s="16"/>
      <c r="B145" s="16"/>
      <c r="C145" s="26" t="str">
        <f>IF(A145="","",IF((COUNTIFS(A:A,A145))&gt;1,"ID重复",""))</f>
        <v/>
      </c>
      <c r="D145" s="29">
        <v>6161</v>
      </c>
      <c r="E145" s="21" t="str">
        <f>INDEX([1]道具配置表!$D:$D,MATCH(D145,[1]道具配置表!$A:$A,0))</f>
        <v>5分钟训练加速</v>
      </c>
      <c r="F145" s="29">
        <f>F133+16</f>
        <v>80</v>
      </c>
      <c r="G145" s="16"/>
      <c r="H145" s="16"/>
      <c r="I145" s="16"/>
      <c r="J145" s="16"/>
      <c r="K145" s="16">
        <v>1</v>
      </c>
      <c r="L145" s="16"/>
      <c r="M145" s="16" t="b">
        <v>1</v>
      </c>
      <c r="N145" s="16"/>
      <c r="V145" s="20"/>
      <c r="W145" s="20"/>
      <c r="X145" s="20"/>
      <c r="Y145" s="20"/>
      <c r="Z145" s="20"/>
      <c r="AA145" s="20"/>
      <c r="AB145" s="20"/>
      <c r="AC145" s="20"/>
      <c r="AD145" s="20"/>
    </row>
    <row r="146" spans="1:30" ht="13.5" customHeight="1" x14ac:dyDescent="0.25">
      <c r="A146" s="16">
        <f>A144+1</f>
        <v>6601034</v>
      </c>
      <c r="B146" s="16" t="str">
        <f>INT(RIGHT(A146,3)/10)&amp;"级城杀敌排名奖励第"&amp;"4-10"&amp;"名"</f>
        <v>3级城杀敌排名奖励第4-10名</v>
      </c>
      <c r="C146" s="26" t="str">
        <f>IF(A146="","",IF((COUNTIFS(A:A,A146))&gt;1,"ID重复",""))</f>
        <v/>
      </c>
      <c r="D146" s="29">
        <v>502</v>
      </c>
      <c r="E146" s="21" t="str">
        <f>INDEX([1]道具配置表!$D:$D,MATCH(D146,[1]道具配置表!$A:$A,0))</f>
        <v>1万资源自选宝箱</v>
      </c>
      <c r="F146" s="29">
        <f>F134+12</f>
        <v>60</v>
      </c>
      <c r="G146" s="16"/>
      <c r="H146" s="16"/>
      <c r="I146" s="16"/>
      <c r="J146" s="16"/>
      <c r="K146" s="16">
        <v>1</v>
      </c>
      <c r="L146" s="16"/>
      <c r="M146" s="16" t="b">
        <v>1</v>
      </c>
      <c r="N146" s="16"/>
      <c r="V146" s="20"/>
      <c r="W146" s="20"/>
      <c r="X146" s="20"/>
      <c r="Y146" s="20"/>
      <c r="Z146" s="20"/>
      <c r="AA146" s="20"/>
      <c r="AB146" s="20"/>
      <c r="AC146" s="20"/>
      <c r="AD146" s="20"/>
    </row>
    <row r="147" spans="1:30" ht="13.5" customHeight="1" x14ac:dyDescent="0.25">
      <c r="A147" s="16"/>
      <c r="B147" s="16"/>
      <c r="C147" s="26" t="str">
        <f>IF(A147="","",IF((COUNTIFS(A:A,A147))&gt;1,"ID重复",""))</f>
        <v/>
      </c>
      <c r="D147" s="29">
        <v>6161</v>
      </c>
      <c r="E147" s="21" t="str">
        <f>INDEX([1]道具配置表!$D:$D,MATCH(D147,[1]道具配置表!$A:$A,0))</f>
        <v>5分钟训练加速</v>
      </c>
      <c r="F147" s="29">
        <f>F135+12</f>
        <v>60</v>
      </c>
      <c r="G147" s="16"/>
      <c r="H147" s="16"/>
      <c r="I147" s="16"/>
      <c r="J147" s="16"/>
      <c r="K147" s="16">
        <v>1</v>
      </c>
      <c r="L147" s="16"/>
      <c r="M147" s="16" t="b">
        <v>1</v>
      </c>
      <c r="N147" s="16"/>
      <c r="V147" s="20"/>
      <c r="W147" s="20"/>
      <c r="X147" s="20"/>
      <c r="Y147" s="20"/>
      <c r="Z147" s="20"/>
      <c r="AA147" s="20"/>
      <c r="AB147" s="20"/>
      <c r="AC147" s="20"/>
      <c r="AD147" s="20"/>
    </row>
    <row r="148" spans="1:30" ht="13.5" customHeight="1" x14ac:dyDescent="0.25">
      <c r="A148" s="16">
        <f>A146+1</f>
        <v>6601035</v>
      </c>
      <c r="B148" s="16" t="str">
        <f>INT(RIGHT(A148,3)/10)&amp;"级城杀敌排名奖励第"&amp;"11-20"&amp;"名"</f>
        <v>3级城杀敌排名奖励第11-20名</v>
      </c>
      <c r="C148" s="26" t="str">
        <f>IF(A148="","",IF((COUNTIFS(A:A,A148))&gt;1,"ID重复",""))</f>
        <v/>
      </c>
      <c r="D148" s="29">
        <v>502</v>
      </c>
      <c r="E148" s="21" t="str">
        <f>INDEX([1]道具配置表!$D:$D,MATCH(D148,[1]道具配置表!$A:$A,0))</f>
        <v>1万资源自选宝箱</v>
      </c>
      <c r="F148" s="29">
        <f>F136+10</f>
        <v>50</v>
      </c>
      <c r="G148" s="16"/>
      <c r="H148" s="16"/>
      <c r="I148" s="16"/>
      <c r="J148" s="16"/>
      <c r="K148" s="16">
        <v>1</v>
      </c>
      <c r="L148" s="16"/>
      <c r="M148" s="16" t="b">
        <v>1</v>
      </c>
      <c r="N148" s="16"/>
      <c r="V148" s="20"/>
      <c r="W148" s="20"/>
      <c r="X148" s="20"/>
      <c r="Y148" s="20"/>
      <c r="Z148" s="20"/>
      <c r="AA148" s="20"/>
      <c r="AB148" s="20"/>
      <c r="AC148" s="20"/>
      <c r="AD148" s="20"/>
    </row>
    <row r="149" spans="1:30" ht="13.5" customHeight="1" x14ac:dyDescent="0.25">
      <c r="A149" s="16"/>
      <c r="B149" s="16"/>
      <c r="C149" s="26" t="str">
        <f>IF(A149="","",IF((COUNTIFS(A:A,A149))&gt;1,"ID重复",""))</f>
        <v/>
      </c>
      <c r="D149" s="29">
        <v>6161</v>
      </c>
      <c r="E149" s="21" t="str">
        <f>INDEX([1]道具配置表!$D:$D,MATCH(D149,[1]道具配置表!$A:$A,0))</f>
        <v>5分钟训练加速</v>
      </c>
      <c r="F149" s="29">
        <f>F137+10</f>
        <v>50</v>
      </c>
      <c r="G149" s="16"/>
      <c r="H149" s="16"/>
      <c r="I149" s="16"/>
      <c r="J149" s="16"/>
      <c r="K149" s="16">
        <v>1</v>
      </c>
      <c r="L149" s="16"/>
      <c r="M149" s="16" t="b">
        <v>1</v>
      </c>
      <c r="N149" s="16"/>
      <c r="V149" s="20"/>
      <c r="W149" s="20"/>
      <c r="X149" s="20"/>
      <c r="Y149" s="20"/>
      <c r="Z149" s="20"/>
      <c r="AA149" s="20"/>
      <c r="AB149" s="20"/>
      <c r="AC149" s="20"/>
      <c r="AD149" s="20"/>
    </row>
    <row r="150" spans="1:30" ht="13.5" customHeight="1" x14ac:dyDescent="0.25">
      <c r="A150" s="16">
        <f>A148+1</f>
        <v>6601036</v>
      </c>
      <c r="B150" s="16" t="str">
        <f>INT(RIGHT(A150,3)/10)&amp;"级城杀敌排名奖励第"&amp;"21-30"&amp;"名"</f>
        <v>3级城杀敌排名奖励第21-30名</v>
      </c>
      <c r="C150" s="26" t="str">
        <f>IF(A150="","",IF((COUNTIFS(A:A,A150))&gt;1,"ID重复",""))</f>
        <v/>
      </c>
      <c r="D150" s="29">
        <v>502</v>
      </c>
      <c r="E150" s="21" t="str">
        <f>INDEX([1]道具配置表!$D:$D,MATCH(D150,[1]道具配置表!$A:$A,0))</f>
        <v>1万资源自选宝箱</v>
      </c>
      <c r="F150" s="29">
        <f>F138+8</f>
        <v>40</v>
      </c>
      <c r="G150" s="16"/>
      <c r="H150" s="16"/>
      <c r="I150" s="16"/>
      <c r="J150" s="16"/>
      <c r="K150" s="16">
        <v>1</v>
      </c>
      <c r="L150" s="16"/>
      <c r="M150" s="16" t="b">
        <v>1</v>
      </c>
      <c r="N150" s="16"/>
      <c r="V150" s="20"/>
      <c r="W150" s="20"/>
      <c r="X150" s="20"/>
      <c r="Y150" s="20"/>
      <c r="Z150" s="20"/>
      <c r="AA150" s="20"/>
      <c r="AB150" s="20"/>
      <c r="AC150" s="20"/>
      <c r="AD150" s="20"/>
    </row>
    <row r="151" spans="1:30" ht="13.5" customHeight="1" x14ac:dyDescent="0.25">
      <c r="A151" s="16"/>
      <c r="B151" s="16"/>
      <c r="C151" s="26" t="str">
        <f>IF(A151="","",IF((COUNTIFS(A:A,A151))&gt;1,"ID重复",""))</f>
        <v/>
      </c>
      <c r="D151" s="29">
        <v>6161</v>
      </c>
      <c r="E151" s="21" t="str">
        <f>INDEX([1]道具配置表!$D:$D,MATCH(D151,[1]道具配置表!$A:$A,0))</f>
        <v>5分钟训练加速</v>
      </c>
      <c r="F151" s="29">
        <f>F139+8</f>
        <v>40</v>
      </c>
      <c r="G151" s="16"/>
      <c r="H151" s="16"/>
      <c r="I151" s="16"/>
      <c r="J151" s="16"/>
      <c r="K151" s="16">
        <v>1</v>
      </c>
      <c r="L151" s="16"/>
      <c r="M151" s="16" t="b">
        <v>1</v>
      </c>
      <c r="N151" s="16"/>
      <c r="V151" s="20"/>
      <c r="W151" s="20"/>
      <c r="X151" s="20"/>
      <c r="Y151" s="20"/>
      <c r="Z151" s="20"/>
      <c r="AA151" s="20"/>
      <c r="AB151" s="20"/>
      <c r="AC151" s="20"/>
      <c r="AD151" s="20"/>
    </row>
    <row r="152" spans="1:30" ht="13.5" customHeight="1" x14ac:dyDescent="0.25">
      <c r="A152" s="16">
        <f>A140+10</f>
        <v>6601041</v>
      </c>
      <c r="B152" s="16" t="str">
        <f>INT(RIGHT(A152,3)/10)&amp;"级城杀敌排名奖励第"&amp;1&amp;"名"</f>
        <v>4级城杀敌排名奖励第1名</v>
      </c>
      <c r="C152" s="26" t="str">
        <f>IF(A152="","",IF((COUNTIFS(A:A,A152))&gt;1,"ID重复",""))</f>
        <v/>
      </c>
      <c r="D152" s="29">
        <v>502</v>
      </c>
      <c r="E152" s="21" t="str">
        <f>INDEX([1]道具配置表!$D:$D,MATCH(D152,[1]道具配置表!$A:$A,0))</f>
        <v>1万资源自选宝箱</v>
      </c>
      <c r="F152" s="29">
        <f>F140+24</f>
        <v>144</v>
      </c>
      <c r="G152" s="16"/>
      <c r="H152" s="16"/>
      <c r="I152" s="16"/>
      <c r="J152" s="16"/>
      <c r="K152" s="16">
        <v>1</v>
      </c>
      <c r="L152" s="16"/>
      <c r="M152" s="16" t="b">
        <v>1</v>
      </c>
      <c r="N152" s="16"/>
      <c r="V152" s="20"/>
      <c r="W152" s="20"/>
      <c r="X152" s="20"/>
      <c r="Y152" s="20"/>
      <c r="Z152" s="20"/>
      <c r="AA152" s="20"/>
      <c r="AB152" s="20"/>
      <c r="AC152" s="20"/>
      <c r="AD152" s="20"/>
    </row>
    <row r="153" spans="1:30" ht="13.5" customHeight="1" x14ac:dyDescent="0.25">
      <c r="A153" s="16"/>
      <c r="B153" s="16"/>
      <c r="C153" s="26" t="str">
        <f>IF(A153="","",IF((COUNTIFS(A:A,A153))&gt;1,"ID重复",""))</f>
        <v/>
      </c>
      <c r="D153" s="29">
        <v>6161</v>
      </c>
      <c r="E153" s="21" t="str">
        <f>INDEX([1]道具配置表!$D:$D,MATCH(D153,[1]道具配置表!$A:$A,0))</f>
        <v>5分钟训练加速</v>
      </c>
      <c r="F153" s="29">
        <f>F141+24</f>
        <v>144</v>
      </c>
      <c r="G153" s="16"/>
      <c r="H153" s="16"/>
      <c r="I153" s="16"/>
      <c r="J153" s="16"/>
      <c r="K153" s="16">
        <v>1</v>
      </c>
      <c r="L153" s="16"/>
      <c r="M153" s="16" t="b">
        <v>1</v>
      </c>
      <c r="N153" s="16"/>
      <c r="V153" s="20"/>
      <c r="W153" s="20"/>
      <c r="X153" s="20"/>
      <c r="Y153" s="20"/>
      <c r="Z153" s="20"/>
      <c r="AA153" s="20"/>
      <c r="AB153" s="20"/>
      <c r="AC153" s="20"/>
      <c r="AD153" s="20"/>
    </row>
    <row r="154" spans="1:30" ht="13.5" customHeight="1" x14ac:dyDescent="0.25">
      <c r="A154" s="16">
        <f>A152+1</f>
        <v>6601042</v>
      </c>
      <c r="B154" s="16" t="str">
        <f>INT(RIGHT(A154,3)/10)&amp;"级城杀敌排名奖励第"&amp;2&amp;"名"</f>
        <v>4级城杀敌排名奖励第2名</v>
      </c>
      <c r="C154" s="26" t="str">
        <f>IF(A154="","",IF((COUNTIFS(A:A,A154))&gt;1,"ID重复",""))</f>
        <v/>
      </c>
      <c r="D154" s="29">
        <v>502</v>
      </c>
      <c r="E154" s="21" t="str">
        <f>INDEX([1]道具配置表!$D:$D,MATCH(D154,[1]道具配置表!$A:$A,0))</f>
        <v>1万资源自选宝箱</v>
      </c>
      <c r="F154" s="29">
        <f>F142+20</f>
        <v>120</v>
      </c>
      <c r="G154" s="16"/>
      <c r="H154" s="16"/>
      <c r="I154" s="16"/>
      <c r="J154" s="16"/>
      <c r="K154" s="16">
        <v>1</v>
      </c>
      <c r="L154" s="16"/>
      <c r="M154" s="16" t="b">
        <v>1</v>
      </c>
      <c r="N154" s="16"/>
      <c r="V154" s="20"/>
      <c r="W154" s="20"/>
      <c r="X154" s="20"/>
      <c r="Y154" s="20"/>
      <c r="Z154" s="20"/>
      <c r="AA154" s="20"/>
      <c r="AB154" s="20"/>
      <c r="AC154" s="20"/>
      <c r="AD154" s="20"/>
    </row>
    <row r="155" spans="1:30" ht="13.5" customHeight="1" x14ac:dyDescent="0.25">
      <c r="A155" s="16"/>
      <c r="B155" s="16"/>
      <c r="C155" s="26" t="str">
        <f>IF(A155="","",IF((COUNTIFS(A:A,A155))&gt;1,"ID重复",""))</f>
        <v/>
      </c>
      <c r="D155" s="29">
        <v>6161</v>
      </c>
      <c r="E155" s="21" t="str">
        <f>INDEX([1]道具配置表!$D:$D,MATCH(D155,[1]道具配置表!$A:$A,0))</f>
        <v>5分钟训练加速</v>
      </c>
      <c r="F155" s="29">
        <f>F143+20</f>
        <v>120</v>
      </c>
      <c r="G155" s="16"/>
      <c r="H155" s="16"/>
      <c r="I155" s="16"/>
      <c r="J155" s="16"/>
      <c r="K155" s="16">
        <v>1</v>
      </c>
      <c r="L155" s="16"/>
      <c r="M155" s="16" t="b">
        <v>1</v>
      </c>
      <c r="N155" s="16"/>
      <c r="V155" s="20"/>
      <c r="W155" s="20"/>
      <c r="X155" s="20"/>
      <c r="Y155" s="20"/>
      <c r="Z155" s="20"/>
      <c r="AA155" s="20"/>
      <c r="AB155" s="20"/>
      <c r="AC155" s="20"/>
      <c r="AD155" s="20"/>
    </row>
    <row r="156" spans="1:30" ht="13.5" customHeight="1" x14ac:dyDescent="0.25">
      <c r="A156" s="16">
        <f>A154+1</f>
        <v>6601043</v>
      </c>
      <c r="B156" s="16" t="str">
        <f>INT(RIGHT(A156,3)/10)&amp;"级城杀敌排名奖励第"&amp;3&amp;"名"</f>
        <v>4级城杀敌排名奖励第3名</v>
      </c>
      <c r="C156" s="26" t="str">
        <f>IF(A156="","",IF((COUNTIFS(A:A,A156))&gt;1,"ID重复",""))</f>
        <v/>
      </c>
      <c r="D156" s="29">
        <v>502</v>
      </c>
      <c r="E156" s="21" t="str">
        <f>INDEX([1]道具配置表!$D:$D,MATCH(D156,[1]道具配置表!$A:$A,0))</f>
        <v>1万资源自选宝箱</v>
      </c>
      <c r="F156" s="29">
        <f>F144+16</f>
        <v>96</v>
      </c>
      <c r="G156" s="16"/>
      <c r="H156" s="16"/>
      <c r="I156" s="16"/>
      <c r="J156" s="16"/>
      <c r="K156" s="16">
        <v>1</v>
      </c>
      <c r="L156" s="16"/>
      <c r="M156" s="16" t="b">
        <v>1</v>
      </c>
      <c r="N156" s="16"/>
      <c r="V156" s="20"/>
      <c r="W156" s="20"/>
      <c r="X156" s="20"/>
      <c r="Y156" s="20"/>
      <c r="Z156" s="20"/>
      <c r="AA156" s="20"/>
      <c r="AB156" s="20"/>
      <c r="AC156" s="20"/>
      <c r="AD156" s="20"/>
    </row>
    <row r="157" spans="1:30" ht="13.5" customHeight="1" x14ac:dyDescent="0.25">
      <c r="A157" s="16"/>
      <c r="B157" s="16"/>
      <c r="C157" s="26" t="str">
        <f>IF(A157="","",IF((COUNTIFS(A:A,A157))&gt;1,"ID重复",""))</f>
        <v/>
      </c>
      <c r="D157" s="29">
        <v>6161</v>
      </c>
      <c r="E157" s="21" t="str">
        <f>INDEX([1]道具配置表!$D:$D,MATCH(D157,[1]道具配置表!$A:$A,0))</f>
        <v>5分钟训练加速</v>
      </c>
      <c r="F157" s="29">
        <f>F145+16</f>
        <v>96</v>
      </c>
      <c r="G157" s="16"/>
      <c r="H157" s="16"/>
      <c r="I157" s="16"/>
      <c r="J157" s="16"/>
      <c r="K157" s="16">
        <v>1</v>
      </c>
      <c r="L157" s="16"/>
      <c r="M157" s="16" t="b">
        <v>1</v>
      </c>
      <c r="N157" s="16"/>
      <c r="V157" s="20"/>
      <c r="W157" s="20"/>
      <c r="X157" s="20"/>
      <c r="Y157" s="20"/>
      <c r="Z157" s="20"/>
      <c r="AA157" s="20"/>
      <c r="AB157" s="20"/>
      <c r="AC157" s="20"/>
      <c r="AD157" s="20"/>
    </row>
    <row r="158" spans="1:30" ht="13.5" customHeight="1" x14ac:dyDescent="0.25">
      <c r="A158" s="16">
        <f>A156+1</f>
        <v>6601044</v>
      </c>
      <c r="B158" s="16" t="str">
        <f>INT(RIGHT(A158,3)/10)&amp;"级城杀敌排名奖励第"&amp;"4-10"&amp;"名"</f>
        <v>4级城杀敌排名奖励第4-10名</v>
      </c>
      <c r="C158" s="26" t="str">
        <f>IF(A158="","",IF((COUNTIFS(A:A,A158))&gt;1,"ID重复",""))</f>
        <v/>
      </c>
      <c r="D158" s="29">
        <v>502</v>
      </c>
      <c r="E158" s="21" t="str">
        <f>INDEX([1]道具配置表!$D:$D,MATCH(D158,[1]道具配置表!$A:$A,0))</f>
        <v>1万资源自选宝箱</v>
      </c>
      <c r="F158" s="29">
        <f>F146+12</f>
        <v>72</v>
      </c>
      <c r="G158" s="16"/>
      <c r="H158" s="16"/>
      <c r="I158" s="16"/>
      <c r="J158" s="16"/>
      <c r="K158" s="16">
        <v>1</v>
      </c>
      <c r="L158" s="16"/>
      <c r="M158" s="16" t="b">
        <v>1</v>
      </c>
      <c r="N158" s="16"/>
      <c r="V158" s="20"/>
      <c r="W158" s="20"/>
      <c r="X158" s="20"/>
      <c r="Y158" s="20"/>
      <c r="Z158" s="20"/>
      <c r="AA158" s="20"/>
      <c r="AB158" s="20"/>
      <c r="AC158" s="20"/>
      <c r="AD158" s="20"/>
    </row>
    <row r="159" spans="1:30" ht="13.5" customHeight="1" x14ac:dyDescent="0.25">
      <c r="A159" s="16"/>
      <c r="B159" s="16"/>
      <c r="C159" s="26" t="str">
        <f>IF(A159="","",IF((COUNTIFS(A:A,A159))&gt;1,"ID重复",""))</f>
        <v/>
      </c>
      <c r="D159" s="29">
        <v>6161</v>
      </c>
      <c r="E159" s="21" t="str">
        <f>INDEX([1]道具配置表!$D:$D,MATCH(D159,[1]道具配置表!$A:$A,0))</f>
        <v>5分钟训练加速</v>
      </c>
      <c r="F159" s="29">
        <f>F147+12</f>
        <v>72</v>
      </c>
      <c r="G159" s="16"/>
      <c r="H159" s="16"/>
      <c r="I159" s="16"/>
      <c r="J159" s="16"/>
      <c r="K159" s="16">
        <v>1</v>
      </c>
      <c r="L159" s="16"/>
      <c r="M159" s="16" t="b">
        <v>1</v>
      </c>
      <c r="N159" s="16"/>
      <c r="V159" s="20"/>
      <c r="W159" s="20"/>
      <c r="X159" s="20"/>
      <c r="Y159" s="20"/>
      <c r="Z159" s="20"/>
      <c r="AA159" s="20"/>
      <c r="AB159" s="20"/>
      <c r="AC159" s="20"/>
      <c r="AD159" s="20"/>
    </row>
    <row r="160" spans="1:30" ht="13.5" customHeight="1" x14ac:dyDescent="0.25">
      <c r="A160" s="16">
        <f>A158+1</f>
        <v>6601045</v>
      </c>
      <c r="B160" s="16" t="str">
        <f>INT(RIGHT(A160,3)/10)&amp;"级城杀敌排名奖励第"&amp;"11-20"&amp;"名"</f>
        <v>4级城杀敌排名奖励第11-20名</v>
      </c>
      <c r="C160" s="26" t="str">
        <f>IF(A160="","",IF((COUNTIFS(A:A,A160))&gt;1,"ID重复",""))</f>
        <v/>
      </c>
      <c r="D160" s="29">
        <v>502</v>
      </c>
      <c r="E160" s="21" t="str">
        <f>INDEX([1]道具配置表!$D:$D,MATCH(D160,[1]道具配置表!$A:$A,0))</f>
        <v>1万资源自选宝箱</v>
      </c>
      <c r="F160" s="29">
        <f>F148+10</f>
        <v>60</v>
      </c>
      <c r="G160" s="16"/>
      <c r="H160" s="16"/>
      <c r="I160" s="16"/>
      <c r="J160" s="16"/>
      <c r="K160" s="16">
        <v>1</v>
      </c>
      <c r="L160" s="16"/>
      <c r="M160" s="16" t="b">
        <v>1</v>
      </c>
      <c r="N160" s="16"/>
      <c r="V160" s="20"/>
      <c r="W160" s="20"/>
      <c r="X160" s="20"/>
      <c r="Y160" s="20"/>
      <c r="Z160" s="20"/>
      <c r="AA160" s="20"/>
      <c r="AB160" s="20"/>
      <c r="AC160" s="20"/>
      <c r="AD160" s="20"/>
    </row>
    <row r="161" spans="1:30" ht="13.5" customHeight="1" x14ac:dyDescent="0.25">
      <c r="A161" s="16"/>
      <c r="B161" s="16"/>
      <c r="C161" s="26" t="str">
        <f>IF(A161="","",IF((COUNTIFS(A:A,A161))&gt;1,"ID重复",""))</f>
        <v/>
      </c>
      <c r="D161" s="29">
        <v>6161</v>
      </c>
      <c r="E161" s="21" t="str">
        <f>INDEX([1]道具配置表!$D:$D,MATCH(D161,[1]道具配置表!$A:$A,0))</f>
        <v>5分钟训练加速</v>
      </c>
      <c r="F161" s="29">
        <f>F149+10</f>
        <v>60</v>
      </c>
      <c r="G161" s="16"/>
      <c r="H161" s="16"/>
      <c r="I161" s="16"/>
      <c r="J161" s="16"/>
      <c r="K161" s="16">
        <v>1</v>
      </c>
      <c r="L161" s="16"/>
      <c r="M161" s="16" t="b">
        <v>1</v>
      </c>
      <c r="N161" s="16"/>
      <c r="V161" s="20"/>
      <c r="W161" s="20"/>
      <c r="X161" s="20"/>
      <c r="Y161" s="20"/>
      <c r="Z161" s="20"/>
      <c r="AA161" s="20"/>
      <c r="AB161" s="20"/>
      <c r="AC161" s="20"/>
      <c r="AD161" s="20"/>
    </row>
    <row r="162" spans="1:30" ht="13.5" customHeight="1" x14ac:dyDescent="0.25">
      <c r="A162" s="16">
        <f>A160+1</f>
        <v>6601046</v>
      </c>
      <c r="B162" s="16" t="str">
        <f>INT(RIGHT(A162,3)/10)&amp;"级城杀敌排名奖励第"&amp;"21-30"&amp;"名"</f>
        <v>4级城杀敌排名奖励第21-30名</v>
      </c>
      <c r="C162" s="26" t="str">
        <f>IF(A162="","",IF((COUNTIFS(A:A,A162))&gt;1,"ID重复",""))</f>
        <v/>
      </c>
      <c r="D162" s="29">
        <v>502</v>
      </c>
      <c r="E162" s="21" t="str">
        <f>INDEX([1]道具配置表!$D:$D,MATCH(D162,[1]道具配置表!$A:$A,0))</f>
        <v>1万资源自选宝箱</v>
      </c>
      <c r="F162" s="29">
        <f>F150+8</f>
        <v>48</v>
      </c>
      <c r="G162" s="16"/>
      <c r="H162" s="16"/>
      <c r="I162" s="16"/>
      <c r="J162" s="16"/>
      <c r="K162" s="16">
        <v>1</v>
      </c>
      <c r="L162" s="16"/>
      <c r="M162" s="16" t="b">
        <v>1</v>
      </c>
      <c r="N162" s="16"/>
      <c r="V162" s="20"/>
      <c r="W162" s="20"/>
      <c r="X162" s="20"/>
      <c r="Y162" s="20"/>
      <c r="Z162" s="20"/>
      <c r="AA162" s="20"/>
      <c r="AB162" s="20"/>
      <c r="AC162" s="20"/>
      <c r="AD162" s="20"/>
    </row>
    <row r="163" spans="1:30" ht="13.5" customHeight="1" x14ac:dyDescent="0.25">
      <c r="A163" s="16"/>
      <c r="B163" s="16"/>
      <c r="C163" s="26" t="str">
        <f>IF(A163="","",IF((COUNTIFS(A:A,A163))&gt;1,"ID重复",""))</f>
        <v/>
      </c>
      <c r="D163" s="29">
        <v>6161</v>
      </c>
      <c r="E163" s="21" t="str">
        <f>INDEX([1]道具配置表!$D:$D,MATCH(D163,[1]道具配置表!$A:$A,0))</f>
        <v>5分钟训练加速</v>
      </c>
      <c r="F163" s="29">
        <f>F151+8</f>
        <v>48</v>
      </c>
      <c r="G163" s="16"/>
      <c r="H163" s="16"/>
      <c r="I163" s="16"/>
      <c r="J163" s="16"/>
      <c r="K163" s="16">
        <v>1</v>
      </c>
      <c r="L163" s="16"/>
      <c r="M163" s="16" t="b">
        <v>1</v>
      </c>
      <c r="N163" s="16"/>
      <c r="V163" s="20"/>
      <c r="W163" s="20"/>
      <c r="X163" s="20"/>
      <c r="Y163" s="20"/>
      <c r="Z163" s="20"/>
      <c r="AA163" s="20"/>
      <c r="AB163" s="20"/>
      <c r="AC163" s="20"/>
      <c r="AD163" s="20"/>
    </row>
    <row r="164" spans="1:30" ht="13.5" customHeight="1" x14ac:dyDescent="0.25">
      <c r="A164" s="16">
        <f>A152+10</f>
        <v>6601051</v>
      </c>
      <c r="B164" s="16" t="str">
        <f>INT(RIGHT(A164,3)/10)&amp;"级城杀敌排名奖励第"&amp;1&amp;"名"</f>
        <v>5级城杀敌排名奖励第1名</v>
      </c>
      <c r="C164" s="26" t="str">
        <f>IF(A164="","",IF((COUNTIFS(A:A,A164))&gt;1,"ID重复",""))</f>
        <v/>
      </c>
      <c r="D164" s="29">
        <v>502</v>
      </c>
      <c r="E164" s="21" t="str">
        <f>INDEX([1]道具配置表!$D:$D,MATCH(D164,[1]道具配置表!$A:$A,0))</f>
        <v>1万资源自选宝箱</v>
      </c>
      <c r="F164" s="29">
        <f>F152+24</f>
        <v>168</v>
      </c>
      <c r="G164" s="16"/>
      <c r="H164" s="16"/>
      <c r="I164" s="16"/>
      <c r="J164" s="16"/>
      <c r="K164" s="16">
        <v>1</v>
      </c>
      <c r="L164" s="16"/>
      <c r="M164" s="16" t="b">
        <v>1</v>
      </c>
      <c r="N164" s="16"/>
      <c r="V164" s="20"/>
      <c r="W164" s="20"/>
      <c r="X164" s="20"/>
      <c r="Y164" s="20"/>
      <c r="Z164" s="20"/>
      <c r="AA164" s="20"/>
      <c r="AB164" s="20"/>
      <c r="AC164" s="20"/>
      <c r="AD164" s="20"/>
    </row>
    <row r="165" spans="1:30" ht="13.5" customHeight="1" x14ac:dyDescent="0.25">
      <c r="A165" s="16"/>
      <c r="B165" s="16"/>
      <c r="C165" s="26" t="str">
        <f>IF(A165="","",IF((COUNTIFS(A:A,A165))&gt;1,"ID重复",""))</f>
        <v/>
      </c>
      <c r="D165" s="29">
        <v>6161</v>
      </c>
      <c r="E165" s="21" t="str">
        <f>INDEX([1]道具配置表!$D:$D,MATCH(D165,[1]道具配置表!$A:$A,0))</f>
        <v>5分钟训练加速</v>
      </c>
      <c r="F165" s="29">
        <f>F153+24</f>
        <v>168</v>
      </c>
      <c r="G165" s="16"/>
      <c r="H165" s="16"/>
      <c r="I165" s="16"/>
      <c r="J165" s="16"/>
      <c r="K165" s="16">
        <v>1</v>
      </c>
      <c r="L165" s="16"/>
      <c r="M165" s="16" t="b">
        <v>1</v>
      </c>
      <c r="N165" s="16"/>
      <c r="V165" s="20"/>
      <c r="W165" s="20"/>
      <c r="X165" s="20"/>
      <c r="Y165" s="20"/>
      <c r="Z165" s="20"/>
      <c r="AA165" s="20"/>
      <c r="AB165" s="20"/>
      <c r="AC165" s="20"/>
      <c r="AD165" s="20"/>
    </row>
    <row r="166" spans="1:30" ht="13.5" customHeight="1" x14ac:dyDescent="0.25">
      <c r="A166" s="16">
        <f>A164+1</f>
        <v>6601052</v>
      </c>
      <c r="B166" s="16" t="str">
        <f>INT(RIGHT(A166,3)/10)&amp;"级城杀敌排名奖励第"&amp;2&amp;"名"</f>
        <v>5级城杀敌排名奖励第2名</v>
      </c>
      <c r="C166" s="26" t="str">
        <f>IF(A166="","",IF((COUNTIFS(A:A,A166))&gt;1,"ID重复",""))</f>
        <v/>
      </c>
      <c r="D166" s="29">
        <v>502</v>
      </c>
      <c r="E166" s="21" t="str">
        <f>INDEX([1]道具配置表!$D:$D,MATCH(D166,[1]道具配置表!$A:$A,0))</f>
        <v>1万资源自选宝箱</v>
      </c>
      <c r="F166" s="29">
        <f>F154+20</f>
        <v>140</v>
      </c>
      <c r="G166" s="16"/>
      <c r="H166" s="16"/>
      <c r="I166" s="16"/>
      <c r="J166" s="16"/>
      <c r="K166" s="16">
        <v>1</v>
      </c>
      <c r="L166" s="16"/>
      <c r="M166" s="16" t="b">
        <v>1</v>
      </c>
      <c r="N166" s="16"/>
      <c r="V166" s="20"/>
      <c r="W166" s="20"/>
      <c r="X166" s="20"/>
      <c r="Y166" s="20"/>
      <c r="Z166" s="20"/>
      <c r="AA166" s="20"/>
      <c r="AB166" s="20"/>
      <c r="AC166" s="20"/>
      <c r="AD166" s="20"/>
    </row>
    <row r="167" spans="1:30" ht="13.5" customHeight="1" x14ac:dyDescent="0.25">
      <c r="A167" s="16"/>
      <c r="B167" s="16"/>
      <c r="C167" s="26" t="str">
        <f>IF(A167="","",IF((COUNTIFS(A:A,A167))&gt;1,"ID重复",""))</f>
        <v/>
      </c>
      <c r="D167" s="29">
        <v>6161</v>
      </c>
      <c r="E167" s="21" t="str">
        <f>INDEX([1]道具配置表!$D:$D,MATCH(D167,[1]道具配置表!$A:$A,0))</f>
        <v>5分钟训练加速</v>
      </c>
      <c r="F167" s="29">
        <f>F155+20</f>
        <v>140</v>
      </c>
      <c r="G167" s="16"/>
      <c r="H167" s="16"/>
      <c r="I167" s="16"/>
      <c r="J167" s="16"/>
      <c r="K167" s="16">
        <v>1</v>
      </c>
      <c r="L167" s="16"/>
      <c r="M167" s="16" t="b">
        <v>1</v>
      </c>
      <c r="N167" s="16"/>
      <c r="V167" s="20"/>
      <c r="W167" s="20"/>
      <c r="X167" s="20"/>
      <c r="Y167" s="20"/>
      <c r="Z167" s="20"/>
      <c r="AA167" s="20"/>
      <c r="AB167" s="20"/>
      <c r="AC167" s="20"/>
      <c r="AD167" s="20"/>
    </row>
    <row r="168" spans="1:30" ht="13.5" customHeight="1" x14ac:dyDescent="0.25">
      <c r="A168" s="16">
        <f>A166+1</f>
        <v>6601053</v>
      </c>
      <c r="B168" s="16" t="str">
        <f>INT(RIGHT(A168,3)/10)&amp;"级城杀敌排名奖励第"&amp;3&amp;"名"</f>
        <v>5级城杀敌排名奖励第3名</v>
      </c>
      <c r="C168" s="26" t="str">
        <f>IF(A168="","",IF((COUNTIFS(A:A,A168))&gt;1,"ID重复",""))</f>
        <v/>
      </c>
      <c r="D168" s="29">
        <v>502</v>
      </c>
      <c r="E168" s="21" t="str">
        <f>INDEX([1]道具配置表!$D:$D,MATCH(D168,[1]道具配置表!$A:$A,0))</f>
        <v>1万资源自选宝箱</v>
      </c>
      <c r="F168" s="29">
        <f>F156+16</f>
        <v>112</v>
      </c>
      <c r="G168" s="16"/>
      <c r="H168" s="16"/>
      <c r="I168" s="16"/>
      <c r="J168" s="16"/>
      <c r="K168" s="16">
        <v>1</v>
      </c>
      <c r="L168" s="16"/>
      <c r="M168" s="16" t="b">
        <v>1</v>
      </c>
      <c r="N168" s="16"/>
      <c r="V168" s="20"/>
      <c r="W168" s="20"/>
      <c r="X168" s="20"/>
      <c r="Y168" s="20"/>
      <c r="Z168" s="20"/>
      <c r="AA168" s="20"/>
      <c r="AB168" s="20"/>
      <c r="AC168" s="20"/>
      <c r="AD168" s="20"/>
    </row>
    <row r="169" spans="1:30" ht="13.5" customHeight="1" x14ac:dyDescent="0.25">
      <c r="A169" s="16"/>
      <c r="B169" s="16"/>
      <c r="C169" s="26" t="str">
        <f>IF(A169="","",IF((COUNTIFS(A:A,A169))&gt;1,"ID重复",""))</f>
        <v/>
      </c>
      <c r="D169" s="29">
        <v>6161</v>
      </c>
      <c r="E169" s="21" t="str">
        <f>INDEX([1]道具配置表!$D:$D,MATCH(D169,[1]道具配置表!$A:$A,0))</f>
        <v>5分钟训练加速</v>
      </c>
      <c r="F169" s="29">
        <f>F157+16</f>
        <v>112</v>
      </c>
      <c r="G169" s="16"/>
      <c r="H169" s="16"/>
      <c r="I169" s="16"/>
      <c r="J169" s="16"/>
      <c r="K169" s="16">
        <v>1</v>
      </c>
      <c r="L169" s="16"/>
      <c r="M169" s="16" t="b">
        <v>1</v>
      </c>
      <c r="N169" s="16"/>
      <c r="V169" s="20"/>
      <c r="W169" s="20"/>
      <c r="X169" s="20"/>
      <c r="Y169" s="20"/>
      <c r="Z169" s="20"/>
      <c r="AA169" s="20"/>
      <c r="AB169" s="20"/>
      <c r="AC169" s="20"/>
      <c r="AD169" s="20"/>
    </row>
    <row r="170" spans="1:30" ht="13.5" customHeight="1" x14ac:dyDescent="0.25">
      <c r="A170" s="16">
        <f>A168+1</f>
        <v>6601054</v>
      </c>
      <c r="B170" s="16" t="str">
        <f>INT(RIGHT(A170,3)/10)&amp;"级城杀敌排名奖励第"&amp;"4-10"&amp;"名"</f>
        <v>5级城杀敌排名奖励第4-10名</v>
      </c>
      <c r="C170" s="26" t="str">
        <f>IF(A170="","",IF((COUNTIFS(A:A,A170))&gt;1,"ID重复",""))</f>
        <v/>
      </c>
      <c r="D170" s="29">
        <v>502</v>
      </c>
      <c r="E170" s="21" t="str">
        <f>INDEX([1]道具配置表!$D:$D,MATCH(D170,[1]道具配置表!$A:$A,0))</f>
        <v>1万资源自选宝箱</v>
      </c>
      <c r="F170" s="29">
        <f>F158+12</f>
        <v>84</v>
      </c>
      <c r="G170" s="16"/>
      <c r="H170" s="16"/>
      <c r="I170" s="16"/>
      <c r="J170" s="16"/>
      <c r="K170" s="16">
        <v>1</v>
      </c>
      <c r="L170" s="16"/>
      <c r="M170" s="16" t="b">
        <v>1</v>
      </c>
      <c r="N170" s="16"/>
      <c r="V170" s="20"/>
      <c r="W170" s="20"/>
      <c r="X170" s="20"/>
      <c r="Y170" s="20"/>
      <c r="Z170" s="20"/>
      <c r="AA170" s="20"/>
      <c r="AB170" s="20"/>
      <c r="AC170" s="20"/>
      <c r="AD170" s="20"/>
    </row>
    <row r="171" spans="1:30" ht="13.5" customHeight="1" x14ac:dyDescent="0.25">
      <c r="A171" s="16"/>
      <c r="B171" s="16"/>
      <c r="C171" s="26" t="str">
        <f>IF(A171="","",IF((COUNTIFS(A:A,A171))&gt;1,"ID重复",""))</f>
        <v/>
      </c>
      <c r="D171" s="29">
        <v>6161</v>
      </c>
      <c r="E171" s="21" t="str">
        <f>INDEX([1]道具配置表!$D:$D,MATCH(D171,[1]道具配置表!$A:$A,0))</f>
        <v>5分钟训练加速</v>
      </c>
      <c r="F171" s="29">
        <f>F159+12</f>
        <v>84</v>
      </c>
      <c r="G171" s="16"/>
      <c r="H171" s="16"/>
      <c r="I171" s="16"/>
      <c r="J171" s="16"/>
      <c r="K171" s="16">
        <v>1</v>
      </c>
      <c r="L171" s="16"/>
      <c r="M171" s="16" t="b">
        <v>1</v>
      </c>
      <c r="N171" s="16"/>
      <c r="V171" s="20"/>
      <c r="W171" s="20"/>
      <c r="X171" s="20"/>
      <c r="Y171" s="20"/>
      <c r="Z171" s="20"/>
      <c r="AA171" s="20"/>
      <c r="AB171" s="20"/>
      <c r="AC171" s="20"/>
      <c r="AD171" s="20"/>
    </row>
    <row r="172" spans="1:30" ht="13.5" customHeight="1" x14ac:dyDescent="0.25">
      <c r="A172" s="16">
        <f>A170+1</f>
        <v>6601055</v>
      </c>
      <c r="B172" s="16" t="str">
        <f>INT(RIGHT(A172,3)/10)&amp;"级城杀敌排名奖励第"&amp;"11-20"&amp;"名"</f>
        <v>5级城杀敌排名奖励第11-20名</v>
      </c>
      <c r="C172" s="26" t="str">
        <f>IF(A172="","",IF((COUNTIFS(A:A,A172))&gt;1,"ID重复",""))</f>
        <v/>
      </c>
      <c r="D172" s="29">
        <v>502</v>
      </c>
      <c r="E172" s="21" t="str">
        <f>INDEX([1]道具配置表!$D:$D,MATCH(D172,[1]道具配置表!$A:$A,0))</f>
        <v>1万资源自选宝箱</v>
      </c>
      <c r="F172" s="29">
        <f>F160+10</f>
        <v>70</v>
      </c>
      <c r="G172" s="16"/>
      <c r="H172" s="16"/>
      <c r="I172" s="16"/>
      <c r="J172" s="16"/>
      <c r="K172" s="16">
        <v>1</v>
      </c>
      <c r="L172" s="16"/>
      <c r="M172" s="16" t="b">
        <v>1</v>
      </c>
      <c r="N172" s="16"/>
      <c r="V172" s="20"/>
      <c r="W172" s="20"/>
      <c r="X172" s="20"/>
      <c r="Y172" s="20"/>
      <c r="Z172" s="20"/>
      <c r="AA172" s="20"/>
      <c r="AB172" s="20"/>
      <c r="AC172" s="20"/>
      <c r="AD172" s="20"/>
    </row>
    <row r="173" spans="1:30" ht="13.5" customHeight="1" x14ac:dyDescent="0.25">
      <c r="A173" s="16"/>
      <c r="B173" s="16"/>
      <c r="C173" s="26" t="str">
        <f>IF(A173="","",IF((COUNTIFS(A:A,A173))&gt;1,"ID重复",""))</f>
        <v/>
      </c>
      <c r="D173" s="29">
        <v>6161</v>
      </c>
      <c r="E173" s="21" t="str">
        <f>INDEX([1]道具配置表!$D:$D,MATCH(D173,[1]道具配置表!$A:$A,0))</f>
        <v>5分钟训练加速</v>
      </c>
      <c r="F173" s="29">
        <f>F161+10</f>
        <v>70</v>
      </c>
      <c r="G173" s="16"/>
      <c r="H173" s="16"/>
      <c r="I173" s="16"/>
      <c r="J173" s="16"/>
      <c r="K173" s="16">
        <v>1</v>
      </c>
      <c r="L173" s="16"/>
      <c r="M173" s="16" t="b">
        <v>1</v>
      </c>
      <c r="N173" s="16"/>
      <c r="V173" s="20"/>
      <c r="W173" s="20"/>
      <c r="X173" s="20"/>
      <c r="Y173" s="20"/>
      <c r="Z173" s="20"/>
      <c r="AA173" s="20"/>
      <c r="AB173" s="20"/>
      <c r="AC173" s="20"/>
      <c r="AD173" s="20"/>
    </row>
    <row r="174" spans="1:30" ht="13.5" customHeight="1" x14ac:dyDescent="0.25">
      <c r="A174" s="16">
        <f>A172+1</f>
        <v>6601056</v>
      </c>
      <c r="B174" s="16" t="str">
        <f>INT(RIGHT(A174,3)/10)&amp;"级城杀敌排名奖励第"&amp;"21-30"&amp;"名"</f>
        <v>5级城杀敌排名奖励第21-30名</v>
      </c>
      <c r="C174" s="26" t="str">
        <f>IF(A174="","",IF((COUNTIFS(A:A,A174))&gt;1,"ID重复",""))</f>
        <v/>
      </c>
      <c r="D174" s="29">
        <v>502</v>
      </c>
      <c r="E174" s="21" t="str">
        <f>INDEX([1]道具配置表!$D:$D,MATCH(D174,[1]道具配置表!$A:$A,0))</f>
        <v>1万资源自选宝箱</v>
      </c>
      <c r="F174" s="29">
        <f>F162+8</f>
        <v>56</v>
      </c>
      <c r="G174" s="16"/>
      <c r="H174" s="16"/>
      <c r="I174" s="16"/>
      <c r="J174" s="16"/>
      <c r="K174" s="16">
        <v>1</v>
      </c>
      <c r="L174" s="16"/>
      <c r="M174" s="16" t="b">
        <v>1</v>
      </c>
      <c r="N174" s="16"/>
      <c r="V174" s="20"/>
      <c r="W174" s="20"/>
      <c r="X174" s="20"/>
      <c r="Y174" s="20"/>
      <c r="Z174" s="20"/>
      <c r="AA174" s="20"/>
      <c r="AB174" s="20"/>
      <c r="AC174" s="20"/>
      <c r="AD174" s="20"/>
    </row>
    <row r="175" spans="1:30" ht="13.5" customHeight="1" x14ac:dyDescent="0.25">
      <c r="A175" s="16"/>
      <c r="B175" s="16"/>
      <c r="C175" s="26" t="str">
        <f>IF(A175="","",IF((COUNTIFS(A:A,A175))&gt;1,"ID重复",""))</f>
        <v/>
      </c>
      <c r="D175" s="29">
        <v>6161</v>
      </c>
      <c r="E175" s="21" t="str">
        <f>INDEX([1]道具配置表!$D:$D,MATCH(D175,[1]道具配置表!$A:$A,0))</f>
        <v>5分钟训练加速</v>
      </c>
      <c r="F175" s="29">
        <f>F163+8</f>
        <v>56</v>
      </c>
      <c r="G175" s="16"/>
      <c r="H175" s="16"/>
      <c r="I175" s="16"/>
      <c r="J175" s="16"/>
      <c r="K175" s="16">
        <v>1</v>
      </c>
      <c r="L175" s="16"/>
      <c r="M175" s="16" t="b">
        <v>1</v>
      </c>
      <c r="N175" s="16"/>
      <c r="V175" s="20"/>
      <c r="W175" s="20"/>
      <c r="X175" s="20"/>
      <c r="Y175" s="20"/>
      <c r="Z175" s="20"/>
      <c r="AA175" s="20"/>
      <c r="AB175" s="20"/>
      <c r="AC175" s="20"/>
      <c r="AD175" s="20"/>
    </row>
    <row r="176" spans="1:30" ht="13.5" customHeight="1" x14ac:dyDescent="0.25">
      <c r="A176" s="16">
        <f>A164+10</f>
        <v>6601061</v>
      </c>
      <c r="B176" s="16" t="str">
        <f>INT(RIGHT(A176,3)/10)&amp;"级城杀敌排名奖励第"&amp;1&amp;"名"</f>
        <v>6级城杀敌排名奖励第1名</v>
      </c>
      <c r="C176" s="26" t="str">
        <f>IF(A176="","",IF((COUNTIFS(A:A,A176))&gt;1,"ID重复",""))</f>
        <v/>
      </c>
      <c r="D176" s="29">
        <v>502</v>
      </c>
      <c r="E176" s="21" t="str">
        <f>INDEX([1]道具配置表!$D:$D,MATCH(D176,[1]道具配置表!$A:$A,0))</f>
        <v>1万资源自选宝箱</v>
      </c>
      <c r="F176" s="29">
        <f>F164+24</f>
        <v>192</v>
      </c>
      <c r="G176" s="16"/>
      <c r="H176" s="16"/>
      <c r="I176" s="16"/>
      <c r="J176" s="16"/>
      <c r="K176" s="16">
        <v>1</v>
      </c>
      <c r="L176" s="16"/>
      <c r="M176" s="16" t="b">
        <v>1</v>
      </c>
      <c r="N176" s="16"/>
      <c r="V176" s="20"/>
      <c r="W176" s="20"/>
      <c r="X176" s="20"/>
      <c r="Y176" s="20"/>
      <c r="Z176" s="20"/>
      <c r="AA176" s="20"/>
      <c r="AB176" s="20"/>
      <c r="AC176" s="20"/>
      <c r="AD176" s="20"/>
    </row>
    <row r="177" spans="1:30" ht="13.5" customHeight="1" x14ac:dyDescent="0.25">
      <c r="A177" s="16"/>
      <c r="B177" s="16"/>
      <c r="C177" s="26" t="str">
        <f>IF(A177="","",IF((COUNTIFS(A:A,A177))&gt;1,"ID重复",""))</f>
        <v/>
      </c>
      <c r="D177" s="29">
        <v>6161</v>
      </c>
      <c r="E177" s="21" t="str">
        <f>INDEX([1]道具配置表!$D:$D,MATCH(D177,[1]道具配置表!$A:$A,0))</f>
        <v>5分钟训练加速</v>
      </c>
      <c r="F177" s="29">
        <f>F165+24</f>
        <v>192</v>
      </c>
      <c r="G177" s="16"/>
      <c r="H177" s="16"/>
      <c r="I177" s="16"/>
      <c r="J177" s="16"/>
      <c r="K177" s="16">
        <v>1</v>
      </c>
      <c r="L177" s="16"/>
      <c r="M177" s="16" t="b">
        <v>1</v>
      </c>
      <c r="N177" s="16"/>
      <c r="V177" s="20"/>
      <c r="W177" s="20"/>
      <c r="X177" s="20"/>
      <c r="Y177" s="20"/>
      <c r="Z177" s="20"/>
      <c r="AA177" s="20"/>
      <c r="AB177" s="20"/>
      <c r="AC177" s="20"/>
      <c r="AD177" s="20"/>
    </row>
    <row r="178" spans="1:30" ht="13.5" customHeight="1" x14ac:dyDescent="0.25">
      <c r="A178" s="16">
        <f>A176+1</f>
        <v>6601062</v>
      </c>
      <c r="B178" s="16" t="str">
        <f>INT(RIGHT(A178,3)/10)&amp;"级城杀敌排名奖励第"&amp;2&amp;"名"</f>
        <v>6级城杀敌排名奖励第2名</v>
      </c>
      <c r="C178" s="26" t="str">
        <f>IF(A178="","",IF((COUNTIFS(A:A,A178))&gt;1,"ID重复",""))</f>
        <v/>
      </c>
      <c r="D178" s="29">
        <v>502</v>
      </c>
      <c r="E178" s="21" t="str">
        <f>INDEX([1]道具配置表!$D:$D,MATCH(D178,[1]道具配置表!$A:$A,0))</f>
        <v>1万资源自选宝箱</v>
      </c>
      <c r="F178" s="29">
        <f>F166+20</f>
        <v>160</v>
      </c>
      <c r="G178" s="16"/>
      <c r="H178" s="16"/>
      <c r="I178" s="16"/>
      <c r="J178" s="16"/>
      <c r="K178" s="16">
        <v>1</v>
      </c>
      <c r="L178" s="16"/>
      <c r="M178" s="16" t="b">
        <v>1</v>
      </c>
      <c r="N178" s="16"/>
      <c r="V178" s="20"/>
      <c r="W178" s="20"/>
      <c r="X178" s="20"/>
      <c r="Y178" s="20"/>
      <c r="Z178" s="20"/>
      <c r="AA178" s="20"/>
      <c r="AB178" s="20"/>
      <c r="AC178" s="20"/>
      <c r="AD178" s="20"/>
    </row>
    <row r="179" spans="1:30" ht="13.5" customHeight="1" x14ac:dyDescent="0.25">
      <c r="A179" s="16"/>
      <c r="B179" s="16"/>
      <c r="C179" s="26" t="str">
        <f>IF(A179="","",IF((COUNTIFS(A:A,A179))&gt;1,"ID重复",""))</f>
        <v/>
      </c>
      <c r="D179" s="29">
        <v>6161</v>
      </c>
      <c r="E179" s="21" t="str">
        <f>INDEX([1]道具配置表!$D:$D,MATCH(D179,[1]道具配置表!$A:$A,0))</f>
        <v>5分钟训练加速</v>
      </c>
      <c r="F179" s="29">
        <f>F167+20</f>
        <v>160</v>
      </c>
      <c r="G179" s="16"/>
      <c r="H179" s="16"/>
      <c r="I179" s="16"/>
      <c r="J179" s="16"/>
      <c r="K179" s="16">
        <v>1</v>
      </c>
      <c r="L179" s="16"/>
      <c r="M179" s="16" t="b">
        <v>1</v>
      </c>
      <c r="N179" s="16"/>
      <c r="V179" s="20"/>
      <c r="W179" s="20"/>
      <c r="X179" s="20"/>
      <c r="Y179" s="20"/>
      <c r="Z179" s="20"/>
      <c r="AA179" s="20"/>
      <c r="AB179" s="20"/>
      <c r="AC179" s="20"/>
      <c r="AD179" s="20"/>
    </row>
    <row r="180" spans="1:30" ht="13.5" customHeight="1" x14ac:dyDescent="0.25">
      <c r="A180" s="16">
        <f>A178+1</f>
        <v>6601063</v>
      </c>
      <c r="B180" s="16" t="str">
        <f>INT(RIGHT(A180,3)/10)&amp;"级城杀敌排名奖励第"&amp;3&amp;"名"</f>
        <v>6级城杀敌排名奖励第3名</v>
      </c>
      <c r="C180" s="26" t="str">
        <f>IF(A180="","",IF((COUNTIFS(A:A,A180))&gt;1,"ID重复",""))</f>
        <v/>
      </c>
      <c r="D180" s="29">
        <v>502</v>
      </c>
      <c r="E180" s="21" t="str">
        <f>INDEX([1]道具配置表!$D:$D,MATCH(D180,[1]道具配置表!$A:$A,0))</f>
        <v>1万资源自选宝箱</v>
      </c>
      <c r="F180" s="29">
        <f>F168+16</f>
        <v>128</v>
      </c>
      <c r="G180" s="16"/>
      <c r="H180" s="16"/>
      <c r="I180" s="16"/>
      <c r="J180" s="16"/>
      <c r="K180" s="16">
        <v>1</v>
      </c>
      <c r="L180" s="16"/>
      <c r="M180" s="16" t="b">
        <v>1</v>
      </c>
      <c r="N180" s="16"/>
      <c r="V180" s="20"/>
      <c r="W180" s="20"/>
      <c r="X180" s="20"/>
      <c r="Y180" s="20"/>
      <c r="Z180" s="20"/>
      <c r="AA180" s="20"/>
      <c r="AB180" s="20"/>
      <c r="AC180" s="20"/>
      <c r="AD180" s="20"/>
    </row>
    <row r="181" spans="1:30" ht="13.5" customHeight="1" x14ac:dyDescent="0.25">
      <c r="A181" s="16"/>
      <c r="B181" s="16"/>
      <c r="C181" s="26" t="str">
        <f>IF(A181="","",IF((COUNTIFS(A:A,A181))&gt;1,"ID重复",""))</f>
        <v/>
      </c>
      <c r="D181" s="29">
        <v>6161</v>
      </c>
      <c r="E181" s="21" t="str">
        <f>INDEX([1]道具配置表!$D:$D,MATCH(D181,[1]道具配置表!$A:$A,0))</f>
        <v>5分钟训练加速</v>
      </c>
      <c r="F181" s="29">
        <f>F169+16</f>
        <v>128</v>
      </c>
      <c r="G181" s="16"/>
      <c r="H181" s="16"/>
      <c r="I181" s="16"/>
      <c r="J181" s="16"/>
      <c r="K181" s="16">
        <v>1</v>
      </c>
      <c r="L181" s="16"/>
      <c r="M181" s="16" t="b">
        <v>1</v>
      </c>
      <c r="N181" s="16"/>
      <c r="V181" s="20"/>
      <c r="W181" s="20"/>
      <c r="X181" s="20"/>
      <c r="Y181" s="20"/>
      <c r="Z181" s="20"/>
      <c r="AA181" s="20"/>
      <c r="AB181" s="20"/>
      <c r="AC181" s="20"/>
      <c r="AD181" s="20"/>
    </row>
    <row r="182" spans="1:30" ht="13.5" customHeight="1" x14ac:dyDescent="0.25">
      <c r="A182" s="16">
        <f>A180+1</f>
        <v>6601064</v>
      </c>
      <c r="B182" s="16" t="str">
        <f>INT(RIGHT(A182,3)/10)&amp;"级城杀敌排名奖励第"&amp;"4-10"&amp;"名"</f>
        <v>6级城杀敌排名奖励第4-10名</v>
      </c>
      <c r="C182" s="26" t="str">
        <f>IF(A182="","",IF((COUNTIFS(A:A,A182))&gt;1,"ID重复",""))</f>
        <v/>
      </c>
      <c r="D182" s="29">
        <v>502</v>
      </c>
      <c r="E182" s="21" t="str">
        <f>INDEX([1]道具配置表!$D:$D,MATCH(D182,[1]道具配置表!$A:$A,0))</f>
        <v>1万资源自选宝箱</v>
      </c>
      <c r="F182" s="29">
        <f>F170+12</f>
        <v>96</v>
      </c>
      <c r="G182" s="16"/>
      <c r="H182" s="16"/>
      <c r="I182" s="16"/>
      <c r="J182" s="16"/>
      <c r="K182" s="16">
        <v>1</v>
      </c>
      <c r="L182" s="16"/>
      <c r="M182" s="16" t="b">
        <v>1</v>
      </c>
      <c r="N182" s="16"/>
      <c r="V182" s="20"/>
      <c r="W182" s="20"/>
      <c r="X182" s="20"/>
      <c r="Y182" s="20"/>
      <c r="Z182" s="20"/>
      <c r="AA182" s="20"/>
      <c r="AB182" s="20"/>
      <c r="AC182" s="20"/>
      <c r="AD182" s="20"/>
    </row>
    <row r="183" spans="1:30" ht="13.5" customHeight="1" x14ac:dyDescent="0.25">
      <c r="A183" s="16"/>
      <c r="B183" s="16"/>
      <c r="C183" s="26" t="str">
        <f>IF(A183="","",IF((COUNTIFS(A:A,A183))&gt;1,"ID重复",""))</f>
        <v/>
      </c>
      <c r="D183" s="29">
        <v>6161</v>
      </c>
      <c r="E183" s="21" t="str">
        <f>INDEX([1]道具配置表!$D:$D,MATCH(D183,[1]道具配置表!$A:$A,0))</f>
        <v>5分钟训练加速</v>
      </c>
      <c r="F183" s="29">
        <f>F171+12</f>
        <v>96</v>
      </c>
      <c r="G183" s="16"/>
      <c r="H183" s="16"/>
      <c r="I183" s="16"/>
      <c r="J183" s="16"/>
      <c r="K183" s="16">
        <v>1</v>
      </c>
      <c r="L183" s="16"/>
      <c r="M183" s="16" t="b">
        <v>1</v>
      </c>
      <c r="N183" s="16"/>
      <c r="V183" s="20"/>
      <c r="W183" s="20"/>
      <c r="X183" s="20"/>
      <c r="Y183" s="20"/>
      <c r="Z183" s="20"/>
      <c r="AA183" s="20"/>
      <c r="AB183" s="20"/>
      <c r="AC183" s="20"/>
      <c r="AD183" s="20"/>
    </row>
    <row r="184" spans="1:30" ht="13.5" customHeight="1" x14ac:dyDescent="0.25">
      <c r="A184" s="16">
        <f>A182+1</f>
        <v>6601065</v>
      </c>
      <c r="B184" s="16" t="str">
        <f>INT(RIGHT(A184,3)/10)&amp;"级城杀敌排名奖励第"&amp;"11-20"&amp;"名"</f>
        <v>6级城杀敌排名奖励第11-20名</v>
      </c>
      <c r="C184" s="26" t="str">
        <f>IF(A184="","",IF((COUNTIFS(A:A,A184))&gt;1,"ID重复",""))</f>
        <v/>
      </c>
      <c r="D184" s="29">
        <v>502</v>
      </c>
      <c r="E184" s="21" t="str">
        <f>INDEX([1]道具配置表!$D:$D,MATCH(D184,[1]道具配置表!$A:$A,0))</f>
        <v>1万资源自选宝箱</v>
      </c>
      <c r="F184" s="29">
        <f>F172+10</f>
        <v>80</v>
      </c>
      <c r="G184" s="16"/>
      <c r="H184" s="16"/>
      <c r="I184" s="16"/>
      <c r="J184" s="16"/>
      <c r="K184" s="16">
        <v>1</v>
      </c>
      <c r="L184" s="16"/>
      <c r="M184" s="16" t="b">
        <v>1</v>
      </c>
      <c r="N184" s="16"/>
      <c r="V184" s="20"/>
      <c r="W184" s="20"/>
      <c r="X184" s="20"/>
      <c r="Y184" s="20"/>
      <c r="Z184" s="20"/>
      <c r="AA184" s="20"/>
      <c r="AB184" s="20"/>
      <c r="AC184" s="20"/>
      <c r="AD184" s="20"/>
    </row>
    <row r="185" spans="1:30" ht="13.5" customHeight="1" x14ac:dyDescent="0.25">
      <c r="A185" s="16"/>
      <c r="B185" s="16"/>
      <c r="C185" s="26" t="str">
        <f>IF(A185="","",IF((COUNTIFS(A:A,A185))&gt;1,"ID重复",""))</f>
        <v/>
      </c>
      <c r="D185" s="29">
        <v>6161</v>
      </c>
      <c r="E185" s="21" t="str">
        <f>INDEX([1]道具配置表!$D:$D,MATCH(D185,[1]道具配置表!$A:$A,0))</f>
        <v>5分钟训练加速</v>
      </c>
      <c r="F185" s="29">
        <f>F173+10</f>
        <v>80</v>
      </c>
      <c r="G185" s="16"/>
      <c r="H185" s="16"/>
      <c r="I185" s="16"/>
      <c r="J185" s="16"/>
      <c r="K185" s="16">
        <v>1</v>
      </c>
      <c r="L185" s="16"/>
      <c r="M185" s="16" t="b">
        <v>1</v>
      </c>
      <c r="N185" s="16"/>
      <c r="V185" s="20"/>
      <c r="W185" s="20"/>
      <c r="X185" s="20"/>
      <c r="Y185" s="20"/>
      <c r="Z185" s="20"/>
      <c r="AA185" s="20"/>
      <c r="AB185" s="20"/>
      <c r="AC185" s="20"/>
      <c r="AD185" s="20"/>
    </row>
    <row r="186" spans="1:30" ht="13.5" customHeight="1" x14ac:dyDescent="0.25">
      <c r="A186" s="16">
        <f>A184+1</f>
        <v>6601066</v>
      </c>
      <c r="B186" s="16" t="str">
        <f>INT(RIGHT(A186,3)/10)&amp;"级城杀敌排名奖励第"&amp;"21-30"&amp;"名"</f>
        <v>6级城杀敌排名奖励第21-30名</v>
      </c>
      <c r="C186" s="26" t="str">
        <f>IF(A186="","",IF((COUNTIFS(A:A,A186))&gt;1,"ID重复",""))</f>
        <v/>
      </c>
      <c r="D186" s="29">
        <v>502</v>
      </c>
      <c r="E186" s="21" t="str">
        <f>INDEX([1]道具配置表!$D:$D,MATCH(D186,[1]道具配置表!$A:$A,0))</f>
        <v>1万资源自选宝箱</v>
      </c>
      <c r="F186" s="29">
        <f>F174+8</f>
        <v>64</v>
      </c>
      <c r="G186" s="16"/>
      <c r="H186" s="16"/>
      <c r="I186" s="16"/>
      <c r="J186" s="16"/>
      <c r="K186" s="16">
        <v>1</v>
      </c>
      <c r="L186" s="16"/>
      <c r="M186" s="16" t="b">
        <v>1</v>
      </c>
      <c r="N186" s="16"/>
      <c r="V186" s="20"/>
      <c r="W186" s="20"/>
      <c r="X186" s="20"/>
      <c r="Y186" s="20"/>
      <c r="Z186" s="20"/>
      <c r="AA186" s="20"/>
      <c r="AB186" s="20"/>
      <c r="AC186" s="20"/>
      <c r="AD186" s="20"/>
    </row>
    <row r="187" spans="1:30" ht="13.5" customHeight="1" x14ac:dyDescent="0.25">
      <c r="A187" s="16"/>
      <c r="B187" s="16"/>
      <c r="C187" s="26" t="str">
        <f>IF(A187="","",IF((COUNTIFS(A:A,A187))&gt;1,"ID重复",""))</f>
        <v/>
      </c>
      <c r="D187" s="29">
        <v>6161</v>
      </c>
      <c r="E187" s="21" t="str">
        <f>INDEX([1]道具配置表!$D:$D,MATCH(D187,[1]道具配置表!$A:$A,0))</f>
        <v>5分钟训练加速</v>
      </c>
      <c r="F187" s="29">
        <f>F175+8</f>
        <v>64</v>
      </c>
      <c r="G187" s="16"/>
      <c r="H187" s="16"/>
      <c r="I187" s="16"/>
      <c r="J187" s="16"/>
      <c r="K187" s="16">
        <v>1</v>
      </c>
      <c r="L187" s="16"/>
      <c r="M187" s="16" t="b">
        <v>1</v>
      </c>
      <c r="N187" s="16"/>
      <c r="V187" s="20"/>
      <c r="W187" s="20"/>
      <c r="X187" s="20"/>
      <c r="Y187" s="20"/>
      <c r="Z187" s="20"/>
      <c r="AA187" s="20"/>
      <c r="AB187" s="20"/>
      <c r="AC187" s="20"/>
      <c r="AD187" s="20"/>
    </row>
    <row r="188" spans="1:30" ht="13.5" customHeight="1" x14ac:dyDescent="0.25">
      <c r="A188" s="16">
        <f>A176+10</f>
        <v>6601071</v>
      </c>
      <c r="B188" s="16" t="str">
        <f>INT(RIGHT(A188,3)/10)&amp;"级城杀敌排名奖励第"&amp;1&amp;"名"</f>
        <v>7级城杀敌排名奖励第1名</v>
      </c>
      <c r="C188" s="26" t="str">
        <f>IF(A188="","",IF((COUNTIFS(A:A,A188))&gt;1,"ID重复",""))</f>
        <v/>
      </c>
      <c r="D188" s="29">
        <v>502</v>
      </c>
      <c r="E188" s="21" t="str">
        <f>INDEX([1]道具配置表!$D:$D,MATCH(D188,[1]道具配置表!$A:$A,0))</f>
        <v>1万资源自选宝箱</v>
      </c>
      <c r="F188" s="29">
        <f>F176+24</f>
        <v>216</v>
      </c>
      <c r="G188" s="16"/>
      <c r="H188" s="16"/>
      <c r="I188" s="16"/>
      <c r="J188" s="16"/>
      <c r="K188" s="16">
        <v>1</v>
      </c>
      <c r="L188" s="16"/>
      <c r="M188" s="16" t="b">
        <v>1</v>
      </c>
      <c r="N188" s="16"/>
      <c r="V188" s="20"/>
      <c r="W188" s="20"/>
      <c r="X188" s="20"/>
      <c r="Y188" s="20"/>
      <c r="Z188" s="20"/>
      <c r="AA188" s="20"/>
      <c r="AB188" s="20"/>
      <c r="AC188" s="20"/>
      <c r="AD188" s="20"/>
    </row>
    <row r="189" spans="1:30" ht="13.5" customHeight="1" x14ac:dyDescent="0.25">
      <c r="A189" s="16"/>
      <c r="B189" s="16"/>
      <c r="C189" s="26" t="str">
        <f>IF(A189="","",IF((COUNTIFS(A:A,A189))&gt;1,"ID重复",""))</f>
        <v/>
      </c>
      <c r="D189" s="29">
        <v>6161</v>
      </c>
      <c r="E189" s="21" t="str">
        <f>INDEX([1]道具配置表!$D:$D,MATCH(D189,[1]道具配置表!$A:$A,0))</f>
        <v>5分钟训练加速</v>
      </c>
      <c r="F189" s="29">
        <f>F177+24</f>
        <v>216</v>
      </c>
      <c r="G189" s="16"/>
      <c r="H189" s="16"/>
      <c r="I189" s="16"/>
      <c r="J189" s="16"/>
      <c r="K189" s="16">
        <v>1</v>
      </c>
      <c r="L189" s="16"/>
      <c r="M189" s="16" t="b">
        <v>1</v>
      </c>
      <c r="N189" s="16"/>
      <c r="V189" s="20"/>
      <c r="W189" s="20"/>
      <c r="X189" s="20"/>
      <c r="Y189" s="20"/>
      <c r="Z189" s="20"/>
      <c r="AA189" s="20"/>
      <c r="AB189" s="20"/>
      <c r="AC189" s="20"/>
      <c r="AD189" s="20"/>
    </row>
    <row r="190" spans="1:30" ht="13.5" customHeight="1" x14ac:dyDescent="0.25">
      <c r="A190" s="16">
        <f>A188+1</f>
        <v>6601072</v>
      </c>
      <c r="B190" s="16" t="str">
        <f>INT(RIGHT(A190,3)/10)&amp;"级城杀敌排名奖励第"&amp;2&amp;"名"</f>
        <v>7级城杀敌排名奖励第2名</v>
      </c>
      <c r="C190" s="26" t="str">
        <f>IF(A190="","",IF((COUNTIFS(A:A,A190))&gt;1,"ID重复",""))</f>
        <v/>
      </c>
      <c r="D190" s="29">
        <v>502</v>
      </c>
      <c r="E190" s="21" t="str">
        <f>INDEX([1]道具配置表!$D:$D,MATCH(D190,[1]道具配置表!$A:$A,0))</f>
        <v>1万资源自选宝箱</v>
      </c>
      <c r="F190" s="29">
        <f>F178+20</f>
        <v>180</v>
      </c>
      <c r="G190" s="16"/>
      <c r="H190" s="16"/>
      <c r="I190" s="16"/>
      <c r="J190" s="16"/>
      <c r="K190" s="16">
        <v>1</v>
      </c>
      <c r="L190" s="16"/>
      <c r="M190" s="16" t="b">
        <v>1</v>
      </c>
      <c r="N190" s="16"/>
      <c r="V190" s="20"/>
      <c r="W190" s="20"/>
      <c r="X190" s="20"/>
      <c r="Y190" s="20"/>
      <c r="Z190" s="20"/>
      <c r="AA190" s="20"/>
      <c r="AB190" s="20"/>
      <c r="AC190" s="20"/>
      <c r="AD190" s="20"/>
    </row>
    <row r="191" spans="1:30" ht="13.5" customHeight="1" x14ac:dyDescent="0.25">
      <c r="A191" s="16"/>
      <c r="B191" s="16"/>
      <c r="C191" s="26" t="str">
        <f>IF(A191="","",IF((COUNTIFS(A:A,A191))&gt;1,"ID重复",""))</f>
        <v/>
      </c>
      <c r="D191" s="29">
        <v>6161</v>
      </c>
      <c r="E191" s="21" t="str">
        <f>INDEX([1]道具配置表!$D:$D,MATCH(D191,[1]道具配置表!$A:$A,0))</f>
        <v>5分钟训练加速</v>
      </c>
      <c r="F191" s="29">
        <f>F179+20</f>
        <v>180</v>
      </c>
      <c r="G191" s="16"/>
      <c r="H191" s="16"/>
      <c r="I191" s="16"/>
      <c r="J191" s="16"/>
      <c r="K191" s="16">
        <v>1</v>
      </c>
      <c r="L191" s="16"/>
      <c r="M191" s="16" t="b">
        <v>1</v>
      </c>
      <c r="N191" s="16"/>
      <c r="V191" s="20"/>
      <c r="W191" s="20"/>
      <c r="X191" s="20"/>
      <c r="Y191" s="20"/>
      <c r="Z191" s="20"/>
      <c r="AA191" s="20"/>
      <c r="AB191" s="20"/>
      <c r="AC191" s="20"/>
      <c r="AD191" s="20"/>
    </row>
    <row r="192" spans="1:30" ht="13.5" customHeight="1" x14ac:dyDescent="0.25">
      <c r="A192" s="16">
        <f>A190+1</f>
        <v>6601073</v>
      </c>
      <c r="B192" s="16" t="str">
        <f>INT(RIGHT(A192,3)/10)&amp;"级城杀敌排名奖励第"&amp;3&amp;"名"</f>
        <v>7级城杀敌排名奖励第3名</v>
      </c>
      <c r="C192" s="26" t="str">
        <f>IF(A192="","",IF((COUNTIFS(A:A,A192))&gt;1,"ID重复",""))</f>
        <v/>
      </c>
      <c r="D192" s="29">
        <v>502</v>
      </c>
      <c r="E192" s="21" t="str">
        <f>INDEX([1]道具配置表!$D:$D,MATCH(D192,[1]道具配置表!$A:$A,0))</f>
        <v>1万资源自选宝箱</v>
      </c>
      <c r="F192" s="29">
        <f>F180+16</f>
        <v>144</v>
      </c>
      <c r="G192" s="16"/>
      <c r="H192" s="16"/>
      <c r="I192" s="16"/>
      <c r="J192" s="16"/>
      <c r="K192" s="16">
        <v>1</v>
      </c>
      <c r="L192" s="16"/>
      <c r="M192" s="16" t="b">
        <v>1</v>
      </c>
      <c r="N192" s="16"/>
      <c r="V192" s="20"/>
      <c r="W192" s="20"/>
      <c r="X192" s="20"/>
      <c r="Y192" s="20"/>
      <c r="Z192" s="20"/>
      <c r="AA192" s="20"/>
      <c r="AB192" s="20"/>
      <c r="AC192" s="20"/>
      <c r="AD192" s="20"/>
    </row>
    <row r="193" spans="1:30" ht="13.5" customHeight="1" x14ac:dyDescent="0.25">
      <c r="A193" s="16"/>
      <c r="B193" s="16"/>
      <c r="C193" s="26" t="str">
        <f>IF(A193="","",IF((COUNTIFS(A:A,A193))&gt;1,"ID重复",""))</f>
        <v/>
      </c>
      <c r="D193" s="29">
        <v>6161</v>
      </c>
      <c r="E193" s="21" t="str">
        <f>INDEX([1]道具配置表!$D:$D,MATCH(D193,[1]道具配置表!$A:$A,0))</f>
        <v>5分钟训练加速</v>
      </c>
      <c r="F193" s="29">
        <f>F181+16</f>
        <v>144</v>
      </c>
      <c r="G193" s="16"/>
      <c r="H193" s="16"/>
      <c r="I193" s="16"/>
      <c r="J193" s="16"/>
      <c r="K193" s="16">
        <v>1</v>
      </c>
      <c r="L193" s="16"/>
      <c r="M193" s="16" t="b">
        <v>1</v>
      </c>
      <c r="N193" s="16"/>
      <c r="V193" s="20"/>
      <c r="W193" s="20"/>
      <c r="X193" s="20"/>
      <c r="Y193" s="20"/>
      <c r="Z193" s="20"/>
      <c r="AA193" s="20"/>
      <c r="AB193" s="20"/>
      <c r="AC193" s="20"/>
      <c r="AD193" s="20"/>
    </row>
    <row r="194" spans="1:30" ht="13.5" customHeight="1" x14ac:dyDescent="0.25">
      <c r="A194" s="16">
        <f>A192+1</f>
        <v>6601074</v>
      </c>
      <c r="B194" s="16" t="str">
        <f>INT(RIGHT(A194,3)/10)&amp;"级城杀敌排名奖励第"&amp;"4-10"&amp;"名"</f>
        <v>7级城杀敌排名奖励第4-10名</v>
      </c>
      <c r="C194" s="26" t="str">
        <f>IF(A194="","",IF((COUNTIFS(A:A,A194))&gt;1,"ID重复",""))</f>
        <v/>
      </c>
      <c r="D194" s="29">
        <v>502</v>
      </c>
      <c r="E194" s="21" t="str">
        <f>INDEX([1]道具配置表!$D:$D,MATCH(D194,[1]道具配置表!$A:$A,0))</f>
        <v>1万资源自选宝箱</v>
      </c>
      <c r="F194" s="29">
        <f>F182+12</f>
        <v>108</v>
      </c>
      <c r="G194" s="16"/>
      <c r="H194" s="16"/>
      <c r="I194" s="16"/>
      <c r="J194" s="16"/>
      <c r="K194" s="16">
        <v>1</v>
      </c>
      <c r="L194" s="16"/>
      <c r="M194" s="16" t="b">
        <v>1</v>
      </c>
      <c r="N194" s="16"/>
      <c r="V194" s="20"/>
      <c r="W194" s="20"/>
      <c r="X194" s="20"/>
      <c r="Y194" s="20"/>
      <c r="Z194" s="20"/>
      <c r="AA194" s="20"/>
      <c r="AB194" s="20"/>
      <c r="AC194" s="20"/>
      <c r="AD194" s="20"/>
    </row>
    <row r="195" spans="1:30" ht="13.5" customHeight="1" x14ac:dyDescent="0.25">
      <c r="A195" s="16"/>
      <c r="B195" s="16"/>
      <c r="C195" s="26" t="str">
        <f>IF(A195="","",IF((COUNTIFS(A:A,A195))&gt;1,"ID重复",""))</f>
        <v/>
      </c>
      <c r="D195" s="29">
        <v>6161</v>
      </c>
      <c r="E195" s="21" t="str">
        <f>INDEX([1]道具配置表!$D:$D,MATCH(D195,[1]道具配置表!$A:$A,0))</f>
        <v>5分钟训练加速</v>
      </c>
      <c r="F195" s="29">
        <f>F183+12</f>
        <v>108</v>
      </c>
      <c r="G195" s="16"/>
      <c r="H195" s="16"/>
      <c r="I195" s="16"/>
      <c r="J195" s="16"/>
      <c r="K195" s="16">
        <v>1</v>
      </c>
      <c r="L195" s="16"/>
      <c r="M195" s="16" t="b">
        <v>1</v>
      </c>
      <c r="N195" s="16"/>
      <c r="V195" s="20"/>
      <c r="W195" s="20"/>
      <c r="X195" s="20"/>
      <c r="Y195" s="20"/>
      <c r="Z195" s="20"/>
      <c r="AA195" s="20"/>
      <c r="AB195" s="20"/>
      <c r="AC195" s="20"/>
      <c r="AD195" s="20"/>
    </row>
    <row r="196" spans="1:30" ht="13.5" customHeight="1" x14ac:dyDescent="0.25">
      <c r="A196" s="16">
        <f>A194+1</f>
        <v>6601075</v>
      </c>
      <c r="B196" s="16" t="str">
        <f>INT(RIGHT(A196,3)/10)&amp;"级城杀敌排名奖励第"&amp;"11-20"&amp;"名"</f>
        <v>7级城杀敌排名奖励第11-20名</v>
      </c>
      <c r="C196" s="26" t="str">
        <f>IF(A196="","",IF((COUNTIFS(A:A,A196))&gt;1,"ID重复",""))</f>
        <v/>
      </c>
      <c r="D196" s="29">
        <v>502</v>
      </c>
      <c r="E196" s="21" t="str">
        <f>INDEX([1]道具配置表!$D:$D,MATCH(D196,[1]道具配置表!$A:$A,0))</f>
        <v>1万资源自选宝箱</v>
      </c>
      <c r="F196" s="29">
        <f>F184+10</f>
        <v>90</v>
      </c>
      <c r="G196" s="16"/>
      <c r="H196" s="16"/>
      <c r="I196" s="16"/>
      <c r="J196" s="16"/>
      <c r="K196" s="16">
        <v>1</v>
      </c>
      <c r="L196" s="16"/>
      <c r="M196" s="16" t="b">
        <v>1</v>
      </c>
      <c r="N196" s="16"/>
      <c r="V196" s="20"/>
      <c r="W196" s="20"/>
      <c r="X196" s="20"/>
      <c r="Y196" s="20"/>
      <c r="Z196" s="20"/>
      <c r="AA196" s="20"/>
      <c r="AB196" s="20"/>
      <c r="AC196" s="20"/>
      <c r="AD196" s="20"/>
    </row>
    <row r="197" spans="1:30" ht="13.5" customHeight="1" x14ac:dyDescent="0.25">
      <c r="A197" s="16"/>
      <c r="B197" s="16"/>
      <c r="C197" s="26" t="str">
        <f>IF(A197="","",IF((COUNTIFS(A:A,A197))&gt;1,"ID重复",""))</f>
        <v/>
      </c>
      <c r="D197" s="29">
        <v>6161</v>
      </c>
      <c r="E197" s="21" t="str">
        <f>INDEX([1]道具配置表!$D:$D,MATCH(D197,[1]道具配置表!$A:$A,0))</f>
        <v>5分钟训练加速</v>
      </c>
      <c r="F197" s="29">
        <f>F185+10</f>
        <v>90</v>
      </c>
      <c r="G197" s="16"/>
      <c r="H197" s="16"/>
      <c r="I197" s="16"/>
      <c r="J197" s="16"/>
      <c r="K197" s="16">
        <v>1</v>
      </c>
      <c r="L197" s="16"/>
      <c r="M197" s="16" t="b">
        <v>1</v>
      </c>
      <c r="N197" s="16"/>
      <c r="V197" s="20"/>
      <c r="W197" s="20"/>
      <c r="X197" s="20"/>
      <c r="Y197" s="20"/>
      <c r="Z197" s="20"/>
      <c r="AA197" s="20"/>
      <c r="AB197" s="20"/>
      <c r="AC197" s="20"/>
      <c r="AD197" s="20"/>
    </row>
    <row r="198" spans="1:30" ht="13.5" customHeight="1" x14ac:dyDescent="0.25">
      <c r="A198" s="16">
        <f>A196+1</f>
        <v>6601076</v>
      </c>
      <c r="B198" s="16" t="str">
        <f>INT(RIGHT(A198,3)/10)&amp;"级城杀敌排名奖励第"&amp;"21-30"&amp;"名"</f>
        <v>7级城杀敌排名奖励第21-30名</v>
      </c>
      <c r="C198" s="26" t="str">
        <f>IF(A198="","",IF((COUNTIFS(A:A,A198))&gt;1,"ID重复",""))</f>
        <v/>
      </c>
      <c r="D198" s="29">
        <v>502</v>
      </c>
      <c r="E198" s="21" t="str">
        <f>INDEX([1]道具配置表!$D:$D,MATCH(D198,[1]道具配置表!$A:$A,0))</f>
        <v>1万资源自选宝箱</v>
      </c>
      <c r="F198" s="29">
        <f>F186+8</f>
        <v>72</v>
      </c>
      <c r="G198" s="16"/>
      <c r="H198" s="16"/>
      <c r="I198" s="16"/>
      <c r="J198" s="16"/>
      <c r="K198" s="16">
        <v>1</v>
      </c>
      <c r="L198" s="16"/>
      <c r="M198" s="16" t="b">
        <v>1</v>
      </c>
      <c r="N198" s="16"/>
      <c r="V198" s="20"/>
      <c r="W198" s="20"/>
      <c r="X198" s="20"/>
      <c r="Y198" s="20"/>
      <c r="Z198" s="20"/>
      <c r="AA198" s="20"/>
      <c r="AB198" s="20"/>
      <c r="AC198" s="20"/>
      <c r="AD198" s="20"/>
    </row>
    <row r="199" spans="1:30" ht="13.5" customHeight="1" x14ac:dyDescent="0.25">
      <c r="A199" s="16"/>
      <c r="B199" s="16"/>
      <c r="C199" s="26" t="str">
        <f>IF(A199="","",IF((COUNTIFS(A:A,A199))&gt;1,"ID重复",""))</f>
        <v/>
      </c>
      <c r="D199" s="29">
        <v>6161</v>
      </c>
      <c r="E199" s="21" t="str">
        <f>INDEX([1]道具配置表!$D:$D,MATCH(D199,[1]道具配置表!$A:$A,0))</f>
        <v>5分钟训练加速</v>
      </c>
      <c r="F199" s="29">
        <f>F187+8</f>
        <v>72</v>
      </c>
      <c r="G199" s="16"/>
      <c r="H199" s="16"/>
      <c r="I199" s="16"/>
      <c r="J199" s="16"/>
      <c r="K199" s="16">
        <v>1</v>
      </c>
      <c r="L199" s="16"/>
      <c r="M199" s="16" t="b">
        <v>1</v>
      </c>
      <c r="N199" s="16"/>
      <c r="V199" s="20"/>
      <c r="W199" s="20"/>
      <c r="X199" s="20"/>
      <c r="Y199" s="20"/>
      <c r="Z199" s="20"/>
      <c r="AA199" s="20"/>
      <c r="AB199" s="20"/>
      <c r="AC199" s="20"/>
      <c r="AD199" s="20"/>
    </row>
    <row r="200" spans="1:30" ht="13.5" customHeight="1" x14ac:dyDescent="0.25">
      <c r="A200" s="16">
        <f>A188+10</f>
        <v>6601081</v>
      </c>
      <c r="B200" s="16" t="str">
        <f>INT(RIGHT(A200,3)/10)&amp;"级城杀敌排名奖励第"&amp;1&amp;"名"</f>
        <v>8级城杀敌排名奖励第1名</v>
      </c>
      <c r="C200" s="26" t="str">
        <f>IF(A200="","",IF((COUNTIFS(A:A,A200))&gt;1,"ID重复",""))</f>
        <v/>
      </c>
      <c r="D200" s="29">
        <v>502</v>
      </c>
      <c r="E200" s="21" t="str">
        <f>INDEX([1]道具配置表!$D:$D,MATCH(D200,[1]道具配置表!$A:$A,0))</f>
        <v>1万资源自选宝箱</v>
      </c>
      <c r="F200" s="29">
        <f>F188+24</f>
        <v>240</v>
      </c>
      <c r="G200" s="16"/>
      <c r="H200" s="16"/>
      <c r="I200" s="16"/>
      <c r="J200" s="16"/>
      <c r="K200" s="16">
        <v>1</v>
      </c>
      <c r="L200" s="16"/>
      <c r="M200" s="16" t="b">
        <v>1</v>
      </c>
      <c r="N200" s="16"/>
      <c r="V200" s="20"/>
      <c r="W200" s="20"/>
      <c r="X200" s="20"/>
      <c r="Y200" s="20"/>
      <c r="Z200" s="20"/>
      <c r="AA200" s="20"/>
      <c r="AB200" s="20"/>
      <c r="AC200" s="20"/>
      <c r="AD200" s="20"/>
    </row>
    <row r="201" spans="1:30" ht="13.5" customHeight="1" x14ac:dyDescent="0.25">
      <c r="A201" s="16"/>
      <c r="B201" s="16"/>
      <c r="C201" s="26" t="str">
        <f>IF(A201="","",IF((COUNTIFS(A:A,A201))&gt;1,"ID重复",""))</f>
        <v/>
      </c>
      <c r="D201" s="29">
        <v>6161</v>
      </c>
      <c r="E201" s="21" t="str">
        <f>INDEX([1]道具配置表!$D:$D,MATCH(D201,[1]道具配置表!$A:$A,0))</f>
        <v>5分钟训练加速</v>
      </c>
      <c r="F201" s="29">
        <f>F189+24</f>
        <v>240</v>
      </c>
      <c r="G201" s="16"/>
      <c r="H201" s="16"/>
      <c r="I201" s="16"/>
      <c r="J201" s="16"/>
      <c r="K201" s="16">
        <v>1</v>
      </c>
      <c r="L201" s="16"/>
      <c r="M201" s="16" t="b">
        <v>1</v>
      </c>
      <c r="N201" s="16"/>
      <c r="V201" s="20"/>
      <c r="W201" s="20"/>
      <c r="X201" s="20"/>
      <c r="Y201" s="20"/>
      <c r="Z201" s="20"/>
      <c r="AA201" s="20"/>
      <c r="AB201" s="20"/>
      <c r="AC201" s="20"/>
      <c r="AD201" s="20"/>
    </row>
    <row r="202" spans="1:30" ht="13.5" customHeight="1" x14ac:dyDescent="0.25">
      <c r="A202" s="16">
        <f>A200+1</f>
        <v>6601082</v>
      </c>
      <c r="B202" s="16" t="str">
        <f>INT(RIGHT(A202,3)/10)&amp;"级城杀敌排名奖励第"&amp;2&amp;"名"</f>
        <v>8级城杀敌排名奖励第2名</v>
      </c>
      <c r="C202" s="26" t="str">
        <f>IF(A202="","",IF((COUNTIFS(A:A,A202))&gt;1,"ID重复",""))</f>
        <v/>
      </c>
      <c r="D202" s="29">
        <v>502</v>
      </c>
      <c r="E202" s="21" t="str">
        <f>INDEX([1]道具配置表!$D:$D,MATCH(D202,[1]道具配置表!$A:$A,0))</f>
        <v>1万资源自选宝箱</v>
      </c>
      <c r="F202" s="29">
        <f>F190+20</f>
        <v>200</v>
      </c>
      <c r="G202" s="16"/>
      <c r="H202" s="16"/>
      <c r="I202" s="16"/>
      <c r="J202" s="16"/>
      <c r="K202" s="16">
        <v>1</v>
      </c>
      <c r="L202" s="16"/>
      <c r="M202" s="16" t="b">
        <v>1</v>
      </c>
      <c r="N202" s="16"/>
      <c r="V202" s="20"/>
      <c r="W202" s="20"/>
      <c r="X202" s="20"/>
      <c r="Y202" s="20"/>
      <c r="Z202" s="20"/>
      <c r="AA202" s="20"/>
      <c r="AB202" s="20"/>
      <c r="AC202" s="20"/>
      <c r="AD202" s="20"/>
    </row>
    <row r="203" spans="1:30" ht="13.5" customHeight="1" x14ac:dyDescent="0.25">
      <c r="A203" s="16"/>
      <c r="B203" s="16"/>
      <c r="C203" s="26" t="str">
        <f>IF(A203="","",IF((COUNTIFS(A:A,A203))&gt;1,"ID重复",""))</f>
        <v/>
      </c>
      <c r="D203" s="29">
        <v>6161</v>
      </c>
      <c r="E203" s="21" t="str">
        <f>INDEX([1]道具配置表!$D:$D,MATCH(D203,[1]道具配置表!$A:$A,0))</f>
        <v>5分钟训练加速</v>
      </c>
      <c r="F203" s="29">
        <f>F191+20</f>
        <v>200</v>
      </c>
      <c r="G203" s="16"/>
      <c r="H203" s="16"/>
      <c r="I203" s="16"/>
      <c r="J203" s="16"/>
      <c r="K203" s="16">
        <v>1</v>
      </c>
      <c r="L203" s="16"/>
      <c r="M203" s="16" t="b">
        <v>1</v>
      </c>
      <c r="N203" s="16"/>
      <c r="V203" s="20"/>
      <c r="W203" s="20"/>
      <c r="X203" s="20"/>
      <c r="Y203" s="20"/>
      <c r="Z203" s="20"/>
      <c r="AA203" s="20"/>
      <c r="AB203" s="20"/>
      <c r="AC203" s="20"/>
      <c r="AD203" s="20"/>
    </row>
    <row r="204" spans="1:30" ht="13.5" customHeight="1" x14ac:dyDescent="0.25">
      <c r="A204" s="16">
        <f>A202+1</f>
        <v>6601083</v>
      </c>
      <c r="B204" s="16" t="str">
        <f>INT(RIGHT(A204,3)/10)&amp;"级城杀敌排名奖励第"&amp;3&amp;"名"</f>
        <v>8级城杀敌排名奖励第3名</v>
      </c>
      <c r="C204" s="26" t="str">
        <f>IF(A204="","",IF((COUNTIFS(A:A,A204))&gt;1,"ID重复",""))</f>
        <v/>
      </c>
      <c r="D204" s="29">
        <v>502</v>
      </c>
      <c r="E204" s="21" t="str">
        <f>INDEX([1]道具配置表!$D:$D,MATCH(D204,[1]道具配置表!$A:$A,0))</f>
        <v>1万资源自选宝箱</v>
      </c>
      <c r="F204" s="29">
        <f>F192+16</f>
        <v>160</v>
      </c>
      <c r="G204" s="16"/>
      <c r="H204" s="16"/>
      <c r="I204" s="16"/>
      <c r="J204" s="16"/>
      <c r="K204" s="16">
        <v>1</v>
      </c>
      <c r="L204" s="16"/>
      <c r="M204" s="16" t="b">
        <v>1</v>
      </c>
      <c r="N204" s="16"/>
      <c r="V204" s="20"/>
      <c r="W204" s="20"/>
      <c r="X204" s="20"/>
      <c r="Y204" s="20"/>
      <c r="Z204" s="20"/>
      <c r="AA204" s="20"/>
      <c r="AB204" s="20"/>
      <c r="AC204" s="20"/>
      <c r="AD204" s="20"/>
    </row>
    <row r="205" spans="1:30" ht="13.5" customHeight="1" x14ac:dyDescent="0.25">
      <c r="A205" s="16"/>
      <c r="B205" s="16"/>
      <c r="C205" s="26" t="str">
        <f>IF(A205="","",IF((COUNTIFS(A:A,A205))&gt;1,"ID重复",""))</f>
        <v/>
      </c>
      <c r="D205" s="29">
        <v>6161</v>
      </c>
      <c r="E205" s="21" t="str">
        <f>INDEX([1]道具配置表!$D:$D,MATCH(D205,[1]道具配置表!$A:$A,0))</f>
        <v>5分钟训练加速</v>
      </c>
      <c r="F205" s="29">
        <f>F193+16</f>
        <v>160</v>
      </c>
      <c r="G205" s="16"/>
      <c r="H205" s="16"/>
      <c r="I205" s="16"/>
      <c r="J205" s="16"/>
      <c r="K205" s="16">
        <v>1</v>
      </c>
      <c r="L205" s="16"/>
      <c r="M205" s="16" t="b">
        <v>1</v>
      </c>
      <c r="N205" s="16"/>
      <c r="V205" s="20"/>
      <c r="W205" s="20"/>
      <c r="X205" s="20"/>
      <c r="Y205" s="20"/>
      <c r="Z205" s="20"/>
      <c r="AA205" s="20"/>
      <c r="AB205" s="20"/>
      <c r="AC205" s="20"/>
      <c r="AD205" s="20"/>
    </row>
    <row r="206" spans="1:30" ht="13.5" customHeight="1" x14ac:dyDescent="0.25">
      <c r="A206" s="16">
        <f>A204+1</f>
        <v>6601084</v>
      </c>
      <c r="B206" s="16" t="str">
        <f>INT(RIGHT(A206,3)/10)&amp;"级城杀敌排名奖励第"&amp;"4-10"&amp;"名"</f>
        <v>8级城杀敌排名奖励第4-10名</v>
      </c>
      <c r="C206" s="26" t="str">
        <f>IF(A206="","",IF((COUNTIFS(A:A,A206))&gt;1,"ID重复",""))</f>
        <v/>
      </c>
      <c r="D206" s="29">
        <v>502</v>
      </c>
      <c r="E206" s="21" t="str">
        <f>INDEX([1]道具配置表!$D:$D,MATCH(D206,[1]道具配置表!$A:$A,0))</f>
        <v>1万资源自选宝箱</v>
      </c>
      <c r="F206" s="29">
        <f>F194+12</f>
        <v>120</v>
      </c>
      <c r="G206" s="16"/>
      <c r="H206" s="16"/>
      <c r="I206" s="16"/>
      <c r="J206" s="16"/>
      <c r="K206" s="16">
        <v>1</v>
      </c>
      <c r="L206" s="16"/>
      <c r="M206" s="16" t="b">
        <v>1</v>
      </c>
      <c r="N206" s="16"/>
      <c r="V206" s="20"/>
      <c r="W206" s="20"/>
      <c r="X206" s="20"/>
      <c r="Y206" s="20"/>
      <c r="Z206" s="20"/>
      <c r="AA206" s="20"/>
      <c r="AB206" s="20"/>
      <c r="AC206" s="20"/>
      <c r="AD206" s="20"/>
    </row>
    <row r="207" spans="1:30" ht="13.5" customHeight="1" x14ac:dyDescent="0.25">
      <c r="A207" s="16"/>
      <c r="B207" s="16"/>
      <c r="C207" s="26" t="str">
        <f>IF(A207="","",IF((COUNTIFS(A:A,A207))&gt;1,"ID重复",""))</f>
        <v/>
      </c>
      <c r="D207" s="29">
        <v>6161</v>
      </c>
      <c r="E207" s="21" t="str">
        <f>INDEX([1]道具配置表!$D:$D,MATCH(D207,[1]道具配置表!$A:$A,0))</f>
        <v>5分钟训练加速</v>
      </c>
      <c r="F207" s="29">
        <f>F195+12</f>
        <v>120</v>
      </c>
      <c r="G207" s="16"/>
      <c r="H207" s="16"/>
      <c r="I207" s="16"/>
      <c r="J207" s="16"/>
      <c r="K207" s="16">
        <v>1</v>
      </c>
      <c r="L207" s="16"/>
      <c r="M207" s="16" t="b">
        <v>1</v>
      </c>
      <c r="N207" s="16"/>
      <c r="V207" s="20"/>
      <c r="W207" s="20"/>
      <c r="X207" s="20"/>
      <c r="Y207" s="20"/>
      <c r="Z207" s="20"/>
      <c r="AA207" s="20"/>
      <c r="AB207" s="20"/>
      <c r="AC207" s="20"/>
      <c r="AD207" s="20"/>
    </row>
    <row r="208" spans="1:30" ht="13.5" customHeight="1" x14ac:dyDescent="0.25">
      <c r="A208" s="16">
        <f>A206+1</f>
        <v>6601085</v>
      </c>
      <c r="B208" s="16" t="str">
        <f>INT(RIGHT(A208,3)/10)&amp;"级城杀敌排名奖励第"&amp;"11-20"&amp;"名"</f>
        <v>8级城杀敌排名奖励第11-20名</v>
      </c>
      <c r="C208" s="26" t="str">
        <f>IF(A208="","",IF((COUNTIFS(A:A,A208))&gt;1,"ID重复",""))</f>
        <v/>
      </c>
      <c r="D208" s="29">
        <v>502</v>
      </c>
      <c r="E208" s="21" t="str">
        <f>INDEX([1]道具配置表!$D:$D,MATCH(D208,[1]道具配置表!$A:$A,0))</f>
        <v>1万资源自选宝箱</v>
      </c>
      <c r="F208" s="29">
        <f>F196+10</f>
        <v>100</v>
      </c>
      <c r="G208" s="16"/>
      <c r="H208" s="16"/>
      <c r="I208" s="16"/>
      <c r="J208" s="16"/>
      <c r="K208" s="16">
        <v>1</v>
      </c>
      <c r="L208" s="16"/>
      <c r="M208" s="16" t="b">
        <v>1</v>
      </c>
      <c r="N208" s="16"/>
      <c r="V208" s="20"/>
      <c r="W208" s="20"/>
      <c r="X208" s="20"/>
      <c r="Y208" s="20"/>
      <c r="Z208" s="20"/>
      <c r="AA208" s="20"/>
      <c r="AB208" s="20"/>
      <c r="AC208" s="20"/>
      <c r="AD208" s="20"/>
    </row>
    <row r="209" spans="1:30" ht="13.5" customHeight="1" x14ac:dyDescent="0.25">
      <c r="A209" s="16"/>
      <c r="B209" s="16"/>
      <c r="C209" s="26" t="str">
        <f>IF(A209="","",IF((COUNTIFS(A:A,A209))&gt;1,"ID重复",""))</f>
        <v/>
      </c>
      <c r="D209" s="29">
        <v>6161</v>
      </c>
      <c r="E209" s="21" t="str">
        <f>INDEX([1]道具配置表!$D:$D,MATCH(D209,[1]道具配置表!$A:$A,0))</f>
        <v>5分钟训练加速</v>
      </c>
      <c r="F209" s="29">
        <f>F197+10</f>
        <v>100</v>
      </c>
      <c r="G209" s="16"/>
      <c r="H209" s="16"/>
      <c r="I209" s="16"/>
      <c r="J209" s="16"/>
      <c r="K209" s="16">
        <v>1</v>
      </c>
      <c r="L209" s="16"/>
      <c r="M209" s="16" t="b">
        <v>1</v>
      </c>
      <c r="N209" s="16"/>
      <c r="V209" s="20"/>
      <c r="W209" s="20"/>
      <c r="X209" s="20"/>
      <c r="Y209" s="20"/>
      <c r="Z209" s="20"/>
      <c r="AA209" s="20"/>
      <c r="AB209" s="20"/>
      <c r="AC209" s="20"/>
      <c r="AD209" s="20"/>
    </row>
    <row r="210" spans="1:30" ht="13.5" customHeight="1" x14ac:dyDescent="0.25">
      <c r="A210" s="16">
        <f>A208+1</f>
        <v>6601086</v>
      </c>
      <c r="B210" s="16" t="str">
        <f>INT(RIGHT(A210,3)/10)&amp;"级城杀敌排名奖励第"&amp;"21-30"&amp;"名"</f>
        <v>8级城杀敌排名奖励第21-30名</v>
      </c>
      <c r="C210" s="26" t="str">
        <f>IF(A210="","",IF((COUNTIFS(A:A,A210))&gt;1,"ID重复",""))</f>
        <v/>
      </c>
      <c r="D210" s="29">
        <v>502</v>
      </c>
      <c r="E210" s="21" t="str">
        <f>INDEX([1]道具配置表!$D:$D,MATCH(D210,[1]道具配置表!$A:$A,0))</f>
        <v>1万资源自选宝箱</v>
      </c>
      <c r="F210" s="29">
        <f>F198+8</f>
        <v>80</v>
      </c>
      <c r="G210" s="16"/>
      <c r="H210" s="16"/>
      <c r="I210" s="16"/>
      <c r="J210" s="16"/>
      <c r="K210" s="16">
        <v>1</v>
      </c>
      <c r="L210" s="16"/>
      <c r="M210" s="16" t="b">
        <v>1</v>
      </c>
      <c r="N210" s="16"/>
      <c r="V210" s="20"/>
      <c r="W210" s="20"/>
      <c r="X210" s="20"/>
      <c r="Y210" s="20"/>
      <c r="Z210" s="20"/>
      <c r="AA210" s="20"/>
      <c r="AB210" s="20"/>
      <c r="AC210" s="20"/>
      <c r="AD210" s="20"/>
    </row>
    <row r="211" spans="1:30" ht="13.5" customHeight="1" x14ac:dyDescent="0.25">
      <c r="A211" s="16"/>
      <c r="B211" s="16"/>
      <c r="C211" s="26" t="str">
        <f>IF(A211="","",IF((COUNTIFS(A:A,A211))&gt;1,"ID重复",""))</f>
        <v/>
      </c>
      <c r="D211" s="29">
        <v>6161</v>
      </c>
      <c r="E211" s="21" t="str">
        <f>INDEX([1]道具配置表!$D:$D,MATCH(D211,[1]道具配置表!$A:$A,0))</f>
        <v>5分钟训练加速</v>
      </c>
      <c r="F211" s="29">
        <f>F199+8</f>
        <v>80</v>
      </c>
      <c r="G211" s="16"/>
      <c r="H211" s="16"/>
      <c r="I211" s="16"/>
      <c r="J211" s="16"/>
      <c r="K211" s="16">
        <v>1</v>
      </c>
      <c r="L211" s="16"/>
      <c r="M211" s="16" t="b">
        <v>1</v>
      </c>
      <c r="N211" s="16"/>
      <c r="V211" s="20"/>
      <c r="W211" s="20"/>
      <c r="X211" s="20"/>
      <c r="Y211" s="20"/>
      <c r="Z211" s="20"/>
      <c r="AA211" s="20"/>
      <c r="AB211" s="20"/>
      <c r="AC211" s="20"/>
      <c r="AD211" s="20"/>
    </row>
    <row r="212" spans="1:30" ht="13.5" customHeight="1" x14ac:dyDescent="0.25">
      <c r="A212" s="16">
        <f>A200+10</f>
        <v>6601091</v>
      </c>
      <c r="B212" s="16" t="str">
        <f>INT(RIGHT(A212,3)/10)&amp;"级城杀敌排名奖励第"&amp;1&amp;"名"</f>
        <v>9级城杀敌排名奖励第1名</v>
      </c>
      <c r="C212" s="26" t="str">
        <f>IF(A212="","",IF((COUNTIFS(A:A,A212))&gt;1,"ID重复",""))</f>
        <v/>
      </c>
      <c r="D212" s="29">
        <v>502</v>
      </c>
      <c r="E212" s="21" t="str">
        <f>INDEX([1]道具配置表!$D:$D,MATCH(D212,[1]道具配置表!$A:$A,0))</f>
        <v>1万资源自选宝箱</v>
      </c>
      <c r="F212" s="29">
        <f>F200+24</f>
        <v>264</v>
      </c>
      <c r="G212" s="16"/>
      <c r="H212" s="16"/>
      <c r="I212" s="16"/>
      <c r="J212" s="16"/>
      <c r="K212" s="16">
        <v>1</v>
      </c>
      <c r="L212" s="16"/>
      <c r="M212" s="16" t="b">
        <v>1</v>
      </c>
      <c r="N212" s="16"/>
      <c r="V212" s="20"/>
      <c r="W212" s="20"/>
      <c r="X212" s="20"/>
      <c r="Y212" s="20"/>
      <c r="Z212" s="20"/>
      <c r="AA212" s="20"/>
      <c r="AB212" s="20"/>
      <c r="AC212" s="20"/>
      <c r="AD212" s="20"/>
    </row>
    <row r="213" spans="1:30" ht="13.5" customHeight="1" x14ac:dyDescent="0.25">
      <c r="A213" s="16"/>
      <c r="B213" s="16"/>
      <c r="C213" s="26" t="str">
        <f>IF(A213="","",IF((COUNTIFS(A:A,A213))&gt;1,"ID重复",""))</f>
        <v/>
      </c>
      <c r="D213" s="29">
        <v>6161</v>
      </c>
      <c r="E213" s="21" t="str">
        <f>INDEX([1]道具配置表!$D:$D,MATCH(D213,[1]道具配置表!$A:$A,0))</f>
        <v>5分钟训练加速</v>
      </c>
      <c r="F213" s="29">
        <f>F201+24</f>
        <v>264</v>
      </c>
      <c r="G213" s="16"/>
      <c r="H213" s="16"/>
      <c r="I213" s="16"/>
      <c r="J213" s="16"/>
      <c r="K213" s="16">
        <v>1</v>
      </c>
      <c r="L213" s="16"/>
      <c r="M213" s="16" t="b">
        <v>1</v>
      </c>
      <c r="N213" s="16"/>
      <c r="V213" s="20"/>
      <c r="W213" s="20"/>
      <c r="X213" s="20"/>
      <c r="Y213" s="20"/>
      <c r="Z213" s="20"/>
      <c r="AA213" s="20"/>
      <c r="AB213" s="20"/>
      <c r="AC213" s="20"/>
      <c r="AD213" s="20"/>
    </row>
    <row r="214" spans="1:30" ht="13.5" customHeight="1" x14ac:dyDescent="0.25">
      <c r="A214" s="16">
        <f>A212+1</f>
        <v>6601092</v>
      </c>
      <c r="B214" s="16" t="str">
        <f>INT(RIGHT(A214,3)/10)&amp;"级城杀敌排名奖励第"&amp;2&amp;"名"</f>
        <v>9级城杀敌排名奖励第2名</v>
      </c>
      <c r="C214" s="26" t="str">
        <f>IF(A214="","",IF((COUNTIFS(A:A,A214))&gt;1,"ID重复",""))</f>
        <v/>
      </c>
      <c r="D214" s="29">
        <v>502</v>
      </c>
      <c r="E214" s="21" t="str">
        <f>INDEX([1]道具配置表!$D:$D,MATCH(D214,[1]道具配置表!$A:$A,0))</f>
        <v>1万资源自选宝箱</v>
      </c>
      <c r="F214" s="29">
        <f>F202+20</f>
        <v>220</v>
      </c>
      <c r="G214" s="16"/>
      <c r="H214" s="16"/>
      <c r="I214" s="16"/>
      <c r="J214" s="16"/>
      <c r="K214" s="16">
        <v>1</v>
      </c>
      <c r="L214" s="16"/>
      <c r="M214" s="16" t="b">
        <v>1</v>
      </c>
      <c r="N214" s="16"/>
      <c r="V214" s="20"/>
      <c r="W214" s="20"/>
      <c r="X214" s="20"/>
      <c r="Y214" s="20"/>
      <c r="Z214" s="20"/>
      <c r="AA214" s="20"/>
      <c r="AB214" s="20"/>
      <c r="AC214" s="20"/>
      <c r="AD214" s="20"/>
    </row>
    <row r="215" spans="1:30" ht="13.5" customHeight="1" x14ac:dyDescent="0.25">
      <c r="A215" s="16"/>
      <c r="B215" s="16"/>
      <c r="C215" s="26" t="str">
        <f>IF(A215="","",IF((COUNTIFS(A:A,A215))&gt;1,"ID重复",""))</f>
        <v/>
      </c>
      <c r="D215" s="29">
        <v>6161</v>
      </c>
      <c r="E215" s="21" t="str">
        <f>INDEX([1]道具配置表!$D:$D,MATCH(D215,[1]道具配置表!$A:$A,0))</f>
        <v>5分钟训练加速</v>
      </c>
      <c r="F215" s="29">
        <f>F203+20</f>
        <v>220</v>
      </c>
      <c r="G215" s="16"/>
      <c r="H215" s="16"/>
      <c r="I215" s="16"/>
      <c r="J215" s="16"/>
      <c r="K215" s="16">
        <v>1</v>
      </c>
      <c r="L215" s="16"/>
      <c r="M215" s="16" t="b">
        <v>1</v>
      </c>
      <c r="N215" s="16"/>
      <c r="V215" s="20"/>
      <c r="W215" s="20"/>
      <c r="X215" s="20"/>
      <c r="Y215" s="20"/>
      <c r="Z215" s="20"/>
      <c r="AA215" s="20"/>
      <c r="AB215" s="20"/>
      <c r="AC215" s="20"/>
      <c r="AD215" s="20"/>
    </row>
    <row r="216" spans="1:30" ht="13.5" customHeight="1" x14ac:dyDescent="0.25">
      <c r="A216" s="16">
        <f>A214+1</f>
        <v>6601093</v>
      </c>
      <c r="B216" s="16" t="str">
        <f>INT(RIGHT(A216,3)/10)&amp;"级城杀敌排名奖励第"&amp;3&amp;"名"</f>
        <v>9级城杀敌排名奖励第3名</v>
      </c>
      <c r="C216" s="26" t="str">
        <f>IF(A216="","",IF((COUNTIFS(A:A,A216))&gt;1,"ID重复",""))</f>
        <v/>
      </c>
      <c r="D216" s="29">
        <v>502</v>
      </c>
      <c r="E216" s="21" t="str">
        <f>INDEX([1]道具配置表!$D:$D,MATCH(D216,[1]道具配置表!$A:$A,0))</f>
        <v>1万资源自选宝箱</v>
      </c>
      <c r="F216" s="29">
        <f>F204+16</f>
        <v>176</v>
      </c>
      <c r="G216" s="16"/>
      <c r="H216" s="16"/>
      <c r="I216" s="16"/>
      <c r="J216" s="16"/>
      <c r="K216" s="16">
        <v>1</v>
      </c>
      <c r="L216" s="16"/>
      <c r="M216" s="16" t="b">
        <v>1</v>
      </c>
      <c r="N216" s="16"/>
      <c r="V216" s="20"/>
      <c r="W216" s="20"/>
      <c r="X216" s="20"/>
      <c r="Y216" s="20"/>
      <c r="Z216" s="20"/>
      <c r="AA216" s="20"/>
      <c r="AB216" s="20"/>
      <c r="AC216" s="20"/>
      <c r="AD216" s="20"/>
    </row>
    <row r="217" spans="1:30" ht="13.5" customHeight="1" x14ac:dyDescent="0.25">
      <c r="A217" s="16"/>
      <c r="B217" s="16"/>
      <c r="C217" s="26" t="str">
        <f>IF(A217="","",IF((COUNTIFS(A:A,A217))&gt;1,"ID重复",""))</f>
        <v/>
      </c>
      <c r="D217" s="29">
        <v>6161</v>
      </c>
      <c r="E217" s="21" t="str">
        <f>INDEX([1]道具配置表!$D:$D,MATCH(D217,[1]道具配置表!$A:$A,0))</f>
        <v>5分钟训练加速</v>
      </c>
      <c r="F217" s="29">
        <f>F205+16</f>
        <v>176</v>
      </c>
      <c r="G217" s="16"/>
      <c r="H217" s="16"/>
      <c r="I217" s="16"/>
      <c r="J217" s="16"/>
      <c r="K217" s="16">
        <v>1</v>
      </c>
      <c r="L217" s="16"/>
      <c r="M217" s="16" t="b">
        <v>1</v>
      </c>
      <c r="N217" s="16"/>
      <c r="V217" s="20"/>
      <c r="W217" s="20"/>
      <c r="X217" s="20"/>
      <c r="Y217" s="20"/>
      <c r="Z217" s="20"/>
      <c r="AA217" s="20"/>
      <c r="AB217" s="20"/>
      <c r="AC217" s="20"/>
      <c r="AD217" s="20"/>
    </row>
    <row r="218" spans="1:30" ht="13.5" customHeight="1" x14ac:dyDescent="0.25">
      <c r="A218" s="16">
        <f>A216+1</f>
        <v>6601094</v>
      </c>
      <c r="B218" s="16" t="str">
        <f>INT(RIGHT(A218,3)/10)&amp;"级城杀敌排名奖励第"&amp;"4-10"&amp;"名"</f>
        <v>9级城杀敌排名奖励第4-10名</v>
      </c>
      <c r="C218" s="26" t="str">
        <f>IF(A218="","",IF((COUNTIFS(A:A,A218))&gt;1,"ID重复",""))</f>
        <v/>
      </c>
      <c r="D218" s="29">
        <v>502</v>
      </c>
      <c r="E218" s="21" t="str">
        <f>INDEX([1]道具配置表!$D:$D,MATCH(D218,[1]道具配置表!$A:$A,0))</f>
        <v>1万资源自选宝箱</v>
      </c>
      <c r="F218" s="29">
        <f>F206+12</f>
        <v>132</v>
      </c>
      <c r="G218" s="16"/>
      <c r="H218" s="16"/>
      <c r="I218" s="16"/>
      <c r="J218" s="16"/>
      <c r="K218" s="16">
        <v>1</v>
      </c>
      <c r="L218" s="16"/>
      <c r="M218" s="16" t="b">
        <v>1</v>
      </c>
      <c r="N218" s="16"/>
      <c r="V218" s="20"/>
      <c r="W218" s="20"/>
      <c r="X218" s="20"/>
      <c r="Y218" s="20"/>
      <c r="Z218" s="20"/>
      <c r="AA218" s="20"/>
      <c r="AB218" s="20"/>
      <c r="AC218" s="20"/>
      <c r="AD218" s="20"/>
    </row>
    <row r="219" spans="1:30" ht="13.5" customHeight="1" x14ac:dyDescent="0.25">
      <c r="A219" s="16"/>
      <c r="B219" s="16"/>
      <c r="C219" s="26" t="str">
        <f>IF(A219="","",IF((COUNTIFS(A:A,A219))&gt;1,"ID重复",""))</f>
        <v/>
      </c>
      <c r="D219" s="29">
        <v>6161</v>
      </c>
      <c r="E219" s="21" t="str">
        <f>INDEX([1]道具配置表!$D:$D,MATCH(D219,[1]道具配置表!$A:$A,0))</f>
        <v>5分钟训练加速</v>
      </c>
      <c r="F219" s="29">
        <f>F207+12</f>
        <v>132</v>
      </c>
      <c r="G219" s="16"/>
      <c r="H219" s="16"/>
      <c r="I219" s="16"/>
      <c r="J219" s="16"/>
      <c r="K219" s="16">
        <v>1</v>
      </c>
      <c r="L219" s="16"/>
      <c r="M219" s="16" t="b">
        <v>1</v>
      </c>
      <c r="N219" s="16"/>
      <c r="V219" s="20"/>
      <c r="W219" s="20"/>
      <c r="X219" s="20"/>
      <c r="Y219" s="20"/>
      <c r="Z219" s="20"/>
      <c r="AA219" s="20"/>
      <c r="AB219" s="20"/>
      <c r="AC219" s="20"/>
      <c r="AD219" s="20"/>
    </row>
    <row r="220" spans="1:30" ht="13.5" customHeight="1" x14ac:dyDescent="0.25">
      <c r="A220" s="16">
        <f>A218+1</f>
        <v>6601095</v>
      </c>
      <c r="B220" s="16" t="str">
        <f>INT(RIGHT(A220,3)/10)&amp;"级城杀敌排名奖励第"&amp;"11-20"&amp;"名"</f>
        <v>9级城杀敌排名奖励第11-20名</v>
      </c>
      <c r="C220" s="26" t="str">
        <f>IF(A220="","",IF((COUNTIFS(A:A,A220))&gt;1,"ID重复",""))</f>
        <v/>
      </c>
      <c r="D220" s="29">
        <v>502</v>
      </c>
      <c r="E220" s="21" t="str">
        <f>INDEX([1]道具配置表!$D:$D,MATCH(D220,[1]道具配置表!$A:$A,0))</f>
        <v>1万资源自选宝箱</v>
      </c>
      <c r="F220" s="29">
        <f>F208+10</f>
        <v>110</v>
      </c>
      <c r="G220" s="16"/>
      <c r="H220" s="16"/>
      <c r="I220" s="16"/>
      <c r="J220" s="16"/>
      <c r="K220" s="16">
        <v>1</v>
      </c>
      <c r="L220" s="16"/>
      <c r="M220" s="16" t="b">
        <v>1</v>
      </c>
      <c r="N220" s="16"/>
      <c r="V220" s="20"/>
      <c r="W220" s="20"/>
      <c r="X220" s="20"/>
      <c r="Y220" s="20"/>
      <c r="Z220" s="20"/>
      <c r="AA220" s="20"/>
      <c r="AB220" s="20"/>
      <c r="AC220" s="20"/>
      <c r="AD220" s="20"/>
    </row>
    <row r="221" spans="1:30" ht="13.5" customHeight="1" x14ac:dyDescent="0.25">
      <c r="A221" s="16"/>
      <c r="B221" s="16"/>
      <c r="C221" s="26" t="str">
        <f>IF(A221="","",IF((COUNTIFS(A:A,A221))&gt;1,"ID重复",""))</f>
        <v/>
      </c>
      <c r="D221" s="29">
        <v>6161</v>
      </c>
      <c r="E221" s="21" t="str">
        <f>INDEX([1]道具配置表!$D:$D,MATCH(D221,[1]道具配置表!$A:$A,0))</f>
        <v>5分钟训练加速</v>
      </c>
      <c r="F221" s="29">
        <f>F209+10</f>
        <v>110</v>
      </c>
      <c r="G221" s="16"/>
      <c r="H221" s="16"/>
      <c r="I221" s="16"/>
      <c r="J221" s="16"/>
      <c r="K221" s="16">
        <v>1</v>
      </c>
      <c r="L221" s="16"/>
      <c r="M221" s="16" t="b">
        <v>1</v>
      </c>
      <c r="N221" s="16"/>
      <c r="V221" s="20"/>
      <c r="W221" s="20"/>
      <c r="X221" s="20"/>
      <c r="Y221" s="20"/>
      <c r="Z221" s="20"/>
      <c r="AA221" s="20"/>
      <c r="AB221" s="20"/>
      <c r="AC221" s="20"/>
      <c r="AD221" s="20"/>
    </row>
    <row r="222" spans="1:30" ht="13.5" customHeight="1" x14ac:dyDescent="0.25">
      <c r="A222" s="16">
        <f>A220+1</f>
        <v>6601096</v>
      </c>
      <c r="B222" s="16" t="str">
        <f>INT(RIGHT(A222,3)/10)&amp;"级城杀敌排名奖励第"&amp;"21-30"&amp;"名"</f>
        <v>9级城杀敌排名奖励第21-30名</v>
      </c>
      <c r="C222" s="26" t="str">
        <f>IF(A222="","",IF((COUNTIFS(A:A,A222))&gt;1,"ID重复",""))</f>
        <v/>
      </c>
      <c r="D222" s="29">
        <v>502</v>
      </c>
      <c r="E222" s="21" t="str">
        <f>INDEX([1]道具配置表!$D:$D,MATCH(D222,[1]道具配置表!$A:$A,0))</f>
        <v>1万资源自选宝箱</v>
      </c>
      <c r="F222" s="29">
        <f>F210+8</f>
        <v>88</v>
      </c>
      <c r="G222" s="16"/>
      <c r="H222" s="16"/>
      <c r="I222" s="16"/>
      <c r="J222" s="16"/>
      <c r="K222" s="16">
        <v>1</v>
      </c>
      <c r="L222" s="16"/>
      <c r="M222" s="16" t="b">
        <v>1</v>
      </c>
      <c r="N222" s="16"/>
      <c r="V222" s="20"/>
      <c r="W222" s="20"/>
      <c r="X222" s="20"/>
      <c r="Y222" s="20"/>
      <c r="Z222" s="20"/>
      <c r="AA222" s="20"/>
      <c r="AB222" s="20"/>
      <c r="AC222" s="20"/>
      <c r="AD222" s="20"/>
    </row>
    <row r="223" spans="1:30" ht="13.5" customHeight="1" x14ac:dyDescent="0.25">
      <c r="A223" s="16"/>
      <c r="B223" s="16"/>
      <c r="C223" s="26" t="str">
        <f>IF(A223="","",IF((COUNTIFS(A:A,A223))&gt;1,"ID重复",""))</f>
        <v/>
      </c>
      <c r="D223" s="29">
        <v>6161</v>
      </c>
      <c r="E223" s="21" t="str">
        <f>INDEX([1]道具配置表!$D:$D,MATCH(D223,[1]道具配置表!$A:$A,0))</f>
        <v>5分钟训练加速</v>
      </c>
      <c r="F223" s="29">
        <f>F211+8</f>
        <v>88</v>
      </c>
      <c r="G223" s="16"/>
      <c r="H223" s="16"/>
      <c r="I223" s="16"/>
      <c r="J223" s="16"/>
      <c r="K223" s="16">
        <v>1</v>
      </c>
      <c r="L223" s="16"/>
      <c r="M223" s="16" t="b">
        <v>1</v>
      </c>
      <c r="N223" s="16"/>
      <c r="V223" s="20"/>
      <c r="W223" s="20"/>
      <c r="X223" s="20"/>
      <c r="Y223" s="20"/>
      <c r="Z223" s="20"/>
      <c r="AA223" s="20"/>
      <c r="AB223" s="20"/>
      <c r="AC223" s="20"/>
      <c r="AD223" s="20"/>
    </row>
    <row r="224" spans="1:30" ht="13.5" customHeight="1" x14ac:dyDescent="0.25">
      <c r="A224" s="16">
        <f>A212+10</f>
        <v>6601101</v>
      </c>
      <c r="B224" s="16" t="str">
        <f>INT(RIGHT(A224,3)/10)&amp;"级城杀敌排名奖励第"&amp;1&amp;"名"</f>
        <v>10级城杀敌排名奖励第1名</v>
      </c>
      <c r="C224" s="26" t="str">
        <f>IF(A224="","",IF((COUNTIFS(A:A,A224))&gt;1,"ID重复",""))</f>
        <v/>
      </c>
      <c r="D224" s="29">
        <v>502</v>
      </c>
      <c r="E224" s="21" t="str">
        <f>INDEX([1]道具配置表!$D:$D,MATCH(D224,[1]道具配置表!$A:$A,0))</f>
        <v>1万资源自选宝箱</v>
      </c>
      <c r="F224" s="29">
        <f>F212+24</f>
        <v>288</v>
      </c>
      <c r="G224" s="16"/>
      <c r="H224" s="16"/>
      <c r="I224" s="16"/>
      <c r="J224" s="16"/>
      <c r="K224" s="16">
        <v>1</v>
      </c>
      <c r="L224" s="16"/>
      <c r="M224" s="16" t="b">
        <v>1</v>
      </c>
      <c r="N224" s="16"/>
      <c r="V224" s="20"/>
      <c r="W224" s="20"/>
      <c r="X224" s="20"/>
      <c r="Y224" s="20"/>
      <c r="Z224" s="20"/>
      <c r="AA224" s="20"/>
      <c r="AB224" s="20"/>
      <c r="AC224" s="20"/>
      <c r="AD224" s="20"/>
    </row>
    <row r="225" spans="1:30" ht="13.5" customHeight="1" x14ac:dyDescent="0.25">
      <c r="A225" s="16"/>
      <c r="B225" s="16"/>
      <c r="C225" s="26" t="str">
        <f>IF(A225="","",IF((COUNTIFS(A:A,A225))&gt;1,"ID重复",""))</f>
        <v/>
      </c>
      <c r="D225" s="29">
        <v>6161</v>
      </c>
      <c r="E225" s="21" t="str">
        <f>INDEX([1]道具配置表!$D:$D,MATCH(D225,[1]道具配置表!$A:$A,0))</f>
        <v>5分钟训练加速</v>
      </c>
      <c r="F225" s="29">
        <f>F213+24</f>
        <v>288</v>
      </c>
      <c r="G225" s="16"/>
      <c r="H225" s="16"/>
      <c r="I225" s="16"/>
      <c r="J225" s="16"/>
      <c r="K225" s="16">
        <v>1</v>
      </c>
      <c r="L225" s="16"/>
      <c r="M225" s="16" t="b">
        <v>1</v>
      </c>
      <c r="N225" s="16"/>
      <c r="V225" s="20"/>
      <c r="W225" s="20"/>
      <c r="X225" s="20"/>
      <c r="Y225" s="20"/>
      <c r="Z225" s="20"/>
      <c r="AA225" s="20"/>
      <c r="AB225" s="20"/>
      <c r="AC225" s="20"/>
      <c r="AD225" s="20"/>
    </row>
    <row r="226" spans="1:30" ht="13.5" customHeight="1" x14ac:dyDescent="0.25">
      <c r="A226" s="16">
        <f>A224+1</f>
        <v>6601102</v>
      </c>
      <c r="B226" s="16" t="str">
        <f>INT(RIGHT(A226,3)/10)&amp;"级城杀敌排名奖励第"&amp;2&amp;"名"</f>
        <v>10级城杀敌排名奖励第2名</v>
      </c>
      <c r="C226" s="26" t="str">
        <f>IF(A226="","",IF((COUNTIFS(A:A,A226))&gt;1,"ID重复",""))</f>
        <v/>
      </c>
      <c r="D226" s="29">
        <v>502</v>
      </c>
      <c r="E226" s="21" t="str">
        <f>INDEX([1]道具配置表!$D:$D,MATCH(D226,[1]道具配置表!$A:$A,0))</f>
        <v>1万资源自选宝箱</v>
      </c>
      <c r="F226" s="29">
        <f>F214+20</f>
        <v>240</v>
      </c>
      <c r="G226" s="16"/>
      <c r="H226" s="16"/>
      <c r="I226" s="16"/>
      <c r="J226" s="16"/>
      <c r="K226" s="16">
        <v>1</v>
      </c>
      <c r="L226" s="16"/>
      <c r="M226" s="16" t="b">
        <v>1</v>
      </c>
      <c r="N226" s="16"/>
      <c r="V226" s="20"/>
      <c r="W226" s="20"/>
      <c r="X226" s="20"/>
      <c r="Y226" s="20"/>
      <c r="Z226" s="20"/>
      <c r="AA226" s="20"/>
      <c r="AB226" s="20"/>
      <c r="AC226" s="20"/>
      <c r="AD226" s="20"/>
    </row>
    <row r="227" spans="1:30" ht="13.5" customHeight="1" x14ac:dyDescent="0.25">
      <c r="A227" s="16"/>
      <c r="B227" s="16"/>
      <c r="C227" s="26" t="str">
        <f>IF(A227="","",IF((COUNTIFS(A:A,A227))&gt;1,"ID重复",""))</f>
        <v/>
      </c>
      <c r="D227" s="29">
        <v>6161</v>
      </c>
      <c r="E227" s="21" t="str">
        <f>INDEX([1]道具配置表!$D:$D,MATCH(D227,[1]道具配置表!$A:$A,0))</f>
        <v>5分钟训练加速</v>
      </c>
      <c r="F227" s="29">
        <f>F215+20</f>
        <v>240</v>
      </c>
      <c r="G227" s="16"/>
      <c r="H227" s="16"/>
      <c r="I227" s="16"/>
      <c r="J227" s="16"/>
      <c r="K227" s="16">
        <v>1</v>
      </c>
      <c r="L227" s="16"/>
      <c r="M227" s="16" t="b">
        <v>1</v>
      </c>
      <c r="N227" s="16"/>
      <c r="V227" s="20"/>
      <c r="W227" s="20"/>
      <c r="X227" s="20"/>
      <c r="Y227" s="20"/>
      <c r="Z227" s="20"/>
      <c r="AA227" s="20"/>
      <c r="AB227" s="20"/>
      <c r="AC227" s="20"/>
      <c r="AD227" s="20"/>
    </row>
    <row r="228" spans="1:30" ht="13.5" customHeight="1" x14ac:dyDescent="0.25">
      <c r="A228" s="16">
        <f>A226+1</f>
        <v>6601103</v>
      </c>
      <c r="B228" s="16" t="str">
        <f>INT(RIGHT(A228,3)/10)&amp;"级城杀敌排名奖励第"&amp;3&amp;"名"</f>
        <v>10级城杀敌排名奖励第3名</v>
      </c>
      <c r="C228" s="26" t="str">
        <f>IF(A228="","",IF((COUNTIFS(A:A,A228))&gt;1,"ID重复",""))</f>
        <v/>
      </c>
      <c r="D228" s="29">
        <v>502</v>
      </c>
      <c r="E228" s="21" t="str">
        <f>INDEX([1]道具配置表!$D:$D,MATCH(D228,[1]道具配置表!$A:$A,0))</f>
        <v>1万资源自选宝箱</v>
      </c>
      <c r="F228" s="29">
        <f>F216+16</f>
        <v>192</v>
      </c>
      <c r="G228" s="16"/>
      <c r="H228" s="16"/>
      <c r="I228" s="16"/>
      <c r="J228" s="16"/>
      <c r="K228" s="16">
        <v>1</v>
      </c>
      <c r="L228" s="16"/>
      <c r="M228" s="16" t="b">
        <v>1</v>
      </c>
      <c r="N228" s="16"/>
      <c r="V228" s="20"/>
      <c r="W228" s="20"/>
      <c r="X228" s="20"/>
      <c r="Y228" s="20"/>
      <c r="Z228" s="20"/>
      <c r="AA228" s="20"/>
      <c r="AB228" s="20"/>
      <c r="AC228" s="20"/>
      <c r="AD228" s="20"/>
    </row>
    <row r="229" spans="1:30" ht="13.5" customHeight="1" x14ac:dyDescent="0.25">
      <c r="A229" s="16"/>
      <c r="B229" s="16"/>
      <c r="C229" s="26" t="str">
        <f>IF(A229="","",IF((COUNTIFS(A:A,A229))&gt;1,"ID重复",""))</f>
        <v/>
      </c>
      <c r="D229" s="29">
        <v>6161</v>
      </c>
      <c r="E229" s="21" t="str">
        <f>INDEX([1]道具配置表!$D:$D,MATCH(D229,[1]道具配置表!$A:$A,0))</f>
        <v>5分钟训练加速</v>
      </c>
      <c r="F229" s="29">
        <f>F217+16</f>
        <v>192</v>
      </c>
      <c r="G229" s="16"/>
      <c r="H229" s="16"/>
      <c r="I229" s="16"/>
      <c r="J229" s="16"/>
      <c r="K229" s="16">
        <v>1</v>
      </c>
      <c r="L229" s="16"/>
      <c r="M229" s="16" t="b">
        <v>1</v>
      </c>
      <c r="N229" s="16"/>
      <c r="V229" s="20"/>
      <c r="W229" s="20"/>
      <c r="X229" s="20"/>
      <c r="Y229" s="20"/>
      <c r="Z229" s="20"/>
      <c r="AA229" s="20"/>
      <c r="AB229" s="20"/>
      <c r="AC229" s="20"/>
      <c r="AD229" s="20"/>
    </row>
    <row r="230" spans="1:30" ht="13.5" customHeight="1" x14ac:dyDescent="0.25">
      <c r="A230" s="16">
        <f>A228+1</f>
        <v>6601104</v>
      </c>
      <c r="B230" s="16" t="str">
        <f>INT(RIGHT(A230,3)/10)&amp;"级城杀敌排名奖励第"&amp;"4-10"&amp;"名"</f>
        <v>10级城杀敌排名奖励第4-10名</v>
      </c>
      <c r="C230" s="26" t="str">
        <f>IF(A230="","",IF((COUNTIFS(A:A,A230))&gt;1,"ID重复",""))</f>
        <v/>
      </c>
      <c r="D230" s="29">
        <v>502</v>
      </c>
      <c r="E230" s="21" t="str">
        <f>INDEX([1]道具配置表!$D:$D,MATCH(D230,[1]道具配置表!$A:$A,0))</f>
        <v>1万资源自选宝箱</v>
      </c>
      <c r="F230" s="29">
        <f>F218+12</f>
        <v>144</v>
      </c>
      <c r="G230" s="16"/>
      <c r="H230" s="16"/>
      <c r="I230" s="16"/>
      <c r="J230" s="16"/>
      <c r="K230" s="16">
        <v>1</v>
      </c>
      <c r="L230" s="16"/>
      <c r="M230" s="16" t="b">
        <v>1</v>
      </c>
      <c r="N230" s="16"/>
      <c r="V230" s="20"/>
      <c r="W230" s="20"/>
      <c r="X230" s="20"/>
      <c r="Y230" s="20"/>
      <c r="Z230" s="20"/>
      <c r="AA230" s="20"/>
      <c r="AB230" s="20"/>
      <c r="AC230" s="20"/>
      <c r="AD230" s="20"/>
    </row>
    <row r="231" spans="1:30" ht="13.5" customHeight="1" x14ac:dyDescent="0.25">
      <c r="A231" s="16"/>
      <c r="B231" s="16"/>
      <c r="C231" s="26" t="str">
        <f>IF(A231="","",IF((COUNTIFS(A:A,A231))&gt;1,"ID重复",""))</f>
        <v/>
      </c>
      <c r="D231" s="29">
        <v>6161</v>
      </c>
      <c r="E231" s="21" t="str">
        <f>INDEX([1]道具配置表!$D:$D,MATCH(D231,[1]道具配置表!$A:$A,0))</f>
        <v>5分钟训练加速</v>
      </c>
      <c r="F231" s="29">
        <f>F219+12</f>
        <v>144</v>
      </c>
      <c r="G231" s="16"/>
      <c r="H231" s="16"/>
      <c r="I231" s="16"/>
      <c r="J231" s="16"/>
      <c r="K231" s="16">
        <v>1</v>
      </c>
      <c r="L231" s="16"/>
      <c r="M231" s="16" t="b">
        <v>1</v>
      </c>
      <c r="N231" s="16"/>
      <c r="V231" s="20"/>
      <c r="W231" s="20"/>
      <c r="X231" s="20"/>
      <c r="Y231" s="20"/>
      <c r="Z231" s="20"/>
      <c r="AA231" s="20"/>
      <c r="AB231" s="20"/>
      <c r="AC231" s="20"/>
      <c r="AD231" s="20"/>
    </row>
    <row r="232" spans="1:30" ht="13.5" customHeight="1" x14ac:dyDescent="0.25">
      <c r="A232" s="16">
        <f>A230+1</f>
        <v>6601105</v>
      </c>
      <c r="B232" s="16" t="str">
        <f>INT(RIGHT(A232,3)/10)&amp;"级城杀敌排名奖励第"&amp;"11-20"&amp;"名"</f>
        <v>10级城杀敌排名奖励第11-20名</v>
      </c>
      <c r="C232" s="26" t="str">
        <f>IF(A232="","",IF((COUNTIFS(A:A,A232))&gt;1,"ID重复",""))</f>
        <v/>
      </c>
      <c r="D232" s="29">
        <v>502</v>
      </c>
      <c r="E232" s="21" t="str">
        <f>INDEX([1]道具配置表!$D:$D,MATCH(D232,[1]道具配置表!$A:$A,0))</f>
        <v>1万资源自选宝箱</v>
      </c>
      <c r="F232" s="29">
        <f>F220+10</f>
        <v>120</v>
      </c>
      <c r="G232" s="16"/>
      <c r="H232" s="16"/>
      <c r="I232" s="16"/>
      <c r="J232" s="16"/>
      <c r="K232" s="16">
        <v>1</v>
      </c>
      <c r="L232" s="16"/>
      <c r="M232" s="16" t="b">
        <v>1</v>
      </c>
      <c r="N232" s="16"/>
      <c r="V232" s="20"/>
      <c r="W232" s="20"/>
      <c r="X232" s="20"/>
      <c r="Y232" s="20"/>
      <c r="Z232" s="20"/>
      <c r="AA232" s="20"/>
      <c r="AB232" s="20"/>
      <c r="AC232" s="20"/>
      <c r="AD232" s="20"/>
    </row>
    <row r="233" spans="1:30" ht="13.5" customHeight="1" x14ac:dyDescent="0.25">
      <c r="A233" s="16"/>
      <c r="B233" s="16"/>
      <c r="C233" s="26" t="str">
        <f>IF(A233="","",IF((COUNTIFS(A:A,A233))&gt;1,"ID重复",""))</f>
        <v/>
      </c>
      <c r="D233" s="29">
        <v>6161</v>
      </c>
      <c r="E233" s="21" t="str">
        <f>INDEX([1]道具配置表!$D:$D,MATCH(D233,[1]道具配置表!$A:$A,0))</f>
        <v>5分钟训练加速</v>
      </c>
      <c r="F233" s="29">
        <f>F221+10</f>
        <v>120</v>
      </c>
      <c r="G233" s="16"/>
      <c r="H233" s="16"/>
      <c r="I233" s="16"/>
      <c r="J233" s="16"/>
      <c r="K233" s="16">
        <v>1</v>
      </c>
      <c r="L233" s="16"/>
      <c r="M233" s="16" t="b">
        <v>1</v>
      </c>
      <c r="N233" s="16"/>
      <c r="V233" s="20"/>
      <c r="W233" s="20"/>
      <c r="X233" s="20"/>
      <c r="Y233" s="20"/>
      <c r="Z233" s="20"/>
      <c r="AA233" s="20"/>
      <c r="AB233" s="20"/>
      <c r="AC233" s="20"/>
      <c r="AD233" s="20"/>
    </row>
    <row r="234" spans="1:30" ht="13.5" customHeight="1" x14ac:dyDescent="0.25">
      <c r="A234" s="16">
        <f>A232+1</f>
        <v>6601106</v>
      </c>
      <c r="B234" s="16" t="str">
        <f>INT(RIGHT(A234,3)/10)&amp;"级城杀敌排名奖励第"&amp;"21-30"&amp;"名"</f>
        <v>10级城杀敌排名奖励第21-30名</v>
      </c>
      <c r="C234" s="26" t="str">
        <f>IF(A234="","",IF((COUNTIFS(A:A,A234))&gt;1,"ID重复",""))</f>
        <v/>
      </c>
      <c r="D234" s="29">
        <v>502</v>
      </c>
      <c r="E234" s="21" t="str">
        <f>INDEX([1]道具配置表!$D:$D,MATCH(D234,[1]道具配置表!$A:$A,0))</f>
        <v>1万资源自选宝箱</v>
      </c>
      <c r="F234" s="29">
        <f>F222+8</f>
        <v>96</v>
      </c>
      <c r="G234" s="16"/>
      <c r="H234" s="16"/>
      <c r="I234" s="16"/>
      <c r="J234" s="16"/>
      <c r="K234" s="16">
        <v>1</v>
      </c>
      <c r="L234" s="16"/>
      <c r="M234" s="16" t="b">
        <v>1</v>
      </c>
      <c r="N234" s="16"/>
      <c r="V234" s="20"/>
      <c r="W234" s="20"/>
      <c r="X234" s="20"/>
      <c r="Y234" s="20"/>
      <c r="Z234" s="20"/>
      <c r="AA234" s="20"/>
      <c r="AB234" s="20"/>
      <c r="AC234" s="20"/>
      <c r="AD234" s="20"/>
    </row>
    <row r="235" spans="1:30" ht="13.5" customHeight="1" x14ac:dyDescent="0.25">
      <c r="A235" s="16"/>
      <c r="B235" s="16"/>
      <c r="C235" s="26" t="str">
        <f>IF(A235="","",IF((COUNTIFS(A:A,A235))&gt;1,"ID重复",""))</f>
        <v/>
      </c>
      <c r="D235" s="29">
        <v>6161</v>
      </c>
      <c r="E235" s="21" t="str">
        <f>INDEX([1]道具配置表!$D:$D,MATCH(D235,[1]道具配置表!$A:$A,0))</f>
        <v>5分钟训练加速</v>
      </c>
      <c r="F235" s="29">
        <f>F223+8</f>
        <v>96</v>
      </c>
      <c r="G235" s="16"/>
      <c r="H235" s="16"/>
      <c r="I235" s="16"/>
      <c r="J235" s="16"/>
      <c r="K235" s="16">
        <v>1</v>
      </c>
      <c r="L235" s="16"/>
      <c r="M235" s="16" t="b">
        <v>1</v>
      </c>
      <c r="N235" s="16"/>
      <c r="V235" s="20"/>
      <c r="W235" s="20"/>
      <c r="X235" s="20"/>
      <c r="Y235" s="20"/>
      <c r="Z235" s="20"/>
      <c r="AA235" s="20"/>
      <c r="AB235" s="20"/>
      <c r="AC235" s="20"/>
      <c r="AD235" s="20"/>
    </row>
    <row r="236" spans="1:30" ht="13.5" customHeight="1" x14ac:dyDescent="0.25">
      <c r="A236" s="16">
        <v>6602011</v>
      </c>
      <c r="B236" s="16" t="str">
        <f>INT(RIGHT(A236,3)/10)&amp;"级城拆迁排名奖励第"&amp;1&amp;"名"</f>
        <v>1级城拆迁排名奖励第1名</v>
      </c>
      <c r="C236" s="26" t="str">
        <f>IF(A236="","",IF((COUNTIFS(A:A,A236))&gt;1,"ID重复",""))</f>
        <v/>
      </c>
      <c r="D236" s="16">
        <v>232</v>
      </c>
      <c r="E236" s="21" t="str">
        <f>INDEX([1]道具配置表!$D:$D,MATCH(D236,[1]道具配置表!$A:$A,0))</f>
        <v>1万食物</v>
      </c>
      <c r="F236" s="16">
        <f>F116*0.5</f>
        <v>36</v>
      </c>
      <c r="G236" s="16"/>
      <c r="H236" s="16"/>
      <c r="I236" s="16"/>
      <c r="J236" s="16"/>
      <c r="K236" s="16">
        <v>1</v>
      </c>
      <c r="L236" s="16"/>
      <c r="M236" s="16" t="b">
        <v>1</v>
      </c>
      <c r="N236" s="16"/>
      <c r="V236" s="20"/>
      <c r="W236" s="20"/>
      <c r="X236" s="20"/>
      <c r="Y236" s="20"/>
      <c r="Z236" s="20"/>
      <c r="AA236" s="20"/>
      <c r="AB236" s="20"/>
      <c r="AC236" s="20"/>
      <c r="AD236" s="20"/>
    </row>
    <row r="237" spans="1:30" ht="13.5" customHeight="1" x14ac:dyDescent="0.25">
      <c r="A237" s="16"/>
      <c r="B237" s="16"/>
      <c r="C237" s="26" t="str">
        <f>IF(A237="","",IF((COUNTIFS(A:A,A237))&gt;1,"ID重复",""))</f>
        <v/>
      </c>
      <c r="D237" s="16">
        <v>6161</v>
      </c>
      <c r="E237" s="21" t="str">
        <f>INDEX([1]道具配置表!$D:$D,MATCH(D237,[1]道具配置表!$A:$A,0))</f>
        <v>5分钟训练加速</v>
      </c>
      <c r="F237" s="16">
        <f t="shared" ref="F237:F300" si="41">F117*0.5</f>
        <v>36</v>
      </c>
      <c r="G237" s="16"/>
      <c r="H237" s="16"/>
      <c r="I237" s="16"/>
      <c r="J237" s="16"/>
      <c r="K237" s="16">
        <v>1</v>
      </c>
      <c r="L237" s="16"/>
      <c r="M237" s="16" t="b">
        <v>1</v>
      </c>
      <c r="N237" s="16"/>
      <c r="V237" s="20"/>
      <c r="W237" s="20"/>
      <c r="X237" s="20"/>
      <c r="Y237" s="20"/>
      <c r="Z237" s="20"/>
      <c r="AA237" s="20"/>
      <c r="AB237" s="20"/>
      <c r="AC237" s="20"/>
      <c r="AD237" s="20"/>
    </row>
    <row r="238" spans="1:30" ht="13.5" customHeight="1" x14ac:dyDescent="0.25">
      <c r="A238" s="16">
        <f>A236+1</f>
        <v>6602012</v>
      </c>
      <c r="B238" s="16" t="str">
        <f>INT(RIGHT(A238,3)/10)&amp;"级城拆迁排名奖励第"&amp;2&amp;"名"</f>
        <v>1级城拆迁排名奖励第2名</v>
      </c>
      <c r="C238" s="26" t="str">
        <f>IF(A238="","",IF((COUNTIFS(A:A,A238))&gt;1,"ID重复",""))</f>
        <v/>
      </c>
      <c r="D238" s="29">
        <v>232</v>
      </c>
      <c r="E238" s="21" t="str">
        <f>INDEX([1]道具配置表!$D:$D,MATCH(D238,[1]道具配置表!$A:$A,0))</f>
        <v>1万食物</v>
      </c>
      <c r="F238" s="16">
        <f t="shared" si="41"/>
        <v>30</v>
      </c>
      <c r="G238" s="16"/>
      <c r="H238" s="16"/>
      <c r="I238" s="16"/>
      <c r="J238" s="16"/>
      <c r="K238" s="16">
        <v>1</v>
      </c>
      <c r="L238" s="16"/>
      <c r="M238" s="16" t="b">
        <v>1</v>
      </c>
      <c r="N238" s="16"/>
      <c r="V238" s="20"/>
      <c r="W238" s="20"/>
      <c r="X238" s="20"/>
      <c r="Y238" s="20"/>
      <c r="Z238" s="20"/>
      <c r="AA238" s="20"/>
      <c r="AB238" s="20"/>
      <c r="AC238" s="20"/>
      <c r="AD238" s="20"/>
    </row>
    <row r="239" spans="1:30" ht="13.5" customHeight="1" x14ac:dyDescent="0.25">
      <c r="A239" s="16"/>
      <c r="B239" s="16"/>
      <c r="C239" s="26" t="str">
        <f>IF(A239="","",IF((COUNTIFS(A:A,A239))&gt;1,"ID重复",""))</f>
        <v/>
      </c>
      <c r="D239" s="29">
        <v>6161</v>
      </c>
      <c r="E239" s="21" t="str">
        <f>INDEX([1]道具配置表!$D:$D,MATCH(D239,[1]道具配置表!$A:$A,0))</f>
        <v>5分钟训练加速</v>
      </c>
      <c r="F239" s="16">
        <f t="shared" si="41"/>
        <v>30</v>
      </c>
      <c r="G239" s="16"/>
      <c r="H239" s="16"/>
      <c r="I239" s="16"/>
      <c r="J239" s="16"/>
      <c r="K239" s="16">
        <v>1</v>
      </c>
      <c r="L239" s="16"/>
      <c r="M239" s="16" t="b">
        <v>1</v>
      </c>
      <c r="N239" s="16"/>
      <c r="V239" s="20"/>
      <c r="W239" s="20"/>
      <c r="X239" s="20"/>
      <c r="Y239" s="20"/>
      <c r="Z239" s="20"/>
      <c r="AA239" s="20"/>
      <c r="AB239" s="20"/>
      <c r="AC239" s="20"/>
      <c r="AD239" s="20"/>
    </row>
    <row r="240" spans="1:30" ht="13.5" customHeight="1" x14ac:dyDescent="0.25">
      <c r="A240" s="16">
        <f>A238+1</f>
        <v>6602013</v>
      </c>
      <c r="B240" s="16" t="str">
        <f>INT(RIGHT(A240,3)/10)&amp;"级城拆迁排名奖励第"&amp;3&amp;"名"</f>
        <v>1级城拆迁排名奖励第3名</v>
      </c>
      <c r="C240" s="26" t="str">
        <f>IF(A240="","",IF((COUNTIFS(A:A,A240))&gt;1,"ID重复",""))</f>
        <v/>
      </c>
      <c r="D240" s="29">
        <v>232</v>
      </c>
      <c r="E240" s="21" t="str">
        <f>INDEX([1]道具配置表!$D:$D,MATCH(D240,[1]道具配置表!$A:$A,0))</f>
        <v>1万食物</v>
      </c>
      <c r="F240" s="16">
        <f t="shared" si="41"/>
        <v>24</v>
      </c>
      <c r="G240" s="16"/>
      <c r="H240" s="16"/>
      <c r="I240" s="16"/>
      <c r="J240" s="16"/>
      <c r="K240" s="16">
        <v>1</v>
      </c>
      <c r="L240" s="16"/>
      <c r="M240" s="16" t="b">
        <v>1</v>
      </c>
      <c r="N240" s="16"/>
      <c r="V240" s="20"/>
      <c r="W240" s="20"/>
      <c r="X240" s="20"/>
      <c r="Y240" s="20"/>
      <c r="Z240" s="20"/>
      <c r="AA240" s="20"/>
      <c r="AB240" s="20"/>
      <c r="AC240" s="20"/>
      <c r="AD240" s="20"/>
    </row>
    <row r="241" spans="1:30" ht="13.5" customHeight="1" x14ac:dyDescent="0.25">
      <c r="A241" s="16"/>
      <c r="B241" s="16"/>
      <c r="C241" s="26" t="str">
        <f>IF(A241="","",IF((COUNTIFS(A:A,A241))&gt;1,"ID重复",""))</f>
        <v/>
      </c>
      <c r="D241" s="29">
        <v>6161</v>
      </c>
      <c r="E241" s="21" t="str">
        <f>INDEX([1]道具配置表!$D:$D,MATCH(D241,[1]道具配置表!$A:$A,0))</f>
        <v>5分钟训练加速</v>
      </c>
      <c r="F241" s="16">
        <f t="shared" si="41"/>
        <v>24</v>
      </c>
      <c r="G241" s="16"/>
      <c r="H241" s="16"/>
      <c r="I241" s="16"/>
      <c r="J241" s="16"/>
      <c r="K241" s="16">
        <v>1</v>
      </c>
      <c r="L241" s="16"/>
      <c r="M241" s="16" t="b">
        <v>1</v>
      </c>
      <c r="N241" s="16"/>
      <c r="V241" s="20"/>
      <c r="W241" s="20"/>
      <c r="X241" s="20"/>
      <c r="Y241" s="20"/>
      <c r="Z241" s="20"/>
      <c r="AA241" s="20"/>
      <c r="AB241" s="20"/>
      <c r="AC241" s="20"/>
      <c r="AD241" s="20"/>
    </row>
    <row r="242" spans="1:30" ht="13.5" customHeight="1" x14ac:dyDescent="0.25">
      <c r="A242" s="16">
        <f>A240+1</f>
        <v>6602014</v>
      </c>
      <c r="B242" s="16" t="str">
        <f>INT(RIGHT(A242,3)/10)&amp;"级城拆迁排名奖励第"&amp;"4-10"&amp;"名"</f>
        <v>1级城拆迁排名奖励第4-10名</v>
      </c>
      <c r="C242" s="26" t="str">
        <f>IF(A242="","",IF((COUNTIFS(A:A,A242))&gt;1,"ID重复",""))</f>
        <v/>
      </c>
      <c r="D242" s="29">
        <v>232</v>
      </c>
      <c r="E242" s="21" t="str">
        <f>INDEX([1]道具配置表!$D:$D,MATCH(D242,[1]道具配置表!$A:$A,0))</f>
        <v>1万食物</v>
      </c>
      <c r="F242" s="16">
        <f t="shared" si="41"/>
        <v>18</v>
      </c>
      <c r="G242" s="16"/>
      <c r="H242" s="16"/>
      <c r="I242" s="16"/>
      <c r="J242" s="16"/>
      <c r="K242" s="16">
        <v>1</v>
      </c>
      <c r="L242" s="16"/>
      <c r="M242" s="16" t="b">
        <v>1</v>
      </c>
      <c r="N242" s="16"/>
      <c r="V242" s="20"/>
      <c r="W242" s="20"/>
      <c r="X242" s="20"/>
      <c r="Y242" s="20"/>
      <c r="Z242" s="20"/>
      <c r="AA242" s="20"/>
      <c r="AB242" s="20"/>
      <c r="AC242" s="20"/>
      <c r="AD242" s="20"/>
    </row>
    <row r="243" spans="1:30" ht="13.5" customHeight="1" x14ac:dyDescent="0.25">
      <c r="A243" s="16"/>
      <c r="B243" s="16"/>
      <c r="C243" s="26" t="str">
        <f>IF(A243="","",IF((COUNTIFS(A:A,A243))&gt;1,"ID重复",""))</f>
        <v/>
      </c>
      <c r="D243" s="29">
        <v>6161</v>
      </c>
      <c r="E243" s="21" t="str">
        <f>INDEX([1]道具配置表!$D:$D,MATCH(D243,[1]道具配置表!$A:$A,0))</f>
        <v>5分钟训练加速</v>
      </c>
      <c r="F243" s="16">
        <f t="shared" si="41"/>
        <v>18</v>
      </c>
      <c r="G243" s="16"/>
      <c r="H243" s="16"/>
      <c r="I243" s="16"/>
      <c r="J243" s="16"/>
      <c r="K243" s="16">
        <v>1</v>
      </c>
      <c r="L243" s="16"/>
      <c r="M243" s="16" t="b">
        <v>1</v>
      </c>
      <c r="N243" s="16"/>
      <c r="V243" s="20"/>
      <c r="W243" s="20"/>
      <c r="X243" s="20"/>
      <c r="Y243" s="20"/>
      <c r="Z243" s="20"/>
      <c r="AA243" s="20"/>
      <c r="AB243" s="20"/>
      <c r="AC243" s="20"/>
      <c r="AD243" s="20"/>
    </row>
    <row r="244" spans="1:30" ht="13.5" customHeight="1" x14ac:dyDescent="0.25">
      <c r="A244" s="16">
        <f>A242+1</f>
        <v>6602015</v>
      </c>
      <c r="B244" s="16" t="str">
        <f>INT(RIGHT(A244,3)/10)&amp;"级城拆迁排名奖励第"&amp;"11-20"&amp;"名"</f>
        <v>1级城拆迁排名奖励第11-20名</v>
      </c>
      <c r="C244" s="26" t="str">
        <f>IF(A244="","",IF((COUNTIFS(A:A,A244))&gt;1,"ID重复",""))</f>
        <v/>
      </c>
      <c r="D244" s="29">
        <v>232</v>
      </c>
      <c r="E244" s="21" t="str">
        <f>INDEX([1]道具配置表!$D:$D,MATCH(D244,[1]道具配置表!$A:$A,0))</f>
        <v>1万食物</v>
      </c>
      <c r="F244" s="16">
        <f t="shared" si="41"/>
        <v>15</v>
      </c>
      <c r="G244" s="16"/>
      <c r="H244" s="16"/>
      <c r="I244" s="16"/>
      <c r="J244" s="16"/>
      <c r="K244" s="16">
        <v>1</v>
      </c>
      <c r="L244" s="16"/>
      <c r="M244" s="16" t="b">
        <v>1</v>
      </c>
      <c r="N244" s="16"/>
      <c r="V244" s="20"/>
      <c r="W244" s="20"/>
      <c r="X244" s="20"/>
      <c r="Y244" s="20"/>
      <c r="Z244" s="20"/>
      <c r="AA244" s="20"/>
      <c r="AB244" s="20"/>
      <c r="AC244" s="20"/>
      <c r="AD244" s="20"/>
    </row>
    <row r="245" spans="1:30" ht="13.5" customHeight="1" x14ac:dyDescent="0.25">
      <c r="A245" s="16"/>
      <c r="B245" s="16"/>
      <c r="C245" s="26" t="str">
        <f>IF(A245="","",IF((COUNTIFS(A:A,A245))&gt;1,"ID重复",""))</f>
        <v/>
      </c>
      <c r="D245" s="29">
        <v>6161</v>
      </c>
      <c r="E245" s="21" t="str">
        <f>INDEX([1]道具配置表!$D:$D,MATCH(D245,[1]道具配置表!$A:$A,0))</f>
        <v>5分钟训练加速</v>
      </c>
      <c r="F245" s="16">
        <f t="shared" si="41"/>
        <v>15</v>
      </c>
      <c r="G245" s="16"/>
      <c r="H245" s="16"/>
      <c r="I245" s="16"/>
      <c r="J245" s="16"/>
      <c r="K245" s="16">
        <v>1</v>
      </c>
      <c r="L245" s="16"/>
      <c r="M245" s="16" t="b">
        <v>1</v>
      </c>
      <c r="N245" s="16"/>
      <c r="V245" s="20"/>
      <c r="W245" s="20"/>
      <c r="X245" s="20"/>
      <c r="Y245" s="20"/>
      <c r="Z245" s="20"/>
      <c r="AA245" s="20"/>
      <c r="AB245" s="20"/>
      <c r="AC245" s="20"/>
      <c r="AD245" s="20"/>
    </row>
    <row r="246" spans="1:30" ht="13.5" customHeight="1" x14ac:dyDescent="0.25">
      <c r="A246" s="16">
        <f>A244+1</f>
        <v>6602016</v>
      </c>
      <c r="B246" s="16" t="str">
        <f>INT(RIGHT(A246,3)/10)&amp;"级城拆迁排名奖励第"&amp;"21-30"&amp;"名"</f>
        <v>1级城拆迁排名奖励第21-30名</v>
      </c>
      <c r="C246" s="26" t="str">
        <f>IF(A246="","",IF((COUNTIFS(A:A,A246))&gt;1,"ID重复",""))</f>
        <v/>
      </c>
      <c r="D246" s="29">
        <v>232</v>
      </c>
      <c r="E246" s="21" t="str">
        <f>INDEX([1]道具配置表!$D:$D,MATCH(D246,[1]道具配置表!$A:$A,0))</f>
        <v>1万食物</v>
      </c>
      <c r="F246" s="16">
        <f t="shared" si="41"/>
        <v>12</v>
      </c>
      <c r="G246" s="16"/>
      <c r="H246" s="16"/>
      <c r="I246" s="16"/>
      <c r="J246" s="16"/>
      <c r="K246" s="16">
        <v>1</v>
      </c>
      <c r="L246" s="16"/>
      <c r="M246" s="16" t="b">
        <v>1</v>
      </c>
      <c r="N246" s="16"/>
      <c r="V246" s="20"/>
      <c r="W246" s="20"/>
      <c r="X246" s="20"/>
      <c r="Y246" s="20"/>
      <c r="Z246" s="20"/>
      <c r="AA246" s="20"/>
      <c r="AB246" s="20"/>
      <c r="AC246" s="20"/>
      <c r="AD246" s="20"/>
    </row>
    <row r="247" spans="1:30" ht="13.5" customHeight="1" x14ac:dyDescent="0.25">
      <c r="A247" s="16"/>
      <c r="B247" s="16"/>
      <c r="C247" s="26" t="str">
        <f>IF(A247="","",IF((COUNTIFS(A:A,A247))&gt;1,"ID重复",""))</f>
        <v/>
      </c>
      <c r="D247" s="29">
        <v>6161</v>
      </c>
      <c r="E247" s="21" t="str">
        <f>INDEX([1]道具配置表!$D:$D,MATCH(D247,[1]道具配置表!$A:$A,0))</f>
        <v>5分钟训练加速</v>
      </c>
      <c r="F247" s="16">
        <f t="shared" si="41"/>
        <v>12</v>
      </c>
      <c r="G247" s="16"/>
      <c r="H247" s="16"/>
      <c r="I247" s="16"/>
      <c r="J247" s="16"/>
      <c r="K247" s="16">
        <v>1</v>
      </c>
      <c r="L247" s="16"/>
      <c r="M247" s="16" t="b">
        <v>1</v>
      </c>
      <c r="N247" s="16"/>
      <c r="V247" s="20"/>
      <c r="W247" s="20"/>
      <c r="X247" s="20"/>
      <c r="Y247" s="20"/>
      <c r="Z247" s="20"/>
      <c r="AA247" s="20"/>
      <c r="AB247" s="20"/>
      <c r="AC247" s="20"/>
      <c r="AD247" s="20"/>
    </row>
    <row r="248" spans="1:30" ht="13.5" customHeight="1" x14ac:dyDescent="0.25">
      <c r="A248" s="16">
        <f>A236+10</f>
        <v>6602021</v>
      </c>
      <c r="B248" s="16" t="str">
        <f>INT(RIGHT(A248,3)/10)&amp;"级城拆迁排名奖励第"&amp;1&amp;"名"</f>
        <v>2级城拆迁排名奖励第1名</v>
      </c>
      <c r="C248" s="26" t="str">
        <f>IF(A248="","",IF((COUNTIFS(A:A,A248))&gt;1,"ID重复",""))</f>
        <v/>
      </c>
      <c r="D248" s="29">
        <v>232</v>
      </c>
      <c r="E248" s="21" t="str">
        <f>INDEX([1]道具配置表!$D:$D,MATCH(D248,[1]道具配置表!$A:$A,0))</f>
        <v>1万食物</v>
      </c>
      <c r="F248" s="16">
        <f t="shared" si="41"/>
        <v>48</v>
      </c>
      <c r="G248" s="16"/>
      <c r="H248" s="16"/>
      <c r="I248" s="16"/>
      <c r="J248" s="16"/>
      <c r="K248" s="16">
        <v>1</v>
      </c>
      <c r="L248" s="16"/>
      <c r="M248" s="16" t="b">
        <v>1</v>
      </c>
      <c r="N248" s="16"/>
      <c r="V248" s="20"/>
      <c r="W248" s="20"/>
      <c r="X248" s="20"/>
      <c r="Y248" s="20"/>
      <c r="Z248" s="20"/>
      <c r="AA248" s="20"/>
      <c r="AB248" s="20"/>
      <c r="AC248" s="20"/>
      <c r="AD248" s="20"/>
    </row>
    <row r="249" spans="1:30" ht="13.5" customHeight="1" x14ac:dyDescent="0.25">
      <c r="A249" s="16"/>
      <c r="B249" s="16"/>
      <c r="C249" s="26" t="str">
        <f>IF(A249="","",IF((COUNTIFS(A:A,A249))&gt;1,"ID重复",""))</f>
        <v/>
      </c>
      <c r="D249" s="29">
        <v>6161</v>
      </c>
      <c r="E249" s="21" t="str">
        <f>INDEX([1]道具配置表!$D:$D,MATCH(D249,[1]道具配置表!$A:$A,0))</f>
        <v>5分钟训练加速</v>
      </c>
      <c r="F249" s="16">
        <f t="shared" si="41"/>
        <v>48</v>
      </c>
      <c r="G249" s="16"/>
      <c r="H249" s="16"/>
      <c r="I249" s="16"/>
      <c r="J249" s="16"/>
      <c r="K249" s="16">
        <v>1</v>
      </c>
      <c r="L249" s="16"/>
      <c r="M249" s="16" t="b">
        <v>1</v>
      </c>
      <c r="N249" s="16"/>
      <c r="V249" s="20"/>
      <c r="W249" s="20"/>
      <c r="X249" s="20"/>
      <c r="Y249" s="20"/>
      <c r="Z249" s="20"/>
      <c r="AA249" s="20"/>
      <c r="AB249" s="20"/>
      <c r="AC249" s="20"/>
      <c r="AD249" s="20"/>
    </row>
    <row r="250" spans="1:30" ht="13.5" customHeight="1" x14ac:dyDescent="0.25">
      <c r="A250" s="16">
        <f>A248+1</f>
        <v>6602022</v>
      </c>
      <c r="B250" s="16" t="str">
        <f>INT(RIGHT(A250,3)/10)&amp;"级城拆迁排名奖励第"&amp;2&amp;"名"</f>
        <v>2级城拆迁排名奖励第2名</v>
      </c>
      <c r="C250" s="26" t="str">
        <f>IF(A250="","",IF((COUNTIFS(A:A,A250))&gt;1,"ID重复",""))</f>
        <v/>
      </c>
      <c r="D250" s="29">
        <v>232</v>
      </c>
      <c r="E250" s="21" t="str">
        <f>INDEX([1]道具配置表!$D:$D,MATCH(D250,[1]道具配置表!$A:$A,0))</f>
        <v>1万食物</v>
      </c>
      <c r="F250" s="16">
        <f t="shared" si="41"/>
        <v>40</v>
      </c>
      <c r="G250" s="16"/>
      <c r="H250" s="16"/>
      <c r="I250" s="16"/>
      <c r="J250" s="16"/>
      <c r="K250" s="16">
        <v>1</v>
      </c>
      <c r="L250" s="16"/>
      <c r="M250" s="16" t="b">
        <v>1</v>
      </c>
      <c r="N250" s="16"/>
      <c r="V250" s="20"/>
      <c r="W250" s="20"/>
      <c r="X250" s="20"/>
      <c r="Y250" s="20"/>
      <c r="Z250" s="20"/>
      <c r="AA250" s="20"/>
      <c r="AB250" s="20"/>
      <c r="AC250" s="20"/>
      <c r="AD250" s="20"/>
    </row>
    <row r="251" spans="1:30" ht="13.5" customHeight="1" x14ac:dyDescent="0.25">
      <c r="A251" s="16"/>
      <c r="B251" s="16"/>
      <c r="C251" s="26" t="str">
        <f>IF(A251="","",IF((COUNTIFS(A:A,A251))&gt;1,"ID重复",""))</f>
        <v/>
      </c>
      <c r="D251" s="29">
        <v>6161</v>
      </c>
      <c r="E251" s="21" t="str">
        <f>INDEX([1]道具配置表!$D:$D,MATCH(D251,[1]道具配置表!$A:$A,0))</f>
        <v>5分钟训练加速</v>
      </c>
      <c r="F251" s="16">
        <f t="shared" si="41"/>
        <v>40</v>
      </c>
      <c r="G251" s="16"/>
      <c r="H251" s="16"/>
      <c r="I251" s="16"/>
      <c r="J251" s="16"/>
      <c r="K251" s="16">
        <v>1</v>
      </c>
      <c r="L251" s="16"/>
      <c r="M251" s="16" t="b">
        <v>1</v>
      </c>
      <c r="N251" s="16"/>
      <c r="V251" s="20"/>
      <c r="W251" s="20"/>
      <c r="X251" s="20"/>
      <c r="Y251" s="20"/>
      <c r="Z251" s="20"/>
      <c r="AA251" s="20"/>
      <c r="AB251" s="20"/>
      <c r="AC251" s="20"/>
      <c r="AD251" s="20"/>
    </row>
    <row r="252" spans="1:30" ht="13.5" customHeight="1" x14ac:dyDescent="0.25">
      <c r="A252" s="16">
        <f>A250+1</f>
        <v>6602023</v>
      </c>
      <c r="B252" s="16" t="str">
        <f>INT(RIGHT(A252,3)/10)&amp;"级城拆迁排名奖励第"&amp;3&amp;"名"</f>
        <v>2级城拆迁排名奖励第3名</v>
      </c>
      <c r="C252" s="26" t="str">
        <f>IF(A252="","",IF((COUNTIFS(A:A,A252))&gt;1,"ID重复",""))</f>
        <v/>
      </c>
      <c r="D252" s="29">
        <v>232</v>
      </c>
      <c r="E252" s="21" t="str">
        <f>INDEX([1]道具配置表!$D:$D,MATCH(D252,[1]道具配置表!$A:$A,0))</f>
        <v>1万食物</v>
      </c>
      <c r="F252" s="16">
        <f t="shared" si="41"/>
        <v>32</v>
      </c>
      <c r="G252" s="16"/>
      <c r="H252" s="16"/>
      <c r="I252" s="16"/>
      <c r="J252" s="16"/>
      <c r="K252" s="16">
        <v>1</v>
      </c>
      <c r="L252" s="16"/>
      <c r="M252" s="16" t="b">
        <v>1</v>
      </c>
      <c r="N252" s="16"/>
      <c r="V252" s="20"/>
      <c r="W252" s="20"/>
      <c r="X252" s="20"/>
      <c r="Y252" s="20"/>
      <c r="Z252" s="20"/>
      <c r="AA252" s="20"/>
      <c r="AB252" s="20"/>
      <c r="AC252" s="20"/>
      <c r="AD252" s="20"/>
    </row>
    <row r="253" spans="1:30" ht="13.5" customHeight="1" x14ac:dyDescent="0.25">
      <c r="A253" s="16"/>
      <c r="B253" s="16"/>
      <c r="C253" s="26" t="str">
        <f>IF(A253="","",IF((COUNTIFS(A:A,A253))&gt;1,"ID重复",""))</f>
        <v/>
      </c>
      <c r="D253" s="29">
        <v>6161</v>
      </c>
      <c r="E253" s="21" t="str">
        <f>INDEX([1]道具配置表!$D:$D,MATCH(D253,[1]道具配置表!$A:$A,0))</f>
        <v>5分钟训练加速</v>
      </c>
      <c r="F253" s="16">
        <f t="shared" si="41"/>
        <v>32</v>
      </c>
      <c r="G253" s="16"/>
      <c r="H253" s="16"/>
      <c r="I253" s="16"/>
      <c r="J253" s="16"/>
      <c r="K253" s="16">
        <v>1</v>
      </c>
      <c r="L253" s="16"/>
      <c r="M253" s="16" t="b">
        <v>1</v>
      </c>
      <c r="N253" s="16"/>
      <c r="V253" s="20"/>
      <c r="W253" s="20"/>
      <c r="X253" s="20"/>
      <c r="Y253" s="20"/>
      <c r="Z253" s="20"/>
      <c r="AA253" s="20"/>
      <c r="AB253" s="20"/>
      <c r="AC253" s="20"/>
      <c r="AD253" s="20"/>
    </row>
    <row r="254" spans="1:30" ht="13.5" customHeight="1" x14ac:dyDescent="0.25">
      <c r="A254" s="16">
        <f>A252+1</f>
        <v>6602024</v>
      </c>
      <c r="B254" s="16" t="str">
        <f>INT(RIGHT(A254,3)/10)&amp;"级城拆迁排名奖励第"&amp;"4-10"&amp;"名"</f>
        <v>2级城拆迁排名奖励第4-10名</v>
      </c>
      <c r="C254" s="26" t="str">
        <f>IF(A254="","",IF((COUNTIFS(A:A,A254))&gt;1,"ID重复",""))</f>
        <v/>
      </c>
      <c r="D254" s="29">
        <v>232</v>
      </c>
      <c r="E254" s="21" t="str">
        <f>INDEX([1]道具配置表!$D:$D,MATCH(D254,[1]道具配置表!$A:$A,0))</f>
        <v>1万食物</v>
      </c>
      <c r="F254" s="16">
        <f t="shared" si="41"/>
        <v>24</v>
      </c>
      <c r="G254" s="16"/>
      <c r="H254" s="16"/>
      <c r="I254" s="16"/>
      <c r="J254" s="16"/>
      <c r="K254" s="16">
        <v>1</v>
      </c>
      <c r="L254" s="16"/>
      <c r="M254" s="16" t="b">
        <v>1</v>
      </c>
      <c r="N254" s="16"/>
      <c r="V254" s="20"/>
      <c r="W254" s="20"/>
      <c r="X254" s="20"/>
      <c r="Y254" s="20"/>
      <c r="Z254" s="20"/>
      <c r="AA254" s="20"/>
      <c r="AB254" s="20"/>
      <c r="AC254" s="20"/>
      <c r="AD254" s="20"/>
    </row>
    <row r="255" spans="1:30" ht="13.5" customHeight="1" x14ac:dyDescent="0.25">
      <c r="A255" s="16"/>
      <c r="B255" s="16"/>
      <c r="C255" s="26" t="str">
        <f>IF(A255="","",IF((COUNTIFS(A:A,A255))&gt;1,"ID重复",""))</f>
        <v/>
      </c>
      <c r="D255" s="29">
        <v>6161</v>
      </c>
      <c r="E255" s="21" t="str">
        <f>INDEX([1]道具配置表!$D:$D,MATCH(D255,[1]道具配置表!$A:$A,0))</f>
        <v>5分钟训练加速</v>
      </c>
      <c r="F255" s="16">
        <f t="shared" si="41"/>
        <v>24</v>
      </c>
      <c r="G255" s="16"/>
      <c r="H255" s="16"/>
      <c r="I255" s="16"/>
      <c r="J255" s="16"/>
      <c r="K255" s="16">
        <v>1</v>
      </c>
      <c r="L255" s="16"/>
      <c r="M255" s="16" t="b">
        <v>1</v>
      </c>
      <c r="N255" s="16"/>
      <c r="V255" s="20"/>
      <c r="W255" s="20"/>
      <c r="X255" s="20"/>
      <c r="Y255" s="20"/>
      <c r="Z255" s="20"/>
      <c r="AA255" s="20"/>
      <c r="AB255" s="20"/>
      <c r="AC255" s="20"/>
      <c r="AD255" s="20"/>
    </row>
    <row r="256" spans="1:30" ht="13.5" customHeight="1" x14ac:dyDescent="0.25">
      <c r="A256" s="16">
        <f>A254+1</f>
        <v>6602025</v>
      </c>
      <c r="B256" s="16" t="str">
        <f>INT(RIGHT(A256,3)/10)&amp;"级城拆迁排名奖励第"&amp;"11-20"&amp;"名"</f>
        <v>2级城拆迁排名奖励第11-20名</v>
      </c>
      <c r="C256" s="26" t="str">
        <f>IF(A256="","",IF((COUNTIFS(A:A,A256))&gt;1,"ID重复",""))</f>
        <v/>
      </c>
      <c r="D256" s="29">
        <v>232</v>
      </c>
      <c r="E256" s="21" t="str">
        <f>INDEX([1]道具配置表!$D:$D,MATCH(D256,[1]道具配置表!$A:$A,0))</f>
        <v>1万食物</v>
      </c>
      <c r="F256" s="16">
        <f t="shared" si="41"/>
        <v>20</v>
      </c>
      <c r="G256" s="16"/>
      <c r="H256" s="16"/>
      <c r="I256" s="16"/>
      <c r="J256" s="16"/>
      <c r="K256" s="16">
        <v>1</v>
      </c>
      <c r="L256" s="16"/>
      <c r="M256" s="16" t="b">
        <v>1</v>
      </c>
      <c r="N256" s="16"/>
      <c r="V256" s="20"/>
      <c r="W256" s="20"/>
      <c r="X256" s="20"/>
      <c r="Y256" s="20"/>
      <c r="Z256" s="20"/>
      <c r="AA256" s="20"/>
      <c r="AB256" s="20"/>
      <c r="AC256" s="20"/>
      <c r="AD256" s="20"/>
    </row>
    <row r="257" spans="1:30" ht="13.5" customHeight="1" x14ac:dyDescent="0.25">
      <c r="A257" s="16"/>
      <c r="B257" s="16"/>
      <c r="C257" s="26" t="str">
        <f>IF(A257="","",IF((COUNTIFS(A:A,A257))&gt;1,"ID重复",""))</f>
        <v/>
      </c>
      <c r="D257" s="29">
        <v>6161</v>
      </c>
      <c r="E257" s="21" t="str">
        <f>INDEX([1]道具配置表!$D:$D,MATCH(D257,[1]道具配置表!$A:$A,0))</f>
        <v>5分钟训练加速</v>
      </c>
      <c r="F257" s="16">
        <f t="shared" si="41"/>
        <v>20</v>
      </c>
      <c r="G257" s="16"/>
      <c r="H257" s="16"/>
      <c r="I257" s="16"/>
      <c r="J257" s="16"/>
      <c r="K257" s="16">
        <v>1</v>
      </c>
      <c r="L257" s="16"/>
      <c r="M257" s="16" t="b">
        <v>1</v>
      </c>
      <c r="N257" s="16"/>
      <c r="V257" s="20"/>
      <c r="W257" s="20"/>
      <c r="X257" s="20"/>
      <c r="Y257" s="20"/>
      <c r="Z257" s="20"/>
      <c r="AA257" s="20"/>
      <c r="AB257" s="20"/>
      <c r="AC257" s="20"/>
      <c r="AD257" s="20"/>
    </row>
    <row r="258" spans="1:30" ht="13.5" customHeight="1" x14ac:dyDescent="0.25">
      <c r="A258" s="16">
        <f>A256+1</f>
        <v>6602026</v>
      </c>
      <c r="B258" s="16" t="str">
        <f>INT(RIGHT(A258,3)/10)&amp;"级城拆迁排名奖励第"&amp;"21-30"&amp;"名"</f>
        <v>2级城拆迁排名奖励第21-30名</v>
      </c>
      <c r="C258" s="26" t="str">
        <f>IF(A258="","",IF((COUNTIFS(A:A,A258))&gt;1,"ID重复",""))</f>
        <v/>
      </c>
      <c r="D258" s="29">
        <v>232</v>
      </c>
      <c r="E258" s="21" t="str">
        <f>INDEX([1]道具配置表!$D:$D,MATCH(D258,[1]道具配置表!$A:$A,0))</f>
        <v>1万食物</v>
      </c>
      <c r="F258" s="16">
        <f t="shared" si="41"/>
        <v>16</v>
      </c>
      <c r="G258" s="16"/>
      <c r="H258" s="16"/>
      <c r="I258" s="16"/>
      <c r="J258" s="16"/>
      <c r="K258" s="16">
        <v>1</v>
      </c>
      <c r="L258" s="16"/>
      <c r="M258" s="16" t="b">
        <v>1</v>
      </c>
      <c r="N258" s="16"/>
      <c r="V258" s="20"/>
      <c r="W258" s="20"/>
      <c r="X258" s="20"/>
      <c r="Y258" s="20"/>
      <c r="Z258" s="20"/>
      <c r="AA258" s="20"/>
      <c r="AB258" s="20"/>
      <c r="AC258" s="20"/>
      <c r="AD258" s="20"/>
    </row>
    <row r="259" spans="1:30" ht="13.5" customHeight="1" x14ac:dyDescent="0.25">
      <c r="A259" s="16"/>
      <c r="B259" s="16"/>
      <c r="C259" s="26" t="str">
        <f>IF(A259="","",IF((COUNTIFS(A:A,A259))&gt;1,"ID重复",""))</f>
        <v/>
      </c>
      <c r="D259" s="29">
        <v>6161</v>
      </c>
      <c r="E259" s="21" t="str">
        <f>INDEX([1]道具配置表!$D:$D,MATCH(D259,[1]道具配置表!$A:$A,0))</f>
        <v>5分钟训练加速</v>
      </c>
      <c r="F259" s="16">
        <f t="shared" si="41"/>
        <v>16</v>
      </c>
      <c r="G259" s="16"/>
      <c r="H259" s="16"/>
      <c r="I259" s="16"/>
      <c r="J259" s="16"/>
      <c r="K259" s="16">
        <v>1</v>
      </c>
      <c r="L259" s="16"/>
      <c r="M259" s="16" t="b">
        <v>1</v>
      </c>
      <c r="N259" s="16"/>
      <c r="V259" s="20"/>
      <c r="W259" s="20"/>
      <c r="X259" s="20"/>
      <c r="Y259" s="20"/>
      <c r="Z259" s="20"/>
      <c r="AA259" s="20"/>
      <c r="AB259" s="20"/>
      <c r="AC259" s="20"/>
      <c r="AD259" s="20"/>
    </row>
    <row r="260" spans="1:30" ht="13.5" customHeight="1" x14ac:dyDescent="0.25">
      <c r="A260" s="16">
        <f>A248+10</f>
        <v>6602031</v>
      </c>
      <c r="B260" s="16" t="str">
        <f>INT(RIGHT(A260,3)/10)&amp;"级城拆迁排名奖励第"&amp;1&amp;"名"</f>
        <v>3级城拆迁排名奖励第1名</v>
      </c>
      <c r="C260" s="26" t="str">
        <f>IF(A260="","",IF((COUNTIFS(A:A,A260))&gt;1,"ID重复",""))</f>
        <v/>
      </c>
      <c r="D260" s="29">
        <v>232</v>
      </c>
      <c r="E260" s="21" t="str">
        <f>INDEX([1]道具配置表!$D:$D,MATCH(D260,[1]道具配置表!$A:$A,0))</f>
        <v>1万食物</v>
      </c>
      <c r="F260" s="16">
        <f t="shared" si="41"/>
        <v>60</v>
      </c>
      <c r="G260" s="16"/>
      <c r="H260" s="16"/>
      <c r="I260" s="16"/>
      <c r="J260" s="16"/>
      <c r="K260" s="16">
        <v>1</v>
      </c>
      <c r="L260" s="16"/>
      <c r="M260" s="16" t="b">
        <v>1</v>
      </c>
      <c r="N260" s="16"/>
      <c r="V260" s="20"/>
      <c r="W260" s="20"/>
      <c r="X260" s="20"/>
      <c r="Y260" s="20"/>
      <c r="Z260" s="20"/>
      <c r="AA260" s="20"/>
      <c r="AB260" s="20"/>
      <c r="AC260" s="20"/>
      <c r="AD260" s="20"/>
    </row>
    <row r="261" spans="1:30" ht="13.5" customHeight="1" x14ac:dyDescent="0.25">
      <c r="A261" s="16"/>
      <c r="B261" s="16"/>
      <c r="C261" s="26" t="str">
        <f>IF(A261="","",IF((COUNTIFS(A:A,A261))&gt;1,"ID重复",""))</f>
        <v/>
      </c>
      <c r="D261" s="29">
        <v>6161</v>
      </c>
      <c r="E261" s="21" t="str">
        <f>INDEX([1]道具配置表!$D:$D,MATCH(D261,[1]道具配置表!$A:$A,0))</f>
        <v>5分钟训练加速</v>
      </c>
      <c r="F261" s="16">
        <f t="shared" si="41"/>
        <v>60</v>
      </c>
      <c r="G261" s="16"/>
      <c r="H261" s="16"/>
      <c r="I261" s="16"/>
      <c r="J261" s="16"/>
      <c r="K261" s="16">
        <v>1</v>
      </c>
      <c r="L261" s="16"/>
      <c r="M261" s="16" t="b">
        <v>1</v>
      </c>
      <c r="N261" s="16"/>
      <c r="V261" s="20"/>
      <c r="W261" s="20"/>
      <c r="X261" s="20"/>
      <c r="Y261" s="20"/>
      <c r="Z261" s="20"/>
      <c r="AA261" s="20"/>
      <c r="AB261" s="20"/>
      <c r="AC261" s="20"/>
      <c r="AD261" s="20"/>
    </row>
    <row r="262" spans="1:30" ht="13.5" customHeight="1" x14ac:dyDescent="0.25">
      <c r="A262" s="16">
        <f>A260+1</f>
        <v>6602032</v>
      </c>
      <c r="B262" s="16" t="str">
        <f>INT(RIGHT(A262,3)/10)&amp;"级城拆迁排名奖励第"&amp;2&amp;"名"</f>
        <v>3级城拆迁排名奖励第2名</v>
      </c>
      <c r="C262" s="26" t="str">
        <f>IF(A262="","",IF((COUNTIFS(A:A,A262))&gt;1,"ID重复",""))</f>
        <v/>
      </c>
      <c r="D262" s="29">
        <v>232</v>
      </c>
      <c r="E262" s="21" t="str">
        <f>INDEX([1]道具配置表!$D:$D,MATCH(D262,[1]道具配置表!$A:$A,0))</f>
        <v>1万食物</v>
      </c>
      <c r="F262" s="16">
        <f t="shared" si="41"/>
        <v>50</v>
      </c>
      <c r="G262" s="16"/>
      <c r="H262" s="16"/>
      <c r="I262" s="16"/>
      <c r="J262" s="16"/>
      <c r="K262" s="16">
        <v>1</v>
      </c>
      <c r="L262" s="16"/>
      <c r="M262" s="16" t="b">
        <v>1</v>
      </c>
      <c r="N262" s="16"/>
      <c r="V262" s="20"/>
      <c r="W262" s="20"/>
      <c r="X262" s="20"/>
      <c r="Y262" s="20"/>
      <c r="Z262" s="20"/>
      <c r="AA262" s="20"/>
      <c r="AB262" s="20"/>
      <c r="AC262" s="20"/>
      <c r="AD262" s="20"/>
    </row>
    <row r="263" spans="1:30" ht="13.5" customHeight="1" x14ac:dyDescent="0.25">
      <c r="A263" s="16"/>
      <c r="B263" s="16"/>
      <c r="C263" s="26" t="str">
        <f>IF(A263="","",IF((COUNTIFS(A:A,A263))&gt;1,"ID重复",""))</f>
        <v/>
      </c>
      <c r="D263" s="29">
        <v>6161</v>
      </c>
      <c r="E263" s="21" t="str">
        <f>INDEX([1]道具配置表!$D:$D,MATCH(D263,[1]道具配置表!$A:$A,0))</f>
        <v>5分钟训练加速</v>
      </c>
      <c r="F263" s="16">
        <f t="shared" si="41"/>
        <v>50</v>
      </c>
      <c r="G263" s="16"/>
      <c r="H263" s="16"/>
      <c r="I263" s="16"/>
      <c r="J263" s="16"/>
      <c r="K263" s="16">
        <v>1</v>
      </c>
      <c r="L263" s="16"/>
      <c r="M263" s="16" t="b">
        <v>1</v>
      </c>
      <c r="N263" s="16"/>
      <c r="V263" s="20"/>
      <c r="W263" s="20"/>
      <c r="X263" s="20"/>
      <c r="Y263" s="20"/>
      <c r="Z263" s="20"/>
      <c r="AA263" s="20"/>
      <c r="AB263" s="20"/>
      <c r="AC263" s="20"/>
      <c r="AD263" s="20"/>
    </row>
    <row r="264" spans="1:30" ht="13.5" customHeight="1" x14ac:dyDescent="0.25">
      <c r="A264" s="16">
        <f>A262+1</f>
        <v>6602033</v>
      </c>
      <c r="B264" s="16" t="str">
        <f>INT(RIGHT(A264,3)/10)&amp;"级城拆迁排名奖励第"&amp;3&amp;"名"</f>
        <v>3级城拆迁排名奖励第3名</v>
      </c>
      <c r="C264" s="26" t="str">
        <f>IF(A264="","",IF((COUNTIFS(A:A,A264))&gt;1,"ID重复",""))</f>
        <v/>
      </c>
      <c r="D264" s="29">
        <v>232</v>
      </c>
      <c r="E264" s="21" t="str">
        <f>INDEX([1]道具配置表!$D:$D,MATCH(D264,[1]道具配置表!$A:$A,0))</f>
        <v>1万食物</v>
      </c>
      <c r="F264" s="16">
        <f t="shared" si="41"/>
        <v>40</v>
      </c>
      <c r="G264" s="16"/>
      <c r="H264" s="16"/>
      <c r="I264" s="16"/>
      <c r="J264" s="16"/>
      <c r="K264" s="16">
        <v>1</v>
      </c>
      <c r="L264" s="16"/>
      <c r="M264" s="16" t="b">
        <v>1</v>
      </c>
      <c r="N264" s="16"/>
      <c r="V264" s="20"/>
      <c r="W264" s="20"/>
      <c r="X264" s="20"/>
      <c r="Y264" s="20"/>
      <c r="Z264" s="20"/>
      <c r="AA264" s="20"/>
      <c r="AB264" s="20"/>
      <c r="AC264" s="20"/>
      <c r="AD264" s="20"/>
    </row>
    <row r="265" spans="1:30" ht="13.5" customHeight="1" x14ac:dyDescent="0.25">
      <c r="A265" s="16"/>
      <c r="B265" s="16"/>
      <c r="C265" s="26" t="str">
        <f>IF(A265="","",IF((COUNTIFS(A:A,A265))&gt;1,"ID重复",""))</f>
        <v/>
      </c>
      <c r="D265" s="29">
        <v>6161</v>
      </c>
      <c r="E265" s="21" t="str">
        <f>INDEX([1]道具配置表!$D:$D,MATCH(D265,[1]道具配置表!$A:$A,0))</f>
        <v>5分钟训练加速</v>
      </c>
      <c r="F265" s="16">
        <f t="shared" si="41"/>
        <v>40</v>
      </c>
      <c r="G265" s="16"/>
      <c r="H265" s="16"/>
      <c r="I265" s="16"/>
      <c r="J265" s="16"/>
      <c r="K265" s="16">
        <v>1</v>
      </c>
      <c r="L265" s="16"/>
      <c r="M265" s="16" t="b">
        <v>1</v>
      </c>
      <c r="N265" s="16"/>
      <c r="V265" s="20"/>
      <c r="W265" s="20"/>
      <c r="X265" s="20"/>
      <c r="Y265" s="20"/>
      <c r="Z265" s="20"/>
      <c r="AA265" s="20"/>
      <c r="AB265" s="20"/>
      <c r="AC265" s="20"/>
      <c r="AD265" s="20"/>
    </row>
    <row r="266" spans="1:30" ht="13.5" customHeight="1" x14ac:dyDescent="0.25">
      <c r="A266" s="16">
        <f>A264+1</f>
        <v>6602034</v>
      </c>
      <c r="B266" s="16" t="str">
        <f>INT(RIGHT(A266,3)/10)&amp;"级城拆迁排名奖励第"&amp;"4-10"&amp;"名"</f>
        <v>3级城拆迁排名奖励第4-10名</v>
      </c>
      <c r="C266" s="26" t="str">
        <f>IF(A266="","",IF((COUNTIFS(A:A,A266))&gt;1,"ID重复",""))</f>
        <v/>
      </c>
      <c r="D266" s="29">
        <v>232</v>
      </c>
      <c r="E266" s="21" t="str">
        <f>INDEX([1]道具配置表!$D:$D,MATCH(D266,[1]道具配置表!$A:$A,0))</f>
        <v>1万食物</v>
      </c>
      <c r="F266" s="16">
        <f t="shared" si="41"/>
        <v>30</v>
      </c>
      <c r="G266" s="16"/>
      <c r="H266" s="16"/>
      <c r="I266" s="16"/>
      <c r="J266" s="16"/>
      <c r="K266" s="16">
        <v>1</v>
      </c>
      <c r="L266" s="16"/>
      <c r="M266" s="16" t="b">
        <v>1</v>
      </c>
      <c r="N266" s="16"/>
      <c r="V266" s="20"/>
      <c r="W266" s="20"/>
      <c r="X266" s="20"/>
      <c r="Y266" s="20"/>
      <c r="Z266" s="20"/>
      <c r="AA266" s="20"/>
      <c r="AB266" s="20"/>
      <c r="AC266" s="20"/>
      <c r="AD266" s="20"/>
    </row>
    <row r="267" spans="1:30" ht="13.5" customHeight="1" x14ac:dyDescent="0.25">
      <c r="A267" s="16"/>
      <c r="B267" s="16"/>
      <c r="C267" s="26" t="str">
        <f>IF(A267="","",IF((COUNTIFS(A:A,A267))&gt;1,"ID重复",""))</f>
        <v/>
      </c>
      <c r="D267" s="29">
        <v>6161</v>
      </c>
      <c r="E267" s="21" t="str">
        <f>INDEX([1]道具配置表!$D:$D,MATCH(D267,[1]道具配置表!$A:$A,0))</f>
        <v>5分钟训练加速</v>
      </c>
      <c r="F267" s="16">
        <f t="shared" si="41"/>
        <v>30</v>
      </c>
      <c r="G267" s="16"/>
      <c r="H267" s="16"/>
      <c r="I267" s="16"/>
      <c r="J267" s="16"/>
      <c r="K267" s="16">
        <v>1</v>
      </c>
      <c r="L267" s="16"/>
      <c r="M267" s="16" t="b">
        <v>1</v>
      </c>
      <c r="N267" s="16"/>
      <c r="V267" s="20"/>
      <c r="W267" s="20"/>
      <c r="X267" s="20"/>
      <c r="Y267" s="20"/>
      <c r="Z267" s="20"/>
      <c r="AA267" s="20"/>
      <c r="AB267" s="20"/>
      <c r="AC267" s="20"/>
      <c r="AD267" s="20"/>
    </row>
    <row r="268" spans="1:30" ht="13.5" customHeight="1" x14ac:dyDescent="0.25">
      <c r="A268" s="16">
        <f>A266+1</f>
        <v>6602035</v>
      </c>
      <c r="B268" s="16" t="str">
        <f>INT(RIGHT(A268,3)/10)&amp;"级城拆迁排名奖励第"&amp;"11-20"&amp;"名"</f>
        <v>3级城拆迁排名奖励第11-20名</v>
      </c>
      <c r="C268" s="26" t="str">
        <f>IF(A268="","",IF((COUNTIFS(A:A,A268))&gt;1,"ID重复",""))</f>
        <v/>
      </c>
      <c r="D268" s="29">
        <v>232</v>
      </c>
      <c r="E268" s="21" t="str">
        <f>INDEX([1]道具配置表!$D:$D,MATCH(D268,[1]道具配置表!$A:$A,0))</f>
        <v>1万食物</v>
      </c>
      <c r="F268" s="16">
        <f t="shared" si="41"/>
        <v>25</v>
      </c>
      <c r="G268" s="16"/>
      <c r="H268" s="16"/>
      <c r="I268" s="16"/>
      <c r="J268" s="16"/>
      <c r="K268" s="16">
        <v>1</v>
      </c>
      <c r="L268" s="16"/>
      <c r="M268" s="16" t="b">
        <v>1</v>
      </c>
      <c r="N268" s="16"/>
      <c r="V268" s="20"/>
      <c r="W268" s="20"/>
      <c r="X268" s="20"/>
      <c r="Y268" s="20"/>
      <c r="Z268" s="20"/>
      <c r="AA268" s="20"/>
      <c r="AB268" s="20"/>
      <c r="AC268" s="20"/>
      <c r="AD268" s="20"/>
    </row>
    <row r="269" spans="1:30" ht="13.5" customHeight="1" x14ac:dyDescent="0.25">
      <c r="A269" s="16"/>
      <c r="B269" s="16"/>
      <c r="C269" s="26" t="str">
        <f>IF(A269="","",IF((COUNTIFS(A:A,A269))&gt;1,"ID重复",""))</f>
        <v/>
      </c>
      <c r="D269" s="29">
        <v>6161</v>
      </c>
      <c r="E269" s="21" t="str">
        <f>INDEX([1]道具配置表!$D:$D,MATCH(D269,[1]道具配置表!$A:$A,0))</f>
        <v>5分钟训练加速</v>
      </c>
      <c r="F269" s="16">
        <f t="shared" si="41"/>
        <v>25</v>
      </c>
      <c r="G269" s="16"/>
      <c r="H269" s="16"/>
      <c r="I269" s="16"/>
      <c r="J269" s="16"/>
      <c r="K269" s="16">
        <v>1</v>
      </c>
      <c r="L269" s="16"/>
      <c r="M269" s="16" t="b">
        <v>1</v>
      </c>
      <c r="N269" s="16"/>
      <c r="V269" s="20"/>
      <c r="W269" s="20"/>
      <c r="X269" s="20"/>
      <c r="Y269" s="20"/>
      <c r="Z269" s="20"/>
      <c r="AA269" s="20"/>
      <c r="AB269" s="20"/>
      <c r="AC269" s="20"/>
      <c r="AD269" s="20"/>
    </row>
    <row r="270" spans="1:30" ht="13.5" customHeight="1" x14ac:dyDescent="0.25">
      <c r="A270" s="16">
        <f>A268+1</f>
        <v>6602036</v>
      </c>
      <c r="B270" s="16" t="str">
        <f>INT(RIGHT(A270,3)/10)&amp;"级城拆迁排名奖励第"&amp;"21-30"&amp;"名"</f>
        <v>3级城拆迁排名奖励第21-30名</v>
      </c>
      <c r="C270" s="26" t="str">
        <f>IF(A270="","",IF((COUNTIFS(A:A,A270))&gt;1,"ID重复",""))</f>
        <v/>
      </c>
      <c r="D270" s="29">
        <v>232</v>
      </c>
      <c r="E270" s="21" t="str">
        <f>INDEX([1]道具配置表!$D:$D,MATCH(D270,[1]道具配置表!$A:$A,0))</f>
        <v>1万食物</v>
      </c>
      <c r="F270" s="16">
        <f t="shared" si="41"/>
        <v>20</v>
      </c>
      <c r="G270" s="16"/>
      <c r="H270" s="16"/>
      <c r="I270" s="16"/>
      <c r="J270" s="16"/>
      <c r="K270" s="16">
        <v>1</v>
      </c>
      <c r="L270" s="16"/>
      <c r="M270" s="16" t="b">
        <v>1</v>
      </c>
      <c r="N270" s="16"/>
      <c r="V270" s="20"/>
      <c r="W270" s="20"/>
      <c r="X270" s="20"/>
      <c r="Y270" s="20"/>
      <c r="Z270" s="20"/>
      <c r="AA270" s="20"/>
      <c r="AB270" s="20"/>
      <c r="AC270" s="20"/>
      <c r="AD270" s="20"/>
    </row>
    <row r="271" spans="1:30" ht="13.5" customHeight="1" x14ac:dyDescent="0.25">
      <c r="A271" s="16"/>
      <c r="B271" s="16"/>
      <c r="C271" s="26" t="str">
        <f>IF(A271="","",IF((COUNTIFS(A:A,A271))&gt;1,"ID重复",""))</f>
        <v/>
      </c>
      <c r="D271" s="29">
        <v>6161</v>
      </c>
      <c r="E271" s="21" t="str">
        <f>INDEX([1]道具配置表!$D:$D,MATCH(D271,[1]道具配置表!$A:$A,0))</f>
        <v>5分钟训练加速</v>
      </c>
      <c r="F271" s="16">
        <f t="shared" si="41"/>
        <v>20</v>
      </c>
      <c r="G271" s="16"/>
      <c r="H271" s="16"/>
      <c r="I271" s="16"/>
      <c r="J271" s="16"/>
      <c r="K271" s="16">
        <v>1</v>
      </c>
      <c r="L271" s="16"/>
      <c r="M271" s="16" t="b">
        <v>1</v>
      </c>
      <c r="N271" s="16"/>
      <c r="V271" s="20"/>
      <c r="W271" s="20"/>
      <c r="X271" s="20"/>
      <c r="Y271" s="20"/>
      <c r="Z271" s="20"/>
      <c r="AA271" s="20"/>
      <c r="AB271" s="20"/>
      <c r="AC271" s="20"/>
      <c r="AD271" s="20"/>
    </row>
    <row r="272" spans="1:30" ht="13.5" customHeight="1" x14ac:dyDescent="0.25">
      <c r="A272" s="16">
        <f>A260+10</f>
        <v>6602041</v>
      </c>
      <c r="B272" s="16" t="str">
        <f>INT(RIGHT(A272,3)/10)&amp;"级城拆迁排名奖励第"&amp;1&amp;"名"</f>
        <v>4级城拆迁排名奖励第1名</v>
      </c>
      <c r="C272" s="26" t="str">
        <f>IF(A272="","",IF((COUNTIFS(A:A,A272))&gt;1,"ID重复",""))</f>
        <v/>
      </c>
      <c r="D272" s="29">
        <v>232</v>
      </c>
      <c r="E272" s="21" t="str">
        <f>INDEX([1]道具配置表!$D:$D,MATCH(D272,[1]道具配置表!$A:$A,0))</f>
        <v>1万食物</v>
      </c>
      <c r="F272" s="16">
        <f t="shared" si="41"/>
        <v>72</v>
      </c>
      <c r="G272" s="16"/>
      <c r="H272" s="16"/>
      <c r="I272" s="16"/>
      <c r="J272" s="16"/>
      <c r="K272" s="16">
        <v>1</v>
      </c>
      <c r="L272" s="16"/>
      <c r="M272" s="16" t="b">
        <v>1</v>
      </c>
      <c r="N272" s="16"/>
      <c r="V272" s="20"/>
      <c r="W272" s="20"/>
      <c r="X272" s="20"/>
      <c r="Y272" s="20"/>
      <c r="Z272" s="20"/>
      <c r="AA272" s="20"/>
      <c r="AB272" s="20"/>
      <c r="AC272" s="20"/>
      <c r="AD272" s="20"/>
    </row>
    <row r="273" spans="1:30" ht="13.5" customHeight="1" x14ac:dyDescent="0.25">
      <c r="A273" s="16"/>
      <c r="B273" s="16"/>
      <c r="C273" s="26" t="str">
        <f>IF(A273="","",IF((COUNTIFS(A:A,A273))&gt;1,"ID重复",""))</f>
        <v/>
      </c>
      <c r="D273" s="29">
        <v>6161</v>
      </c>
      <c r="E273" s="21" t="str">
        <f>INDEX([1]道具配置表!$D:$D,MATCH(D273,[1]道具配置表!$A:$A,0))</f>
        <v>5分钟训练加速</v>
      </c>
      <c r="F273" s="16">
        <f t="shared" si="41"/>
        <v>72</v>
      </c>
      <c r="G273" s="16"/>
      <c r="H273" s="16"/>
      <c r="I273" s="16"/>
      <c r="J273" s="16"/>
      <c r="K273" s="16">
        <v>1</v>
      </c>
      <c r="L273" s="16"/>
      <c r="M273" s="16" t="b">
        <v>1</v>
      </c>
      <c r="N273" s="16"/>
      <c r="V273" s="20"/>
      <c r="W273" s="20"/>
      <c r="X273" s="20"/>
      <c r="Y273" s="20"/>
      <c r="Z273" s="20"/>
      <c r="AA273" s="20"/>
      <c r="AB273" s="20"/>
      <c r="AC273" s="20"/>
      <c r="AD273" s="20"/>
    </row>
    <row r="274" spans="1:30" ht="13.5" customHeight="1" x14ac:dyDescent="0.25">
      <c r="A274" s="16">
        <f>A272+1</f>
        <v>6602042</v>
      </c>
      <c r="B274" s="16" t="str">
        <f>INT(RIGHT(A274,3)/10)&amp;"级城拆迁排名奖励第"&amp;2&amp;"名"</f>
        <v>4级城拆迁排名奖励第2名</v>
      </c>
      <c r="C274" s="26" t="str">
        <f>IF(A274="","",IF((COUNTIFS(A:A,A274))&gt;1,"ID重复",""))</f>
        <v/>
      </c>
      <c r="D274" s="29">
        <v>232</v>
      </c>
      <c r="E274" s="21" t="str">
        <f>INDEX([1]道具配置表!$D:$D,MATCH(D274,[1]道具配置表!$A:$A,0))</f>
        <v>1万食物</v>
      </c>
      <c r="F274" s="16">
        <f t="shared" si="41"/>
        <v>60</v>
      </c>
      <c r="G274" s="16"/>
      <c r="H274" s="16"/>
      <c r="I274" s="16"/>
      <c r="J274" s="16"/>
      <c r="K274" s="16">
        <v>1</v>
      </c>
      <c r="L274" s="16"/>
      <c r="M274" s="16" t="b">
        <v>1</v>
      </c>
      <c r="N274" s="16"/>
      <c r="V274" s="20"/>
      <c r="W274" s="20"/>
      <c r="X274" s="20"/>
      <c r="Y274" s="20"/>
      <c r="Z274" s="20"/>
      <c r="AA274" s="20"/>
      <c r="AB274" s="20"/>
      <c r="AC274" s="20"/>
      <c r="AD274" s="20"/>
    </row>
    <row r="275" spans="1:30" ht="13.5" customHeight="1" x14ac:dyDescent="0.25">
      <c r="A275" s="16"/>
      <c r="B275" s="16"/>
      <c r="C275" s="26" t="str">
        <f>IF(A275="","",IF((COUNTIFS(A:A,A275))&gt;1,"ID重复",""))</f>
        <v/>
      </c>
      <c r="D275" s="29">
        <v>6161</v>
      </c>
      <c r="E275" s="21" t="str">
        <f>INDEX([1]道具配置表!$D:$D,MATCH(D275,[1]道具配置表!$A:$A,0))</f>
        <v>5分钟训练加速</v>
      </c>
      <c r="F275" s="16">
        <f t="shared" si="41"/>
        <v>60</v>
      </c>
      <c r="G275" s="16"/>
      <c r="H275" s="16"/>
      <c r="I275" s="16"/>
      <c r="J275" s="16"/>
      <c r="K275" s="16">
        <v>1</v>
      </c>
      <c r="L275" s="16"/>
      <c r="M275" s="16" t="b">
        <v>1</v>
      </c>
      <c r="N275" s="16"/>
      <c r="V275" s="20"/>
      <c r="W275" s="20"/>
      <c r="X275" s="20"/>
      <c r="Y275" s="20"/>
      <c r="Z275" s="20"/>
      <c r="AA275" s="20"/>
      <c r="AB275" s="20"/>
      <c r="AC275" s="20"/>
      <c r="AD275" s="20"/>
    </row>
    <row r="276" spans="1:30" ht="13.5" customHeight="1" x14ac:dyDescent="0.25">
      <c r="A276" s="16">
        <f>A274+1</f>
        <v>6602043</v>
      </c>
      <c r="B276" s="16" t="str">
        <f>INT(RIGHT(A276,3)/10)&amp;"级城拆迁排名奖励第"&amp;3&amp;"名"</f>
        <v>4级城拆迁排名奖励第3名</v>
      </c>
      <c r="C276" s="26" t="str">
        <f>IF(A276="","",IF((COUNTIFS(A:A,A276))&gt;1,"ID重复",""))</f>
        <v/>
      </c>
      <c r="D276" s="29">
        <v>232</v>
      </c>
      <c r="E276" s="21" t="str">
        <f>INDEX([1]道具配置表!$D:$D,MATCH(D276,[1]道具配置表!$A:$A,0))</f>
        <v>1万食物</v>
      </c>
      <c r="F276" s="16">
        <f t="shared" si="41"/>
        <v>48</v>
      </c>
      <c r="G276" s="16"/>
      <c r="H276" s="16"/>
      <c r="I276" s="16"/>
      <c r="J276" s="16"/>
      <c r="K276" s="16">
        <v>1</v>
      </c>
      <c r="L276" s="16"/>
      <c r="M276" s="16" t="b">
        <v>1</v>
      </c>
      <c r="N276" s="16"/>
      <c r="V276" s="20"/>
      <c r="W276" s="20"/>
      <c r="X276" s="20"/>
      <c r="Y276" s="20"/>
      <c r="Z276" s="20"/>
      <c r="AA276" s="20"/>
      <c r="AB276" s="20"/>
      <c r="AC276" s="20"/>
      <c r="AD276" s="20"/>
    </row>
    <row r="277" spans="1:30" ht="13.5" customHeight="1" x14ac:dyDescent="0.25">
      <c r="A277" s="16"/>
      <c r="B277" s="16"/>
      <c r="C277" s="26" t="str">
        <f>IF(A277="","",IF((COUNTIFS(A:A,A277))&gt;1,"ID重复",""))</f>
        <v/>
      </c>
      <c r="D277" s="29">
        <v>6161</v>
      </c>
      <c r="E277" s="21" t="str">
        <f>INDEX([1]道具配置表!$D:$D,MATCH(D277,[1]道具配置表!$A:$A,0))</f>
        <v>5分钟训练加速</v>
      </c>
      <c r="F277" s="16">
        <f t="shared" si="41"/>
        <v>48</v>
      </c>
      <c r="G277" s="16"/>
      <c r="H277" s="16"/>
      <c r="I277" s="16"/>
      <c r="J277" s="16"/>
      <c r="K277" s="16">
        <v>1</v>
      </c>
      <c r="L277" s="16"/>
      <c r="M277" s="16" t="b">
        <v>1</v>
      </c>
      <c r="N277" s="16"/>
      <c r="V277" s="20"/>
      <c r="W277" s="20"/>
      <c r="X277" s="20"/>
      <c r="Y277" s="20"/>
      <c r="Z277" s="20"/>
      <c r="AA277" s="20"/>
      <c r="AB277" s="20"/>
      <c r="AC277" s="20"/>
      <c r="AD277" s="20"/>
    </row>
    <row r="278" spans="1:30" ht="13.5" customHeight="1" x14ac:dyDescent="0.25">
      <c r="A278" s="16">
        <f>A276+1</f>
        <v>6602044</v>
      </c>
      <c r="B278" s="16" t="str">
        <f>INT(RIGHT(A278,3)/10)&amp;"级城拆迁排名奖励第"&amp;"4-10"&amp;"名"</f>
        <v>4级城拆迁排名奖励第4-10名</v>
      </c>
      <c r="C278" s="26" t="str">
        <f>IF(A278="","",IF((COUNTIFS(A:A,A278))&gt;1,"ID重复",""))</f>
        <v/>
      </c>
      <c r="D278" s="29">
        <v>232</v>
      </c>
      <c r="E278" s="21" t="str">
        <f>INDEX([1]道具配置表!$D:$D,MATCH(D278,[1]道具配置表!$A:$A,0))</f>
        <v>1万食物</v>
      </c>
      <c r="F278" s="16">
        <f t="shared" si="41"/>
        <v>36</v>
      </c>
      <c r="G278" s="16"/>
      <c r="H278" s="16"/>
      <c r="I278" s="16"/>
      <c r="J278" s="16"/>
      <c r="K278" s="16">
        <v>1</v>
      </c>
      <c r="L278" s="16"/>
      <c r="M278" s="16" t="b">
        <v>1</v>
      </c>
      <c r="N278" s="16"/>
      <c r="V278" s="20"/>
      <c r="W278" s="20"/>
      <c r="X278" s="20"/>
      <c r="Y278" s="20"/>
      <c r="Z278" s="20"/>
      <c r="AA278" s="20"/>
      <c r="AB278" s="20"/>
      <c r="AC278" s="20"/>
      <c r="AD278" s="20"/>
    </row>
    <row r="279" spans="1:30" ht="13.5" customHeight="1" x14ac:dyDescent="0.25">
      <c r="A279" s="16"/>
      <c r="B279" s="16"/>
      <c r="C279" s="26" t="str">
        <f>IF(A279="","",IF((COUNTIFS(A:A,A279))&gt;1,"ID重复",""))</f>
        <v/>
      </c>
      <c r="D279" s="29">
        <v>6161</v>
      </c>
      <c r="E279" s="21" t="str">
        <f>INDEX([1]道具配置表!$D:$D,MATCH(D279,[1]道具配置表!$A:$A,0))</f>
        <v>5分钟训练加速</v>
      </c>
      <c r="F279" s="16">
        <f t="shared" si="41"/>
        <v>36</v>
      </c>
      <c r="G279" s="16"/>
      <c r="H279" s="16"/>
      <c r="I279" s="16"/>
      <c r="J279" s="16"/>
      <c r="K279" s="16">
        <v>1</v>
      </c>
      <c r="L279" s="16"/>
      <c r="M279" s="16" t="b">
        <v>1</v>
      </c>
      <c r="N279" s="16"/>
      <c r="V279" s="20"/>
      <c r="W279" s="20"/>
      <c r="X279" s="20"/>
      <c r="Y279" s="20"/>
      <c r="Z279" s="20"/>
      <c r="AA279" s="20"/>
      <c r="AB279" s="20"/>
      <c r="AC279" s="20"/>
      <c r="AD279" s="20"/>
    </row>
    <row r="280" spans="1:30" ht="13.5" customHeight="1" x14ac:dyDescent="0.25">
      <c r="A280" s="16">
        <f>A278+1</f>
        <v>6602045</v>
      </c>
      <c r="B280" s="16" t="str">
        <f>INT(RIGHT(A280,3)/10)&amp;"级城拆迁排名奖励第"&amp;"11-20"&amp;"名"</f>
        <v>4级城拆迁排名奖励第11-20名</v>
      </c>
      <c r="C280" s="26" t="str">
        <f>IF(A280="","",IF((COUNTIFS(A:A,A280))&gt;1,"ID重复",""))</f>
        <v/>
      </c>
      <c r="D280" s="29">
        <v>232</v>
      </c>
      <c r="E280" s="21" t="str">
        <f>INDEX([1]道具配置表!$D:$D,MATCH(D280,[1]道具配置表!$A:$A,0))</f>
        <v>1万食物</v>
      </c>
      <c r="F280" s="16">
        <f t="shared" si="41"/>
        <v>30</v>
      </c>
      <c r="G280" s="16"/>
      <c r="H280" s="16"/>
      <c r="I280" s="16"/>
      <c r="J280" s="16"/>
      <c r="K280" s="16">
        <v>1</v>
      </c>
      <c r="L280" s="16"/>
      <c r="M280" s="16" t="b">
        <v>1</v>
      </c>
      <c r="N280" s="16"/>
      <c r="V280" s="20"/>
      <c r="W280" s="20"/>
      <c r="X280" s="20"/>
      <c r="Y280" s="20"/>
      <c r="Z280" s="20"/>
      <c r="AA280" s="20"/>
      <c r="AB280" s="20"/>
      <c r="AC280" s="20"/>
      <c r="AD280" s="20"/>
    </row>
    <row r="281" spans="1:30" ht="13.5" customHeight="1" x14ac:dyDescent="0.25">
      <c r="A281" s="16"/>
      <c r="B281" s="16"/>
      <c r="C281" s="26" t="str">
        <f>IF(A281="","",IF((COUNTIFS(A:A,A281))&gt;1,"ID重复",""))</f>
        <v/>
      </c>
      <c r="D281" s="29">
        <v>6161</v>
      </c>
      <c r="E281" s="21" t="str">
        <f>INDEX([1]道具配置表!$D:$D,MATCH(D281,[1]道具配置表!$A:$A,0))</f>
        <v>5分钟训练加速</v>
      </c>
      <c r="F281" s="16">
        <f t="shared" si="41"/>
        <v>30</v>
      </c>
      <c r="G281" s="16"/>
      <c r="H281" s="16"/>
      <c r="I281" s="16"/>
      <c r="J281" s="16"/>
      <c r="K281" s="16">
        <v>1</v>
      </c>
      <c r="L281" s="16"/>
      <c r="M281" s="16" t="b">
        <v>1</v>
      </c>
      <c r="N281" s="16"/>
      <c r="V281" s="20"/>
      <c r="W281" s="20"/>
      <c r="X281" s="20"/>
      <c r="Y281" s="20"/>
      <c r="Z281" s="20"/>
      <c r="AA281" s="20"/>
      <c r="AB281" s="20"/>
      <c r="AC281" s="20"/>
      <c r="AD281" s="20"/>
    </row>
    <row r="282" spans="1:30" ht="13.5" customHeight="1" x14ac:dyDescent="0.25">
      <c r="A282" s="16">
        <f>A280+1</f>
        <v>6602046</v>
      </c>
      <c r="B282" s="16" t="str">
        <f>INT(RIGHT(A282,3)/10)&amp;"级城拆迁排名奖励第"&amp;"21-30"&amp;"名"</f>
        <v>4级城拆迁排名奖励第21-30名</v>
      </c>
      <c r="C282" s="26" t="str">
        <f>IF(A282="","",IF((COUNTIFS(A:A,A282))&gt;1,"ID重复",""))</f>
        <v/>
      </c>
      <c r="D282" s="29">
        <v>232</v>
      </c>
      <c r="E282" s="21" t="str">
        <f>INDEX([1]道具配置表!$D:$D,MATCH(D282,[1]道具配置表!$A:$A,0))</f>
        <v>1万食物</v>
      </c>
      <c r="F282" s="16">
        <f t="shared" si="41"/>
        <v>24</v>
      </c>
      <c r="G282" s="16"/>
      <c r="H282" s="16"/>
      <c r="I282" s="16"/>
      <c r="J282" s="16"/>
      <c r="K282" s="16">
        <v>1</v>
      </c>
      <c r="L282" s="16"/>
      <c r="M282" s="16" t="b">
        <v>1</v>
      </c>
      <c r="N282" s="16"/>
      <c r="V282" s="20"/>
      <c r="W282" s="20"/>
      <c r="X282" s="20"/>
      <c r="Y282" s="20"/>
      <c r="Z282" s="20"/>
      <c r="AA282" s="20"/>
      <c r="AB282" s="20"/>
      <c r="AC282" s="20"/>
      <c r="AD282" s="20"/>
    </row>
    <row r="283" spans="1:30" ht="13.5" customHeight="1" x14ac:dyDescent="0.25">
      <c r="A283" s="16"/>
      <c r="B283" s="16"/>
      <c r="C283" s="26" t="str">
        <f>IF(A283="","",IF((COUNTIFS(A:A,A283))&gt;1,"ID重复",""))</f>
        <v/>
      </c>
      <c r="D283" s="29">
        <v>6161</v>
      </c>
      <c r="E283" s="21" t="str">
        <f>INDEX([1]道具配置表!$D:$D,MATCH(D283,[1]道具配置表!$A:$A,0))</f>
        <v>5分钟训练加速</v>
      </c>
      <c r="F283" s="16">
        <f t="shared" si="41"/>
        <v>24</v>
      </c>
      <c r="G283" s="16"/>
      <c r="H283" s="16"/>
      <c r="I283" s="16"/>
      <c r="J283" s="16"/>
      <c r="K283" s="16">
        <v>1</v>
      </c>
      <c r="L283" s="16"/>
      <c r="M283" s="16" t="b">
        <v>1</v>
      </c>
      <c r="N283" s="16"/>
      <c r="V283" s="20"/>
      <c r="W283" s="20"/>
      <c r="X283" s="20"/>
      <c r="Y283" s="20"/>
      <c r="Z283" s="20"/>
      <c r="AA283" s="20"/>
      <c r="AB283" s="20"/>
      <c r="AC283" s="20"/>
      <c r="AD283" s="20"/>
    </row>
    <row r="284" spans="1:30" ht="13.5" customHeight="1" x14ac:dyDescent="0.25">
      <c r="A284" s="16">
        <f>A272+10</f>
        <v>6602051</v>
      </c>
      <c r="B284" s="16" t="str">
        <f>INT(RIGHT(A284,3)/10)&amp;"级城拆迁排名奖励第"&amp;1&amp;"名"</f>
        <v>5级城拆迁排名奖励第1名</v>
      </c>
      <c r="C284" s="26" t="str">
        <f>IF(A284="","",IF((COUNTIFS(A:A,A284))&gt;1,"ID重复",""))</f>
        <v/>
      </c>
      <c r="D284" s="29">
        <v>232</v>
      </c>
      <c r="E284" s="21" t="str">
        <f>INDEX([1]道具配置表!$D:$D,MATCH(D284,[1]道具配置表!$A:$A,0))</f>
        <v>1万食物</v>
      </c>
      <c r="F284" s="16">
        <f t="shared" si="41"/>
        <v>84</v>
      </c>
      <c r="G284" s="16"/>
      <c r="H284" s="16"/>
      <c r="I284" s="16"/>
      <c r="J284" s="16"/>
      <c r="K284" s="16">
        <v>1</v>
      </c>
      <c r="L284" s="16"/>
      <c r="M284" s="16" t="b">
        <v>1</v>
      </c>
      <c r="N284" s="16"/>
      <c r="V284" s="20"/>
      <c r="W284" s="20"/>
      <c r="X284" s="20"/>
      <c r="Y284" s="20"/>
      <c r="Z284" s="20"/>
      <c r="AA284" s="20"/>
      <c r="AB284" s="20"/>
      <c r="AC284" s="20"/>
      <c r="AD284" s="20"/>
    </row>
    <row r="285" spans="1:30" ht="13.5" customHeight="1" x14ac:dyDescent="0.25">
      <c r="A285" s="16"/>
      <c r="B285" s="16"/>
      <c r="C285" s="26" t="str">
        <f>IF(A285="","",IF((COUNTIFS(A:A,A285))&gt;1,"ID重复",""))</f>
        <v/>
      </c>
      <c r="D285" s="29">
        <v>6161</v>
      </c>
      <c r="E285" s="21" t="str">
        <f>INDEX([1]道具配置表!$D:$D,MATCH(D285,[1]道具配置表!$A:$A,0))</f>
        <v>5分钟训练加速</v>
      </c>
      <c r="F285" s="16">
        <f t="shared" si="41"/>
        <v>84</v>
      </c>
      <c r="G285" s="16"/>
      <c r="H285" s="16"/>
      <c r="I285" s="16"/>
      <c r="J285" s="16"/>
      <c r="K285" s="16">
        <v>1</v>
      </c>
      <c r="L285" s="16"/>
      <c r="M285" s="16" t="b">
        <v>1</v>
      </c>
      <c r="N285" s="16"/>
      <c r="V285" s="20"/>
      <c r="W285" s="20"/>
      <c r="X285" s="20"/>
      <c r="Y285" s="20"/>
      <c r="Z285" s="20"/>
      <c r="AA285" s="20"/>
      <c r="AB285" s="20"/>
      <c r="AC285" s="20"/>
      <c r="AD285" s="20"/>
    </row>
    <row r="286" spans="1:30" ht="13.5" customHeight="1" x14ac:dyDescent="0.25">
      <c r="A286" s="16">
        <f>A284+1</f>
        <v>6602052</v>
      </c>
      <c r="B286" s="16" t="str">
        <f>INT(RIGHT(A286,3)/10)&amp;"级城拆迁排名奖励第"&amp;2&amp;"名"</f>
        <v>5级城拆迁排名奖励第2名</v>
      </c>
      <c r="C286" s="26" t="str">
        <f>IF(A286="","",IF((COUNTIFS(A:A,A286))&gt;1,"ID重复",""))</f>
        <v/>
      </c>
      <c r="D286" s="29">
        <v>232</v>
      </c>
      <c r="E286" s="21" t="str">
        <f>INDEX([1]道具配置表!$D:$D,MATCH(D286,[1]道具配置表!$A:$A,0))</f>
        <v>1万食物</v>
      </c>
      <c r="F286" s="16">
        <f t="shared" si="41"/>
        <v>70</v>
      </c>
      <c r="G286" s="16"/>
      <c r="H286" s="16"/>
      <c r="I286" s="16"/>
      <c r="J286" s="16"/>
      <c r="K286" s="16">
        <v>1</v>
      </c>
      <c r="L286" s="16"/>
      <c r="M286" s="16" t="b">
        <v>1</v>
      </c>
      <c r="N286" s="16"/>
      <c r="V286" s="20"/>
      <c r="W286" s="20"/>
      <c r="X286" s="20"/>
      <c r="Y286" s="20"/>
      <c r="Z286" s="20"/>
      <c r="AA286" s="20"/>
      <c r="AB286" s="20"/>
      <c r="AC286" s="20"/>
      <c r="AD286" s="20"/>
    </row>
    <row r="287" spans="1:30" ht="13.5" customHeight="1" x14ac:dyDescent="0.25">
      <c r="A287" s="16"/>
      <c r="B287" s="16"/>
      <c r="C287" s="26" t="str">
        <f>IF(A287="","",IF((COUNTIFS(A:A,A287))&gt;1,"ID重复",""))</f>
        <v/>
      </c>
      <c r="D287" s="29">
        <v>6161</v>
      </c>
      <c r="E287" s="21" t="str">
        <f>INDEX([1]道具配置表!$D:$D,MATCH(D287,[1]道具配置表!$A:$A,0))</f>
        <v>5分钟训练加速</v>
      </c>
      <c r="F287" s="16">
        <f t="shared" si="41"/>
        <v>70</v>
      </c>
      <c r="G287" s="16"/>
      <c r="H287" s="16"/>
      <c r="I287" s="16"/>
      <c r="J287" s="16"/>
      <c r="K287" s="16">
        <v>1</v>
      </c>
      <c r="L287" s="16"/>
      <c r="M287" s="16" t="b">
        <v>1</v>
      </c>
      <c r="N287" s="16"/>
      <c r="V287" s="20"/>
      <c r="W287" s="20"/>
      <c r="X287" s="20"/>
      <c r="Y287" s="20"/>
      <c r="Z287" s="20"/>
      <c r="AA287" s="20"/>
      <c r="AB287" s="20"/>
      <c r="AC287" s="20"/>
      <c r="AD287" s="20"/>
    </row>
    <row r="288" spans="1:30" ht="13.5" customHeight="1" x14ac:dyDescent="0.25">
      <c r="A288" s="16">
        <f>A286+1</f>
        <v>6602053</v>
      </c>
      <c r="B288" s="16" t="str">
        <f>INT(RIGHT(A288,3)/10)&amp;"级城拆迁排名奖励第"&amp;3&amp;"名"</f>
        <v>5级城拆迁排名奖励第3名</v>
      </c>
      <c r="C288" s="26" t="str">
        <f>IF(A288="","",IF((COUNTIFS(A:A,A288))&gt;1,"ID重复",""))</f>
        <v/>
      </c>
      <c r="D288" s="29">
        <v>232</v>
      </c>
      <c r="E288" s="21" t="str">
        <f>INDEX([1]道具配置表!$D:$D,MATCH(D288,[1]道具配置表!$A:$A,0))</f>
        <v>1万食物</v>
      </c>
      <c r="F288" s="16">
        <f t="shared" si="41"/>
        <v>56</v>
      </c>
      <c r="G288" s="16"/>
      <c r="H288" s="16"/>
      <c r="I288" s="16"/>
      <c r="J288" s="16"/>
      <c r="K288" s="16">
        <v>1</v>
      </c>
      <c r="L288" s="16"/>
      <c r="M288" s="16" t="b">
        <v>1</v>
      </c>
      <c r="N288" s="16"/>
      <c r="V288" s="20"/>
      <c r="W288" s="20"/>
      <c r="X288" s="20"/>
      <c r="Y288" s="20"/>
      <c r="Z288" s="20"/>
      <c r="AA288" s="20"/>
      <c r="AB288" s="20"/>
      <c r="AC288" s="20"/>
      <c r="AD288" s="20"/>
    </row>
    <row r="289" spans="1:30" ht="13.5" customHeight="1" x14ac:dyDescent="0.25">
      <c r="A289" s="16"/>
      <c r="B289" s="16"/>
      <c r="C289" s="26" t="str">
        <f>IF(A289="","",IF((COUNTIFS(A:A,A289))&gt;1,"ID重复",""))</f>
        <v/>
      </c>
      <c r="D289" s="29">
        <v>6161</v>
      </c>
      <c r="E289" s="21" t="str">
        <f>INDEX([1]道具配置表!$D:$D,MATCH(D289,[1]道具配置表!$A:$A,0))</f>
        <v>5分钟训练加速</v>
      </c>
      <c r="F289" s="16">
        <f t="shared" si="41"/>
        <v>56</v>
      </c>
      <c r="G289" s="16"/>
      <c r="H289" s="16"/>
      <c r="I289" s="16"/>
      <c r="J289" s="16"/>
      <c r="K289" s="16">
        <v>1</v>
      </c>
      <c r="L289" s="16"/>
      <c r="M289" s="16" t="b">
        <v>1</v>
      </c>
      <c r="N289" s="16"/>
      <c r="V289" s="20"/>
      <c r="W289" s="20"/>
      <c r="X289" s="20"/>
      <c r="Y289" s="20"/>
      <c r="Z289" s="20"/>
      <c r="AA289" s="20"/>
      <c r="AB289" s="20"/>
      <c r="AC289" s="20"/>
      <c r="AD289" s="20"/>
    </row>
    <row r="290" spans="1:30" ht="13.5" customHeight="1" x14ac:dyDescent="0.25">
      <c r="A290" s="16">
        <f>A288+1</f>
        <v>6602054</v>
      </c>
      <c r="B290" s="16" t="str">
        <f>INT(RIGHT(A290,3)/10)&amp;"级城拆迁排名奖励第"&amp;"4-10"&amp;"名"</f>
        <v>5级城拆迁排名奖励第4-10名</v>
      </c>
      <c r="C290" s="26" t="str">
        <f>IF(A290="","",IF((COUNTIFS(A:A,A290))&gt;1,"ID重复",""))</f>
        <v/>
      </c>
      <c r="D290" s="29">
        <v>232</v>
      </c>
      <c r="E290" s="21" t="str">
        <f>INDEX([1]道具配置表!$D:$D,MATCH(D290,[1]道具配置表!$A:$A,0))</f>
        <v>1万食物</v>
      </c>
      <c r="F290" s="16">
        <f t="shared" si="41"/>
        <v>42</v>
      </c>
      <c r="G290" s="16"/>
      <c r="H290" s="16"/>
      <c r="I290" s="16"/>
      <c r="J290" s="16"/>
      <c r="K290" s="16">
        <v>1</v>
      </c>
      <c r="L290" s="16"/>
      <c r="M290" s="16" t="b">
        <v>1</v>
      </c>
      <c r="N290" s="16"/>
      <c r="V290" s="20"/>
      <c r="W290" s="20"/>
      <c r="X290" s="20"/>
      <c r="Y290" s="20"/>
      <c r="Z290" s="20"/>
      <c r="AA290" s="20"/>
      <c r="AB290" s="20"/>
      <c r="AC290" s="20"/>
      <c r="AD290" s="20"/>
    </row>
    <row r="291" spans="1:30" ht="13.5" customHeight="1" x14ac:dyDescent="0.25">
      <c r="A291" s="16"/>
      <c r="B291" s="16"/>
      <c r="C291" s="26" t="str">
        <f>IF(A291="","",IF((COUNTIFS(A:A,A291))&gt;1,"ID重复",""))</f>
        <v/>
      </c>
      <c r="D291" s="29">
        <v>6161</v>
      </c>
      <c r="E291" s="21" t="str">
        <f>INDEX([1]道具配置表!$D:$D,MATCH(D291,[1]道具配置表!$A:$A,0))</f>
        <v>5分钟训练加速</v>
      </c>
      <c r="F291" s="16">
        <f t="shared" si="41"/>
        <v>42</v>
      </c>
      <c r="G291" s="16"/>
      <c r="H291" s="16"/>
      <c r="I291" s="16"/>
      <c r="J291" s="16"/>
      <c r="K291" s="16">
        <v>1</v>
      </c>
      <c r="L291" s="16"/>
      <c r="M291" s="16" t="b">
        <v>1</v>
      </c>
      <c r="N291" s="16"/>
      <c r="V291" s="20"/>
      <c r="W291" s="20"/>
      <c r="X291" s="20"/>
      <c r="Y291" s="20"/>
      <c r="Z291" s="20"/>
      <c r="AA291" s="20"/>
      <c r="AB291" s="20"/>
      <c r="AC291" s="20"/>
      <c r="AD291" s="20"/>
    </row>
    <row r="292" spans="1:30" ht="13.5" customHeight="1" x14ac:dyDescent="0.25">
      <c r="A292" s="16">
        <f>A290+1</f>
        <v>6602055</v>
      </c>
      <c r="B292" s="16" t="str">
        <f>INT(RIGHT(A292,3)/10)&amp;"级城拆迁排名奖励第"&amp;"11-20"&amp;"名"</f>
        <v>5级城拆迁排名奖励第11-20名</v>
      </c>
      <c r="C292" s="26" t="str">
        <f>IF(A292="","",IF((COUNTIFS(A:A,A292))&gt;1,"ID重复",""))</f>
        <v/>
      </c>
      <c r="D292" s="29">
        <v>232</v>
      </c>
      <c r="E292" s="21" t="str">
        <f>INDEX([1]道具配置表!$D:$D,MATCH(D292,[1]道具配置表!$A:$A,0))</f>
        <v>1万食物</v>
      </c>
      <c r="F292" s="16">
        <f t="shared" si="41"/>
        <v>35</v>
      </c>
      <c r="G292" s="16"/>
      <c r="H292" s="16"/>
      <c r="I292" s="16"/>
      <c r="J292" s="16"/>
      <c r="K292" s="16">
        <v>1</v>
      </c>
      <c r="L292" s="16"/>
      <c r="M292" s="16" t="b">
        <v>1</v>
      </c>
      <c r="N292" s="16"/>
      <c r="V292" s="20"/>
      <c r="W292" s="20"/>
      <c r="X292" s="20"/>
      <c r="Y292" s="20"/>
      <c r="Z292" s="20"/>
      <c r="AA292" s="20"/>
      <c r="AB292" s="20"/>
      <c r="AC292" s="20"/>
      <c r="AD292" s="20"/>
    </row>
    <row r="293" spans="1:30" ht="13.5" customHeight="1" x14ac:dyDescent="0.25">
      <c r="A293" s="16"/>
      <c r="B293" s="16"/>
      <c r="C293" s="26" t="str">
        <f>IF(A293="","",IF((COUNTIFS(A:A,A293))&gt;1,"ID重复",""))</f>
        <v/>
      </c>
      <c r="D293" s="29">
        <v>6161</v>
      </c>
      <c r="E293" s="21" t="str">
        <f>INDEX([1]道具配置表!$D:$D,MATCH(D293,[1]道具配置表!$A:$A,0))</f>
        <v>5分钟训练加速</v>
      </c>
      <c r="F293" s="16">
        <f t="shared" si="41"/>
        <v>35</v>
      </c>
      <c r="G293" s="16"/>
      <c r="H293" s="16"/>
      <c r="I293" s="16"/>
      <c r="J293" s="16"/>
      <c r="K293" s="16">
        <v>1</v>
      </c>
      <c r="L293" s="16"/>
      <c r="M293" s="16" t="b">
        <v>1</v>
      </c>
      <c r="N293" s="16"/>
      <c r="V293" s="20"/>
      <c r="W293" s="20"/>
      <c r="X293" s="20"/>
      <c r="Y293" s="20"/>
      <c r="Z293" s="20"/>
      <c r="AA293" s="20"/>
      <c r="AB293" s="20"/>
      <c r="AC293" s="20"/>
      <c r="AD293" s="20"/>
    </row>
    <row r="294" spans="1:30" ht="13.5" customHeight="1" x14ac:dyDescent="0.25">
      <c r="A294" s="16">
        <f>A292+1</f>
        <v>6602056</v>
      </c>
      <c r="B294" s="16" t="str">
        <f>INT(RIGHT(A294,3)/10)&amp;"级城拆迁排名奖励第"&amp;"21-30"&amp;"名"</f>
        <v>5级城拆迁排名奖励第21-30名</v>
      </c>
      <c r="C294" s="26" t="str">
        <f>IF(A294="","",IF((COUNTIFS(A:A,A294))&gt;1,"ID重复",""))</f>
        <v/>
      </c>
      <c r="D294" s="29">
        <v>232</v>
      </c>
      <c r="E294" s="21" t="str">
        <f>INDEX([1]道具配置表!$D:$D,MATCH(D294,[1]道具配置表!$A:$A,0))</f>
        <v>1万食物</v>
      </c>
      <c r="F294" s="16">
        <f t="shared" si="41"/>
        <v>28</v>
      </c>
      <c r="G294" s="16"/>
      <c r="H294" s="16"/>
      <c r="I294" s="16"/>
      <c r="J294" s="16"/>
      <c r="K294" s="16">
        <v>1</v>
      </c>
      <c r="L294" s="16"/>
      <c r="M294" s="16" t="b">
        <v>1</v>
      </c>
      <c r="N294" s="16"/>
      <c r="V294" s="20"/>
      <c r="W294" s="20"/>
      <c r="X294" s="20"/>
      <c r="Y294" s="20"/>
      <c r="Z294" s="20"/>
      <c r="AA294" s="20"/>
      <c r="AB294" s="20"/>
      <c r="AC294" s="20"/>
      <c r="AD294" s="20"/>
    </row>
    <row r="295" spans="1:30" ht="13.5" customHeight="1" x14ac:dyDescent="0.25">
      <c r="A295" s="16"/>
      <c r="B295" s="16"/>
      <c r="C295" s="26" t="str">
        <f>IF(A295="","",IF((COUNTIFS(A:A,A295))&gt;1,"ID重复",""))</f>
        <v/>
      </c>
      <c r="D295" s="29">
        <v>6161</v>
      </c>
      <c r="E295" s="21" t="str">
        <f>INDEX([1]道具配置表!$D:$D,MATCH(D295,[1]道具配置表!$A:$A,0))</f>
        <v>5分钟训练加速</v>
      </c>
      <c r="F295" s="16">
        <f t="shared" si="41"/>
        <v>28</v>
      </c>
      <c r="G295" s="16"/>
      <c r="H295" s="16"/>
      <c r="I295" s="16"/>
      <c r="J295" s="16"/>
      <c r="K295" s="16">
        <v>1</v>
      </c>
      <c r="L295" s="16"/>
      <c r="M295" s="16" t="b">
        <v>1</v>
      </c>
      <c r="N295" s="16"/>
      <c r="V295" s="20"/>
      <c r="W295" s="20"/>
      <c r="X295" s="20"/>
      <c r="Y295" s="20"/>
      <c r="Z295" s="20"/>
      <c r="AA295" s="20"/>
      <c r="AB295" s="20"/>
      <c r="AC295" s="20"/>
      <c r="AD295" s="20"/>
    </row>
    <row r="296" spans="1:30" ht="13.5" customHeight="1" x14ac:dyDescent="0.25">
      <c r="A296" s="16">
        <f>A284+10</f>
        <v>6602061</v>
      </c>
      <c r="B296" s="16" t="str">
        <f>INT(RIGHT(A296,3)/10)&amp;"级城拆迁排名奖励第"&amp;1&amp;"名"</f>
        <v>6级城拆迁排名奖励第1名</v>
      </c>
      <c r="C296" s="26" t="str">
        <f>IF(A296="","",IF((COUNTIFS(A:A,A296))&gt;1,"ID重复",""))</f>
        <v/>
      </c>
      <c r="D296" s="29">
        <v>232</v>
      </c>
      <c r="E296" s="21" t="str">
        <f>INDEX([1]道具配置表!$D:$D,MATCH(D296,[1]道具配置表!$A:$A,0))</f>
        <v>1万食物</v>
      </c>
      <c r="F296" s="16">
        <f t="shared" si="41"/>
        <v>96</v>
      </c>
      <c r="G296" s="16"/>
      <c r="H296" s="16"/>
      <c r="I296" s="16"/>
      <c r="J296" s="16"/>
      <c r="K296" s="16">
        <v>1</v>
      </c>
      <c r="L296" s="16"/>
      <c r="M296" s="16" t="b">
        <v>1</v>
      </c>
      <c r="N296" s="16"/>
      <c r="V296" s="20"/>
      <c r="W296" s="20"/>
      <c r="X296" s="20"/>
      <c r="Y296" s="20"/>
      <c r="Z296" s="20"/>
      <c r="AA296" s="20"/>
      <c r="AB296" s="20"/>
      <c r="AC296" s="20"/>
      <c r="AD296" s="20"/>
    </row>
    <row r="297" spans="1:30" ht="13.5" customHeight="1" x14ac:dyDescent="0.25">
      <c r="A297" s="16"/>
      <c r="B297" s="16"/>
      <c r="C297" s="26" t="str">
        <f>IF(A297="","",IF((COUNTIFS(A:A,A297))&gt;1,"ID重复",""))</f>
        <v/>
      </c>
      <c r="D297" s="29">
        <v>6161</v>
      </c>
      <c r="E297" s="21" t="str">
        <f>INDEX([1]道具配置表!$D:$D,MATCH(D297,[1]道具配置表!$A:$A,0))</f>
        <v>5分钟训练加速</v>
      </c>
      <c r="F297" s="16">
        <f t="shared" si="41"/>
        <v>96</v>
      </c>
      <c r="G297" s="16"/>
      <c r="H297" s="16"/>
      <c r="I297" s="16"/>
      <c r="J297" s="16"/>
      <c r="K297" s="16">
        <v>1</v>
      </c>
      <c r="L297" s="16"/>
      <c r="M297" s="16" t="b">
        <v>1</v>
      </c>
      <c r="N297" s="16"/>
      <c r="V297" s="20"/>
      <c r="W297" s="20"/>
      <c r="X297" s="20"/>
      <c r="Y297" s="20"/>
      <c r="Z297" s="20"/>
      <c r="AA297" s="20"/>
      <c r="AB297" s="20"/>
      <c r="AC297" s="20"/>
      <c r="AD297" s="20"/>
    </row>
    <row r="298" spans="1:30" ht="13.5" customHeight="1" x14ac:dyDescent="0.25">
      <c r="A298" s="16">
        <f>A296+1</f>
        <v>6602062</v>
      </c>
      <c r="B298" s="16" t="str">
        <f>INT(RIGHT(A298,3)/10)&amp;"级城拆迁排名奖励第"&amp;2&amp;"名"</f>
        <v>6级城拆迁排名奖励第2名</v>
      </c>
      <c r="C298" s="26" t="str">
        <f>IF(A298="","",IF((COUNTIFS(A:A,A298))&gt;1,"ID重复",""))</f>
        <v/>
      </c>
      <c r="D298" s="29">
        <v>232</v>
      </c>
      <c r="E298" s="21" t="str">
        <f>INDEX([1]道具配置表!$D:$D,MATCH(D298,[1]道具配置表!$A:$A,0))</f>
        <v>1万食物</v>
      </c>
      <c r="F298" s="16">
        <f t="shared" si="41"/>
        <v>80</v>
      </c>
      <c r="G298" s="16"/>
      <c r="H298" s="16"/>
      <c r="I298" s="16"/>
      <c r="J298" s="16"/>
      <c r="K298" s="16">
        <v>1</v>
      </c>
      <c r="L298" s="16"/>
      <c r="M298" s="16" t="b">
        <v>1</v>
      </c>
      <c r="N298" s="16"/>
      <c r="V298" s="20"/>
      <c r="W298" s="20"/>
      <c r="X298" s="20"/>
      <c r="Y298" s="20"/>
      <c r="Z298" s="20"/>
      <c r="AA298" s="20"/>
      <c r="AB298" s="20"/>
      <c r="AC298" s="20"/>
      <c r="AD298" s="20"/>
    </row>
    <row r="299" spans="1:30" ht="13.5" customHeight="1" x14ac:dyDescent="0.25">
      <c r="A299" s="16"/>
      <c r="B299" s="16"/>
      <c r="C299" s="26" t="str">
        <f>IF(A299="","",IF((COUNTIFS(A:A,A299))&gt;1,"ID重复",""))</f>
        <v/>
      </c>
      <c r="D299" s="29">
        <v>6161</v>
      </c>
      <c r="E299" s="21" t="str">
        <f>INDEX([1]道具配置表!$D:$D,MATCH(D299,[1]道具配置表!$A:$A,0))</f>
        <v>5分钟训练加速</v>
      </c>
      <c r="F299" s="16">
        <f t="shared" si="41"/>
        <v>80</v>
      </c>
      <c r="G299" s="16"/>
      <c r="H299" s="16"/>
      <c r="I299" s="16"/>
      <c r="J299" s="16"/>
      <c r="K299" s="16">
        <v>1</v>
      </c>
      <c r="L299" s="16"/>
      <c r="M299" s="16" t="b">
        <v>1</v>
      </c>
      <c r="N299" s="16"/>
      <c r="V299" s="20"/>
      <c r="W299" s="20"/>
      <c r="X299" s="20"/>
      <c r="Y299" s="20"/>
      <c r="Z299" s="20"/>
      <c r="AA299" s="20"/>
      <c r="AB299" s="20"/>
      <c r="AC299" s="20"/>
      <c r="AD299" s="20"/>
    </row>
    <row r="300" spans="1:30" ht="13.5" customHeight="1" x14ac:dyDescent="0.25">
      <c r="A300" s="16">
        <f>A298+1</f>
        <v>6602063</v>
      </c>
      <c r="B300" s="16" t="str">
        <f>INT(RIGHT(A300,3)/10)&amp;"级城拆迁排名奖励第"&amp;3&amp;"名"</f>
        <v>6级城拆迁排名奖励第3名</v>
      </c>
      <c r="C300" s="26" t="str">
        <f>IF(A300="","",IF((COUNTIFS(A:A,A300))&gt;1,"ID重复",""))</f>
        <v/>
      </c>
      <c r="D300" s="29">
        <v>232</v>
      </c>
      <c r="E300" s="21" t="str">
        <f>INDEX([1]道具配置表!$D:$D,MATCH(D300,[1]道具配置表!$A:$A,0))</f>
        <v>1万食物</v>
      </c>
      <c r="F300" s="16">
        <f t="shared" si="41"/>
        <v>64</v>
      </c>
      <c r="G300" s="16"/>
      <c r="H300" s="16"/>
      <c r="I300" s="16"/>
      <c r="J300" s="16"/>
      <c r="K300" s="16">
        <v>1</v>
      </c>
      <c r="L300" s="16"/>
      <c r="M300" s="16" t="b">
        <v>1</v>
      </c>
      <c r="N300" s="16"/>
      <c r="V300" s="20"/>
      <c r="W300" s="20"/>
      <c r="X300" s="20"/>
      <c r="Y300" s="20"/>
      <c r="Z300" s="20"/>
      <c r="AA300" s="20"/>
      <c r="AB300" s="20"/>
      <c r="AC300" s="20"/>
      <c r="AD300" s="20"/>
    </row>
    <row r="301" spans="1:30" ht="13.5" customHeight="1" x14ac:dyDescent="0.25">
      <c r="A301" s="16"/>
      <c r="B301" s="16"/>
      <c r="C301" s="26" t="str">
        <f>IF(A301="","",IF((COUNTIFS(A:A,A301))&gt;1,"ID重复",""))</f>
        <v/>
      </c>
      <c r="D301" s="29">
        <v>6161</v>
      </c>
      <c r="E301" s="21" t="str">
        <f>INDEX([1]道具配置表!$D:$D,MATCH(D301,[1]道具配置表!$A:$A,0))</f>
        <v>5分钟训练加速</v>
      </c>
      <c r="F301" s="16">
        <f t="shared" ref="F301:F355" si="42">F181*0.5</f>
        <v>64</v>
      </c>
      <c r="G301" s="16"/>
      <c r="H301" s="16"/>
      <c r="I301" s="16"/>
      <c r="J301" s="16"/>
      <c r="K301" s="16">
        <v>1</v>
      </c>
      <c r="L301" s="16"/>
      <c r="M301" s="16" t="b">
        <v>1</v>
      </c>
      <c r="N301" s="16"/>
      <c r="V301" s="20"/>
      <c r="W301" s="20"/>
      <c r="X301" s="20"/>
      <c r="Y301" s="20"/>
      <c r="Z301" s="20"/>
      <c r="AA301" s="20"/>
      <c r="AB301" s="20"/>
      <c r="AC301" s="20"/>
      <c r="AD301" s="20"/>
    </row>
    <row r="302" spans="1:30" ht="13.5" customHeight="1" x14ac:dyDescent="0.25">
      <c r="A302" s="16">
        <f>A300+1</f>
        <v>6602064</v>
      </c>
      <c r="B302" s="16" t="str">
        <f>INT(RIGHT(A302,3)/10)&amp;"级城拆迁排名奖励第"&amp;"4-10"&amp;"名"</f>
        <v>6级城拆迁排名奖励第4-10名</v>
      </c>
      <c r="C302" s="26" t="str">
        <f>IF(A302="","",IF((COUNTIFS(A:A,A302))&gt;1,"ID重复",""))</f>
        <v/>
      </c>
      <c r="D302" s="29">
        <v>232</v>
      </c>
      <c r="E302" s="21" t="str">
        <f>INDEX([1]道具配置表!$D:$D,MATCH(D302,[1]道具配置表!$A:$A,0))</f>
        <v>1万食物</v>
      </c>
      <c r="F302" s="16">
        <f t="shared" si="42"/>
        <v>48</v>
      </c>
      <c r="G302" s="16"/>
      <c r="H302" s="16"/>
      <c r="I302" s="16"/>
      <c r="J302" s="16"/>
      <c r="K302" s="16">
        <v>1</v>
      </c>
      <c r="L302" s="16"/>
      <c r="M302" s="16" t="b">
        <v>1</v>
      </c>
      <c r="N302" s="16"/>
      <c r="V302" s="20"/>
      <c r="W302" s="20"/>
      <c r="X302" s="20"/>
      <c r="Y302" s="20"/>
      <c r="Z302" s="20"/>
      <c r="AA302" s="20"/>
      <c r="AB302" s="20"/>
      <c r="AC302" s="20"/>
      <c r="AD302" s="20"/>
    </row>
    <row r="303" spans="1:30" ht="13.5" customHeight="1" x14ac:dyDescent="0.25">
      <c r="A303" s="16"/>
      <c r="B303" s="16"/>
      <c r="C303" s="26" t="str">
        <f>IF(A303="","",IF((COUNTIFS(A:A,A303))&gt;1,"ID重复",""))</f>
        <v/>
      </c>
      <c r="D303" s="29">
        <v>6161</v>
      </c>
      <c r="E303" s="21" t="str">
        <f>INDEX([1]道具配置表!$D:$D,MATCH(D303,[1]道具配置表!$A:$A,0))</f>
        <v>5分钟训练加速</v>
      </c>
      <c r="F303" s="16">
        <f t="shared" si="42"/>
        <v>48</v>
      </c>
      <c r="G303" s="16"/>
      <c r="H303" s="16"/>
      <c r="I303" s="16"/>
      <c r="J303" s="16"/>
      <c r="K303" s="16">
        <v>1</v>
      </c>
      <c r="L303" s="16"/>
      <c r="M303" s="16" t="b">
        <v>1</v>
      </c>
      <c r="N303" s="16"/>
      <c r="V303" s="20"/>
      <c r="W303" s="20"/>
      <c r="X303" s="20"/>
      <c r="Y303" s="20"/>
      <c r="Z303" s="20"/>
      <c r="AA303" s="20"/>
      <c r="AB303" s="20"/>
      <c r="AC303" s="20"/>
      <c r="AD303" s="20"/>
    </row>
    <row r="304" spans="1:30" ht="13.5" customHeight="1" x14ac:dyDescent="0.25">
      <c r="A304" s="16">
        <f>A302+1</f>
        <v>6602065</v>
      </c>
      <c r="B304" s="16" t="str">
        <f>INT(RIGHT(A304,3)/10)&amp;"级城拆迁排名奖励第"&amp;"11-20"&amp;"名"</f>
        <v>6级城拆迁排名奖励第11-20名</v>
      </c>
      <c r="C304" s="26" t="str">
        <f>IF(A304="","",IF((COUNTIFS(A:A,A304))&gt;1,"ID重复",""))</f>
        <v/>
      </c>
      <c r="D304" s="29">
        <v>232</v>
      </c>
      <c r="E304" s="21" t="str">
        <f>INDEX([1]道具配置表!$D:$D,MATCH(D304,[1]道具配置表!$A:$A,0))</f>
        <v>1万食物</v>
      </c>
      <c r="F304" s="16">
        <f t="shared" si="42"/>
        <v>40</v>
      </c>
      <c r="G304" s="16"/>
      <c r="H304" s="16"/>
      <c r="I304" s="16"/>
      <c r="J304" s="16"/>
      <c r="K304" s="16">
        <v>1</v>
      </c>
      <c r="L304" s="16"/>
      <c r="M304" s="16" t="b">
        <v>1</v>
      </c>
      <c r="N304" s="16"/>
      <c r="V304" s="20"/>
      <c r="W304" s="20"/>
      <c r="X304" s="20"/>
      <c r="Y304" s="20"/>
      <c r="Z304" s="20"/>
      <c r="AA304" s="20"/>
      <c r="AB304" s="20"/>
      <c r="AC304" s="20"/>
      <c r="AD304" s="20"/>
    </row>
    <row r="305" spans="1:30" ht="13.5" customHeight="1" x14ac:dyDescent="0.25">
      <c r="A305" s="16"/>
      <c r="B305" s="16"/>
      <c r="C305" s="26" t="str">
        <f>IF(A305="","",IF((COUNTIFS(A:A,A305))&gt;1,"ID重复",""))</f>
        <v/>
      </c>
      <c r="D305" s="29">
        <v>6161</v>
      </c>
      <c r="E305" s="21" t="str">
        <f>INDEX([1]道具配置表!$D:$D,MATCH(D305,[1]道具配置表!$A:$A,0))</f>
        <v>5分钟训练加速</v>
      </c>
      <c r="F305" s="16">
        <f t="shared" si="42"/>
        <v>40</v>
      </c>
      <c r="G305" s="16"/>
      <c r="H305" s="16"/>
      <c r="I305" s="16"/>
      <c r="J305" s="16"/>
      <c r="K305" s="16">
        <v>1</v>
      </c>
      <c r="L305" s="16"/>
      <c r="M305" s="16" t="b">
        <v>1</v>
      </c>
      <c r="N305" s="16"/>
      <c r="V305" s="20"/>
      <c r="W305" s="20"/>
      <c r="X305" s="20"/>
      <c r="Y305" s="20"/>
      <c r="Z305" s="20"/>
      <c r="AA305" s="20"/>
      <c r="AB305" s="20"/>
      <c r="AC305" s="20"/>
      <c r="AD305" s="20"/>
    </row>
    <row r="306" spans="1:30" ht="13.5" customHeight="1" x14ac:dyDescent="0.25">
      <c r="A306" s="16">
        <f>A304+1</f>
        <v>6602066</v>
      </c>
      <c r="B306" s="16" t="str">
        <f>INT(RIGHT(A306,3)/10)&amp;"级城拆迁排名奖励第"&amp;"21-30"&amp;"名"</f>
        <v>6级城拆迁排名奖励第21-30名</v>
      </c>
      <c r="C306" s="26" t="str">
        <f>IF(A306="","",IF((COUNTIFS(A:A,A306))&gt;1,"ID重复",""))</f>
        <v/>
      </c>
      <c r="D306" s="29">
        <v>232</v>
      </c>
      <c r="E306" s="21" t="str">
        <f>INDEX([1]道具配置表!$D:$D,MATCH(D306,[1]道具配置表!$A:$A,0))</f>
        <v>1万食物</v>
      </c>
      <c r="F306" s="16">
        <f t="shared" si="42"/>
        <v>32</v>
      </c>
      <c r="G306" s="16"/>
      <c r="H306" s="16"/>
      <c r="I306" s="16"/>
      <c r="J306" s="16"/>
      <c r="K306" s="16">
        <v>1</v>
      </c>
      <c r="L306" s="16"/>
      <c r="M306" s="16" t="b">
        <v>1</v>
      </c>
      <c r="N306" s="16"/>
      <c r="V306" s="20"/>
      <c r="W306" s="20"/>
      <c r="X306" s="20"/>
      <c r="Y306" s="20"/>
      <c r="Z306" s="20"/>
      <c r="AA306" s="20"/>
      <c r="AB306" s="20"/>
      <c r="AC306" s="20"/>
      <c r="AD306" s="20"/>
    </row>
    <row r="307" spans="1:30" ht="13.5" customHeight="1" x14ac:dyDescent="0.25">
      <c r="A307" s="16"/>
      <c r="B307" s="16"/>
      <c r="C307" s="26" t="str">
        <f>IF(A307="","",IF((COUNTIFS(A:A,A307))&gt;1,"ID重复",""))</f>
        <v/>
      </c>
      <c r="D307" s="29">
        <v>6161</v>
      </c>
      <c r="E307" s="21" t="str">
        <f>INDEX([1]道具配置表!$D:$D,MATCH(D307,[1]道具配置表!$A:$A,0))</f>
        <v>5分钟训练加速</v>
      </c>
      <c r="F307" s="16">
        <f t="shared" si="42"/>
        <v>32</v>
      </c>
      <c r="G307" s="16"/>
      <c r="H307" s="16"/>
      <c r="I307" s="16"/>
      <c r="J307" s="16"/>
      <c r="K307" s="16">
        <v>1</v>
      </c>
      <c r="L307" s="16"/>
      <c r="M307" s="16" t="b">
        <v>1</v>
      </c>
      <c r="N307" s="16"/>
      <c r="V307" s="20"/>
      <c r="W307" s="20"/>
      <c r="X307" s="20"/>
      <c r="Y307" s="20"/>
      <c r="Z307" s="20"/>
      <c r="AA307" s="20"/>
      <c r="AB307" s="20"/>
      <c r="AC307" s="20"/>
      <c r="AD307" s="20"/>
    </row>
    <row r="308" spans="1:30" ht="13.5" customHeight="1" x14ac:dyDescent="0.25">
      <c r="A308" s="16">
        <f>A296+10</f>
        <v>6602071</v>
      </c>
      <c r="B308" s="16" t="str">
        <f>INT(RIGHT(A308,3)/10)&amp;"级城拆迁排名奖励第"&amp;1&amp;"名"</f>
        <v>7级城拆迁排名奖励第1名</v>
      </c>
      <c r="C308" s="26" t="str">
        <f>IF(A308="","",IF((COUNTIFS(A:A,A308))&gt;1,"ID重复",""))</f>
        <v/>
      </c>
      <c r="D308" s="29">
        <v>232</v>
      </c>
      <c r="E308" s="21" t="str">
        <f>INDEX([1]道具配置表!$D:$D,MATCH(D308,[1]道具配置表!$A:$A,0))</f>
        <v>1万食物</v>
      </c>
      <c r="F308" s="16">
        <f t="shared" si="42"/>
        <v>108</v>
      </c>
      <c r="G308" s="16"/>
      <c r="H308" s="16"/>
      <c r="I308" s="16"/>
      <c r="J308" s="16"/>
      <c r="K308" s="16">
        <v>1</v>
      </c>
      <c r="L308" s="16"/>
      <c r="M308" s="16" t="b">
        <v>1</v>
      </c>
      <c r="N308" s="16"/>
      <c r="V308" s="20"/>
      <c r="W308" s="20"/>
      <c r="X308" s="20"/>
      <c r="Y308" s="20"/>
      <c r="Z308" s="20"/>
      <c r="AA308" s="20"/>
      <c r="AB308" s="20"/>
      <c r="AC308" s="20"/>
      <c r="AD308" s="20"/>
    </row>
    <row r="309" spans="1:30" ht="13.5" customHeight="1" x14ac:dyDescent="0.25">
      <c r="A309" s="16"/>
      <c r="B309" s="16"/>
      <c r="C309" s="26" t="str">
        <f>IF(A309="","",IF((COUNTIFS(A:A,A309))&gt;1,"ID重复",""))</f>
        <v/>
      </c>
      <c r="D309" s="29">
        <v>6161</v>
      </c>
      <c r="E309" s="21" t="str">
        <f>INDEX([1]道具配置表!$D:$D,MATCH(D309,[1]道具配置表!$A:$A,0))</f>
        <v>5分钟训练加速</v>
      </c>
      <c r="F309" s="16">
        <f t="shared" si="42"/>
        <v>108</v>
      </c>
      <c r="G309" s="16"/>
      <c r="H309" s="16"/>
      <c r="I309" s="16"/>
      <c r="J309" s="16"/>
      <c r="K309" s="16">
        <v>1</v>
      </c>
      <c r="L309" s="16"/>
      <c r="M309" s="16" t="b">
        <v>1</v>
      </c>
      <c r="N309" s="16"/>
      <c r="V309" s="20"/>
      <c r="W309" s="20"/>
      <c r="X309" s="20"/>
      <c r="Y309" s="20"/>
      <c r="Z309" s="20"/>
      <c r="AA309" s="20"/>
      <c r="AB309" s="20"/>
      <c r="AC309" s="20"/>
      <c r="AD309" s="20"/>
    </row>
    <row r="310" spans="1:30" ht="13.5" customHeight="1" x14ac:dyDescent="0.25">
      <c r="A310" s="16">
        <f>A308+1</f>
        <v>6602072</v>
      </c>
      <c r="B310" s="16" t="str">
        <f>INT(RIGHT(A310,3)/10)&amp;"级城拆迁排名奖励第"&amp;2&amp;"名"</f>
        <v>7级城拆迁排名奖励第2名</v>
      </c>
      <c r="C310" s="26" t="str">
        <f>IF(A310="","",IF((COUNTIFS(A:A,A310))&gt;1,"ID重复",""))</f>
        <v/>
      </c>
      <c r="D310" s="29">
        <v>232</v>
      </c>
      <c r="E310" s="21" t="str">
        <f>INDEX([1]道具配置表!$D:$D,MATCH(D310,[1]道具配置表!$A:$A,0))</f>
        <v>1万食物</v>
      </c>
      <c r="F310" s="16">
        <f t="shared" si="42"/>
        <v>90</v>
      </c>
      <c r="G310" s="16"/>
      <c r="H310" s="16"/>
      <c r="I310" s="16"/>
      <c r="J310" s="16"/>
      <c r="K310" s="16">
        <v>1</v>
      </c>
      <c r="L310" s="16"/>
      <c r="M310" s="16" t="b">
        <v>1</v>
      </c>
      <c r="N310" s="16"/>
      <c r="V310" s="20"/>
      <c r="W310" s="20"/>
      <c r="X310" s="20"/>
      <c r="Y310" s="20"/>
      <c r="Z310" s="20"/>
      <c r="AA310" s="20"/>
      <c r="AB310" s="20"/>
      <c r="AC310" s="20"/>
      <c r="AD310" s="20"/>
    </row>
    <row r="311" spans="1:30" ht="13.5" customHeight="1" x14ac:dyDescent="0.25">
      <c r="A311" s="16"/>
      <c r="B311" s="16"/>
      <c r="C311" s="26" t="str">
        <f>IF(A311="","",IF((COUNTIFS(A:A,A311))&gt;1,"ID重复",""))</f>
        <v/>
      </c>
      <c r="D311" s="29">
        <v>6161</v>
      </c>
      <c r="E311" s="21" t="str">
        <f>INDEX([1]道具配置表!$D:$D,MATCH(D311,[1]道具配置表!$A:$A,0))</f>
        <v>5分钟训练加速</v>
      </c>
      <c r="F311" s="16">
        <f t="shared" si="42"/>
        <v>90</v>
      </c>
      <c r="G311" s="16"/>
      <c r="H311" s="16"/>
      <c r="I311" s="16"/>
      <c r="J311" s="16"/>
      <c r="K311" s="16">
        <v>1</v>
      </c>
      <c r="L311" s="16"/>
      <c r="M311" s="16" t="b">
        <v>1</v>
      </c>
      <c r="N311" s="16"/>
      <c r="V311" s="20"/>
      <c r="W311" s="20"/>
      <c r="X311" s="20"/>
      <c r="Y311" s="20"/>
      <c r="Z311" s="20"/>
      <c r="AA311" s="20"/>
      <c r="AB311" s="20"/>
      <c r="AC311" s="20"/>
      <c r="AD311" s="20"/>
    </row>
    <row r="312" spans="1:30" ht="13.5" customHeight="1" x14ac:dyDescent="0.25">
      <c r="A312" s="16">
        <f>A310+1</f>
        <v>6602073</v>
      </c>
      <c r="B312" s="16" t="str">
        <f>INT(RIGHT(A312,3)/10)&amp;"级城拆迁排名奖励第"&amp;3&amp;"名"</f>
        <v>7级城拆迁排名奖励第3名</v>
      </c>
      <c r="C312" s="26" t="str">
        <f>IF(A312="","",IF((COUNTIFS(A:A,A312))&gt;1,"ID重复",""))</f>
        <v/>
      </c>
      <c r="D312" s="29">
        <v>232</v>
      </c>
      <c r="E312" s="21" t="str">
        <f>INDEX([1]道具配置表!$D:$D,MATCH(D312,[1]道具配置表!$A:$A,0))</f>
        <v>1万食物</v>
      </c>
      <c r="F312" s="16">
        <f t="shared" si="42"/>
        <v>72</v>
      </c>
      <c r="G312" s="16"/>
      <c r="H312" s="16"/>
      <c r="I312" s="16"/>
      <c r="J312" s="16"/>
      <c r="K312" s="16">
        <v>1</v>
      </c>
      <c r="L312" s="16"/>
      <c r="M312" s="16" t="b">
        <v>1</v>
      </c>
      <c r="N312" s="16"/>
      <c r="V312" s="20"/>
      <c r="W312" s="20"/>
      <c r="X312" s="20"/>
      <c r="Y312" s="20"/>
      <c r="Z312" s="20"/>
      <c r="AA312" s="20"/>
      <c r="AB312" s="20"/>
      <c r="AC312" s="20"/>
      <c r="AD312" s="20"/>
    </row>
    <row r="313" spans="1:30" ht="13.5" customHeight="1" x14ac:dyDescent="0.25">
      <c r="A313" s="16"/>
      <c r="B313" s="16"/>
      <c r="C313" s="26" t="str">
        <f>IF(A313="","",IF((COUNTIFS(A:A,A313))&gt;1,"ID重复",""))</f>
        <v/>
      </c>
      <c r="D313" s="29">
        <v>6161</v>
      </c>
      <c r="E313" s="21" t="str">
        <f>INDEX([1]道具配置表!$D:$D,MATCH(D313,[1]道具配置表!$A:$A,0))</f>
        <v>5分钟训练加速</v>
      </c>
      <c r="F313" s="16">
        <f t="shared" si="42"/>
        <v>72</v>
      </c>
      <c r="G313" s="16"/>
      <c r="H313" s="16"/>
      <c r="I313" s="16"/>
      <c r="J313" s="16"/>
      <c r="K313" s="16">
        <v>1</v>
      </c>
      <c r="L313" s="16"/>
      <c r="M313" s="16" t="b">
        <v>1</v>
      </c>
      <c r="N313" s="16"/>
      <c r="V313" s="20"/>
      <c r="W313" s="20"/>
      <c r="X313" s="20"/>
      <c r="Y313" s="20"/>
      <c r="Z313" s="20"/>
      <c r="AA313" s="20"/>
      <c r="AB313" s="20"/>
      <c r="AC313" s="20"/>
      <c r="AD313" s="20"/>
    </row>
    <row r="314" spans="1:30" ht="13.5" customHeight="1" x14ac:dyDescent="0.25">
      <c r="A314" s="16">
        <f>A312+1</f>
        <v>6602074</v>
      </c>
      <c r="B314" s="16" t="str">
        <f>INT(RIGHT(A314,3)/10)&amp;"级城拆迁排名奖励第"&amp;"4-10"&amp;"名"</f>
        <v>7级城拆迁排名奖励第4-10名</v>
      </c>
      <c r="C314" s="26" t="str">
        <f>IF(A314="","",IF((COUNTIFS(A:A,A314))&gt;1,"ID重复",""))</f>
        <v/>
      </c>
      <c r="D314" s="29">
        <v>232</v>
      </c>
      <c r="E314" s="21" t="str">
        <f>INDEX([1]道具配置表!$D:$D,MATCH(D314,[1]道具配置表!$A:$A,0))</f>
        <v>1万食物</v>
      </c>
      <c r="F314" s="16">
        <f t="shared" si="42"/>
        <v>54</v>
      </c>
      <c r="G314" s="16"/>
      <c r="H314" s="16"/>
      <c r="I314" s="16"/>
      <c r="J314" s="16"/>
      <c r="K314" s="16">
        <v>1</v>
      </c>
      <c r="L314" s="16"/>
      <c r="M314" s="16" t="b">
        <v>1</v>
      </c>
      <c r="N314" s="16"/>
      <c r="V314" s="20"/>
      <c r="W314" s="20"/>
      <c r="X314" s="20"/>
      <c r="Y314" s="20"/>
      <c r="Z314" s="20"/>
      <c r="AA314" s="20"/>
      <c r="AB314" s="20"/>
      <c r="AC314" s="20"/>
      <c r="AD314" s="20"/>
    </row>
    <row r="315" spans="1:30" ht="13.5" customHeight="1" x14ac:dyDescent="0.25">
      <c r="A315" s="16"/>
      <c r="B315" s="16"/>
      <c r="C315" s="26" t="str">
        <f>IF(A315="","",IF((COUNTIFS(A:A,A315))&gt;1,"ID重复",""))</f>
        <v/>
      </c>
      <c r="D315" s="29">
        <v>6161</v>
      </c>
      <c r="E315" s="21" t="str">
        <f>INDEX([1]道具配置表!$D:$D,MATCH(D315,[1]道具配置表!$A:$A,0))</f>
        <v>5分钟训练加速</v>
      </c>
      <c r="F315" s="16">
        <f t="shared" si="42"/>
        <v>54</v>
      </c>
      <c r="G315" s="16"/>
      <c r="H315" s="16"/>
      <c r="I315" s="16"/>
      <c r="J315" s="16"/>
      <c r="K315" s="16">
        <v>1</v>
      </c>
      <c r="L315" s="16"/>
      <c r="M315" s="16" t="b">
        <v>1</v>
      </c>
      <c r="N315" s="16"/>
      <c r="V315" s="20"/>
      <c r="W315" s="20"/>
      <c r="X315" s="20"/>
      <c r="Y315" s="20"/>
      <c r="Z315" s="20"/>
      <c r="AA315" s="20"/>
      <c r="AB315" s="20"/>
      <c r="AC315" s="20"/>
      <c r="AD315" s="20"/>
    </row>
    <row r="316" spans="1:30" ht="13.5" customHeight="1" x14ac:dyDescent="0.25">
      <c r="A316" s="16">
        <f>A314+1</f>
        <v>6602075</v>
      </c>
      <c r="B316" s="16" t="str">
        <f>INT(RIGHT(A316,3)/10)&amp;"级城拆迁排名奖励第"&amp;"11-20"&amp;"名"</f>
        <v>7级城拆迁排名奖励第11-20名</v>
      </c>
      <c r="C316" s="26" t="str">
        <f>IF(A316="","",IF((COUNTIFS(A:A,A316))&gt;1,"ID重复",""))</f>
        <v/>
      </c>
      <c r="D316" s="29">
        <v>232</v>
      </c>
      <c r="E316" s="21" t="str">
        <f>INDEX([1]道具配置表!$D:$D,MATCH(D316,[1]道具配置表!$A:$A,0))</f>
        <v>1万食物</v>
      </c>
      <c r="F316" s="16">
        <f t="shared" si="42"/>
        <v>45</v>
      </c>
      <c r="G316" s="16"/>
      <c r="H316" s="16"/>
      <c r="I316" s="16"/>
      <c r="J316" s="16"/>
      <c r="K316" s="16">
        <v>1</v>
      </c>
      <c r="L316" s="16"/>
      <c r="M316" s="16" t="b">
        <v>1</v>
      </c>
      <c r="N316" s="16"/>
      <c r="V316" s="20"/>
      <c r="W316" s="20"/>
      <c r="X316" s="20"/>
      <c r="Y316" s="20"/>
      <c r="Z316" s="20"/>
      <c r="AA316" s="20"/>
      <c r="AB316" s="20"/>
      <c r="AC316" s="20"/>
      <c r="AD316" s="20"/>
    </row>
    <row r="317" spans="1:30" ht="13.5" customHeight="1" x14ac:dyDescent="0.25">
      <c r="A317" s="16"/>
      <c r="B317" s="16"/>
      <c r="C317" s="26" t="str">
        <f>IF(A317="","",IF((COUNTIFS(A:A,A317))&gt;1,"ID重复",""))</f>
        <v/>
      </c>
      <c r="D317" s="29">
        <v>6161</v>
      </c>
      <c r="E317" s="21" t="str">
        <f>INDEX([1]道具配置表!$D:$D,MATCH(D317,[1]道具配置表!$A:$A,0))</f>
        <v>5分钟训练加速</v>
      </c>
      <c r="F317" s="16">
        <f t="shared" si="42"/>
        <v>45</v>
      </c>
      <c r="G317" s="16"/>
      <c r="H317" s="16"/>
      <c r="I317" s="16"/>
      <c r="J317" s="16"/>
      <c r="K317" s="16">
        <v>1</v>
      </c>
      <c r="L317" s="16"/>
      <c r="M317" s="16" t="b">
        <v>1</v>
      </c>
      <c r="N317" s="16"/>
      <c r="V317" s="20"/>
      <c r="W317" s="20"/>
      <c r="X317" s="20"/>
      <c r="Y317" s="20"/>
      <c r="Z317" s="20"/>
      <c r="AA317" s="20"/>
      <c r="AB317" s="20"/>
      <c r="AC317" s="20"/>
      <c r="AD317" s="20"/>
    </row>
    <row r="318" spans="1:30" ht="13.5" customHeight="1" x14ac:dyDescent="0.25">
      <c r="A318" s="16">
        <f>A316+1</f>
        <v>6602076</v>
      </c>
      <c r="B318" s="16" t="str">
        <f>INT(RIGHT(A318,3)/10)&amp;"级城拆迁排名奖励第"&amp;"21-30"&amp;"名"</f>
        <v>7级城拆迁排名奖励第21-30名</v>
      </c>
      <c r="C318" s="26" t="str">
        <f>IF(A318="","",IF((COUNTIFS(A:A,A318))&gt;1,"ID重复",""))</f>
        <v/>
      </c>
      <c r="D318" s="29">
        <v>232</v>
      </c>
      <c r="E318" s="21" t="str">
        <f>INDEX([1]道具配置表!$D:$D,MATCH(D318,[1]道具配置表!$A:$A,0))</f>
        <v>1万食物</v>
      </c>
      <c r="F318" s="16">
        <f t="shared" si="42"/>
        <v>36</v>
      </c>
      <c r="G318" s="16"/>
      <c r="H318" s="16"/>
      <c r="I318" s="16"/>
      <c r="J318" s="16"/>
      <c r="K318" s="16">
        <v>1</v>
      </c>
      <c r="L318" s="16"/>
      <c r="M318" s="16" t="b">
        <v>1</v>
      </c>
      <c r="N318" s="16"/>
      <c r="V318" s="20"/>
      <c r="W318" s="20"/>
      <c r="X318" s="20"/>
      <c r="Y318" s="20"/>
      <c r="Z318" s="20"/>
      <c r="AA318" s="20"/>
      <c r="AB318" s="20"/>
      <c r="AC318" s="20"/>
      <c r="AD318" s="20"/>
    </row>
    <row r="319" spans="1:30" ht="13.5" customHeight="1" x14ac:dyDescent="0.25">
      <c r="A319" s="16"/>
      <c r="B319" s="16"/>
      <c r="C319" s="26" t="str">
        <f>IF(A319="","",IF((COUNTIFS(A:A,A319))&gt;1,"ID重复",""))</f>
        <v/>
      </c>
      <c r="D319" s="29">
        <v>6161</v>
      </c>
      <c r="E319" s="21" t="str">
        <f>INDEX([1]道具配置表!$D:$D,MATCH(D319,[1]道具配置表!$A:$A,0))</f>
        <v>5分钟训练加速</v>
      </c>
      <c r="F319" s="16">
        <f t="shared" si="42"/>
        <v>36</v>
      </c>
      <c r="G319" s="16"/>
      <c r="H319" s="16"/>
      <c r="I319" s="16"/>
      <c r="J319" s="16"/>
      <c r="K319" s="16">
        <v>1</v>
      </c>
      <c r="L319" s="16"/>
      <c r="M319" s="16" t="b">
        <v>1</v>
      </c>
      <c r="N319" s="16"/>
      <c r="V319" s="20"/>
      <c r="W319" s="20"/>
      <c r="X319" s="20"/>
      <c r="Y319" s="20"/>
      <c r="Z319" s="20"/>
      <c r="AA319" s="20"/>
      <c r="AB319" s="20"/>
      <c r="AC319" s="20"/>
      <c r="AD319" s="20"/>
    </row>
    <row r="320" spans="1:30" ht="13.5" customHeight="1" x14ac:dyDescent="0.25">
      <c r="A320" s="16">
        <f>A308+10</f>
        <v>6602081</v>
      </c>
      <c r="B320" s="16" t="str">
        <f>INT(RIGHT(A320,3)/10)&amp;"级城拆迁排名奖励第"&amp;1&amp;"名"</f>
        <v>8级城拆迁排名奖励第1名</v>
      </c>
      <c r="C320" s="26" t="str">
        <f>IF(A320="","",IF((COUNTIFS(A:A,A320))&gt;1,"ID重复",""))</f>
        <v/>
      </c>
      <c r="D320" s="29">
        <v>232</v>
      </c>
      <c r="E320" s="21" t="str">
        <f>INDEX([1]道具配置表!$D:$D,MATCH(D320,[1]道具配置表!$A:$A,0))</f>
        <v>1万食物</v>
      </c>
      <c r="F320" s="16">
        <f t="shared" si="42"/>
        <v>120</v>
      </c>
      <c r="G320" s="16"/>
      <c r="H320" s="16"/>
      <c r="I320" s="16"/>
      <c r="J320" s="16"/>
      <c r="K320" s="16">
        <v>1</v>
      </c>
      <c r="L320" s="16"/>
      <c r="M320" s="16" t="b">
        <v>1</v>
      </c>
      <c r="N320" s="16"/>
      <c r="V320" s="20"/>
      <c r="W320" s="20"/>
      <c r="X320" s="20"/>
      <c r="Y320" s="20"/>
      <c r="Z320" s="20"/>
      <c r="AA320" s="20"/>
      <c r="AB320" s="20"/>
      <c r="AC320" s="20"/>
      <c r="AD320" s="20"/>
    </row>
    <row r="321" spans="1:30" ht="13.5" customHeight="1" x14ac:dyDescent="0.25">
      <c r="A321" s="16"/>
      <c r="B321" s="16"/>
      <c r="C321" s="26" t="str">
        <f>IF(A321="","",IF((COUNTIFS(A:A,A321))&gt;1,"ID重复",""))</f>
        <v/>
      </c>
      <c r="D321" s="29">
        <v>6161</v>
      </c>
      <c r="E321" s="21" t="str">
        <f>INDEX([1]道具配置表!$D:$D,MATCH(D321,[1]道具配置表!$A:$A,0))</f>
        <v>5分钟训练加速</v>
      </c>
      <c r="F321" s="16">
        <f t="shared" si="42"/>
        <v>120</v>
      </c>
      <c r="G321" s="16"/>
      <c r="H321" s="16"/>
      <c r="I321" s="16"/>
      <c r="J321" s="16"/>
      <c r="K321" s="16">
        <v>1</v>
      </c>
      <c r="L321" s="16"/>
      <c r="M321" s="16" t="b">
        <v>1</v>
      </c>
      <c r="N321" s="16"/>
      <c r="V321" s="20"/>
      <c r="W321" s="20"/>
      <c r="X321" s="20"/>
      <c r="Y321" s="20"/>
      <c r="Z321" s="20"/>
      <c r="AA321" s="20"/>
      <c r="AB321" s="20"/>
      <c r="AC321" s="20"/>
      <c r="AD321" s="20"/>
    </row>
    <row r="322" spans="1:30" ht="13.5" customHeight="1" x14ac:dyDescent="0.25">
      <c r="A322" s="16">
        <f>A320+1</f>
        <v>6602082</v>
      </c>
      <c r="B322" s="16" t="str">
        <f>INT(RIGHT(A322,3)/10)&amp;"级城拆迁排名奖励第"&amp;2&amp;"名"</f>
        <v>8级城拆迁排名奖励第2名</v>
      </c>
      <c r="C322" s="26" t="str">
        <f>IF(A322="","",IF((COUNTIFS(A:A,A322))&gt;1,"ID重复",""))</f>
        <v/>
      </c>
      <c r="D322" s="29">
        <v>232</v>
      </c>
      <c r="E322" s="21" t="str">
        <f>INDEX([1]道具配置表!$D:$D,MATCH(D322,[1]道具配置表!$A:$A,0))</f>
        <v>1万食物</v>
      </c>
      <c r="F322" s="16">
        <f t="shared" si="42"/>
        <v>100</v>
      </c>
      <c r="G322" s="16"/>
      <c r="H322" s="16"/>
      <c r="I322" s="16"/>
      <c r="J322" s="16"/>
      <c r="K322" s="16">
        <v>1</v>
      </c>
      <c r="L322" s="16"/>
      <c r="M322" s="16" t="b">
        <v>1</v>
      </c>
      <c r="N322" s="16"/>
      <c r="V322" s="20"/>
      <c r="W322" s="20"/>
      <c r="X322" s="20"/>
      <c r="Y322" s="20"/>
      <c r="Z322" s="20"/>
      <c r="AA322" s="20"/>
      <c r="AB322" s="20"/>
      <c r="AC322" s="20"/>
      <c r="AD322" s="20"/>
    </row>
    <row r="323" spans="1:30" ht="13.5" customHeight="1" x14ac:dyDescent="0.25">
      <c r="A323" s="16"/>
      <c r="B323" s="16"/>
      <c r="C323" s="26" t="str">
        <f>IF(A323="","",IF((COUNTIFS(A:A,A323))&gt;1,"ID重复",""))</f>
        <v/>
      </c>
      <c r="D323" s="29">
        <v>6161</v>
      </c>
      <c r="E323" s="21" t="str">
        <f>INDEX([1]道具配置表!$D:$D,MATCH(D323,[1]道具配置表!$A:$A,0))</f>
        <v>5分钟训练加速</v>
      </c>
      <c r="F323" s="16">
        <f t="shared" si="42"/>
        <v>100</v>
      </c>
      <c r="G323" s="16"/>
      <c r="H323" s="16"/>
      <c r="I323" s="16"/>
      <c r="J323" s="16"/>
      <c r="K323" s="16">
        <v>1</v>
      </c>
      <c r="L323" s="16"/>
      <c r="M323" s="16" t="b">
        <v>1</v>
      </c>
      <c r="N323" s="16"/>
      <c r="V323" s="20"/>
      <c r="W323" s="20"/>
      <c r="X323" s="20"/>
      <c r="Y323" s="20"/>
      <c r="Z323" s="20"/>
      <c r="AA323" s="20"/>
      <c r="AB323" s="20"/>
      <c r="AC323" s="20"/>
      <c r="AD323" s="20"/>
    </row>
    <row r="324" spans="1:30" ht="13.5" customHeight="1" x14ac:dyDescent="0.25">
      <c r="A324" s="16">
        <f>A322+1</f>
        <v>6602083</v>
      </c>
      <c r="B324" s="16" t="str">
        <f>INT(RIGHT(A324,3)/10)&amp;"级城拆迁排名奖励第"&amp;3&amp;"名"</f>
        <v>8级城拆迁排名奖励第3名</v>
      </c>
      <c r="C324" s="26" t="str">
        <f>IF(A324="","",IF((COUNTIFS(A:A,A324))&gt;1,"ID重复",""))</f>
        <v/>
      </c>
      <c r="D324" s="29">
        <v>232</v>
      </c>
      <c r="E324" s="21" t="str">
        <f>INDEX([1]道具配置表!$D:$D,MATCH(D324,[1]道具配置表!$A:$A,0))</f>
        <v>1万食物</v>
      </c>
      <c r="F324" s="16">
        <f t="shared" si="42"/>
        <v>80</v>
      </c>
      <c r="G324" s="16"/>
      <c r="H324" s="16"/>
      <c r="I324" s="16"/>
      <c r="J324" s="16"/>
      <c r="K324" s="16">
        <v>1</v>
      </c>
      <c r="L324" s="16"/>
      <c r="M324" s="16" t="b">
        <v>1</v>
      </c>
      <c r="N324" s="16"/>
      <c r="V324" s="20"/>
      <c r="W324" s="20"/>
      <c r="X324" s="20"/>
      <c r="Y324" s="20"/>
      <c r="Z324" s="20"/>
      <c r="AA324" s="20"/>
      <c r="AB324" s="20"/>
      <c r="AC324" s="20"/>
      <c r="AD324" s="20"/>
    </row>
    <row r="325" spans="1:30" ht="13.5" customHeight="1" x14ac:dyDescent="0.25">
      <c r="A325" s="16"/>
      <c r="B325" s="16"/>
      <c r="C325" s="26" t="str">
        <f>IF(A325="","",IF((COUNTIFS(A:A,A325))&gt;1,"ID重复",""))</f>
        <v/>
      </c>
      <c r="D325" s="29">
        <v>6161</v>
      </c>
      <c r="E325" s="21" t="str">
        <f>INDEX([1]道具配置表!$D:$D,MATCH(D325,[1]道具配置表!$A:$A,0))</f>
        <v>5分钟训练加速</v>
      </c>
      <c r="F325" s="16">
        <f t="shared" si="42"/>
        <v>80</v>
      </c>
      <c r="G325" s="16"/>
      <c r="H325" s="16"/>
      <c r="I325" s="16"/>
      <c r="J325" s="16"/>
      <c r="K325" s="16">
        <v>1</v>
      </c>
      <c r="L325" s="16"/>
      <c r="M325" s="16" t="b">
        <v>1</v>
      </c>
      <c r="N325" s="16"/>
      <c r="V325" s="20"/>
      <c r="W325" s="20"/>
      <c r="X325" s="20"/>
      <c r="Y325" s="20"/>
      <c r="Z325" s="20"/>
      <c r="AA325" s="20"/>
      <c r="AB325" s="20"/>
      <c r="AC325" s="20"/>
      <c r="AD325" s="20"/>
    </row>
    <row r="326" spans="1:30" ht="13.5" customHeight="1" x14ac:dyDescent="0.25">
      <c r="A326" s="16">
        <f>A324+1</f>
        <v>6602084</v>
      </c>
      <c r="B326" s="16" t="str">
        <f>INT(RIGHT(A326,3)/10)&amp;"级城拆迁排名奖励第"&amp;"4-10"&amp;"名"</f>
        <v>8级城拆迁排名奖励第4-10名</v>
      </c>
      <c r="C326" s="26" t="str">
        <f>IF(A326="","",IF((COUNTIFS(A:A,A326))&gt;1,"ID重复",""))</f>
        <v/>
      </c>
      <c r="D326" s="29">
        <v>232</v>
      </c>
      <c r="E326" s="21" t="str">
        <f>INDEX([1]道具配置表!$D:$D,MATCH(D326,[1]道具配置表!$A:$A,0))</f>
        <v>1万食物</v>
      </c>
      <c r="F326" s="16">
        <f t="shared" si="42"/>
        <v>60</v>
      </c>
      <c r="G326" s="16"/>
      <c r="H326" s="16"/>
      <c r="I326" s="16"/>
      <c r="J326" s="16"/>
      <c r="K326" s="16">
        <v>1</v>
      </c>
      <c r="L326" s="16"/>
      <c r="M326" s="16" t="b">
        <v>1</v>
      </c>
      <c r="N326" s="16"/>
      <c r="V326" s="20"/>
      <c r="W326" s="20"/>
      <c r="X326" s="20"/>
      <c r="Y326" s="20"/>
      <c r="Z326" s="20"/>
      <c r="AA326" s="20"/>
      <c r="AB326" s="20"/>
      <c r="AC326" s="20"/>
      <c r="AD326" s="20"/>
    </row>
    <row r="327" spans="1:30" ht="13.5" customHeight="1" x14ac:dyDescent="0.25">
      <c r="A327" s="16"/>
      <c r="B327" s="16"/>
      <c r="C327" s="26" t="str">
        <f>IF(A327="","",IF((COUNTIFS(A:A,A327))&gt;1,"ID重复",""))</f>
        <v/>
      </c>
      <c r="D327" s="29">
        <v>6161</v>
      </c>
      <c r="E327" s="21" t="str">
        <f>INDEX([1]道具配置表!$D:$D,MATCH(D327,[1]道具配置表!$A:$A,0))</f>
        <v>5分钟训练加速</v>
      </c>
      <c r="F327" s="16">
        <f t="shared" si="42"/>
        <v>60</v>
      </c>
      <c r="G327" s="16"/>
      <c r="H327" s="16"/>
      <c r="I327" s="16"/>
      <c r="J327" s="16"/>
      <c r="K327" s="16">
        <v>1</v>
      </c>
      <c r="L327" s="16"/>
      <c r="M327" s="16" t="b">
        <v>1</v>
      </c>
      <c r="N327" s="16"/>
      <c r="V327" s="20"/>
      <c r="W327" s="20"/>
      <c r="X327" s="20"/>
      <c r="Y327" s="20"/>
      <c r="Z327" s="20"/>
      <c r="AA327" s="20"/>
      <c r="AB327" s="20"/>
      <c r="AC327" s="20"/>
      <c r="AD327" s="20"/>
    </row>
    <row r="328" spans="1:30" ht="13.5" customHeight="1" x14ac:dyDescent="0.25">
      <c r="A328" s="16">
        <f>A326+1</f>
        <v>6602085</v>
      </c>
      <c r="B328" s="16" t="str">
        <f>INT(RIGHT(A328,3)/10)&amp;"级城拆迁排名奖励第"&amp;"11-20"&amp;"名"</f>
        <v>8级城拆迁排名奖励第11-20名</v>
      </c>
      <c r="C328" s="26" t="str">
        <f>IF(A328="","",IF((COUNTIFS(A:A,A328))&gt;1,"ID重复",""))</f>
        <v/>
      </c>
      <c r="D328" s="29">
        <v>232</v>
      </c>
      <c r="E328" s="21" t="str">
        <f>INDEX([1]道具配置表!$D:$D,MATCH(D328,[1]道具配置表!$A:$A,0))</f>
        <v>1万食物</v>
      </c>
      <c r="F328" s="16">
        <f t="shared" si="42"/>
        <v>50</v>
      </c>
      <c r="G328" s="16"/>
      <c r="H328" s="16"/>
      <c r="I328" s="16"/>
      <c r="J328" s="16"/>
      <c r="K328" s="16">
        <v>1</v>
      </c>
      <c r="L328" s="16"/>
      <c r="M328" s="16" t="b">
        <v>1</v>
      </c>
      <c r="N328" s="16"/>
      <c r="V328" s="20"/>
      <c r="W328" s="20"/>
      <c r="X328" s="20"/>
      <c r="Y328" s="20"/>
      <c r="Z328" s="20"/>
      <c r="AA328" s="20"/>
      <c r="AB328" s="20"/>
      <c r="AC328" s="20"/>
      <c r="AD328" s="20"/>
    </row>
    <row r="329" spans="1:30" ht="13.5" customHeight="1" x14ac:dyDescent="0.25">
      <c r="A329" s="16"/>
      <c r="B329" s="16"/>
      <c r="C329" s="26" t="str">
        <f>IF(A329="","",IF((COUNTIFS(A:A,A329))&gt;1,"ID重复",""))</f>
        <v/>
      </c>
      <c r="D329" s="29">
        <v>6161</v>
      </c>
      <c r="E329" s="21" t="str">
        <f>INDEX([1]道具配置表!$D:$D,MATCH(D329,[1]道具配置表!$A:$A,0))</f>
        <v>5分钟训练加速</v>
      </c>
      <c r="F329" s="16">
        <f t="shared" si="42"/>
        <v>50</v>
      </c>
      <c r="G329" s="16"/>
      <c r="H329" s="16"/>
      <c r="I329" s="16"/>
      <c r="J329" s="16"/>
      <c r="K329" s="16">
        <v>1</v>
      </c>
      <c r="L329" s="16"/>
      <c r="M329" s="16" t="b">
        <v>1</v>
      </c>
      <c r="N329" s="16"/>
      <c r="V329" s="20"/>
      <c r="W329" s="20"/>
      <c r="X329" s="20"/>
      <c r="Y329" s="20"/>
      <c r="Z329" s="20"/>
      <c r="AA329" s="20"/>
      <c r="AB329" s="20"/>
      <c r="AC329" s="20"/>
      <c r="AD329" s="20"/>
    </row>
    <row r="330" spans="1:30" ht="13.5" customHeight="1" x14ac:dyDescent="0.25">
      <c r="A330" s="16">
        <f>A328+1</f>
        <v>6602086</v>
      </c>
      <c r="B330" s="16" t="str">
        <f>INT(RIGHT(A330,3)/10)&amp;"级城拆迁排名奖励第"&amp;"21-30"&amp;"名"</f>
        <v>8级城拆迁排名奖励第21-30名</v>
      </c>
      <c r="C330" s="26" t="str">
        <f>IF(A330="","",IF((COUNTIFS(A:A,A330))&gt;1,"ID重复",""))</f>
        <v/>
      </c>
      <c r="D330" s="29">
        <v>232</v>
      </c>
      <c r="E330" s="21" t="str">
        <f>INDEX([1]道具配置表!$D:$D,MATCH(D330,[1]道具配置表!$A:$A,0))</f>
        <v>1万食物</v>
      </c>
      <c r="F330" s="16">
        <f t="shared" si="42"/>
        <v>40</v>
      </c>
      <c r="G330" s="16"/>
      <c r="H330" s="16"/>
      <c r="I330" s="16"/>
      <c r="J330" s="16"/>
      <c r="K330" s="16">
        <v>1</v>
      </c>
      <c r="L330" s="16"/>
      <c r="M330" s="16" t="b">
        <v>1</v>
      </c>
      <c r="N330" s="16"/>
      <c r="V330" s="20"/>
      <c r="W330" s="20"/>
      <c r="X330" s="20"/>
      <c r="Y330" s="20"/>
      <c r="Z330" s="20"/>
      <c r="AA330" s="20"/>
      <c r="AB330" s="20"/>
      <c r="AC330" s="20"/>
      <c r="AD330" s="20"/>
    </row>
    <row r="331" spans="1:30" ht="13.5" customHeight="1" x14ac:dyDescent="0.25">
      <c r="A331" s="16"/>
      <c r="B331" s="16"/>
      <c r="C331" s="26" t="str">
        <f>IF(A331="","",IF((COUNTIFS(A:A,A331))&gt;1,"ID重复",""))</f>
        <v/>
      </c>
      <c r="D331" s="29">
        <v>6161</v>
      </c>
      <c r="E331" s="21" t="str">
        <f>INDEX([1]道具配置表!$D:$D,MATCH(D331,[1]道具配置表!$A:$A,0))</f>
        <v>5分钟训练加速</v>
      </c>
      <c r="F331" s="16">
        <f t="shared" si="42"/>
        <v>40</v>
      </c>
      <c r="G331" s="16"/>
      <c r="H331" s="16"/>
      <c r="I331" s="16"/>
      <c r="J331" s="16"/>
      <c r="K331" s="16">
        <v>1</v>
      </c>
      <c r="L331" s="16"/>
      <c r="M331" s="16" t="b">
        <v>1</v>
      </c>
      <c r="N331" s="16"/>
      <c r="V331" s="20"/>
      <c r="W331" s="20"/>
      <c r="X331" s="20"/>
      <c r="Y331" s="20"/>
      <c r="Z331" s="20"/>
      <c r="AA331" s="20"/>
      <c r="AB331" s="20"/>
      <c r="AC331" s="20"/>
      <c r="AD331" s="20"/>
    </row>
    <row r="332" spans="1:30" ht="13.5" customHeight="1" x14ac:dyDescent="0.25">
      <c r="A332" s="16">
        <f>A320+10</f>
        <v>6602091</v>
      </c>
      <c r="B332" s="16" t="str">
        <f>INT(RIGHT(A332,3)/10)&amp;"级城拆迁排名奖励第"&amp;1&amp;"名"</f>
        <v>9级城拆迁排名奖励第1名</v>
      </c>
      <c r="C332" s="26" t="str">
        <f>IF(A332="","",IF((COUNTIFS(A:A,A332))&gt;1,"ID重复",""))</f>
        <v/>
      </c>
      <c r="D332" s="29">
        <v>232</v>
      </c>
      <c r="E332" s="21" t="str">
        <f>INDEX([1]道具配置表!$D:$D,MATCH(D332,[1]道具配置表!$A:$A,0))</f>
        <v>1万食物</v>
      </c>
      <c r="F332" s="16">
        <f t="shared" si="42"/>
        <v>132</v>
      </c>
      <c r="G332" s="16"/>
      <c r="H332" s="16"/>
      <c r="I332" s="16"/>
      <c r="J332" s="16"/>
      <c r="K332" s="16">
        <v>1</v>
      </c>
      <c r="L332" s="16"/>
      <c r="M332" s="16" t="b">
        <v>1</v>
      </c>
      <c r="N332" s="16"/>
      <c r="V332" s="20"/>
      <c r="W332" s="20"/>
      <c r="X332" s="20"/>
      <c r="Y332" s="20"/>
      <c r="Z332" s="20"/>
      <c r="AA332" s="20"/>
      <c r="AB332" s="20"/>
      <c r="AC332" s="20"/>
      <c r="AD332" s="20"/>
    </row>
    <row r="333" spans="1:30" ht="13.5" customHeight="1" x14ac:dyDescent="0.25">
      <c r="A333" s="16"/>
      <c r="B333" s="16"/>
      <c r="C333" s="26" t="str">
        <f>IF(A333="","",IF((COUNTIFS(A:A,A333))&gt;1,"ID重复",""))</f>
        <v/>
      </c>
      <c r="D333" s="29">
        <v>6161</v>
      </c>
      <c r="E333" s="21" t="str">
        <f>INDEX([1]道具配置表!$D:$D,MATCH(D333,[1]道具配置表!$A:$A,0))</f>
        <v>5分钟训练加速</v>
      </c>
      <c r="F333" s="16">
        <f t="shared" si="42"/>
        <v>132</v>
      </c>
      <c r="G333" s="16"/>
      <c r="H333" s="16"/>
      <c r="I333" s="16"/>
      <c r="J333" s="16"/>
      <c r="K333" s="16">
        <v>1</v>
      </c>
      <c r="L333" s="16"/>
      <c r="M333" s="16" t="b">
        <v>1</v>
      </c>
      <c r="N333" s="16"/>
      <c r="V333" s="20"/>
      <c r="W333" s="20"/>
      <c r="X333" s="20"/>
      <c r="Y333" s="20"/>
      <c r="Z333" s="20"/>
      <c r="AA333" s="20"/>
      <c r="AB333" s="20"/>
      <c r="AC333" s="20"/>
      <c r="AD333" s="20"/>
    </row>
    <row r="334" spans="1:30" ht="13.5" customHeight="1" x14ac:dyDescent="0.25">
      <c r="A334" s="16">
        <f>A332+1</f>
        <v>6602092</v>
      </c>
      <c r="B334" s="16" t="str">
        <f>INT(RIGHT(A334,3)/10)&amp;"级城拆迁排名奖励第"&amp;2&amp;"名"</f>
        <v>9级城拆迁排名奖励第2名</v>
      </c>
      <c r="C334" s="26" t="str">
        <f>IF(A334="","",IF((COUNTIFS(A:A,A334))&gt;1,"ID重复",""))</f>
        <v/>
      </c>
      <c r="D334" s="29">
        <v>232</v>
      </c>
      <c r="E334" s="21" t="str">
        <f>INDEX([1]道具配置表!$D:$D,MATCH(D334,[1]道具配置表!$A:$A,0))</f>
        <v>1万食物</v>
      </c>
      <c r="F334" s="16">
        <f t="shared" si="42"/>
        <v>110</v>
      </c>
      <c r="G334" s="16"/>
      <c r="H334" s="16"/>
      <c r="I334" s="16"/>
      <c r="J334" s="16"/>
      <c r="K334" s="16">
        <v>1</v>
      </c>
      <c r="L334" s="16"/>
      <c r="M334" s="16" t="b">
        <v>1</v>
      </c>
      <c r="N334" s="16"/>
      <c r="V334" s="20"/>
      <c r="W334" s="20"/>
      <c r="X334" s="20"/>
      <c r="Y334" s="20"/>
      <c r="Z334" s="20"/>
      <c r="AA334" s="20"/>
      <c r="AB334" s="20"/>
      <c r="AC334" s="20"/>
      <c r="AD334" s="20"/>
    </row>
    <row r="335" spans="1:30" ht="13.5" customHeight="1" x14ac:dyDescent="0.25">
      <c r="A335" s="16"/>
      <c r="B335" s="16"/>
      <c r="C335" s="26" t="str">
        <f>IF(A335="","",IF((COUNTIFS(A:A,A335))&gt;1,"ID重复",""))</f>
        <v/>
      </c>
      <c r="D335" s="29">
        <v>6161</v>
      </c>
      <c r="E335" s="21" t="str">
        <f>INDEX([1]道具配置表!$D:$D,MATCH(D335,[1]道具配置表!$A:$A,0))</f>
        <v>5分钟训练加速</v>
      </c>
      <c r="F335" s="16">
        <f t="shared" si="42"/>
        <v>110</v>
      </c>
      <c r="G335" s="16"/>
      <c r="H335" s="16"/>
      <c r="I335" s="16"/>
      <c r="J335" s="16"/>
      <c r="K335" s="16">
        <v>1</v>
      </c>
      <c r="L335" s="16"/>
      <c r="M335" s="16" t="b">
        <v>1</v>
      </c>
      <c r="N335" s="16"/>
      <c r="V335" s="20"/>
      <c r="W335" s="20"/>
      <c r="X335" s="20"/>
      <c r="Y335" s="20"/>
      <c r="Z335" s="20"/>
      <c r="AA335" s="20"/>
      <c r="AB335" s="20"/>
      <c r="AC335" s="20"/>
      <c r="AD335" s="20"/>
    </row>
    <row r="336" spans="1:30" ht="13.5" customHeight="1" x14ac:dyDescent="0.25">
      <c r="A336" s="16">
        <f>A334+1</f>
        <v>6602093</v>
      </c>
      <c r="B336" s="16" t="str">
        <f>INT(RIGHT(A336,3)/10)&amp;"级城拆迁排名奖励第"&amp;3&amp;"名"</f>
        <v>9级城拆迁排名奖励第3名</v>
      </c>
      <c r="C336" s="26" t="str">
        <f>IF(A336="","",IF((COUNTIFS(A:A,A336))&gt;1,"ID重复",""))</f>
        <v/>
      </c>
      <c r="D336" s="29">
        <v>232</v>
      </c>
      <c r="E336" s="21" t="str">
        <f>INDEX([1]道具配置表!$D:$D,MATCH(D336,[1]道具配置表!$A:$A,0))</f>
        <v>1万食物</v>
      </c>
      <c r="F336" s="16">
        <f t="shared" si="42"/>
        <v>88</v>
      </c>
      <c r="G336" s="16"/>
      <c r="H336" s="16"/>
      <c r="I336" s="16"/>
      <c r="J336" s="16"/>
      <c r="K336" s="16">
        <v>1</v>
      </c>
      <c r="L336" s="16"/>
      <c r="M336" s="16" t="b">
        <v>1</v>
      </c>
      <c r="N336" s="16"/>
      <c r="V336" s="20"/>
      <c r="W336" s="20"/>
      <c r="X336" s="20"/>
      <c r="Y336" s="20"/>
      <c r="Z336" s="20"/>
      <c r="AA336" s="20"/>
      <c r="AB336" s="20"/>
      <c r="AC336" s="20"/>
      <c r="AD336" s="20"/>
    </row>
    <row r="337" spans="1:30" ht="13.5" customHeight="1" x14ac:dyDescent="0.25">
      <c r="A337" s="16"/>
      <c r="B337" s="16"/>
      <c r="C337" s="26" t="str">
        <f>IF(A337="","",IF((COUNTIFS(A:A,A337))&gt;1,"ID重复",""))</f>
        <v/>
      </c>
      <c r="D337" s="29">
        <v>6161</v>
      </c>
      <c r="E337" s="21" t="str">
        <f>INDEX([1]道具配置表!$D:$D,MATCH(D337,[1]道具配置表!$A:$A,0))</f>
        <v>5分钟训练加速</v>
      </c>
      <c r="F337" s="16">
        <f t="shared" si="42"/>
        <v>88</v>
      </c>
      <c r="G337" s="16"/>
      <c r="H337" s="16"/>
      <c r="I337" s="16"/>
      <c r="J337" s="16"/>
      <c r="K337" s="16">
        <v>1</v>
      </c>
      <c r="L337" s="16"/>
      <c r="M337" s="16" t="b">
        <v>1</v>
      </c>
      <c r="N337" s="16"/>
      <c r="V337" s="20"/>
      <c r="W337" s="20"/>
      <c r="X337" s="20"/>
      <c r="Y337" s="20"/>
      <c r="Z337" s="20"/>
      <c r="AA337" s="20"/>
      <c r="AB337" s="20"/>
      <c r="AC337" s="20"/>
      <c r="AD337" s="20"/>
    </row>
    <row r="338" spans="1:30" ht="13.5" customHeight="1" x14ac:dyDescent="0.25">
      <c r="A338" s="16">
        <f>A336+1</f>
        <v>6602094</v>
      </c>
      <c r="B338" s="16" t="str">
        <f>INT(RIGHT(A338,3)/10)&amp;"级城拆迁排名奖励第"&amp;"4-10"&amp;"名"</f>
        <v>9级城拆迁排名奖励第4-10名</v>
      </c>
      <c r="C338" s="26" t="str">
        <f>IF(A338="","",IF((COUNTIFS(A:A,A338))&gt;1,"ID重复",""))</f>
        <v/>
      </c>
      <c r="D338" s="29">
        <v>232</v>
      </c>
      <c r="E338" s="21" t="str">
        <f>INDEX([1]道具配置表!$D:$D,MATCH(D338,[1]道具配置表!$A:$A,0))</f>
        <v>1万食物</v>
      </c>
      <c r="F338" s="16">
        <f t="shared" si="42"/>
        <v>66</v>
      </c>
      <c r="G338" s="16"/>
      <c r="H338" s="16"/>
      <c r="I338" s="16"/>
      <c r="J338" s="16"/>
      <c r="K338" s="16">
        <v>1</v>
      </c>
      <c r="L338" s="16"/>
      <c r="M338" s="16" t="b">
        <v>1</v>
      </c>
      <c r="N338" s="16"/>
      <c r="V338" s="20"/>
      <c r="W338" s="20"/>
      <c r="X338" s="20"/>
      <c r="Y338" s="20"/>
      <c r="Z338" s="20"/>
      <c r="AA338" s="20"/>
      <c r="AB338" s="20"/>
      <c r="AC338" s="20"/>
      <c r="AD338" s="20"/>
    </row>
    <row r="339" spans="1:30" ht="13.5" customHeight="1" x14ac:dyDescent="0.25">
      <c r="A339" s="16"/>
      <c r="B339" s="16"/>
      <c r="C339" s="26" t="str">
        <f>IF(A339="","",IF((COUNTIFS(A:A,A339))&gt;1,"ID重复",""))</f>
        <v/>
      </c>
      <c r="D339" s="29">
        <v>6161</v>
      </c>
      <c r="E339" s="21" t="str">
        <f>INDEX([1]道具配置表!$D:$D,MATCH(D339,[1]道具配置表!$A:$A,0))</f>
        <v>5分钟训练加速</v>
      </c>
      <c r="F339" s="16">
        <f t="shared" si="42"/>
        <v>66</v>
      </c>
      <c r="G339" s="16"/>
      <c r="H339" s="16"/>
      <c r="I339" s="16"/>
      <c r="J339" s="16"/>
      <c r="K339" s="16">
        <v>1</v>
      </c>
      <c r="L339" s="16"/>
      <c r="M339" s="16" t="b">
        <v>1</v>
      </c>
      <c r="N339" s="16"/>
      <c r="V339" s="20"/>
      <c r="W339" s="20"/>
      <c r="X339" s="20"/>
      <c r="Y339" s="20"/>
      <c r="Z339" s="20"/>
      <c r="AA339" s="20"/>
      <c r="AB339" s="20"/>
      <c r="AC339" s="20"/>
      <c r="AD339" s="20"/>
    </row>
    <row r="340" spans="1:30" ht="13.5" customHeight="1" x14ac:dyDescent="0.25">
      <c r="A340" s="16">
        <f>A338+1</f>
        <v>6602095</v>
      </c>
      <c r="B340" s="16" t="str">
        <f>INT(RIGHT(A340,3)/10)&amp;"级城拆迁排名奖励第"&amp;"11-20"&amp;"名"</f>
        <v>9级城拆迁排名奖励第11-20名</v>
      </c>
      <c r="C340" s="26" t="str">
        <f>IF(A340="","",IF((COUNTIFS(A:A,A340))&gt;1,"ID重复",""))</f>
        <v/>
      </c>
      <c r="D340" s="29">
        <v>232</v>
      </c>
      <c r="E340" s="21" t="str">
        <f>INDEX([1]道具配置表!$D:$D,MATCH(D340,[1]道具配置表!$A:$A,0))</f>
        <v>1万食物</v>
      </c>
      <c r="F340" s="16">
        <f t="shared" si="42"/>
        <v>55</v>
      </c>
      <c r="G340" s="16"/>
      <c r="H340" s="16"/>
      <c r="I340" s="16"/>
      <c r="J340" s="16"/>
      <c r="K340" s="16">
        <v>1</v>
      </c>
      <c r="L340" s="16"/>
      <c r="M340" s="16" t="b">
        <v>1</v>
      </c>
      <c r="N340" s="16"/>
      <c r="V340" s="20"/>
      <c r="W340" s="20"/>
      <c r="X340" s="20"/>
      <c r="Y340" s="20"/>
      <c r="Z340" s="20"/>
      <c r="AA340" s="20"/>
      <c r="AB340" s="20"/>
      <c r="AC340" s="20"/>
      <c r="AD340" s="20"/>
    </row>
    <row r="341" spans="1:30" ht="13.5" customHeight="1" x14ac:dyDescent="0.25">
      <c r="A341" s="16"/>
      <c r="B341" s="16"/>
      <c r="C341" s="26" t="str">
        <f>IF(A341="","",IF((COUNTIFS(A:A,A341))&gt;1,"ID重复",""))</f>
        <v/>
      </c>
      <c r="D341" s="29">
        <v>6161</v>
      </c>
      <c r="E341" s="21" t="str">
        <f>INDEX([1]道具配置表!$D:$D,MATCH(D341,[1]道具配置表!$A:$A,0))</f>
        <v>5分钟训练加速</v>
      </c>
      <c r="F341" s="16">
        <f t="shared" si="42"/>
        <v>55</v>
      </c>
      <c r="G341" s="16"/>
      <c r="H341" s="16"/>
      <c r="I341" s="16"/>
      <c r="J341" s="16"/>
      <c r="K341" s="16">
        <v>1</v>
      </c>
      <c r="L341" s="16"/>
      <c r="M341" s="16" t="b">
        <v>1</v>
      </c>
      <c r="N341" s="16"/>
      <c r="V341" s="20"/>
      <c r="W341" s="20"/>
      <c r="X341" s="20"/>
      <c r="Y341" s="20"/>
      <c r="Z341" s="20"/>
      <c r="AA341" s="20"/>
      <c r="AB341" s="20"/>
      <c r="AC341" s="20"/>
      <c r="AD341" s="20"/>
    </row>
    <row r="342" spans="1:30" ht="13.5" customHeight="1" x14ac:dyDescent="0.25">
      <c r="A342" s="16">
        <f>A340+1</f>
        <v>6602096</v>
      </c>
      <c r="B342" s="16" t="str">
        <f>INT(RIGHT(A342,3)/10)&amp;"级城拆迁排名奖励第"&amp;"21-30"&amp;"名"</f>
        <v>9级城拆迁排名奖励第21-30名</v>
      </c>
      <c r="C342" s="26" t="str">
        <f>IF(A342="","",IF((COUNTIFS(A:A,A342))&gt;1,"ID重复",""))</f>
        <v/>
      </c>
      <c r="D342" s="29">
        <v>232</v>
      </c>
      <c r="E342" s="21" t="str">
        <f>INDEX([1]道具配置表!$D:$D,MATCH(D342,[1]道具配置表!$A:$A,0))</f>
        <v>1万食物</v>
      </c>
      <c r="F342" s="16">
        <f t="shared" si="42"/>
        <v>44</v>
      </c>
      <c r="G342" s="16"/>
      <c r="H342" s="16"/>
      <c r="I342" s="16"/>
      <c r="J342" s="16"/>
      <c r="K342" s="16">
        <v>1</v>
      </c>
      <c r="L342" s="16"/>
      <c r="M342" s="16" t="b">
        <v>1</v>
      </c>
      <c r="N342" s="16"/>
      <c r="V342" s="20"/>
      <c r="W342" s="20"/>
      <c r="X342" s="20"/>
      <c r="Y342" s="20"/>
      <c r="Z342" s="20"/>
      <c r="AA342" s="20"/>
      <c r="AB342" s="20"/>
      <c r="AC342" s="20"/>
      <c r="AD342" s="20"/>
    </row>
    <row r="343" spans="1:30" ht="13.5" customHeight="1" x14ac:dyDescent="0.25">
      <c r="A343" s="16"/>
      <c r="B343" s="16"/>
      <c r="C343" s="26" t="str">
        <f>IF(A343="","",IF((COUNTIFS(A:A,A343))&gt;1,"ID重复",""))</f>
        <v/>
      </c>
      <c r="D343" s="29">
        <v>6161</v>
      </c>
      <c r="E343" s="21" t="str">
        <f>INDEX([1]道具配置表!$D:$D,MATCH(D343,[1]道具配置表!$A:$A,0))</f>
        <v>5分钟训练加速</v>
      </c>
      <c r="F343" s="16">
        <f t="shared" si="42"/>
        <v>44</v>
      </c>
      <c r="G343" s="16"/>
      <c r="H343" s="16"/>
      <c r="I343" s="16"/>
      <c r="J343" s="16"/>
      <c r="K343" s="16">
        <v>1</v>
      </c>
      <c r="L343" s="16"/>
      <c r="M343" s="16" t="b">
        <v>1</v>
      </c>
      <c r="N343" s="16"/>
      <c r="V343" s="20"/>
      <c r="W343" s="20"/>
      <c r="X343" s="20"/>
      <c r="Y343" s="20"/>
      <c r="Z343" s="20"/>
      <c r="AA343" s="20"/>
      <c r="AB343" s="20"/>
      <c r="AC343" s="20"/>
      <c r="AD343" s="20"/>
    </row>
    <row r="344" spans="1:30" ht="13.5" customHeight="1" x14ac:dyDescent="0.25">
      <c r="A344" s="16">
        <f>A332+10</f>
        <v>6602101</v>
      </c>
      <c r="B344" s="16" t="str">
        <f>INT(RIGHT(A344,3)/10)&amp;"级城拆迁排名奖励第"&amp;1&amp;"名"</f>
        <v>10级城拆迁排名奖励第1名</v>
      </c>
      <c r="C344" s="26" t="str">
        <f>IF(A344="","",IF((COUNTIFS(A:A,A344))&gt;1,"ID重复",""))</f>
        <v/>
      </c>
      <c r="D344" s="29">
        <v>232</v>
      </c>
      <c r="E344" s="21" t="str">
        <f>INDEX([1]道具配置表!$D:$D,MATCH(D344,[1]道具配置表!$A:$A,0))</f>
        <v>1万食物</v>
      </c>
      <c r="F344" s="16">
        <f t="shared" si="42"/>
        <v>144</v>
      </c>
      <c r="G344" s="16"/>
      <c r="H344" s="16"/>
      <c r="I344" s="16"/>
      <c r="J344" s="16"/>
      <c r="K344" s="16">
        <v>1</v>
      </c>
      <c r="L344" s="16"/>
      <c r="M344" s="16" t="b">
        <v>1</v>
      </c>
      <c r="N344" s="16"/>
      <c r="V344" s="20"/>
      <c r="W344" s="20"/>
      <c r="X344" s="20"/>
      <c r="Y344" s="20"/>
      <c r="Z344" s="20"/>
      <c r="AA344" s="20"/>
      <c r="AB344" s="20"/>
      <c r="AC344" s="20"/>
      <c r="AD344" s="20"/>
    </row>
    <row r="345" spans="1:30" ht="13.5" customHeight="1" x14ac:dyDescent="0.25">
      <c r="A345" s="16"/>
      <c r="B345" s="16"/>
      <c r="C345" s="26" t="str">
        <f>IF(A345="","",IF((COUNTIFS(A:A,A345))&gt;1,"ID重复",""))</f>
        <v/>
      </c>
      <c r="D345" s="29">
        <v>6161</v>
      </c>
      <c r="E345" s="21" t="str">
        <f>INDEX([1]道具配置表!$D:$D,MATCH(D345,[1]道具配置表!$A:$A,0))</f>
        <v>5分钟训练加速</v>
      </c>
      <c r="F345" s="16">
        <f t="shared" si="42"/>
        <v>144</v>
      </c>
      <c r="G345" s="16"/>
      <c r="H345" s="16"/>
      <c r="I345" s="16"/>
      <c r="J345" s="16"/>
      <c r="K345" s="16">
        <v>1</v>
      </c>
      <c r="L345" s="16"/>
      <c r="M345" s="16" t="b">
        <v>1</v>
      </c>
      <c r="N345" s="16"/>
      <c r="V345" s="20"/>
      <c r="W345" s="20"/>
      <c r="X345" s="20"/>
      <c r="Y345" s="20"/>
      <c r="Z345" s="20"/>
      <c r="AA345" s="20"/>
      <c r="AB345" s="20"/>
      <c r="AC345" s="20"/>
      <c r="AD345" s="20"/>
    </row>
    <row r="346" spans="1:30" ht="13.5" customHeight="1" x14ac:dyDescent="0.25">
      <c r="A346" s="16">
        <f>A344+1</f>
        <v>6602102</v>
      </c>
      <c r="B346" s="16" t="str">
        <f>INT(RIGHT(A346,3)/10)&amp;"级城拆迁排名奖励第"&amp;2&amp;"名"</f>
        <v>10级城拆迁排名奖励第2名</v>
      </c>
      <c r="C346" s="26" t="str">
        <f>IF(A346="","",IF((COUNTIFS(A:A,A346))&gt;1,"ID重复",""))</f>
        <v/>
      </c>
      <c r="D346" s="29">
        <v>232</v>
      </c>
      <c r="E346" s="21" t="str">
        <f>INDEX([1]道具配置表!$D:$D,MATCH(D346,[1]道具配置表!$A:$A,0))</f>
        <v>1万食物</v>
      </c>
      <c r="F346" s="16">
        <f t="shared" si="42"/>
        <v>120</v>
      </c>
      <c r="G346" s="16"/>
      <c r="H346" s="16"/>
      <c r="I346" s="16"/>
      <c r="J346" s="16"/>
      <c r="K346" s="16">
        <v>1</v>
      </c>
      <c r="L346" s="16"/>
      <c r="M346" s="16" t="b">
        <v>1</v>
      </c>
      <c r="N346" s="16"/>
      <c r="V346" s="20"/>
      <c r="W346" s="20"/>
      <c r="X346" s="20"/>
      <c r="Y346" s="20"/>
      <c r="Z346" s="20"/>
      <c r="AA346" s="20"/>
      <c r="AB346" s="20"/>
      <c r="AC346" s="20"/>
      <c r="AD346" s="20"/>
    </row>
    <row r="347" spans="1:30" ht="13.5" customHeight="1" x14ac:dyDescent="0.25">
      <c r="A347" s="16"/>
      <c r="B347" s="16"/>
      <c r="C347" s="26" t="str">
        <f>IF(A347="","",IF((COUNTIFS(A:A,A347))&gt;1,"ID重复",""))</f>
        <v/>
      </c>
      <c r="D347" s="29">
        <v>6161</v>
      </c>
      <c r="E347" s="21" t="str">
        <f>INDEX([1]道具配置表!$D:$D,MATCH(D347,[1]道具配置表!$A:$A,0))</f>
        <v>5分钟训练加速</v>
      </c>
      <c r="F347" s="16">
        <f t="shared" si="42"/>
        <v>120</v>
      </c>
      <c r="G347" s="16"/>
      <c r="H347" s="16"/>
      <c r="I347" s="16"/>
      <c r="J347" s="16"/>
      <c r="K347" s="16">
        <v>1</v>
      </c>
      <c r="L347" s="16"/>
      <c r="M347" s="16" t="b">
        <v>1</v>
      </c>
      <c r="N347" s="16"/>
      <c r="V347" s="20"/>
      <c r="W347" s="20"/>
      <c r="X347" s="20"/>
      <c r="Y347" s="20"/>
      <c r="Z347" s="20"/>
      <c r="AA347" s="20"/>
      <c r="AB347" s="20"/>
      <c r="AC347" s="20"/>
      <c r="AD347" s="20"/>
    </row>
    <row r="348" spans="1:30" ht="13.5" customHeight="1" x14ac:dyDescent="0.25">
      <c r="A348" s="16">
        <f>A346+1</f>
        <v>6602103</v>
      </c>
      <c r="B348" s="16" t="str">
        <f>INT(RIGHT(A348,3)/10)&amp;"级城拆迁排名奖励第"&amp;3&amp;"名"</f>
        <v>10级城拆迁排名奖励第3名</v>
      </c>
      <c r="C348" s="26" t="str">
        <f>IF(A348="","",IF((COUNTIFS(A:A,A348))&gt;1,"ID重复",""))</f>
        <v/>
      </c>
      <c r="D348" s="29">
        <v>232</v>
      </c>
      <c r="E348" s="21" t="str">
        <f>INDEX([1]道具配置表!$D:$D,MATCH(D348,[1]道具配置表!$A:$A,0))</f>
        <v>1万食物</v>
      </c>
      <c r="F348" s="16">
        <f t="shared" si="42"/>
        <v>96</v>
      </c>
      <c r="G348" s="16"/>
      <c r="H348" s="16"/>
      <c r="I348" s="16"/>
      <c r="J348" s="16"/>
      <c r="K348" s="16">
        <v>1</v>
      </c>
      <c r="L348" s="16"/>
      <c r="M348" s="16" t="b">
        <v>1</v>
      </c>
      <c r="N348" s="16"/>
      <c r="V348" s="20"/>
      <c r="W348" s="20"/>
      <c r="X348" s="20"/>
      <c r="Y348" s="20"/>
      <c r="Z348" s="20"/>
      <c r="AA348" s="20"/>
      <c r="AB348" s="20"/>
      <c r="AC348" s="20"/>
      <c r="AD348" s="20"/>
    </row>
    <row r="349" spans="1:30" ht="13.5" customHeight="1" x14ac:dyDescent="0.25">
      <c r="A349" s="16"/>
      <c r="B349" s="16"/>
      <c r="C349" s="26" t="str">
        <f>IF(A349="","",IF((COUNTIFS(A:A,A349))&gt;1,"ID重复",""))</f>
        <v/>
      </c>
      <c r="D349" s="29">
        <v>6161</v>
      </c>
      <c r="E349" s="21" t="str">
        <f>INDEX([1]道具配置表!$D:$D,MATCH(D349,[1]道具配置表!$A:$A,0))</f>
        <v>5分钟训练加速</v>
      </c>
      <c r="F349" s="16">
        <f t="shared" si="42"/>
        <v>96</v>
      </c>
      <c r="G349" s="16"/>
      <c r="H349" s="16"/>
      <c r="I349" s="16"/>
      <c r="J349" s="16"/>
      <c r="K349" s="16">
        <v>1</v>
      </c>
      <c r="L349" s="16"/>
      <c r="M349" s="16" t="b">
        <v>1</v>
      </c>
      <c r="N349" s="16"/>
      <c r="V349" s="20"/>
      <c r="W349" s="20"/>
      <c r="X349" s="20"/>
      <c r="Y349" s="20"/>
      <c r="Z349" s="20"/>
      <c r="AA349" s="20"/>
      <c r="AB349" s="20"/>
      <c r="AC349" s="20"/>
      <c r="AD349" s="20"/>
    </row>
    <row r="350" spans="1:30" ht="13.5" customHeight="1" x14ac:dyDescent="0.25">
      <c r="A350" s="16">
        <f>A348+1</f>
        <v>6602104</v>
      </c>
      <c r="B350" s="16" t="str">
        <f>INT(RIGHT(A350,3)/10)&amp;"级城拆迁排名奖励第"&amp;"4-10"&amp;"名"</f>
        <v>10级城拆迁排名奖励第4-10名</v>
      </c>
      <c r="C350" s="26" t="str">
        <f>IF(A350="","",IF((COUNTIFS(A:A,A350))&gt;1,"ID重复",""))</f>
        <v/>
      </c>
      <c r="D350" s="29">
        <v>232</v>
      </c>
      <c r="E350" s="21" t="str">
        <f>INDEX([1]道具配置表!$D:$D,MATCH(D350,[1]道具配置表!$A:$A,0))</f>
        <v>1万食物</v>
      </c>
      <c r="F350" s="16">
        <f t="shared" si="42"/>
        <v>72</v>
      </c>
      <c r="G350" s="16"/>
      <c r="H350" s="16"/>
      <c r="I350" s="16"/>
      <c r="J350" s="16"/>
      <c r="K350" s="16">
        <v>1</v>
      </c>
      <c r="L350" s="16"/>
      <c r="M350" s="16" t="b">
        <v>1</v>
      </c>
      <c r="N350" s="16"/>
      <c r="V350" s="20"/>
      <c r="W350" s="20"/>
      <c r="X350" s="20"/>
      <c r="Y350" s="20"/>
      <c r="Z350" s="20"/>
      <c r="AA350" s="20"/>
      <c r="AB350" s="20"/>
      <c r="AC350" s="20"/>
      <c r="AD350" s="20"/>
    </row>
    <row r="351" spans="1:30" ht="13.5" customHeight="1" x14ac:dyDescent="0.25">
      <c r="A351" s="16"/>
      <c r="B351" s="16"/>
      <c r="C351" s="26" t="str">
        <f>IF(A351="","",IF((COUNTIFS(A:A,A351))&gt;1,"ID重复",""))</f>
        <v/>
      </c>
      <c r="D351" s="29">
        <v>6161</v>
      </c>
      <c r="E351" s="21" t="str">
        <f>INDEX([1]道具配置表!$D:$D,MATCH(D351,[1]道具配置表!$A:$A,0))</f>
        <v>5分钟训练加速</v>
      </c>
      <c r="F351" s="16">
        <f t="shared" si="42"/>
        <v>72</v>
      </c>
      <c r="G351" s="16"/>
      <c r="H351" s="16"/>
      <c r="I351" s="16"/>
      <c r="J351" s="16"/>
      <c r="K351" s="16">
        <v>1</v>
      </c>
      <c r="L351" s="16"/>
      <c r="M351" s="16" t="b">
        <v>1</v>
      </c>
      <c r="N351" s="16"/>
      <c r="V351" s="20"/>
      <c r="W351" s="20"/>
      <c r="X351" s="20"/>
      <c r="Y351" s="20"/>
      <c r="Z351" s="20"/>
      <c r="AA351" s="20"/>
      <c r="AB351" s="20"/>
      <c r="AC351" s="20"/>
      <c r="AD351" s="20"/>
    </row>
    <row r="352" spans="1:30" ht="13.5" customHeight="1" x14ac:dyDescent="0.25">
      <c r="A352" s="16">
        <f>A350+1</f>
        <v>6602105</v>
      </c>
      <c r="B352" s="16" t="str">
        <f>INT(RIGHT(A352,3)/10)&amp;"级城拆迁排名奖励第"&amp;"11-20"&amp;"名"</f>
        <v>10级城拆迁排名奖励第11-20名</v>
      </c>
      <c r="C352" s="26" t="str">
        <f>IF(A352="","",IF((COUNTIFS(A:A,A352))&gt;1,"ID重复",""))</f>
        <v/>
      </c>
      <c r="D352" s="29">
        <v>232</v>
      </c>
      <c r="E352" s="21" t="str">
        <f>INDEX([1]道具配置表!$D:$D,MATCH(D352,[1]道具配置表!$A:$A,0))</f>
        <v>1万食物</v>
      </c>
      <c r="F352" s="16">
        <f t="shared" si="42"/>
        <v>60</v>
      </c>
      <c r="G352" s="16"/>
      <c r="H352" s="16"/>
      <c r="I352" s="16"/>
      <c r="J352" s="16"/>
      <c r="K352" s="16">
        <v>1</v>
      </c>
      <c r="L352" s="16"/>
      <c r="M352" s="16" t="b">
        <v>1</v>
      </c>
      <c r="N352" s="16"/>
      <c r="V352" s="20"/>
      <c r="W352" s="20"/>
      <c r="X352" s="20"/>
      <c r="Y352" s="20"/>
      <c r="Z352" s="20"/>
      <c r="AA352" s="20"/>
      <c r="AB352" s="20"/>
      <c r="AC352" s="20"/>
      <c r="AD352" s="20"/>
    </row>
    <row r="353" spans="1:30" ht="13.5" customHeight="1" x14ac:dyDescent="0.25">
      <c r="A353" s="16"/>
      <c r="B353" s="16"/>
      <c r="C353" s="26" t="str">
        <f>IF(A353="","",IF((COUNTIFS(A:A,A353))&gt;1,"ID重复",""))</f>
        <v/>
      </c>
      <c r="D353" s="29">
        <v>6161</v>
      </c>
      <c r="E353" s="21" t="str">
        <f>INDEX([1]道具配置表!$D:$D,MATCH(D353,[1]道具配置表!$A:$A,0))</f>
        <v>5分钟训练加速</v>
      </c>
      <c r="F353" s="16">
        <f t="shared" si="42"/>
        <v>60</v>
      </c>
      <c r="G353" s="16"/>
      <c r="H353" s="16"/>
      <c r="I353" s="16"/>
      <c r="J353" s="16"/>
      <c r="K353" s="16">
        <v>1</v>
      </c>
      <c r="L353" s="16"/>
      <c r="M353" s="16" t="b">
        <v>1</v>
      </c>
      <c r="N353" s="16"/>
      <c r="V353" s="20"/>
      <c r="W353" s="20"/>
      <c r="X353" s="20"/>
      <c r="Y353" s="20"/>
      <c r="Z353" s="20"/>
      <c r="AA353" s="20"/>
      <c r="AB353" s="20"/>
      <c r="AC353" s="20"/>
      <c r="AD353" s="20"/>
    </row>
    <row r="354" spans="1:30" ht="13.5" customHeight="1" x14ac:dyDescent="0.25">
      <c r="A354" s="16">
        <f>A352+1</f>
        <v>6602106</v>
      </c>
      <c r="B354" s="16" t="str">
        <f>INT(RIGHT(A354,3)/10)&amp;"级城拆迁排名奖励第"&amp;"21-30"&amp;"名"</f>
        <v>10级城拆迁排名奖励第21-30名</v>
      </c>
      <c r="C354" s="26" t="str">
        <f>IF(A354="","",IF((COUNTIFS(A:A,A354))&gt;1,"ID重复",""))</f>
        <v/>
      </c>
      <c r="D354" s="29">
        <v>232</v>
      </c>
      <c r="E354" s="21" t="str">
        <f>INDEX([1]道具配置表!$D:$D,MATCH(D354,[1]道具配置表!$A:$A,0))</f>
        <v>1万食物</v>
      </c>
      <c r="F354" s="16">
        <f t="shared" si="42"/>
        <v>48</v>
      </c>
      <c r="G354" s="16"/>
      <c r="H354" s="16"/>
      <c r="I354" s="16"/>
      <c r="J354" s="16"/>
      <c r="K354" s="16">
        <v>1</v>
      </c>
      <c r="L354" s="16"/>
      <c r="M354" s="16" t="b">
        <v>1</v>
      </c>
      <c r="N354" s="16"/>
      <c r="V354" s="20"/>
      <c r="W354" s="20"/>
      <c r="X354" s="20"/>
      <c r="Y354" s="20"/>
      <c r="Z354" s="20"/>
      <c r="AA354" s="20"/>
      <c r="AB354" s="20"/>
      <c r="AC354" s="20"/>
      <c r="AD354" s="20"/>
    </row>
    <row r="355" spans="1:30" ht="13.5" customHeight="1" x14ac:dyDescent="0.25">
      <c r="A355" s="16"/>
      <c r="B355" s="16"/>
      <c r="C355" s="26" t="str">
        <f>IF(A355="","",IF((COUNTIFS(A:A,A355))&gt;1,"ID重复",""))</f>
        <v/>
      </c>
      <c r="D355" s="29">
        <v>6161</v>
      </c>
      <c r="E355" s="21" t="str">
        <f>INDEX([1]道具配置表!$D:$D,MATCH(D355,[1]道具配置表!$A:$A,0))</f>
        <v>5分钟训练加速</v>
      </c>
      <c r="F355" s="16">
        <f t="shared" si="42"/>
        <v>48</v>
      </c>
      <c r="G355" s="16"/>
      <c r="H355" s="16"/>
      <c r="I355" s="16"/>
      <c r="J355" s="16"/>
      <c r="K355" s="16">
        <v>1</v>
      </c>
      <c r="L355" s="16"/>
      <c r="M355" s="16" t="b">
        <v>1</v>
      </c>
      <c r="N355" s="16"/>
      <c r="V355" s="20"/>
      <c r="W355" s="20"/>
      <c r="X355" s="20"/>
      <c r="Y355" s="20"/>
      <c r="Z355" s="20"/>
      <c r="AA355" s="20"/>
      <c r="AB355" s="20"/>
      <c r="AC355" s="20"/>
      <c r="AD355" s="20"/>
    </row>
    <row r="356" spans="1:30" ht="13.5" customHeight="1" x14ac:dyDescent="0.25">
      <c r="A356" s="23">
        <v>6603101</v>
      </c>
      <c r="B356" s="23" t="s">
        <v>233</v>
      </c>
      <c r="C356" s="26" t="str">
        <f>IF(A356="","",IF((COUNTIFS(A:A,A356))&gt;1,"ID重复",""))</f>
        <v/>
      </c>
      <c r="D356" s="23">
        <v>7003</v>
      </c>
      <c r="E356" s="23" t="str">
        <f>INDEX([1]道具配置表!$D:$D,MATCH(D356,[1]道具配置表!$A:$A,0))</f>
        <v>1银币（立即使用，不进背包）</v>
      </c>
      <c r="F356" s="23">
        <v>20</v>
      </c>
      <c r="G356" s="23"/>
      <c r="H356" s="23"/>
      <c r="I356" s="23"/>
      <c r="J356" s="23"/>
      <c r="K356" s="23">
        <v>1</v>
      </c>
      <c r="L356" s="23"/>
      <c r="M356" s="23" t="b">
        <v>1</v>
      </c>
      <c r="N356" s="23"/>
      <c r="V356" s="20"/>
      <c r="W356" s="20"/>
      <c r="X356" s="20"/>
      <c r="Y356" s="20"/>
      <c r="Z356" s="20"/>
      <c r="AA356" s="20"/>
      <c r="AB356" s="20"/>
      <c r="AC356" s="20"/>
      <c r="AD356" s="20"/>
    </row>
    <row r="357" spans="1:30" ht="13.5" customHeight="1" x14ac:dyDescent="0.25">
      <c r="A357" s="23"/>
      <c r="B357" s="23"/>
      <c r="C357" s="26" t="str">
        <f>IF(A357="","",IF((COUNTIFS(A:A,A357))&gt;1,"ID重复",""))</f>
        <v/>
      </c>
      <c r="D357" s="23">
        <v>50112</v>
      </c>
      <c r="E357" s="23" t="str">
        <f>INDEX([1]道具配置表!$D:$D,MATCH(D357,[1]道具配置表!$A:$A,0))</f>
        <v>竞技银币</v>
      </c>
      <c r="F357" s="23">
        <v>200</v>
      </c>
      <c r="G357" s="23"/>
      <c r="H357" s="23"/>
      <c r="I357" s="23"/>
      <c r="J357" s="23"/>
      <c r="K357" s="23">
        <v>1</v>
      </c>
      <c r="L357" s="23"/>
      <c r="M357" s="23" t="b">
        <v>1</v>
      </c>
      <c r="N357" s="23"/>
      <c r="V357" s="20"/>
      <c r="W357" s="20"/>
      <c r="X357" s="20"/>
      <c r="Y357" s="20"/>
      <c r="Z357" s="20"/>
      <c r="AA357" s="20"/>
      <c r="AB357" s="20"/>
      <c r="AC357" s="20"/>
      <c r="AD357" s="20"/>
    </row>
    <row r="358" spans="1:30" ht="13.5" customHeight="1" x14ac:dyDescent="0.25">
      <c r="A358" s="23">
        <v>6603102</v>
      </c>
      <c r="B358" s="23" t="s">
        <v>234</v>
      </c>
      <c r="C358" s="26" t="str">
        <f>IF(A358="","",IF((COUNTIFS(A:A,A358))&gt;1,"ID重复",""))</f>
        <v/>
      </c>
      <c r="D358" s="23">
        <v>7003</v>
      </c>
      <c r="E358" s="23" t="str">
        <f>INDEX([1]道具配置表!$D:$D,MATCH(D358,[1]道具配置表!$A:$A,0))</f>
        <v>1银币（立即使用，不进背包）</v>
      </c>
      <c r="F358" s="23">
        <v>10</v>
      </c>
      <c r="G358" s="23"/>
      <c r="H358" s="23"/>
      <c r="I358" s="23"/>
      <c r="J358" s="23"/>
      <c r="K358" s="23">
        <v>1</v>
      </c>
      <c r="L358" s="23"/>
      <c r="M358" s="23" t="b">
        <v>1</v>
      </c>
      <c r="N358" s="23"/>
      <c r="V358" s="20"/>
      <c r="W358" s="20"/>
      <c r="X358" s="20"/>
      <c r="Y358" s="20"/>
      <c r="Z358" s="20"/>
      <c r="AA358" s="20"/>
      <c r="AB358" s="20"/>
      <c r="AC358" s="20"/>
      <c r="AD358" s="20"/>
    </row>
    <row r="359" spans="1:30" ht="13.5" customHeight="1" x14ac:dyDescent="0.25">
      <c r="A359" s="23"/>
      <c r="B359" s="23"/>
      <c r="C359" s="26" t="str">
        <f>IF(A359="","",IF((COUNTIFS(A:A,A359))&gt;1,"ID重复",""))</f>
        <v/>
      </c>
      <c r="D359" s="23">
        <v>50112</v>
      </c>
      <c r="E359" s="23" t="str">
        <f>INDEX([1]道具配置表!$D:$D,MATCH(D359,[1]道具配置表!$A:$A,0))</f>
        <v>竞技银币</v>
      </c>
      <c r="F359" s="23">
        <v>100</v>
      </c>
      <c r="G359" s="23"/>
      <c r="H359" s="23"/>
      <c r="I359" s="23"/>
      <c r="J359" s="23"/>
      <c r="K359" s="23">
        <v>1</v>
      </c>
      <c r="L359" s="23"/>
      <c r="M359" s="23" t="b">
        <v>1</v>
      </c>
      <c r="N359" s="23"/>
      <c r="V359" s="20"/>
      <c r="W359" s="20"/>
      <c r="X359" s="20"/>
      <c r="Y359" s="20"/>
      <c r="Z359" s="20"/>
      <c r="AA359" s="20"/>
      <c r="AB359" s="20"/>
      <c r="AC359" s="20"/>
      <c r="AD359" s="20"/>
    </row>
    <row r="360" spans="1:30" ht="13.5" customHeight="1" x14ac:dyDescent="0.25">
      <c r="A360" s="23">
        <v>6603201</v>
      </c>
      <c r="B360" s="23" t="s">
        <v>235</v>
      </c>
      <c r="C360" s="26" t="str">
        <f>IF(A360="","",IF((COUNTIFS(A:A,A360))&gt;1,"ID重复",""))</f>
        <v/>
      </c>
      <c r="D360" s="23">
        <v>7003</v>
      </c>
      <c r="E360" s="23" t="str">
        <f>INDEX([1]道具配置表!$D:$D,MATCH(D360,[1]道具配置表!$A:$A,0))</f>
        <v>1银币（立即使用，不进背包）</v>
      </c>
      <c r="F360" s="23">
        <v>400</v>
      </c>
      <c r="G360" s="23"/>
      <c r="H360" s="23"/>
      <c r="I360" s="23"/>
      <c r="J360" s="23"/>
      <c r="K360" s="23">
        <v>1</v>
      </c>
      <c r="L360" s="23"/>
      <c r="M360" s="23" t="b">
        <v>1</v>
      </c>
      <c r="N360" s="23"/>
      <c r="V360" s="20"/>
      <c r="W360" s="20"/>
      <c r="X360" s="20"/>
      <c r="Y360" s="20"/>
      <c r="Z360" s="20"/>
      <c r="AA360" s="20"/>
      <c r="AB360" s="20"/>
      <c r="AC360" s="20"/>
      <c r="AD360" s="20"/>
    </row>
    <row r="361" spans="1:30" ht="13.5" customHeight="1" x14ac:dyDescent="0.25">
      <c r="A361" s="23"/>
      <c r="B361" s="23"/>
      <c r="C361" s="26" t="str">
        <f>IF(A361="","",IF((COUNTIFS(A:A,A361))&gt;1,"ID重复",""))</f>
        <v/>
      </c>
      <c r="D361" s="23">
        <v>50112</v>
      </c>
      <c r="E361" s="23" t="str">
        <f>INDEX([1]道具配置表!$D:$D,MATCH(D361,[1]道具配置表!$A:$A,0))</f>
        <v>竞技银币</v>
      </c>
      <c r="F361" s="23">
        <v>8000</v>
      </c>
      <c r="G361" s="23"/>
      <c r="H361" s="23"/>
      <c r="I361" s="23"/>
      <c r="J361" s="23"/>
      <c r="K361" s="23">
        <v>1</v>
      </c>
      <c r="L361" s="23"/>
      <c r="M361" s="23" t="b">
        <v>1</v>
      </c>
      <c r="N361" s="23"/>
      <c r="V361" s="20"/>
      <c r="W361" s="20"/>
      <c r="X361" s="20"/>
      <c r="Y361" s="20"/>
      <c r="Z361" s="20"/>
      <c r="AA361" s="20"/>
      <c r="AB361" s="20"/>
      <c r="AC361" s="20"/>
      <c r="AD361" s="20"/>
    </row>
    <row r="362" spans="1:30" ht="13.5" customHeight="1" x14ac:dyDescent="0.25">
      <c r="A362" s="23">
        <f>A360+1</f>
        <v>6603202</v>
      </c>
      <c r="B362" s="23" t="s">
        <v>236</v>
      </c>
      <c r="C362" s="26" t="str">
        <f>IF(A362="","",IF((COUNTIFS(A:A,A362))&gt;1,"ID重复",""))</f>
        <v/>
      </c>
      <c r="D362" s="23">
        <v>7003</v>
      </c>
      <c r="E362" s="23" t="str">
        <f>INDEX([1]道具配置表!$D:$D,MATCH(D362,[1]道具配置表!$A:$A,0))</f>
        <v>1银币（立即使用，不进背包）</v>
      </c>
      <c r="F362" s="23">
        <v>320</v>
      </c>
      <c r="G362" s="23"/>
      <c r="H362" s="23"/>
      <c r="I362" s="23"/>
      <c r="J362" s="23"/>
      <c r="K362" s="23">
        <v>1</v>
      </c>
      <c r="L362" s="23"/>
      <c r="M362" s="23" t="b">
        <v>1</v>
      </c>
      <c r="N362" s="23"/>
      <c r="V362" s="20"/>
      <c r="W362" s="20"/>
      <c r="X362" s="20"/>
      <c r="Y362" s="20"/>
      <c r="Z362" s="20"/>
      <c r="AA362" s="20"/>
      <c r="AB362" s="20"/>
      <c r="AC362" s="20"/>
      <c r="AD362" s="20"/>
    </row>
    <row r="363" spans="1:30" ht="13.5" customHeight="1" x14ac:dyDescent="0.25">
      <c r="A363" s="23"/>
      <c r="B363" s="23"/>
      <c r="C363" s="26" t="str">
        <f>IF(A363="","",IF((COUNTIFS(A:A,A363))&gt;1,"ID重复",""))</f>
        <v/>
      </c>
      <c r="D363" s="23">
        <v>50112</v>
      </c>
      <c r="E363" s="23" t="str">
        <f>INDEX([1]道具配置表!$D:$D,MATCH(D363,[1]道具配置表!$A:$A,0))</f>
        <v>竞技银币</v>
      </c>
      <c r="F363" s="23">
        <v>6400</v>
      </c>
      <c r="G363" s="23"/>
      <c r="H363" s="23"/>
      <c r="I363" s="23"/>
      <c r="J363" s="23"/>
      <c r="K363" s="23">
        <v>1</v>
      </c>
      <c r="L363" s="23"/>
      <c r="M363" s="23" t="b">
        <v>1</v>
      </c>
      <c r="N363" s="23"/>
      <c r="V363" s="20"/>
      <c r="W363" s="20"/>
      <c r="X363" s="20"/>
      <c r="Y363" s="20"/>
      <c r="Z363" s="20"/>
      <c r="AA363" s="20"/>
      <c r="AB363" s="20"/>
      <c r="AC363" s="20"/>
      <c r="AD363" s="20"/>
    </row>
    <row r="364" spans="1:30" ht="13.5" customHeight="1" x14ac:dyDescent="0.25">
      <c r="A364" s="23">
        <f t="shared" ref="A364" si="43">A362+1</f>
        <v>6603203</v>
      </c>
      <c r="B364" s="23" t="s">
        <v>237</v>
      </c>
      <c r="C364" s="26" t="str">
        <f>IF(A364="","",IF((COUNTIFS(A:A,A364))&gt;1,"ID重复",""))</f>
        <v/>
      </c>
      <c r="D364" s="23">
        <v>7003</v>
      </c>
      <c r="E364" s="23" t="str">
        <f>INDEX([1]道具配置表!$D:$D,MATCH(D364,[1]道具配置表!$A:$A,0))</f>
        <v>1银币（立即使用，不进背包）</v>
      </c>
      <c r="F364" s="23">
        <v>240</v>
      </c>
      <c r="G364" s="23"/>
      <c r="H364" s="23"/>
      <c r="I364" s="23"/>
      <c r="J364" s="23"/>
      <c r="K364" s="23">
        <v>1</v>
      </c>
      <c r="L364" s="23"/>
      <c r="M364" s="23" t="b">
        <v>1</v>
      </c>
      <c r="N364" s="23"/>
      <c r="V364" s="20"/>
      <c r="W364" s="20"/>
      <c r="X364" s="20"/>
      <c r="Y364" s="20"/>
      <c r="Z364" s="20"/>
      <c r="AA364" s="20"/>
      <c r="AB364" s="20"/>
      <c r="AC364" s="20"/>
      <c r="AD364" s="20"/>
    </row>
    <row r="365" spans="1:30" ht="13.5" customHeight="1" x14ac:dyDescent="0.25">
      <c r="A365" s="23"/>
      <c r="B365" s="23"/>
      <c r="C365" s="26" t="str">
        <f>IF(A365="","",IF((COUNTIFS(A:A,A365))&gt;1,"ID重复",""))</f>
        <v/>
      </c>
      <c r="D365" s="23">
        <v>50112</v>
      </c>
      <c r="E365" s="23" t="str">
        <f>INDEX([1]道具配置表!$D:$D,MATCH(D365,[1]道具配置表!$A:$A,0))</f>
        <v>竞技银币</v>
      </c>
      <c r="F365" s="23">
        <v>4800</v>
      </c>
      <c r="G365" s="23"/>
      <c r="H365" s="23"/>
      <c r="I365" s="23"/>
      <c r="J365" s="23"/>
      <c r="K365" s="23">
        <v>1</v>
      </c>
      <c r="L365" s="23"/>
      <c r="M365" s="23" t="b">
        <v>1</v>
      </c>
      <c r="N365" s="23"/>
      <c r="V365" s="20"/>
      <c r="W365" s="20"/>
      <c r="X365" s="20"/>
      <c r="Y365" s="20"/>
      <c r="Z365" s="20"/>
      <c r="AA365" s="20"/>
      <c r="AB365" s="20"/>
      <c r="AC365" s="20"/>
      <c r="AD365" s="20"/>
    </row>
    <row r="366" spans="1:30" ht="13.5" customHeight="1" x14ac:dyDescent="0.25">
      <c r="A366" s="23">
        <f t="shared" ref="A366" si="44">A364+1</f>
        <v>6603204</v>
      </c>
      <c r="B366" s="23" t="s">
        <v>238</v>
      </c>
      <c r="C366" s="26" t="str">
        <f>IF(A366="","",IF((COUNTIFS(A:A,A366))&gt;1,"ID重复",""))</f>
        <v/>
      </c>
      <c r="D366" s="23">
        <v>7003</v>
      </c>
      <c r="E366" s="23" t="str">
        <f>INDEX([1]道具配置表!$D:$D,MATCH(D366,[1]道具配置表!$A:$A,0))</f>
        <v>1银币（立即使用，不进背包）</v>
      </c>
      <c r="F366" s="23">
        <v>200</v>
      </c>
      <c r="G366" s="23"/>
      <c r="H366" s="23"/>
      <c r="I366" s="23"/>
      <c r="J366" s="23"/>
      <c r="K366" s="23">
        <v>1</v>
      </c>
      <c r="L366" s="23"/>
      <c r="M366" s="23" t="b">
        <v>1</v>
      </c>
      <c r="N366" s="23"/>
      <c r="V366" s="20"/>
      <c r="W366" s="20"/>
      <c r="X366" s="20"/>
      <c r="Y366" s="20"/>
      <c r="Z366" s="20"/>
      <c r="AA366" s="20"/>
      <c r="AB366" s="20"/>
      <c r="AC366" s="20"/>
      <c r="AD366" s="20"/>
    </row>
    <row r="367" spans="1:30" ht="13.5" customHeight="1" x14ac:dyDescent="0.25">
      <c r="A367" s="23"/>
      <c r="B367" s="23"/>
      <c r="C367" s="26" t="str">
        <f>IF(A367="","",IF((COUNTIFS(A:A,A367))&gt;1,"ID重复",""))</f>
        <v/>
      </c>
      <c r="D367" s="23">
        <v>50112</v>
      </c>
      <c r="E367" s="23" t="str">
        <f>INDEX([1]道具配置表!$D:$D,MATCH(D367,[1]道具配置表!$A:$A,0))</f>
        <v>竞技银币</v>
      </c>
      <c r="F367" s="23">
        <v>4000</v>
      </c>
      <c r="G367" s="23"/>
      <c r="H367" s="23"/>
      <c r="I367" s="23"/>
      <c r="J367" s="23"/>
      <c r="K367" s="23">
        <v>1</v>
      </c>
      <c r="L367" s="23"/>
      <c r="M367" s="23" t="b">
        <v>1</v>
      </c>
      <c r="N367" s="23"/>
      <c r="V367" s="20"/>
      <c r="W367" s="20"/>
      <c r="X367" s="20"/>
      <c r="Y367" s="20"/>
      <c r="Z367" s="20"/>
      <c r="AA367" s="20"/>
      <c r="AB367" s="20"/>
      <c r="AC367" s="20"/>
      <c r="AD367" s="20"/>
    </row>
    <row r="368" spans="1:30" ht="13.5" customHeight="1" x14ac:dyDescent="0.25">
      <c r="A368" s="23">
        <f t="shared" ref="A368" si="45">A366+1</f>
        <v>6603205</v>
      </c>
      <c r="B368" s="23" t="s">
        <v>239</v>
      </c>
      <c r="C368" s="26" t="str">
        <f>IF(A368="","",IF((COUNTIFS(A:A,A368))&gt;1,"ID重复",""))</f>
        <v/>
      </c>
      <c r="D368" s="23">
        <v>7003</v>
      </c>
      <c r="E368" s="23" t="str">
        <f>INDEX([1]道具配置表!$D:$D,MATCH(D368,[1]道具配置表!$A:$A,0))</f>
        <v>1银币（立即使用，不进背包）</v>
      </c>
      <c r="F368" s="23">
        <v>160</v>
      </c>
      <c r="G368" s="23"/>
      <c r="H368" s="23"/>
      <c r="I368" s="23"/>
      <c r="J368" s="23"/>
      <c r="K368" s="23">
        <v>1</v>
      </c>
      <c r="L368" s="23"/>
      <c r="M368" s="23" t="b">
        <v>1</v>
      </c>
      <c r="N368" s="23"/>
      <c r="V368" s="20"/>
      <c r="W368" s="20"/>
      <c r="X368" s="20"/>
      <c r="Y368" s="20"/>
      <c r="Z368" s="20"/>
      <c r="AA368" s="20"/>
      <c r="AB368" s="20"/>
      <c r="AC368" s="20"/>
      <c r="AD368" s="20"/>
    </row>
    <row r="369" spans="1:30" ht="13.5" customHeight="1" x14ac:dyDescent="0.25">
      <c r="A369" s="23"/>
      <c r="B369" s="23"/>
      <c r="C369" s="26" t="str">
        <f>IF(A369="","",IF((COUNTIFS(A:A,A369))&gt;1,"ID重复",""))</f>
        <v/>
      </c>
      <c r="D369" s="23">
        <v>50112</v>
      </c>
      <c r="E369" s="23" t="str">
        <f>INDEX([1]道具配置表!$D:$D,MATCH(D369,[1]道具配置表!$A:$A,0))</f>
        <v>竞技银币</v>
      </c>
      <c r="F369" s="23">
        <v>3200</v>
      </c>
      <c r="G369" s="23"/>
      <c r="H369" s="23"/>
      <c r="I369" s="23"/>
      <c r="J369" s="23"/>
      <c r="K369" s="23">
        <v>1</v>
      </c>
      <c r="L369" s="23"/>
      <c r="M369" s="23" t="b">
        <v>1</v>
      </c>
      <c r="N369" s="23"/>
      <c r="V369" s="20"/>
      <c r="W369" s="20"/>
      <c r="X369" s="20"/>
      <c r="Y369" s="20"/>
      <c r="Z369" s="20"/>
      <c r="AA369" s="20"/>
      <c r="AB369" s="20"/>
      <c r="AC369" s="20"/>
      <c r="AD369" s="20"/>
    </row>
    <row r="370" spans="1:30" ht="13.5" customHeight="1" x14ac:dyDescent="0.25">
      <c r="A370" s="23">
        <f t="shared" ref="A370" si="46">A368+1</f>
        <v>6603206</v>
      </c>
      <c r="B370" s="23" t="s">
        <v>240</v>
      </c>
      <c r="C370" s="26" t="str">
        <f>IF(A370="","",IF((COUNTIFS(A:A,A370))&gt;1,"ID重复",""))</f>
        <v/>
      </c>
      <c r="D370" s="23">
        <v>7003</v>
      </c>
      <c r="E370" s="23" t="str">
        <f>INDEX([1]道具配置表!$D:$D,MATCH(D370,[1]道具配置表!$A:$A,0))</f>
        <v>1银币（立即使用，不进背包）</v>
      </c>
      <c r="F370" s="23">
        <v>120</v>
      </c>
      <c r="G370" s="23"/>
      <c r="H370" s="23"/>
      <c r="I370" s="23"/>
      <c r="J370" s="23"/>
      <c r="K370" s="23">
        <v>1</v>
      </c>
      <c r="L370" s="23"/>
      <c r="M370" s="23" t="b">
        <v>1</v>
      </c>
      <c r="N370" s="23"/>
      <c r="V370" s="20"/>
      <c r="W370" s="20"/>
      <c r="X370" s="20"/>
      <c r="Y370" s="20"/>
      <c r="Z370" s="20"/>
      <c r="AA370" s="20"/>
      <c r="AB370" s="20"/>
      <c r="AC370" s="20"/>
      <c r="AD370" s="20"/>
    </row>
    <row r="371" spans="1:30" ht="13.5" customHeight="1" x14ac:dyDescent="0.25">
      <c r="A371" s="23"/>
      <c r="B371" s="23"/>
      <c r="C371" s="26" t="str">
        <f>IF(A371="","",IF((COUNTIFS(A:A,A371))&gt;1,"ID重复",""))</f>
        <v/>
      </c>
      <c r="D371" s="23">
        <v>50112</v>
      </c>
      <c r="E371" s="23" t="str">
        <f>INDEX([1]道具配置表!$D:$D,MATCH(D371,[1]道具配置表!$A:$A,0))</f>
        <v>竞技银币</v>
      </c>
      <c r="F371" s="23">
        <v>2400</v>
      </c>
      <c r="G371" s="23"/>
      <c r="H371" s="23"/>
      <c r="I371" s="23"/>
      <c r="J371" s="23"/>
      <c r="K371" s="23">
        <v>1</v>
      </c>
      <c r="L371" s="23"/>
      <c r="M371" s="23" t="b">
        <v>1</v>
      </c>
      <c r="N371" s="23"/>
      <c r="V371" s="20"/>
      <c r="W371" s="20"/>
      <c r="X371" s="20"/>
      <c r="Y371" s="20"/>
      <c r="Z371" s="20"/>
      <c r="AA371" s="20"/>
      <c r="AB371" s="20"/>
      <c r="AC371" s="20"/>
      <c r="AD371" s="20"/>
    </row>
    <row r="372" spans="1:30" ht="13.5" customHeight="1" x14ac:dyDescent="0.25">
      <c r="A372" s="23">
        <f t="shared" ref="A372" si="47">A370+1</f>
        <v>6603207</v>
      </c>
      <c r="B372" s="23" t="s">
        <v>241</v>
      </c>
      <c r="C372" s="26" t="str">
        <f>IF(A372="","",IF((COUNTIFS(A:A,A372))&gt;1,"ID重复",""))</f>
        <v/>
      </c>
      <c r="D372" s="23">
        <v>7003</v>
      </c>
      <c r="E372" s="23" t="str">
        <f>INDEX([1]道具配置表!$D:$D,MATCH(D372,[1]道具配置表!$A:$A,0))</f>
        <v>1银币（立即使用，不进背包）</v>
      </c>
      <c r="F372" s="23">
        <v>100</v>
      </c>
      <c r="G372" s="23"/>
      <c r="H372" s="23"/>
      <c r="I372" s="23"/>
      <c r="J372" s="23"/>
      <c r="K372" s="23">
        <v>1</v>
      </c>
      <c r="L372" s="23"/>
      <c r="M372" s="23" t="b">
        <v>1</v>
      </c>
      <c r="N372" s="23"/>
      <c r="V372" s="20"/>
      <c r="W372" s="20"/>
      <c r="X372" s="20"/>
      <c r="Y372" s="20"/>
      <c r="Z372" s="20"/>
      <c r="AA372" s="20"/>
      <c r="AB372" s="20"/>
      <c r="AC372" s="20"/>
      <c r="AD372" s="20"/>
    </row>
    <row r="373" spans="1:30" ht="13.5" customHeight="1" x14ac:dyDescent="0.25">
      <c r="A373" s="23"/>
      <c r="B373" s="23"/>
      <c r="C373" s="26" t="str">
        <f>IF(A373="","",IF((COUNTIFS(A:A,A373))&gt;1,"ID重复",""))</f>
        <v/>
      </c>
      <c r="D373" s="23">
        <v>50112</v>
      </c>
      <c r="E373" s="23" t="str">
        <f>INDEX([1]道具配置表!$D:$D,MATCH(D373,[1]道具配置表!$A:$A,0))</f>
        <v>竞技银币</v>
      </c>
      <c r="F373" s="23">
        <v>2000</v>
      </c>
      <c r="G373" s="23"/>
      <c r="H373" s="23"/>
      <c r="I373" s="23"/>
      <c r="J373" s="23"/>
      <c r="K373" s="23">
        <v>1</v>
      </c>
      <c r="L373" s="23"/>
      <c r="M373" s="23" t="b">
        <v>1</v>
      </c>
      <c r="N373" s="23"/>
      <c r="V373" s="20"/>
      <c r="W373" s="20"/>
      <c r="X373" s="20"/>
      <c r="Y373" s="20"/>
      <c r="Z373" s="20"/>
      <c r="AA373" s="20"/>
      <c r="AB373" s="20"/>
      <c r="AC373" s="20"/>
      <c r="AD373" s="20"/>
    </row>
    <row r="374" spans="1:30" ht="13.5" customHeight="1" x14ac:dyDescent="0.25">
      <c r="A374" s="23">
        <f t="shared" ref="A374" si="48">A372+1</f>
        <v>6603208</v>
      </c>
      <c r="B374" s="23" t="s">
        <v>242</v>
      </c>
      <c r="C374" s="26" t="str">
        <f>IF(A374="","",IF((COUNTIFS(A:A,A374))&gt;1,"ID重复",""))</f>
        <v/>
      </c>
      <c r="D374" s="23">
        <v>7003</v>
      </c>
      <c r="E374" s="23" t="str">
        <f>INDEX([1]道具配置表!$D:$D,MATCH(D374,[1]道具配置表!$A:$A,0))</f>
        <v>1银币（立即使用，不进背包）</v>
      </c>
      <c r="F374" s="23">
        <v>80</v>
      </c>
      <c r="G374" s="23"/>
      <c r="H374" s="23"/>
      <c r="I374" s="23"/>
      <c r="J374" s="23"/>
      <c r="K374" s="23">
        <v>1</v>
      </c>
      <c r="L374" s="23"/>
      <c r="M374" s="23" t="b">
        <v>1</v>
      </c>
      <c r="N374" s="23"/>
      <c r="V374" s="20"/>
      <c r="W374" s="20"/>
      <c r="X374" s="20"/>
      <c r="Y374" s="20"/>
      <c r="Z374" s="20"/>
      <c r="AA374" s="20"/>
      <c r="AB374" s="20"/>
      <c r="AC374" s="20"/>
      <c r="AD374" s="20"/>
    </row>
    <row r="375" spans="1:30" ht="13.5" customHeight="1" x14ac:dyDescent="0.25">
      <c r="A375" s="23"/>
      <c r="B375" s="23"/>
      <c r="C375" s="26" t="str">
        <f>IF(A375="","",IF((COUNTIFS(A:A,A375))&gt;1,"ID重复",""))</f>
        <v/>
      </c>
      <c r="D375" s="23">
        <v>50112</v>
      </c>
      <c r="E375" s="23" t="str">
        <f>INDEX([1]道具配置表!$D:$D,MATCH(D375,[1]道具配置表!$A:$A,0))</f>
        <v>竞技银币</v>
      </c>
      <c r="F375" s="23">
        <v>1600</v>
      </c>
      <c r="G375" s="23"/>
      <c r="H375" s="23"/>
      <c r="I375" s="23"/>
      <c r="J375" s="23"/>
      <c r="K375" s="23">
        <v>1</v>
      </c>
      <c r="L375" s="23"/>
      <c r="M375" s="23" t="b">
        <v>1</v>
      </c>
      <c r="N375" s="23"/>
      <c r="V375" s="20"/>
      <c r="W375" s="20"/>
      <c r="X375" s="20"/>
      <c r="Y375" s="20"/>
      <c r="Z375" s="20"/>
      <c r="AA375" s="20"/>
      <c r="AB375" s="20"/>
      <c r="AC375" s="20"/>
      <c r="AD375" s="20"/>
    </row>
    <row r="376" spans="1:30" ht="13.5" customHeight="1" x14ac:dyDescent="0.25">
      <c r="A376" s="23">
        <f t="shared" ref="A376" si="49">A374+1</f>
        <v>6603209</v>
      </c>
      <c r="B376" s="23" t="s">
        <v>243</v>
      </c>
      <c r="C376" s="26" t="str">
        <f>IF(A376="","",IF((COUNTIFS(A:A,A376))&gt;1,"ID重复",""))</f>
        <v/>
      </c>
      <c r="D376" s="23">
        <v>7003</v>
      </c>
      <c r="E376" s="23" t="str">
        <f>INDEX([1]道具配置表!$D:$D,MATCH(D376,[1]道具配置表!$A:$A,0))</f>
        <v>1银币（立即使用，不进背包）</v>
      </c>
      <c r="F376" s="23">
        <v>40</v>
      </c>
      <c r="G376" s="23"/>
      <c r="H376" s="23"/>
      <c r="I376" s="23"/>
      <c r="J376" s="23"/>
      <c r="K376" s="23">
        <v>1</v>
      </c>
      <c r="L376" s="23"/>
      <c r="M376" s="23" t="b">
        <v>1</v>
      </c>
      <c r="N376" s="23"/>
      <c r="V376" s="20"/>
      <c r="W376" s="20"/>
      <c r="X376" s="20"/>
      <c r="Y376" s="20"/>
      <c r="Z376" s="20"/>
      <c r="AA376" s="20"/>
      <c r="AB376" s="20"/>
      <c r="AC376" s="20"/>
      <c r="AD376" s="20"/>
    </row>
    <row r="377" spans="1:30" ht="13.5" customHeight="1" x14ac:dyDescent="0.25">
      <c r="A377" s="23"/>
      <c r="B377" s="23"/>
      <c r="C377" s="26" t="str">
        <f>IF(A377="","",IF((COUNTIFS(A:A,A377))&gt;1,"ID重复",""))</f>
        <v/>
      </c>
      <c r="D377" s="23">
        <v>50112</v>
      </c>
      <c r="E377" s="23" t="str">
        <f>INDEX([1]道具配置表!$D:$D,MATCH(D377,[1]道具配置表!$A:$A,0))</f>
        <v>竞技银币</v>
      </c>
      <c r="F377" s="23">
        <v>800</v>
      </c>
      <c r="G377" s="23"/>
      <c r="H377" s="23"/>
      <c r="I377" s="23"/>
      <c r="J377" s="23"/>
      <c r="K377" s="23">
        <v>1</v>
      </c>
      <c r="L377" s="23"/>
      <c r="M377" s="23" t="b">
        <v>1</v>
      </c>
      <c r="N377" s="23"/>
      <c r="V377" s="20"/>
      <c r="W377" s="20"/>
      <c r="X377" s="20"/>
      <c r="Y377" s="20"/>
      <c r="Z377" s="20"/>
      <c r="AA377" s="20"/>
      <c r="AB377" s="20"/>
      <c r="AC377" s="20"/>
      <c r="AD377" s="20"/>
    </row>
    <row r="378" spans="1:30" ht="13.5" customHeight="1" x14ac:dyDescent="0.25">
      <c r="A378" s="23">
        <v>6603301</v>
      </c>
      <c r="B378" s="23" t="s">
        <v>244</v>
      </c>
      <c r="C378" s="26" t="str">
        <f>IF(A378="","",IF((COUNTIFS(A:A,A378))&gt;1,"ID重复",""))</f>
        <v/>
      </c>
      <c r="D378" s="23">
        <v>7003</v>
      </c>
      <c r="E378" s="23" t="str">
        <f>INDEX([1]道具配置表!$D:$D,MATCH(D378,[1]道具配置表!$A:$A,0))</f>
        <v>1银币（立即使用，不进背包）</v>
      </c>
      <c r="F378" s="23">
        <f>F360*5</f>
        <v>2000</v>
      </c>
      <c r="G378" s="23"/>
      <c r="H378" s="23"/>
      <c r="I378" s="23"/>
      <c r="J378" s="23"/>
      <c r="K378" s="23">
        <v>1</v>
      </c>
      <c r="L378" s="23"/>
      <c r="M378" s="23" t="b">
        <v>1</v>
      </c>
      <c r="N378" s="23"/>
      <c r="V378" s="20"/>
      <c r="W378" s="20"/>
      <c r="X378" s="20"/>
      <c r="Y378" s="20"/>
      <c r="Z378" s="20"/>
      <c r="AA378" s="20"/>
      <c r="AB378" s="20"/>
      <c r="AC378" s="20"/>
      <c r="AD378" s="20"/>
    </row>
    <row r="379" spans="1:30" ht="13.5" customHeight="1" x14ac:dyDescent="0.25">
      <c r="A379" s="23"/>
      <c r="B379" s="23"/>
      <c r="C379" s="26" t="str">
        <f>IF(A379="","",IF((COUNTIFS(A:A,A379))&gt;1,"ID重复",""))</f>
        <v/>
      </c>
      <c r="D379" s="23">
        <v>50112</v>
      </c>
      <c r="E379" s="23" t="str">
        <f>INDEX([1]道具配置表!$D:$D,MATCH(D379,[1]道具配置表!$A:$A,0))</f>
        <v>竞技银币</v>
      </c>
      <c r="F379" s="23">
        <f t="shared" ref="F379:F395" si="50">F361*5</f>
        <v>40000</v>
      </c>
      <c r="G379" s="23"/>
      <c r="H379" s="23"/>
      <c r="I379" s="23"/>
      <c r="J379" s="23"/>
      <c r="K379" s="23">
        <v>1</v>
      </c>
      <c r="L379" s="23"/>
      <c r="M379" s="23" t="b">
        <v>1</v>
      </c>
      <c r="N379" s="23"/>
      <c r="V379" s="20"/>
      <c r="W379" s="20"/>
      <c r="X379" s="20"/>
      <c r="Y379" s="20"/>
      <c r="Z379" s="20"/>
      <c r="AA379" s="20"/>
      <c r="AB379" s="20"/>
      <c r="AC379" s="20"/>
      <c r="AD379" s="20"/>
    </row>
    <row r="380" spans="1:30" ht="13.5" customHeight="1" x14ac:dyDescent="0.25">
      <c r="A380" s="23">
        <f>A378+1</f>
        <v>6603302</v>
      </c>
      <c r="B380" s="23" t="s">
        <v>245</v>
      </c>
      <c r="C380" s="26" t="str">
        <f>IF(A380="","",IF((COUNTIFS(A:A,A380))&gt;1,"ID重复",""))</f>
        <v/>
      </c>
      <c r="D380" s="23">
        <v>7003</v>
      </c>
      <c r="E380" s="23" t="str">
        <f>INDEX([1]道具配置表!$D:$D,MATCH(D380,[1]道具配置表!$A:$A,0))</f>
        <v>1银币（立即使用，不进背包）</v>
      </c>
      <c r="F380" s="23">
        <f t="shared" si="50"/>
        <v>1600</v>
      </c>
      <c r="G380" s="23"/>
      <c r="H380" s="23"/>
      <c r="I380" s="23"/>
      <c r="J380" s="23"/>
      <c r="K380" s="23">
        <v>1</v>
      </c>
      <c r="L380" s="23"/>
      <c r="M380" s="23" t="b">
        <v>1</v>
      </c>
      <c r="N380" s="23"/>
      <c r="V380" s="20"/>
      <c r="W380" s="20"/>
      <c r="X380" s="20"/>
      <c r="Y380" s="20"/>
      <c r="Z380" s="20"/>
      <c r="AA380" s="20"/>
      <c r="AB380" s="20"/>
      <c r="AC380" s="20"/>
      <c r="AD380" s="20"/>
    </row>
    <row r="381" spans="1:30" ht="13.5" customHeight="1" x14ac:dyDescent="0.25">
      <c r="A381" s="23"/>
      <c r="B381" s="23"/>
      <c r="C381" s="26" t="str">
        <f>IF(A381="","",IF((COUNTIFS(A:A,A381))&gt;1,"ID重复",""))</f>
        <v/>
      </c>
      <c r="D381" s="23">
        <v>50112</v>
      </c>
      <c r="E381" s="23" t="str">
        <f>INDEX([1]道具配置表!$D:$D,MATCH(D381,[1]道具配置表!$A:$A,0))</f>
        <v>竞技银币</v>
      </c>
      <c r="F381" s="23">
        <f t="shared" si="50"/>
        <v>32000</v>
      </c>
      <c r="G381" s="23"/>
      <c r="H381" s="23"/>
      <c r="I381" s="23"/>
      <c r="J381" s="23"/>
      <c r="K381" s="23">
        <v>1</v>
      </c>
      <c r="L381" s="23"/>
      <c r="M381" s="23" t="b">
        <v>1</v>
      </c>
      <c r="N381" s="23"/>
      <c r="V381" s="20"/>
      <c r="W381" s="20"/>
      <c r="X381" s="20"/>
      <c r="Y381" s="20"/>
      <c r="Z381" s="20"/>
      <c r="AA381" s="20"/>
      <c r="AB381" s="20"/>
      <c r="AC381" s="20"/>
      <c r="AD381" s="20"/>
    </row>
    <row r="382" spans="1:30" ht="13.5" customHeight="1" x14ac:dyDescent="0.25">
      <c r="A382" s="23">
        <f t="shared" ref="A382" si="51">A380+1</f>
        <v>6603303</v>
      </c>
      <c r="B382" s="23" t="s">
        <v>246</v>
      </c>
      <c r="C382" s="26" t="str">
        <f>IF(A382="","",IF((COUNTIFS(A:A,A382))&gt;1,"ID重复",""))</f>
        <v/>
      </c>
      <c r="D382" s="23">
        <v>7003</v>
      </c>
      <c r="E382" s="23" t="str">
        <f>INDEX([1]道具配置表!$D:$D,MATCH(D382,[1]道具配置表!$A:$A,0))</f>
        <v>1银币（立即使用，不进背包）</v>
      </c>
      <c r="F382" s="23">
        <f t="shared" si="50"/>
        <v>1200</v>
      </c>
      <c r="G382" s="23"/>
      <c r="H382" s="23"/>
      <c r="I382" s="23"/>
      <c r="J382" s="23"/>
      <c r="K382" s="23">
        <v>1</v>
      </c>
      <c r="L382" s="23"/>
      <c r="M382" s="23" t="b">
        <v>1</v>
      </c>
      <c r="N382" s="23"/>
      <c r="V382" s="20"/>
      <c r="W382" s="20"/>
      <c r="X382" s="20"/>
      <c r="Y382" s="20"/>
      <c r="Z382" s="20"/>
      <c r="AA382" s="20"/>
      <c r="AB382" s="20"/>
      <c r="AC382" s="20"/>
      <c r="AD382" s="20"/>
    </row>
    <row r="383" spans="1:30" ht="13.5" customHeight="1" x14ac:dyDescent="0.25">
      <c r="A383" s="23"/>
      <c r="B383" s="23"/>
      <c r="C383" s="26" t="str">
        <f>IF(A383="","",IF((COUNTIFS(A:A,A383))&gt;1,"ID重复",""))</f>
        <v/>
      </c>
      <c r="D383" s="23">
        <v>50112</v>
      </c>
      <c r="E383" s="23" t="str">
        <f>INDEX([1]道具配置表!$D:$D,MATCH(D383,[1]道具配置表!$A:$A,0))</f>
        <v>竞技银币</v>
      </c>
      <c r="F383" s="23">
        <f t="shared" si="50"/>
        <v>24000</v>
      </c>
      <c r="G383" s="23"/>
      <c r="H383" s="23"/>
      <c r="I383" s="23"/>
      <c r="J383" s="23"/>
      <c r="K383" s="23">
        <v>1</v>
      </c>
      <c r="L383" s="23"/>
      <c r="M383" s="23" t="b">
        <v>1</v>
      </c>
      <c r="N383" s="23"/>
      <c r="V383" s="20"/>
      <c r="W383" s="20"/>
      <c r="X383" s="20"/>
      <c r="Y383" s="20"/>
      <c r="Z383" s="20"/>
      <c r="AA383" s="20"/>
      <c r="AB383" s="20"/>
      <c r="AC383" s="20"/>
      <c r="AD383" s="20"/>
    </row>
    <row r="384" spans="1:30" ht="13.5" customHeight="1" x14ac:dyDescent="0.25">
      <c r="A384" s="23">
        <f t="shared" ref="A384" si="52">A382+1</f>
        <v>6603304</v>
      </c>
      <c r="B384" s="23" t="s">
        <v>247</v>
      </c>
      <c r="C384" s="26" t="str">
        <f>IF(A384="","",IF((COUNTIFS(A:A,A384))&gt;1,"ID重复",""))</f>
        <v/>
      </c>
      <c r="D384" s="23">
        <v>7003</v>
      </c>
      <c r="E384" s="23" t="str">
        <f>INDEX([1]道具配置表!$D:$D,MATCH(D384,[1]道具配置表!$A:$A,0))</f>
        <v>1银币（立即使用，不进背包）</v>
      </c>
      <c r="F384" s="23">
        <f t="shared" si="50"/>
        <v>1000</v>
      </c>
      <c r="G384" s="23"/>
      <c r="H384" s="23"/>
      <c r="I384" s="23"/>
      <c r="J384" s="23"/>
      <c r="K384" s="23">
        <v>1</v>
      </c>
      <c r="L384" s="23"/>
      <c r="M384" s="23" t="b">
        <v>1</v>
      </c>
      <c r="N384" s="23"/>
      <c r="V384" s="20"/>
      <c r="W384" s="20"/>
      <c r="X384" s="20"/>
      <c r="Y384" s="20"/>
      <c r="Z384" s="20"/>
      <c r="AA384" s="20"/>
      <c r="AB384" s="20"/>
      <c r="AC384" s="20"/>
      <c r="AD384" s="20"/>
    </row>
    <row r="385" spans="1:30" ht="13.5" customHeight="1" x14ac:dyDescent="0.25">
      <c r="A385" s="23"/>
      <c r="B385" s="23"/>
      <c r="C385" s="26" t="str">
        <f>IF(A385="","",IF((COUNTIFS(A:A,A385))&gt;1,"ID重复",""))</f>
        <v/>
      </c>
      <c r="D385" s="23">
        <v>50112</v>
      </c>
      <c r="E385" s="23" t="str">
        <f>INDEX([1]道具配置表!$D:$D,MATCH(D385,[1]道具配置表!$A:$A,0))</f>
        <v>竞技银币</v>
      </c>
      <c r="F385" s="23">
        <f t="shared" si="50"/>
        <v>20000</v>
      </c>
      <c r="G385" s="23"/>
      <c r="H385" s="23"/>
      <c r="I385" s="23"/>
      <c r="J385" s="23"/>
      <c r="K385" s="23">
        <v>1</v>
      </c>
      <c r="L385" s="23"/>
      <c r="M385" s="23" t="b">
        <v>1</v>
      </c>
      <c r="N385" s="23"/>
      <c r="V385" s="20"/>
      <c r="W385" s="20"/>
      <c r="X385" s="20"/>
      <c r="Y385" s="20"/>
      <c r="Z385" s="20"/>
      <c r="AA385" s="20"/>
      <c r="AB385" s="20"/>
      <c r="AC385" s="20"/>
      <c r="AD385" s="20"/>
    </row>
    <row r="386" spans="1:30" ht="13.5" customHeight="1" x14ac:dyDescent="0.25">
      <c r="A386" s="23">
        <f t="shared" ref="A386" si="53">A384+1</f>
        <v>6603305</v>
      </c>
      <c r="B386" s="23" t="s">
        <v>248</v>
      </c>
      <c r="C386" s="26" t="str">
        <f>IF(A386="","",IF((COUNTIFS(A:A,A386))&gt;1,"ID重复",""))</f>
        <v/>
      </c>
      <c r="D386" s="23">
        <v>7003</v>
      </c>
      <c r="E386" s="23" t="str">
        <f>INDEX([1]道具配置表!$D:$D,MATCH(D386,[1]道具配置表!$A:$A,0))</f>
        <v>1银币（立即使用，不进背包）</v>
      </c>
      <c r="F386" s="23">
        <f t="shared" si="50"/>
        <v>800</v>
      </c>
      <c r="G386" s="23"/>
      <c r="H386" s="23"/>
      <c r="I386" s="23"/>
      <c r="J386" s="23"/>
      <c r="K386" s="23">
        <v>1</v>
      </c>
      <c r="L386" s="23"/>
      <c r="M386" s="23" t="b">
        <v>1</v>
      </c>
      <c r="N386" s="23"/>
      <c r="V386" s="20"/>
      <c r="W386" s="20"/>
      <c r="X386" s="20"/>
      <c r="Y386" s="20"/>
      <c r="Z386" s="20"/>
      <c r="AA386" s="20"/>
      <c r="AB386" s="20"/>
      <c r="AC386" s="20"/>
      <c r="AD386" s="20"/>
    </row>
    <row r="387" spans="1:30" ht="13.5" customHeight="1" x14ac:dyDescent="0.25">
      <c r="A387" s="23"/>
      <c r="B387" s="23"/>
      <c r="C387" s="26" t="str">
        <f>IF(A387="","",IF((COUNTIFS(A:A,A387))&gt;1,"ID重复",""))</f>
        <v/>
      </c>
      <c r="D387" s="23">
        <v>50112</v>
      </c>
      <c r="E387" s="23" t="str">
        <f>INDEX([1]道具配置表!$D:$D,MATCH(D387,[1]道具配置表!$A:$A,0))</f>
        <v>竞技银币</v>
      </c>
      <c r="F387" s="23">
        <f t="shared" si="50"/>
        <v>16000</v>
      </c>
      <c r="G387" s="23"/>
      <c r="H387" s="23"/>
      <c r="I387" s="23"/>
      <c r="J387" s="23"/>
      <c r="K387" s="23">
        <v>1</v>
      </c>
      <c r="L387" s="23"/>
      <c r="M387" s="23" t="b">
        <v>1</v>
      </c>
      <c r="N387" s="23"/>
      <c r="V387" s="20"/>
      <c r="W387" s="20"/>
      <c r="X387" s="20"/>
      <c r="Y387" s="20"/>
      <c r="Z387" s="20"/>
      <c r="AA387" s="20"/>
      <c r="AB387" s="20"/>
      <c r="AC387" s="20"/>
      <c r="AD387" s="20"/>
    </row>
    <row r="388" spans="1:30" ht="13.5" customHeight="1" x14ac:dyDescent="0.25">
      <c r="A388" s="23">
        <f t="shared" ref="A388" si="54">A386+1</f>
        <v>6603306</v>
      </c>
      <c r="B388" s="23" t="s">
        <v>249</v>
      </c>
      <c r="C388" s="26" t="str">
        <f>IF(A388="","",IF((COUNTIFS(A:A,A388))&gt;1,"ID重复",""))</f>
        <v/>
      </c>
      <c r="D388" s="23">
        <v>7003</v>
      </c>
      <c r="E388" s="23" t="str">
        <f>INDEX([1]道具配置表!$D:$D,MATCH(D388,[1]道具配置表!$A:$A,0))</f>
        <v>1银币（立即使用，不进背包）</v>
      </c>
      <c r="F388" s="23">
        <f t="shared" si="50"/>
        <v>600</v>
      </c>
      <c r="G388" s="23"/>
      <c r="H388" s="23"/>
      <c r="I388" s="23"/>
      <c r="J388" s="23"/>
      <c r="K388" s="23">
        <v>1</v>
      </c>
      <c r="L388" s="23"/>
      <c r="M388" s="23" t="b">
        <v>1</v>
      </c>
      <c r="N388" s="23"/>
      <c r="V388" s="20"/>
      <c r="W388" s="20"/>
      <c r="X388" s="20"/>
      <c r="Y388" s="20"/>
      <c r="Z388" s="20"/>
      <c r="AA388" s="20"/>
      <c r="AB388" s="20"/>
      <c r="AC388" s="20"/>
      <c r="AD388" s="20"/>
    </row>
    <row r="389" spans="1:30" ht="13.5" customHeight="1" x14ac:dyDescent="0.25">
      <c r="A389" s="23"/>
      <c r="B389" s="23"/>
      <c r="C389" s="26" t="str">
        <f>IF(A389="","",IF((COUNTIFS(A:A,A389))&gt;1,"ID重复",""))</f>
        <v/>
      </c>
      <c r="D389" s="23">
        <v>50112</v>
      </c>
      <c r="E389" s="23" t="str">
        <f>INDEX([1]道具配置表!$D:$D,MATCH(D389,[1]道具配置表!$A:$A,0))</f>
        <v>竞技银币</v>
      </c>
      <c r="F389" s="23">
        <f t="shared" si="50"/>
        <v>12000</v>
      </c>
      <c r="G389" s="23"/>
      <c r="H389" s="23"/>
      <c r="I389" s="23"/>
      <c r="J389" s="23"/>
      <c r="K389" s="23">
        <v>1</v>
      </c>
      <c r="L389" s="23"/>
      <c r="M389" s="23" t="b">
        <v>1</v>
      </c>
      <c r="N389" s="23"/>
      <c r="V389" s="20"/>
      <c r="W389" s="20"/>
      <c r="X389" s="20"/>
      <c r="Y389" s="20"/>
      <c r="Z389" s="20"/>
      <c r="AA389" s="20"/>
      <c r="AB389" s="20"/>
      <c r="AC389" s="20"/>
      <c r="AD389" s="20"/>
    </row>
    <row r="390" spans="1:30" ht="13.5" customHeight="1" x14ac:dyDescent="0.25">
      <c r="A390" s="23">
        <f t="shared" ref="A390" si="55">A388+1</f>
        <v>6603307</v>
      </c>
      <c r="B390" s="23" t="s">
        <v>250</v>
      </c>
      <c r="C390" s="26" t="str">
        <f>IF(A390="","",IF((COUNTIFS(A:A,A390))&gt;1,"ID重复",""))</f>
        <v/>
      </c>
      <c r="D390" s="23">
        <v>7003</v>
      </c>
      <c r="E390" s="23" t="str">
        <f>INDEX([1]道具配置表!$D:$D,MATCH(D390,[1]道具配置表!$A:$A,0))</f>
        <v>1银币（立即使用，不进背包）</v>
      </c>
      <c r="F390" s="23">
        <f t="shared" si="50"/>
        <v>500</v>
      </c>
      <c r="G390" s="23"/>
      <c r="H390" s="23"/>
      <c r="I390" s="23"/>
      <c r="J390" s="23"/>
      <c r="K390" s="23">
        <v>1</v>
      </c>
      <c r="L390" s="23"/>
      <c r="M390" s="23" t="b">
        <v>1</v>
      </c>
      <c r="N390" s="23"/>
      <c r="V390" s="20"/>
      <c r="W390" s="20"/>
      <c r="X390" s="20"/>
      <c r="Y390" s="20"/>
      <c r="Z390" s="20"/>
      <c r="AA390" s="20"/>
      <c r="AB390" s="20"/>
      <c r="AC390" s="20"/>
      <c r="AD390" s="20"/>
    </row>
    <row r="391" spans="1:30" ht="13.5" customHeight="1" x14ac:dyDescent="0.25">
      <c r="A391" s="23"/>
      <c r="B391" s="23"/>
      <c r="C391" s="26" t="str">
        <f>IF(A391="","",IF((COUNTIFS(A:A,A391))&gt;1,"ID重复",""))</f>
        <v/>
      </c>
      <c r="D391" s="23">
        <v>50112</v>
      </c>
      <c r="E391" s="23" t="str">
        <f>INDEX([1]道具配置表!$D:$D,MATCH(D391,[1]道具配置表!$A:$A,0))</f>
        <v>竞技银币</v>
      </c>
      <c r="F391" s="23">
        <f t="shared" si="50"/>
        <v>10000</v>
      </c>
      <c r="G391" s="23"/>
      <c r="H391" s="23"/>
      <c r="I391" s="23"/>
      <c r="J391" s="23"/>
      <c r="K391" s="23">
        <v>1</v>
      </c>
      <c r="L391" s="23"/>
      <c r="M391" s="23" t="b">
        <v>1</v>
      </c>
      <c r="N391" s="23"/>
      <c r="V391" s="20"/>
      <c r="W391" s="20"/>
      <c r="X391" s="20"/>
      <c r="Y391" s="20"/>
      <c r="Z391" s="20"/>
      <c r="AA391" s="20"/>
      <c r="AB391" s="20"/>
      <c r="AC391" s="20"/>
      <c r="AD391" s="20"/>
    </row>
    <row r="392" spans="1:30" ht="13.5" customHeight="1" x14ac:dyDescent="0.25">
      <c r="A392" s="23">
        <f t="shared" ref="A392" si="56">A390+1</f>
        <v>6603308</v>
      </c>
      <c r="B392" s="23" t="s">
        <v>251</v>
      </c>
      <c r="C392" s="26" t="str">
        <f>IF(A392="","",IF((COUNTIFS(A:A,A392))&gt;1,"ID重复",""))</f>
        <v/>
      </c>
      <c r="D392" s="23">
        <v>7003</v>
      </c>
      <c r="E392" s="23" t="str">
        <f>INDEX([1]道具配置表!$D:$D,MATCH(D392,[1]道具配置表!$A:$A,0))</f>
        <v>1银币（立即使用，不进背包）</v>
      </c>
      <c r="F392" s="23">
        <f t="shared" si="50"/>
        <v>400</v>
      </c>
      <c r="G392" s="23"/>
      <c r="H392" s="23"/>
      <c r="I392" s="23"/>
      <c r="J392" s="23"/>
      <c r="K392" s="23">
        <v>1</v>
      </c>
      <c r="L392" s="23"/>
      <c r="M392" s="23" t="b">
        <v>1</v>
      </c>
      <c r="N392" s="23"/>
      <c r="V392" s="20"/>
      <c r="W392" s="20"/>
      <c r="X392" s="20"/>
      <c r="Y392" s="20"/>
      <c r="Z392" s="20"/>
      <c r="AA392" s="20"/>
      <c r="AB392" s="20"/>
      <c r="AC392" s="20"/>
      <c r="AD392" s="20"/>
    </row>
    <row r="393" spans="1:30" ht="13.5" customHeight="1" x14ac:dyDescent="0.25">
      <c r="A393" s="23"/>
      <c r="B393" s="23"/>
      <c r="C393" s="26" t="str">
        <f>IF(A393="","",IF((COUNTIFS(A:A,A393))&gt;1,"ID重复",""))</f>
        <v/>
      </c>
      <c r="D393" s="23">
        <v>50112</v>
      </c>
      <c r="E393" s="23" t="str">
        <f>INDEX([1]道具配置表!$D:$D,MATCH(D393,[1]道具配置表!$A:$A,0))</f>
        <v>竞技银币</v>
      </c>
      <c r="F393" s="23">
        <f t="shared" si="50"/>
        <v>8000</v>
      </c>
      <c r="G393" s="23"/>
      <c r="H393" s="23"/>
      <c r="I393" s="23"/>
      <c r="J393" s="23"/>
      <c r="K393" s="23">
        <v>1</v>
      </c>
      <c r="L393" s="23"/>
      <c r="M393" s="23" t="b">
        <v>1</v>
      </c>
      <c r="N393" s="23"/>
      <c r="V393" s="20"/>
      <c r="W393" s="20"/>
      <c r="X393" s="20"/>
      <c r="Y393" s="20"/>
      <c r="Z393" s="20"/>
      <c r="AA393" s="20"/>
      <c r="AB393" s="20"/>
      <c r="AC393" s="20"/>
      <c r="AD393" s="20"/>
    </row>
    <row r="394" spans="1:30" ht="13.5" customHeight="1" x14ac:dyDescent="0.25">
      <c r="A394" s="23">
        <f t="shared" ref="A394" si="57">A392+1</f>
        <v>6603309</v>
      </c>
      <c r="B394" s="23" t="s">
        <v>252</v>
      </c>
      <c r="C394" s="26" t="str">
        <f>IF(A394="","",IF((COUNTIFS(A:A,A394))&gt;1,"ID重复",""))</f>
        <v/>
      </c>
      <c r="D394" s="23">
        <v>7003</v>
      </c>
      <c r="E394" s="23" t="str">
        <f>INDEX([1]道具配置表!$D:$D,MATCH(D394,[1]道具配置表!$A:$A,0))</f>
        <v>1银币（立即使用，不进背包）</v>
      </c>
      <c r="F394" s="23">
        <f t="shared" si="50"/>
        <v>200</v>
      </c>
      <c r="G394" s="23"/>
      <c r="H394" s="23"/>
      <c r="I394" s="23"/>
      <c r="J394" s="23"/>
      <c r="K394" s="23">
        <v>1</v>
      </c>
      <c r="L394" s="23"/>
      <c r="M394" s="23" t="b">
        <v>1</v>
      </c>
      <c r="N394" s="23"/>
      <c r="V394" s="20"/>
      <c r="W394" s="20"/>
      <c r="X394" s="20"/>
      <c r="Y394" s="20"/>
      <c r="Z394" s="20"/>
      <c r="AA394" s="20"/>
      <c r="AB394" s="20"/>
      <c r="AC394" s="20"/>
      <c r="AD394" s="20"/>
    </row>
    <row r="395" spans="1:30" ht="13.5" customHeight="1" x14ac:dyDescent="0.25">
      <c r="A395" s="23"/>
      <c r="B395" s="23"/>
      <c r="C395" s="26" t="str">
        <f>IF(A395="","",IF((COUNTIFS(A:A,A395))&gt;1,"ID重复",""))</f>
        <v/>
      </c>
      <c r="D395" s="23">
        <v>50112</v>
      </c>
      <c r="E395" s="23" t="str">
        <f>INDEX([1]道具配置表!$D:$D,MATCH(D395,[1]道具配置表!$A:$A,0))</f>
        <v>竞技银币</v>
      </c>
      <c r="F395" s="23">
        <f t="shared" si="50"/>
        <v>4000</v>
      </c>
      <c r="G395" s="23"/>
      <c r="H395" s="23"/>
      <c r="I395" s="23"/>
      <c r="J395" s="23"/>
      <c r="K395" s="23">
        <v>1</v>
      </c>
      <c r="L395" s="23"/>
      <c r="M395" s="23" t="b">
        <v>1</v>
      </c>
      <c r="N395" s="23"/>
      <c r="V395" s="20"/>
      <c r="W395" s="20"/>
      <c r="X395" s="20"/>
      <c r="Y395" s="20"/>
      <c r="Z395" s="20"/>
      <c r="AA395" s="20"/>
      <c r="AB395" s="20"/>
      <c r="AC395" s="20"/>
      <c r="AD395" s="20"/>
    </row>
    <row r="396" spans="1:30" ht="13.5" customHeight="1" x14ac:dyDescent="0.25">
      <c r="A396" s="24">
        <v>6604101</v>
      </c>
      <c r="B396" s="24" t="s">
        <v>253</v>
      </c>
      <c r="C396" s="26" t="str">
        <f>IF(A396="","",IF((COUNTIFS(A:A,A396))&gt;1,"ID重复",""))</f>
        <v/>
      </c>
      <c r="D396" s="24">
        <v>502</v>
      </c>
      <c r="E396" s="24" t="str">
        <f>INDEX([1]道具配置表!$D:$D,MATCH(D396,[1]道具配置表!$A:$A,0))</f>
        <v>1万资源自选宝箱</v>
      </c>
      <c r="F396" s="24">
        <v>20</v>
      </c>
      <c r="G396" s="24"/>
      <c r="H396" s="24"/>
      <c r="I396" s="24"/>
      <c r="J396" s="24"/>
      <c r="K396" s="24">
        <v>1</v>
      </c>
      <c r="L396" s="24"/>
      <c r="M396" s="24" t="b">
        <v>1</v>
      </c>
      <c r="N396" s="24"/>
      <c r="V396" s="20"/>
      <c r="W396" s="20"/>
      <c r="X396" s="20"/>
      <c r="Y396" s="20"/>
      <c r="Z396" s="20"/>
      <c r="AA396" s="20"/>
      <c r="AB396" s="20"/>
      <c r="AC396" s="20"/>
      <c r="AD396" s="20"/>
    </row>
    <row r="397" spans="1:30" ht="13.5" customHeight="1" x14ac:dyDescent="0.25">
      <c r="A397" s="24"/>
      <c r="B397" s="24"/>
      <c r="C397" s="26" t="str">
        <f>IF(A397="","",IF((COUNTIFS(A:A,A397))&gt;1,"ID重复",""))</f>
        <v/>
      </c>
      <c r="D397" s="24">
        <v>6121</v>
      </c>
      <c r="E397" s="24" t="str">
        <f>INDEX([1]道具配置表!$D:$D,MATCH(D397,[1]道具配置表!$A:$A,0))</f>
        <v>5分钟建造加速</v>
      </c>
      <c r="F397" s="24">
        <v>10</v>
      </c>
      <c r="G397" s="24"/>
      <c r="H397" s="24"/>
      <c r="I397" s="24"/>
      <c r="J397" s="24"/>
      <c r="K397" s="24">
        <v>1</v>
      </c>
      <c r="L397" s="24"/>
      <c r="M397" s="24" t="b">
        <v>1</v>
      </c>
      <c r="N397" s="24"/>
      <c r="V397" s="20"/>
      <c r="W397" s="20"/>
      <c r="X397" s="20"/>
      <c r="Y397" s="20"/>
      <c r="Z397" s="20"/>
      <c r="AA397" s="20"/>
      <c r="AB397" s="20"/>
      <c r="AC397" s="20"/>
      <c r="AD397" s="20"/>
    </row>
    <row r="398" spans="1:30" ht="13.5" customHeight="1" x14ac:dyDescent="0.25">
      <c r="A398" s="97"/>
      <c r="B398" s="97"/>
      <c r="C398" s="97"/>
      <c r="D398" s="97">
        <v>49509</v>
      </c>
      <c r="E398" s="97" t="str">
        <f>INDEX([1]道具配置表!$D:$D,MATCH(D398,[1]道具配置表!$A:$A,0))</f>
        <v>每日任务用替换自选BP升级道具</v>
      </c>
      <c r="F398" s="97">
        <v>1</v>
      </c>
      <c r="G398" s="97"/>
      <c r="H398" s="97"/>
      <c r="I398" s="97"/>
      <c r="J398" s="97"/>
      <c r="K398" s="97">
        <v>1</v>
      </c>
      <c r="L398" s="97"/>
      <c r="M398" s="97" t="b">
        <v>1</v>
      </c>
      <c r="N398" s="97"/>
      <c r="V398" s="20"/>
      <c r="W398" s="20"/>
      <c r="X398" s="20"/>
      <c r="Y398" s="20"/>
      <c r="Z398" s="20"/>
      <c r="AA398" s="20"/>
      <c r="AB398" s="20"/>
      <c r="AC398" s="20"/>
      <c r="AD398" s="20"/>
    </row>
    <row r="399" spans="1:30" ht="13.5" customHeight="1" x14ac:dyDescent="0.25">
      <c r="A399" s="24">
        <f>A396+1</f>
        <v>6604102</v>
      </c>
      <c r="B399" s="24" t="s">
        <v>254</v>
      </c>
      <c r="C399" s="26" t="str">
        <f>IF(A399="","",IF((COUNTIFS(A:A,A399))&gt;1,"ID重复",""))</f>
        <v/>
      </c>
      <c r="D399" s="24">
        <v>6141</v>
      </c>
      <c r="E399" s="24" t="str">
        <f>INDEX([1]道具配置表!$D:$D,MATCH(D399,[1]道具配置表!$A:$A,0))</f>
        <v>5分钟科技加速</v>
      </c>
      <c r="F399" s="24">
        <v>10</v>
      </c>
      <c r="G399" s="24"/>
      <c r="H399" s="24"/>
      <c r="I399" s="24"/>
      <c r="J399" s="24"/>
      <c r="K399" s="97">
        <v>1</v>
      </c>
      <c r="L399" s="97"/>
      <c r="M399" s="97" t="b">
        <v>1</v>
      </c>
      <c r="N399" s="24"/>
      <c r="V399" s="20"/>
      <c r="W399" s="20"/>
      <c r="X399" s="20"/>
      <c r="Y399" s="20"/>
      <c r="Z399" s="20"/>
      <c r="AA399" s="20"/>
      <c r="AB399" s="20"/>
      <c r="AC399" s="20"/>
      <c r="AD399" s="20"/>
    </row>
    <row r="400" spans="1:30" ht="13.5" customHeight="1" x14ac:dyDescent="0.25">
      <c r="A400" s="24"/>
      <c r="B400" s="24"/>
      <c r="C400" s="26" t="str">
        <f>IF(A400="","",IF((COUNTIFS(A:A,A400))&gt;1,"ID重复",""))</f>
        <v/>
      </c>
      <c r="D400" s="24">
        <v>2006</v>
      </c>
      <c r="E400" s="24" t="str">
        <f>INDEX([1]道具配置表!$D:$D,MATCH(D400,[1]道具配置表!$A:$A,0))</f>
        <v>铜币奖池招募券</v>
      </c>
      <c r="F400" s="24">
        <v>1</v>
      </c>
      <c r="G400" s="24"/>
      <c r="H400" s="24"/>
      <c r="I400" s="24"/>
      <c r="J400" s="24"/>
      <c r="K400" s="97">
        <v>1</v>
      </c>
      <c r="L400" s="97"/>
      <c r="M400" s="97" t="b">
        <v>1</v>
      </c>
      <c r="N400" s="24"/>
      <c r="V400" s="20"/>
      <c r="W400" s="20"/>
      <c r="X400" s="20"/>
      <c r="Y400" s="20"/>
      <c r="Z400" s="20"/>
      <c r="AA400" s="20"/>
      <c r="AB400" s="20"/>
      <c r="AC400" s="20"/>
      <c r="AD400" s="20"/>
    </row>
    <row r="401" spans="1:30" ht="13.5" customHeight="1" x14ac:dyDescent="0.25">
      <c r="A401" s="97"/>
      <c r="B401" s="97"/>
      <c r="C401" s="97"/>
      <c r="D401" s="97">
        <v>49509</v>
      </c>
      <c r="E401" s="97" t="str">
        <f>INDEX([1]道具配置表!$D:$D,MATCH(D401,[1]道具配置表!$A:$A,0))</f>
        <v>每日任务用替换自选BP升级道具</v>
      </c>
      <c r="F401" s="97">
        <v>1</v>
      </c>
      <c r="G401" s="97"/>
      <c r="H401" s="97"/>
      <c r="I401" s="97"/>
      <c r="J401" s="97"/>
      <c r="K401" s="97">
        <v>1</v>
      </c>
      <c r="L401" s="97"/>
      <c r="M401" s="97" t="b">
        <v>1</v>
      </c>
      <c r="N401" s="97"/>
      <c r="V401" s="20"/>
      <c r="W401" s="20"/>
      <c r="X401" s="20"/>
      <c r="Y401" s="20"/>
      <c r="Z401" s="20"/>
      <c r="AA401" s="20"/>
      <c r="AB401" s="20"/>
      <c r="AC401" s="20"/>
      <c r="AD401" s="20"/>
    </row>
    <row r="402" spans="1:30" ht="13.5" customHeight="1" x14ac:dyDescent="0.25">
      <c r="A402" s="24">
        <f>A399+1</f>
        <v>6604103</v>
      </c>
      <c r="B402" s="24" t="s">
        <v>255</v>
      </c>
      <c r="C402" s="26" t="str">
        <f>IF(A402="","",IF((COUNTIFS(A:A,A402))&gt;1,"ID重复",""))</f>
        <v/>
      </c>
      <c r="D402" s="24">
        <v>7003</v>
      </c>
      <c r="E402" s="24" t="str">
        <f>INDEX([1]道具配置表!$D:$D,MATCH(D402,[1]道具配置表!$A:$A,0))</f>
        <v>1银币（立即使用，不进背包）</v>
      </c>
      <c r="F402" s="24">
        <v>200</v>
      </c>
      <c r="G402" s="24"/>
      <c r="H402" s="24"/>
      <c r="I402" s="24"/>
      <c r="J402" s="24"/>
      <c r="K402" s="97">
        <v>1</v>
      </c>
      <c r="L402" s="97"/>
      <c r="M402" s="97" t="b">
        <v>1</v>
      </c>
      <c r="N402" s="24"/>
      <c r="V402" s="20"/>
      <c r="W402" s="20"/>
      <c r="X402" s="20"/>
      <c r="Y402" s="20"/>
      <c r="Z402" s="20"/>
      <c r="AA402" s="20"/>
      <c r="AB402" s="20"/>
      <c r="AC402" s="20"/>
      <c r="AD402" s="20"/>
    </row>
    <row r="403" spans="1:30" ht="13.5" customHeight="1" x14ac:dyDescent="0.25">
      <c r="A403" s="24"/>
      <c r="B403" s="24"/>
      <c r="C403" s="26" t="str">
        <f>IF(A403="","",IF((COUNTIFS(A:A,A403))&gt;1,"ID重复",""))</f>
        <v/>
      </c>
      <c r="D403" s="24">
        <v>502</v>
      </c>
      <c r="E403" s="24" t="str">
        <f>INDEX([1]道具配置表!$D:$D,MATCH(D403,[1]道具配置表!$A:$A,0))</f>
        <v>1万资源自选宝箱</v>
      </c>
      <c r="F403" s="24">
        <v>40</v>
      </c>
      <c r="G403" s="24"/>
      <c r="H403" s="24"/>
      <c r="I403" s="24"/>
      <c r="J403" s="24"/>
      <c r="K403" s="97">
        <v>1</v>
      </c>
      <c r="L403" s="97"/>
      <c r="M403" s="97" t="b">
        <v>1</v>
      </c>
      <c r="N403" s="24"/>
      <c r="V403" s="20"/>
      <c r="W403" s="20"/>
      <c r="X403" s="20"/>
      <c r="Y403" s="20"/>
      <c r="Z403" s="20"/>
      <c r="AA403" s="20"/>
      <c r="AB403" s="20"/>
      <c r="AC403" s="20"/>
      <c r="AD403" s="20"/>
    </row>
    <row r="404" spans="1:30" ht="13.5" customHeight="1" x14ac:dyDescent="0.25">
      <c r="A404" s="97"/>
      <c r="B404" s="97"/>
      <c r="C404" s="97"/>
      <c r="D404" s="97">
        <v>49509</v>
      </c>
      <c r="E404" s="97" t="str">
        <f>INDEX([1]道具配置表!$D:$D,MATCH(D404,[1]道具配置表!$A:$A,0))</f>
        <v>每日任务用替换自选BP升级道具</v>
      </c>
      <c r="F404" s="97">
        <v>1</v>
      </c>
      <c r="G404" s="97"/>
      <c r="H404" s="97"/>
      <c r="I404" s="97"/>
      <c r="J404" s="97"/>
      <c r="K404" s="97">
        <v>1</v>
      </c>
      <c r="L404" s="97"/>
      <c r="M404" s="97" t="b">
        <v>1</v>
      </c>
      <c r="N404" s="97"/>
      <c r="V404" s="20"/>
      <c r="W404" s="20"/>
      <c r="X404" s="20"/>
      <c r="Y404" s="20"/>
      <c r="Z404" s="20"/>
      <c r="AA404" s="20"/>
      <c r="AB404" s="20"/>
      <c r="AC404" s="20"/>
      <c r="AD404" s="20"/>
    </row>
    <row r="405" spans="1:30" ht="13.5" customHeight="1" x14ac:dyDescent="0.25">
      <c r="A405" s="24">
        <f>A402+1</f>
        <v>6604104</v>
      </c>
      <c r="B405" s="24" t="s">
        <v>256</v>
      </c>
      <c r="C405" s="26" t="str">
        <f>IF(A405="","",IF((COUNTIFS(A:A,A405))&gt;1,"ID重复",""))</f>
        <v/>
      </c>
      <c r="D405" s="24">
        <v>6161</v>
      </c>
      <c r="E405" s="24" t="str">
        <f>INDEX([1]道具配置表!$D:$D,MATCH(D405,[1]道具配置表!$A:$A,0))</f>
        <v>5分钟训练加速</v>
      </c>
      <c r="F405" s="24">
        <v>10</v>
      </c>
      <c r="G405" s="24"/>
      <c r="H405" s="24"/>
      <c r="I405" s="24"/>
      <c r="J405" s="24"/>
      <c r="K405" s="97">
        <v>1</v>
      </c>
      <c r="L405" s="97"/>
      <c r="M405" s="97" t="b">
        <v>1</v>
      </c>
      <c r="N405" s="24"/>
      <c r="V405" s="20"/>
      <c r="W405" s="20"/>
      <c r="X405" s="20"/>
      <c r="Y405" s="20"/>
      <c r="Z405" s="20"/>
      <c r="AA405" s="20"/>
      <c r="AB405" s="20"/>
      <c r="AC405" s="20"/>
      <c r="AD405" s="20"/>
    </row>
    <row r="406" spans="1:30" ht="13.5" customHeight="1" x14ac:dyDescent="0.25">
      <c r="A406" s="24"/>
      <c r="B406" s="24"/>
      <c r="C406" s="26" t="str">
        <f>IF(A406="","",IF((COUNTIFS(A:A,A406))&gt;1,"ID重复",""))</f>
        <v/>
      </c>
      <c r="D406" s="24">
        <v>2007</v>
      </c>
      <c r="E406" s="24" t="str">
        <f>INDEX([1]道具配置表!$D:$D,MATCH(D406,[1]道具配置表!$A:$A,0))</f>
        <v>大奖池招募券</v>
      </c>
      <c r="F406" s="24">
        <v>1</v>
      </c>
      <c r="G406" s="24"/>
      <c r="H406" s="24"/>
      <c r="I406" s="24"/>
      <c r="J406" s="24"/>
      <c r="K406" s="97">
        <v>1</v>
      </c>
      <c r="L406" s="97"/>
      <c r="M406" s="97" t="b">
        <v>1</v>
      </c>
      <c r="N406" s="24"/>
      <c r="V406" s="20"/>
      <c r="W406" s="20"/>
      <c r="X406" s="20"/>
      <c r="Y406" s="20"/>
      <c r="Z406" s="20"/>
      <c r="AA406" s="20"/>
      <c r="AB406" s="20"/>
      <c r="AC406" s="20"/>
      <c r="AD406" s="20"/>
    </row>
    <row r="407" spans="1:30" ht="13.5" customHeight="1" x14ac:dyDescent="0.25">
      <c r="A407" s="97"/>
      <c r="B407" s="97"/>
      <c r="C407" s="97"/>
      <c r="D407" s="97">
        <v>49509</v>
      </c>
      <c r="E407" s="97" t="str">
        <f>INDEX([1]道具配置表!$D:$D,MATCH(D407,[1]道具配置表!$A:$A,0))</f>
        <v>每日任务用替换自选BP升级道具</v>
      </c>
      <c r="F407" s="97">
        <v>1</v>
      </c>
      <c r="G407" s="97"/>
      <c r="H407" s="97"/>
      <c r="I407" s="97"/>
      <c r="J407" s="97"/>
      <c r="K407" s="97">
        <v>1</v>
      </c>
      <c r="L407" s="97"/>
      <c r="M407" s="97" t="b">
        <v>1</v>
      </c>
      <c r="N407" s="97"/>
      <c r="V407" s="20"/>
      <c r="W407" s="20"/>
      <c r="X407" s="20"/>
      <c r="Y407" s="20"/>
      <c r="Z407" s="20"/>
      <c r="AA407" s="20"/>
      <c r="AB407" s="20"/>
      <c r="AC407" s="20"/>
      <c r="AD407" s="20"/>
    </row>
    <row r="408" spans="1:30" ht="13.5" customHeight="1" x14ac:dyDescent="0.25">
      <c r="A408" s="24">
        <v>6604201</v>
      </c>
      <c r="B408" s="24" t="s">
        <v>257</v>
      </c>
      <c r="C408" s="26" t="str">
        <f>IF(A408="","",IF((COUNTIFS(A:A,A408))&gt;1,"ID重复",""))</f>
        <v/>
      </c>
      <c r="D408" s="24">
        <v>502</v>
      </c>
      <c r="E408" s="24" t="str">
        <f>INDEX([1]道具配置表!$D:$D,MATCH(D408,[1]道具配置表!$A:$A,0))</f>
        <v>1万资源自选宝箱</v>
      </c>
      <c r="F408" s="24">
        <f>F396+10</f>
        <v>30</v>
      </c>
      <c r="G408" s="24"/>
      <c r="H408" s="24"/>
      <c r="I408" s="24"/>
      <c r="J408" s="24"/>
      <c r="K408" s="97">
        <v>1</v>
      </c>
      <c r="L408" s="97"/>
      <c r="M408" s="97" t="b">
        <v>1</v>
      </c>
      <c r="N408" s="24"/>
      <c r="V408" s="20"/>
      <c r="W408" s="20"/>
      <c r="X408" s="20"/>
      <c r="Y408" s="20"/>
      <c r="Z408" s="20"/>
      <c r="AA408" s="20"/>
      <c r="AB408" s="20"/>
      <c r="AC408" s="20"/>
      <c r="AD408" s="20"/>
    </row>
    <row r="409" spans="1:30" ht="13.5" customHeight="1" x14ac:dyDescent="0.25">
      <c r="A409" s="24"/>
      <c r="B409" s="24"/>
      <c r="C409" s="26" t="str">
        <f>IF(A409="","",IF((COUNTIFS(A:A,A409))&gt;1,"ID重复",""))</f>
        <v/>
      </c>
      <c r="D409" s="24">
        <v>6121</v>
      </c>
      <c r="E409" s="24" t="str">
        <f>INDEX([1]道具配置表!$D:$D,MATCH(D409,[1]道具配置表!$A:$A,0))</f>
        <v>5分钟建造加速</v>
      </c>
      <c r="F409" s="24">
        <f>F397+5</f>
        <v>15</v>
      </c>
      <c r="G409" s="24"/>
      <c r="H409" s="24"/>
      <c r="I409" s="24"/>
      <c r="J409" s="24"/>
      <c r="K409" s="97">
        <v>1</v>
      </c>
      <c r="L409" s="97"/>
      <c r="M409" s="97" t="b">
        <v>1</v>
      </c>
      <c r="N409" s="24"/>
      <c r="V409" s="20"/>
      <c r="W409" s="20"/>
      <c r="X409" s="20"/>
      <c r="Y409" s="20"/>
      <c r="Z409" s="20"/>
      <c r="AA409" s="20"/>
      <c r="AB409" s="20"/>
      <c r="AC409" s="20"/>
      <c r="AD409" s="20"/>
    </row>
    <row r="410" spans="1:30" ht="13.5" customHeight="1" x14ac:dyDescent="0.25">
      <c r="A410" s="95"/>
      <c r="B410" s="95"/>
      <c r="C410" s="95"/>
      <c r="D410" s="97">
        <v>49509</v>
      </c>
      <c r="E410" s="97" t="str">
        <f>INDEX([1]道具配置表!$D:$D,MATCH(D410,[1]道具配置表!$A:$A,0))</f>
        <v>每日任务用替换自选BP升级道具</v>
      </c>
      <c r="F410" s="97">
        <v>1</v>
      </c>
      <c r="G410" s="95"/>
      <c r="H410" s="95"/>
      <c r="I410" s="95"/>
      <c r="J410" s="95"/>
      <c r="K410" s="97">
        <v>1</v>
      </c>
      <c r="L410" s="97"/>
      <c r="M410" s="97" t="b">
        <v>1</v>
      </c>
      <c r="N410" s="95"/>
      <c r="V410" s="20"/>
      <c r="W410" s="20"/>
      <c r="X410" s="20"/>
      <c r="Y410" s="20"/>
      <c r="Z410" s="20"/>
      <c r="AA410" s="20"/>
      <c r="AB410" s="20"/>
      <c r="AC410" s="20"/>
      <c r="AD410" s="20"/>
    </row>
    <row r="411" spans="1:30" ht="13.5" customHeight="1" x14ac:dyDescent="0.25">
      <c r="A411" s="24">
        <f>A408+1</f>
        <v>6604202</v>
      </c>
      <c r="B411" s="24" t="s">
        <v>1208</v>
      </c>
      <c r="C411" s="26" t="str">
        <f>IF(A411="","",IF((COUNTIFS(A:A,A411))&gt;1,"ID重复",""))</f>
        <v/>
      </c>
      <c r="D411" s="24">
        <v>6141</v>
      </c>
      <c r="E411" s="24" t="str">
        <f>INDEX([1]道具配置表!$D:$D,MATCH(D411,[1]道具配置表!$A:$A,0))</f>
        <v>5分钟科技加速</v>
      </c>
      <c r="F411" s="24">
        <f>F399+5</f>
        <v>15</v>
      </c>
      <c r="G411" s="24"/>
      <c r="H411" s="24"/>
      <c r="I411" s="24"/>
      <c r="J411" s="24"/>
      <c r="K411" s="97">
        <v>1</v>
      </c>
      <c r="L411" s="97"/>
      <c r="M411" s="97" t="b">
        <v>1</v>
      </c>
      <c r="N411" s="24"/>
      <c r="V411" s="20"/>
      <c r="W411" s="20"/>
      <c r="X411" s="20"/>
      <c r="Y411" s="20"/>
      <c r="Z411" s="20"/>
      <c r="AA411" s="20"/>
      <c r="AB411" s="20"/>
      <c r="AC411" s="20"/>
      <c r="AD411" s="20"/>
    </row>
    <row r="412" spans="1:30" ht="13.5" customHeight="1" x14ac:dyDescent="0.25">
      <c r="A412" s="24"/>
      <c r="B412" s="24"/>
      <c r="C412" s="26" t="str">
        <f>IF(A412="","",IF((COUNTIFS(A:A,A412))&gt;1,"ID重复",""))</f>
        <v/>
      </c>
      <c r="D412" s="24">
        <v>2006</v>
      </c>
      <c r="E412" s="24" t="str">
        <f>INDEX([1]道具配置表!$D:$D,MATCH(D412,[1]道具配置表!$A:$A,0))</f>
        <v>铜币奖池招募券</v>
      </c>
      <c r="F412" s="24">
        <v>1</v>
      </c>
      <c r="G412" s="24"/>
      <c r="H412" s="24"/>
      <c r="I412" s="24"/>
      <c r="J412" s="24"/>
      <c r="K412" s="97">
        <v>1</v>
      </c>
      <c r="L412" s="97"/>
      <c r="M412" s="97" t="b">
        <v>1</v>
      </c>
      <c r="N412" s="24"/>
      <c r="V412" s="20"/>
      <c r="W412" s="20"/>
      <c r="X412" s="20"/>
      <c r="Y412" s="20"/>
      <c r="Z412" s="20"/>
      <c r="AA412" s="20"/>
      <c r="AB412" s="20"/>
      <c r="AC412" s="20"/>
      <c r="AD412" s="20"/>
    </row>
    <row r="413" spans="1:30" ht="13.5" customHeight="1" x14ac:dyDescent="0.25">
      <c r="A413" s="95"/>
      <c r="B413" s="95"/>
      <c r="C413" s="95"/>
      <c r="D413" s="97">
        <v>49509</v>
      </c>
      <c r="E413" s="97" t="str">
        <f>INDEX([1]道具配置表!$D:$D,MATCH(D413,[1]道具配置表!$A:$A,0))</f>
        <v>每日任务用替换自选BP升级道具</v>
      </c>
      <c r="F413" s="97">
        <v>1</v>
      </c>
      <c r="G413" s="95"/>
      <c r="H413" s="95"/>
      <c r="I413" s="95"/>
      <c r="J413" s="95"/>
      <c r="K413" s="97">
        <v>1</v>
      </c>
      <c r="L413" s="97"/>
      <c r="M413" s="97" t="b">
        <v>1</v>
      </c>
      <c r="N413" s="95"/>
      <c r="V413" s="20"/>
      <c r="W413" s="20"/>
      <c r="X413" s="20"/>
      <c r="Y413" s="20"/>
      <c r="Z413" s="20"/>
      <c r="AA413" s="20"/>
      <c r="AB413" s="20"/>
      <c r="AC413" s="20"/>
      <c r="AD413" s="20"/>
    </row>
    <row r="414" spans="1:30" ht="13.5" customHeight="1" x14ac:dyDescent="0.25">
      <c r="A414" s="24">
        <f>A411+1</f>
        <v>6604203</v>
      </c>
      <c r="B414" s="24" t="s">
        <v>258</v>
      </c>
      <c r="C414" s="26" t="str">
        <f>IF(A414="","",IF((COUNTIFS(A:A,A414))&gt;1,"ID重复",""))</f>
        <v/>
      </c>
      <c r="D414" s="24">
        <v>7003</v>
      </c>
      <c r="E414" s="24" t="str">
        <f>INDEX([1]道具配置表!$D:$D,MATCH(D414,[1]道具配置表!$A:$A,0))</f>
        <v>1银币（立即使用，不进背包）</v>
      </c>
      <c r="F414" s="24">
        <v>200</v>
      </c>
      <c r="G414" s="24"/>
      <c r="H414" s="24"/>
      <c r="I414" s="24"/>
      <c r="J414" s="24"/>
      <c r="K414" s="97">
        <v>1</v>
      </c>
      <c r="L414" s="97"/>
      <c r="M414" s="97" t="b">
        <v>1</v>
      </c>
      <c r="N414" s="24"/>
      <c r="V414" s="20"/>
      <c r="W414" s="20"/>
      <c r="X414" s="20"/>
      <c r="Y414" s="20"/>
      <c r="Z414" s="20"/>
      <c r="AA414" s="20"/>
      <c r="AB414" s="20"/>
      <c r="AC414" s="20"/>
      <c r="AD414" s="20"/>
    </row>
    <row r="415" spans="1:30" ht="13.5" customHeight="1" x14ac:dyDescent="0.25">
      <c r="A415" s="24"/>
      <c r="B415" s="24"/>
      <c r="C415" s="26" t="str">
        <f>IF(A415="","",IF((COUNTIFS(A:A,A415))&gt;1,"ID重复",""))</f>
        <v/>
      </c>
      <c r="D415" s="24">
        <v>502</v>
      </c>
      <c r="E415" s="24" t="str">
        <f>INDEX([1]道具配置表!$D:$D,MATCH(D415,[1]道具配置表!$A:$A,0))</f>
        <v>1万资源自选宝箱</v>
      </c>
      <c r="F415" s="24">
        <f>F403+20</f>
        <v>60</v>
      </c>
      <c r="G415" s="24"/>
      <c r="H415" s="24"/>
      <c r="I415" s="24"/>
      <c r="J415" s="24"/>
      <c r="K415" s="97">
        <v>1</v>
      </c>
      <c r="L415" s="97"/>
      <c r="M415" s="97" t="b">
        <v>1</v>
      </c>
      <c r="N415" s="24"/>
      <c r="V415" s="20"/>
      <c r="W415" s="20"/>
      <c r="X415" s="20"/>
      <c r="Y415" s="20"/>
      <c r="Z415" s="20"/>
      <c r="AA415" s="20"/>
      <c r="AB415" s="20"/>
      <c r="AC415" s="20"/>
      <c r="AD415" s="20"/>
    </row>
    <row r="416" spans="1:30" ht="13.5" customHeight="1" x14ac:dyDescent="0.25">
      <c r="A416" s="97"/>
      <c r="B416" s="97"/>
      <c r="C416" s="97"/>
      <c r="D416" s="97">
        <v>49509</v>
      </c>
      <c r="E416" s="97" t="str">
        <f>INDEX([1]道具配置表!$D:$D,MATCH(D416,[1]道具配置表!$A:$A,0))</f>
        <v>每日任务用替换自选BP升级道具</v>
      </c>
      <c r="F416" s="97">
        <v>1</v>
      </c>
      <c r="G416" s="97"/>
      <c r="H416" s="97"/>
      <c r="I416" s="97"/>
      <c r="J416" s="97"/>
      <c r="K416" s="97">
        <v>1</v>
      </c>
      <c r="L416" s="97"/>
      <c r="M416" s="97" t="b">
        <v>1</v>
      </c>
      <c r="N416" s="97"/>
      <c r="V416" s="20"/>
      <c r="W416" s="20"/>
      <c r="X416" s="20"/>
      <c r="Y416" s="20"/>
      <c r="Z416" s="20"/>
      <c r="AA416" s="20"/>
      <c r="AB416" s="20"/>
      <c r="AC416" s="20"/>
      <c r="AD416" s="20"/>
    </row>
    <row r="417" spans="1:30" ht="13.5" customHeight="1" x14ac:dyDescent="0.25">
      <c r="A417" s="24">
        <f>A414+1</f>
        <v>6604204</v>
      </c>
      <c r="B417" s="24" t="s">
        <v>259</v>
      </c>
      <c r="C417" s="26" t="str">
        <f>IF(A417="","",IF((COUNTIFS(A:A,A417))&gt;1,"ID重复",""))</f>
        <v/>
      </c>
      <c r="D417" s="24">
        <v>6161</v>
      </c>
      <c r="E417" s="24" t="str">
        <f>INDEX([1]道具配置表!$D:$D,MATCH(D417,[1]道具配置表!$A:$A,0))</f>
        <v>5分钟训练加速</v>
      </c>
      <c r="F417" s="24">
        <f>F405+5</f>
        <v>15</v>
      </c>
      <c r="G417" s="24"/>
      <c r="H417" s="24"/>
      <c r="I417" s="24"/>
      <c r="J417" s="24"/>
      <c r="K417" s="97">
        <v>1</v>
      </c>
      <c r="L417" s="97"/>
      <c r="M417" s="97" t="b">
        <v>1</v>
      </c>
      <c r="N417" s="24"/>
      <c r="V417" s="20"/>
      <c r="W417" s="20"/>
      <c r="X417" s="20"/>
      <c r="Y417" s="20"/>
      <c r="Z417" s="20"/>
      <c r="AA417" s="20"/>
      <c r="AB417" s="20"/>
      <c r="AC417" s="20"/>
      <c r="AD417" s="20"/>
    </row>
    <row r="418" spans="1:30" ht="13.5" customHeight="1" x14ac:dyDescent="0.25">
      <c r="A418" s="24"/>
      <c r="B418" s="24"/>
      <c r="C418" s="26" t="str">
        <f>IF(A418="","",IF((COUNTIFS(A:A,A418))&gt;1,"ID重复",""))</f>
        <v/>
      </c>
      <c r="D418" s="24">
        <v>2007</v>
      </c>
      <c r="E418" s="24" t="str">
        <f>INDEX([1]道具配置表!$D:$D,MATCH(D418,[1]道具配置表!$A:$A,0))</f>
        <v>大奖池招募券</v>
      </c>
      <c r="F418" s="24">
        <v>1</v>
      </c>
      <c r="G418" s="24"/>
      <c r="H418" s="24"/>
      <c r="I418" s="24"/>
      <c r="J418" s="24"/>
      <c r="K418" s="97">
        <v>1</v>
      </c>
      <c r="L418" s="97"/>
      <c r="M418" s="97" t="b">
        <v>1</v>
      </c>
      <c r="N418" s="24"/>
      <c r="V418" s="20"/>
      <c r="W418" s="20"/>
      <c r="X418" s="20"/>
      <c r="Y418" s="20"/>
      <c r="Z418" s="20"/>
      <c r="AA418" s="20"/>
      <c r="AB418" s="20"/>
      <c r="AC418" s="20"/>
      <c r="AD418" s="20"/>
    </row>
    <row r="419" spans="1:30" ht="13.5" customHeight="1" x14ac:dyDescent="0.25">
      <c r="A419" s="97"/>
      <c r="B419" s="97"/>
      <c r="C419" s="97"/>
      <c r="D419" s="97">
        <v>49509</v>
      </c>
      <c r="E419" s="97" t="str">
        <f>INDEX([1]道具配置表!$D:$D,MATCH(D419,[1]道具配置表!$A:$A,0))</f>
        <v>每日任务用替换自选BP升级道具</v>
      </c>
      <c r="F419" s="97">
        <v>1</v>
      </c>
      <c r="G419" s="97"/>
      <c r="H419" s="97"/>
      <c r="I419" s="97"/>
      <c r="J419" s="97"/>
      <c r="K419" s="97">
        <v>1</v>
      </c>
      <c r="L419" s="97"/>
      <c r="M419" s="97" t="b">
        <v>1</v>
      </c>
      <c r="N419" s="97"/>
      <c r="V419" s="20"/>
      <c r="W419" s="20"/>
      <c r="X419" s="20"/>
      <c r="Y419" s="20"/>
      <c r="Z419" s="20"/>
      <c r="AA419" s="20"/>
      <c r="AB419" s="20"/>
      <c r="AC419" s="20"/>
      <c r="AD419" s="20"/>
    </row>
    <row r="420" spans="1:30" ht="13.5" customHeight="1" x14ac:dyDescent="0.25">
      <c r="A420" s="24">
        <v>6604301</v>
      </c>
      <c r="B420" s="24" t="s">
        <v>260</v>
      </c>
      <c r="C420" s="26" t="str">
        <f>IF(A420="","",IF((COUNTIFS(A:A,A420))&gt;1,"ID重复",""))</f>
        <v/>
      </c>
      <c r="D420" s="24">
        <v>502</v>
      </c>
      <c r="E420" s="24" t="str">
        <f>INDEX([1]道具配置表!$D:$D,MATCH(D420,[1]道具配置表!$A:$A,0))</f>
        <v>1万资源自选宝箱</v>
      </c>
      <c r="F420" s="24">
        <f>F408+10</f>
        <v>40</v>
      </c>
      <c r="G420" s="24"/>
      <c r="H420" s="24"/>
      <c r="I420" s="24"/>
      <c r="J420" s="24"/>
      <c r="K420" s="97">
        <v>1</v>
      </c>
      <c r="L420" s="97"/>
      <c r="M420" s="97" t="b">
        <v>1</v>
      </c>
      <c r="N420" s="24"/>
      <c r="V420" s="20"/>
      <c r="W420" s="20"/>
      <c r="X420" s="20"/>
      <c r="Y420" s="20"/>
      <c r="Z420" s="20"/>
      <c r="AA420" s="20"/>
      <c r="AB420" s="20"/>
      <c r="AC420" s="20"/>
      <c r="AD420" s="20"/>
    </row>
    <row r="421" spans="1:30" ht="13.5" customHeight="1" x14ac:dyDescent="0.25">
      <c r="A421" s="24"/>
      <c r="B421" s="24"/>
      <c r="C421" s="26" t="str">
        <f>IF(A421="","",IF((COUNTIFS(A:A,A421))&gt;1,"ID重复",""))</f>
        <v/>
      </c>
      <c r="D421" s="24">
        <v>6121</v>
      </c>
      <c r="E421" s="24" t="str">
        <f>INDEX([1]道具配置表!$D:$D,MATCH(D421,[1]道具配置表!$A:$A,0))</f>
        <v>5分钟建造加速</v>
      </c>
      <c r="F421" s="24">
        <f>F409+5</f>
        <v>20</v>
      </c>
      <c r="G421" s="24"/>
      <c r="H421" s="24"/>
      <c r="I421" s="24"/>
      <c r="J421" s="24"/>
      <c r="K421" s="97">
        <v>1</v>
      </c>
      <c r="L421" s="97"/>
      <c r="M421" s="97" t="b">
        <v>1</v>
      </c>
      <c r="N421" s="24"/>
      <c r="V421" s="20"/>
      <c r="W421" s="20"/>
      <c r="X421" s="20"/>
      <c r="Y421" s="20"/>
      <c r="Z421" s="20"/>
      <c r="AA421" s="20"/>
      <c r="AB421" s="20"/>
      <c r="AC421" s="20"/>
      <c r="AD421" s="20"/>
    </row>
    <row r="422" spans="1:30" ht="13.5" customHeight="1" x14ac:dyDescent="0.25">
      <c r="A422" s="95"/>
      <c r="B422" s="95"/>
      <c r="C422" s="95"/>
      <c r="D422" s="97">
        <v>49509</v>
      </c>
      <c r="E422" s="97" t="str">
        <f>INDEX([1]道具配置表!$D:$D,MATCH(D422,[1]道具配置表!$A:$A,0))</f>
        <v>每日任务用替换自选BP升级道具</v>
      </c>
      <c r="F422" s="97">
        <v>1</v>
      </c>
      <c r="G422" s="95"/>
      <c r="H422" s="95"/>
      <c r="I422" s="95"/>
      <c r="J422" s="95"/>
      <c r="K422" s="97">
        <v>1</v>
      </c>
      <c r="L422" s="97"/>
      <c r="M422" s="97" t="b">
        <v>1</v>
      </c>
      <c r="N422" s="95"/>
      <c r="V422" s="20"/>
      <c r="W422" s="20"/>
      <c r="X422" s="20"/>
      <c r="Y422" s="20"/>
      <c r="Z422" s="20"/>
      <c r="AA422" s="20"/>
      <c r="AB422" s="20"/>
      <c r="AC422" s="20"/>
      <c r="AD422" s="20"/>
    </row>
    <row r="423" spans="1:30" ht="13.5" customHeight="1" x14ac:dyDescent="0.25">
      <c r="A423" s="24">
        <f>A420+1</f>
        <v>6604302</v>
      </c>
      <c r="B423" s="24" t="s">
        <v>261</v>
      </c>
      <c r="C423" s="26" t="str">
        <f>IF(A423="","",IF((COUNTIFS(A:A,A423))&gt;1,"ID重复",""))</f>
        <v/>
      </c>
      <c r="D423" s="24">
        <v>6141</v>
      </c>
      <c r="E423" s="24" t="str">
        <f>INDEX([1]道具配置表!$D:$D,MATCH(D423,[1]道具配置表!$A:$A,0))</f>
        <v>5分钟科技加速</v>
      </c>
      <c r="F423" s="24">
        <f>F411+5</f>
        <v>20</v>
      </c>
      <c r="G423" s="24"/>
      <c r="H423" s="24"/>
      <c r="I423" s="24"/>
      <c r="J423" s="24"/>
      <c r="K423" s="97">
        <v>1</v>
      </c>
      <c r="L423" s="97"/>
      <c r="M423" s="97" t="b">
        <v>1</v>
      </c>
      <c r="N423" s="24"/>
      <c r="V423" s="20"/>
      <c r="W423" s="20"/>
      <c r="X423" s="20"/>
      <c r="Y423" s="20"/>
      <c r="Z423" s="20"/>
      <c r="AA423" s="20"/>
      <c r="AB423" s="20"/>
      <c r="AC423" s="20"/>
      <c r="AD423" s="20"/>
    </row>
    <row r="424" spans="1:30" ht="13.5" customHeight="1" x14ac:dyDescent="0.25">
      <c r="A424" s="24"/>
      <c r="B424" s="24"/>
      <c r="C424" s="26" t="str">
        <f>IF(A424="","",IF((COUNTIFS(A:A,A424))&gt;1,"ID重复",""))</f>
        <v/>
      </c>
      <c r="D424" s="24">
        <v>2006</v>
      </c>
      <c r="E424" s="24" t="str">
        <f>INDEX([1]道具配置表!$D:$D,MATCH(D424,[1]道具配置表!$A:$A,0))</f>
        <v>铜币奖池招募券</v>
      </c>
      <c r="F424" s="24">
        <v>1</v>
      </c>
      <c r="G424" s="24"/>
      <c r="H424" s="24"/>
      <c r="I424" s="24"/>
      <c r="J424" s="24"/>
      <c r="K424" s="97">
        <v>1</v>
      </c>
      <c r="L424" s="97"/>
      <c r="M424" s="97" t="b">
        <v>1</v>
      </c>
      <c r="N424" s="24"/>
      <c r="V424" s="20"/>
      <c r="W424" s="20"/>
      <c r="X424" s="20"/>
      <c r="Y424" s="20"/>
      <c r="Z424" s="20"/>
      <c r="AA424" s="20"/>
      <c r="AB424" s="20"/>
      <c r="AC424" s="20"/>
      <c r="AD424" s="20"/>
    </row>
    <row r="425" spans="1:30" ht="13.5" customHeight="1" x14ac:dyDescent="0.25">
      <c r="A425" s="77"/>
      <c r="B425" s="77"/>
      <c r="C425" s="77"/>
      <c r="D425" s="78">
        <v>56001</v>
      </c>
      <c r="E425" s="77" t="str">
        <f>INDEX([1]道具配置表!$D:$D,MATCH(D425,[1]道具配置表!$A:$A,0))</f>
        <v>锻造装备消耗材料</v>
      </c>
      <c r="F425" s="77">
        <v>1500</v>
      </c>
      <c r="G425" s="77"/>
      <c r="H425" s="77"/>
      <c r="I425" s="77"/>
      <c r="J425" s="77"/>
      <c r="K425" s="97">
        <v>1</v>
      </c>
      <c r="L425" s="97"/>
      <c r="M425" s="97" t="b">
        <v>1</v>
      </c>
      <c r="N425" s="77"/>
      <c r="V425" s="20"/>
      <c r="W425" s="20"/>
      <c r="X425" s="20"/>
      <c r="Y425" s="20"/>
      <c r="Z425" s="20"/>
      <c r="AA425" s="20"/>
      <c r="AB425" s="20"/>
      <c r="AC425" s="20"/>
      <c r="AD425" s="20"/>
    </row>
    <row r="426" spans="1:30" ht="13.5" customHeight="1" x14ac:dyDescent="0.25">
      <c r="A426" s="95"/>
      <c r="B426" s="95"/>
      <c r="C426" s="95"/>
      <c r="D426" s="97">
        <v>49509</v>
      </c>
      <c r="E426" s="97" t="str">
        <f>INDEX([1]道具配置表!$D:$D,MATCH(D426,[1]道具配置表!$A:$A,0))</f>
        <v>每日任务用替换自选BP升级道具</v>
      </c>
      <c r="F426" s="97">
        <v>1</v>
      </c>
      <c r="G426" s="95"/>
      <c r="H426" s="95"/>
      <c r="I426" s="95"/>
      <c r="J426" s="95"/>
      <c r="K426" s="97">
        <v>1</v>
      </c>
      <c r="L426" s="97"/>
      <c r="M426" s="97" t="b">
        <v>1</v>
      </c>
      <c r="N426" s="95"/>
      <c r="V426" s="20"/>
      <c r="W426" s="20"/>
      <c r="X426" s="20"/>
      <c r="Y426" s="20"/>
      <c r="Z426" s="20"/>
      <c r="AA426" s="20"/>
      <c r="AB426" s="20"/>
      <c r="AC426" s="20"/>
      <c r="AD426" s="20"/>
    </row>
    <row r="427" spans="1:30" ht="13.5" customHeight="1" x14ac:dyDescent="0.25">
      <c r="A427" s="24">
        <f>A423+1</f>
        <v>6604303</v>
      </c>
      <c r="B427" s="24" t="s">
        <v>262</v>
      </c>
      <c r="C427" s="26" t="str">
        <f>IF(A427="","",IF((COUNTIFS(A:A,A427))&gt;1,"ID重复",""))</f>
        <v/>
      </c>
      <c r="D427" s="24">
        <v>7003</v>
      </c>
      <c r="E427" s="24" t="str">
        <f>INDEX([1]道具配置表!$D:$D,MATCH(D427,[1]道具配置表!$A:$A,0))</f>
        <v>1银币（立即使用，不进背包）</v>
      </c>
      <c r="F427" s="24">
        <v>200</v>
      </c>
      <c r="G427" s="24"/>
      <c r="H427" s="24"/>
      <c r="I427" s="24"/>
      <c r="J427" s="24"/>
      <c r="K427" s="97">
        <v>1</v>
      </c>
      <c r="L427" s="97"/>
      <c r="M427" s="97" t="b">
        <v>1</v>
      </c>
      <c r="N427" s="24"/>
      <c r="V427" s="20"/>
      <c r="W427" s="20"/>
      <c r="X427" s="20"/>
      <c r="Y427" s="20"/>
      <c r="Z427" s="20"/>
      <c r="AA427" s="20"/>
      <c r="AB427" s="20"/>
      <c r="AC427" s="20"/>
      <c r="AD427" s="20"/>
    </row>
    <row r="428" spans="1:30" ht="13.5" customHeight="1" x14ac:dyDescent="0.25">
      <c r="A428" s="24"/>
      <c r="B428" s="24"/>
      <c r="C428" s="26" t="str">
        <f>IF(A428="","",IF((COUNTIFS(A:A,A428))&gt;1,"ID重复",""))</f>
        <v/>
      </c>
      <c r="D428" s="24">
        <v>502</v>
      </c>
      <c r="E428" s="24" t="str">
        <f>INDEX([1]道具配置表!$D:$D,MATCH(D428,[1]道具配置表!$A:$A,0))</f>
        <v>1万资源自选宝箱</v>
      </c>
      <c r="F428" s="24">
        <f>F415+20</f>
        <v>80</v>
      </c>
      <c r="G428" s="24"/>
      <c r="H428" s="24"/>
      <c r="I428" s="24"/>
      <c r="J428" s="24"/>
      <c r="K428" s="97">
        <v>1</v>
      </c>
      <c r="L428" s="97"/>
      <c r="M428" s="97" t="b">
        <v>1</v>
      </c>
      <c r="N428" s="24"/>
      <c r="V428" s="20"/>
      <c r="W428" s="20"/>
      <c r="X428" s="20"/>
      <c r="Y428" s="20"/>
      <c r="Z428" s="20"/>
      <c r="AA428" s="20"/>
      <c r="AB428" s="20"/>
      <c r="AC428" s="20"/>
      <c r="AD428" s="20"/>
    </row>
    <row r="429" spans="1:30" ht="13.5" customHeight="1" x14ac:dyDescent="0.25">
      <c r="A429" s="77"/>
      <c r="B429" s="77"/>
      <c r="C429" s="77"/>
      <c r="D429" s="77">
        <v>6197</v>
      </c>
      <c r="E429" s="77" t="str">
        <f>INDEX([1]道具配置表!$D:$D,MATCH(D429,[1]道具配置表!$A:$A,0))</f>
        <v>5分钟锻造加速</v>
      </c>
      <c r="F429" s="77">
        <v>20</v>
      </c>
      <c r="G429" s="77"/>
      <c r="H429" s="77"/>
      <c r="I429" s="77"/>
      <c r="J429" s="77"/>
      <c r="K429" s="97">
        <v>1</v>
      </c>
      <c r="L429" s="97"/>
      <c r="M429" s="97" t="b">
        <v>1</v>
      </c>
      <c r="N429" s="77"/>
      <c r="V429" s="20"/>
      <c r="W429" s="20"/>
      <c r="X429" s="20"/>
      <c r="Y429" s="20"/>
      <c r="Z429" s="20"/>
      <c r="AA429" s="20"/>
      <c r="AB429" s="20"/>
      <c r="AC429" s="20"/>
      <c r="AD429" s="20"/>
    </row>
    <row r="430" spans="1:30" ht="13.5" customHeight="1" x14ac:dyDescent="0.25">
      <c r="A430" s="97"/>
      <c r="B430" s="97"/>
      <c r="C430" s="97"/>
      <c r="D430" s="97">
        <v>49509</v>
      </c>
      <c r="E430" s="97" t="str">
        <f>INDEX([1]道具配置表!$D:$D,MATCH(D430,[1]道具配置表!$A:$A,0))</f>
        <v>每日任务用替换自选BP升级道具</v>
      </c>
      <c r="F430" s="97">
        <v>1</v>
      </c>
      <c r="G430" s="97"/>
      <c r="H430" s="97"/>
      <c r="I430" s="97"/>
      <c r="J430" s="97"/>
      <c r="K430" s="97">
        <v>1</v>
      </c>
      <c r="L430" s="97"/>
      <c r="M430" s="97" t="b">
        <v>1</v>
      </c>
      <c r="N430" s="97"/>
      <c r="V430" s="20"/>
      <c r="W430" s="20"/>
      <c r="X430" s="20"/>
      <c r="Y430" s="20"/>
      <c r="Z430" s="20"/>
      <c r="AA430" s="20"/>
      <c r="AB430" s="20"/>
      <c r="AC430" s="20"/>
      <c r="AD430" s="20"/>
    </row>
    <row r="431" spans="1:30" ht="13.5" customHeight="1" x14ac:dyDescent="0.25">
      <c r="A431" s="24">
        <f>A427+1</f>
        <v>6604304</v>
      </c>
      <c r="B431" s="24" t="s">
        <v>263</v>
      </c>
      <c r="C431" s="26" t="str">
        <f>IF(A431="","",IF((COUNTIFS(A:A,A431))&gt;1,"ID重复",""))</f>
        <v/>
      </c>
      <c r="D431" s="24">
        <v>6161</v>
      </c>
      <c r="E431" s="24" t="str">
        <f>INDEX([1]道具配置表!$D:$D,MATCH(D431,[1]道具配置表!$A:$A,0))</f>
        <v>5分钟训练加速</v>
      </c>
      <c r="F431" s="24">
        <f>F417+5</f>
        <v>20</v>
      </c>
      <c r="G431" s="24"/>
      <c r="H431" s="24"/>
      <c r="I431" s="24"/>
      <c r="J431" s="24"/>
      <c r="K431" s="97">
        <v>1</v>
      </c>
      <c r="L431" s="97"/>
      <c r="M431" s="97" t="b">
        <v>1</v>
      </c>
      <c r="N431" s="24"/>
      <c r="V431" s="20"/>
      <c r="W431" s="20"/>
      <c r="X431" s="20"/>
      <c r="Y431" s="20"/>
      <c r="Z431" s="20"/>
      <c r="AA431" s="20"/>
      <c r="AB431" s="20"/>
      <c r="AC431" s="20"/>
      <c r="AD431" s="20"/>
    </row>
    <row r="432" spans="1:30" ht="13.5" customHeight="1" x14ac:dyDescent="0.25">
      <c r="A432" s="24"/>
      <c r="B432" s="24"/>
      <c r="C432" s="26" t="str">
        <f>IF(A432="","",IF((COUNTIFS(A:A,A432))&gt;1,"ID重复",""))</f>
        <v/>
      </c>
      <c r="D432" s="24">
        <v>2007</v>
      </c>
      <c r="E432" s="24" t="str">
        <f>INDEX([1]道具配置表!$D:$D,MATCH(D432,[1]道具配置表!$A:$A,0))</f>
        <v>大奖池招募券</v>
      </c>
      <c r="F432" s="24">
        <v>1</v>
      </c>
      <c r="G432" s="24"/>
      <c r="H432" s="24"/>
      <c r="I432" s="24"/>
      <c r="J432" s="24"/>
      <c r="K432" s="97">
        <v>1</v>
      </c>
      <c r="L432" s="97"/>
      <c r="M432" s="97" t="b">
        <v>1</v>
      </c>
      <c r="N432" s="24"/>
      <c r="V432" s="20"/>
      <c r="W432" s="20"/>
      <c r="X432" s="20"/>
      <c r="Y432" s="20"/>
      <c r="Z432" s="20"/>
      <c r="AA432" s="20"/>
      <c r="AB432" s="20"/>
      <c r="AC432" s="20"/>
      <c r="AD432" s="20"/>
    </row>
    <row r="433" spans="1:30" ht="13.5" customHeight="1" x14ac:dyDescent="0.25">
      <c r="A433" s="77"/>
      <c r="B433" s="77"/>
      <c r="C433" s="77"/>
      <c r="D433" s="77">
        <v>56203</v>
      </c>
      <c r="E433" s="77" t="str">
        <f>INDEX([1]道具配置表!$D:$D,MATCH(D433,[1]道具配置表!$A:$A,0))</f>
        <v>全随机图纸</v>
      </c>
      <c r="F433" s="77">
        <v>1</v>
      </c>
      <c r="G433" s="77"/>
      <c r="H433" s="77"/>
      <c r="I433" s="77"/>
      <c r="J433" s="77"/>
      <c r="K433" s="97">
        <v>1</v>
      </c>
      <c r="L433" s="97"/>
      <c r="M433" s="97" t="b">
        <v>1</v>
      </c>
      <c r="N433" s="77"/>
      <c r="V433" s="20"/>
      <c r="W433" s="20"/>
      <c r="X433" s="20"/>
      <c r="Y433" s="20"/>
      <c r="Z433" s="20"/>
      <c r="AA433" s="20"/>
      <c r="AB433" s="20"/>
      <c r="AC433" s="20"/>
      <c r="AD433" s="20"/>
    </row>
    <row r="434" spans="1:30" ht="13.5" customHeight="1" x14ac:dyDescent="0.25">
      <c r="A434" s="97"/>
      <c r="B434" s="97"/>
      <c r="C434" s="97"/>
      <c r="D434" s="97">
        <v>49509</v>
      </c>
      <c r="E434" s="97" t="str">
        <f>INDEX([1]道具配置表!$D:$D,MATCH(D434,[1]道具配置表!$A:$A,0))</f>
        <v>每日任务用替换自选BP升级道具</v>
      </c>
      <c r="F434" s="97">
        <v>1</v>
      </c>
      <c r="G434" s="97"/>
      <c r="H434" s="97"/>
      <c r="I434" s="97"/>
      <c r="J434" s="97"/>
      <c r="K434" s="97">
        <v>1</v>
      </c>
      <c r="L434" s="97"/>
      <c r="M434" s="97" t="b">
        <v>1</v>
      </c>
      <c r="N434" s="97"/>
      <c r="V434" s="20"/>
      <c r="W434" s="20"/>
      <c r="X434" s="20"/>
      <c r="Y434" s="20"/>
      <c r="Z434" s="20"/>
      <c r="AA434" s="20"/>
      <c r="AB434" s="20"/>
      <c r="AC434" s="20"/>
      <c r="AD434" s="20"/>
    </row>
    <row r="435" spans="1:30" ht="13.5" customHeight="1" x14ac:dyDescent="0.25">
      <c r="A435" s="24">
        <v>6604401</v>
      </c>
      <c r="B435" s="24" t="s">
        <v>264</v>
      </c>
      <c r="C435" s="26" t="str">
        <f>IF(A435="","",IF((COUNTIFS(A:A,A435))&gt;1,"ID重复",""))</f>
        <v/>
      </c>
      <c r="D435" s="24">
        <v>502</v>
      </c>
      <c r="E435" s="24" t="str">
        <f>INDEX([1]道具配置表!$D:$D,MATCH(D435,[1]道具配置表!$A:$A,0))</f>
        <v>1万资源自选宝箱</v>
      </c>
      <c r="F435" s="24">
        <f>F420+10</f>
        <v>50</v>
      </c>
      <c r="G435" s="24"/>
      <c r="H435" s="24"/>
      <c r="I435" s="24"/>
      <c r="J435" s="24"/>
      <c r="K435" s="97">
        <v>1</v>
      </c>
      <c r="L435" s="97"/>
      <c r="M435" s="97" t="b">
        <v>1</v>
      </c>
      <c r="N435" s="24"/>
      <c r="V435" s="20"/>
      <c r="W435" s="20"/>
      <c r="X435" s="20"/>
      <c r="Y435" s="20"/>
      <c r="Z435" s="20"/>
      <c r="AA435" s="20"/>
      <c r="AB435" s="20"/>
      <c r="AC435" s="20"/>
      <c r="AD435" s="20"/>
    </row>
    <row r="436" spans="1:30" ht="13.5" customHeight="1" x14ac:dyDescent="0.25">
      <c r="A436" s="24"/>
      <c r="B436" s="24"/>
      <c r="C436" s="26" t="str">
        <f>IF(A436="","",IF((COUNTIFS(A:A,A436))&gt;1,"ID重复",""))</f>
        <v/>
      </c>
      <c r="D436" s="24">
        <v>6121</v>
      </c>
      <c r="E436" s="24" t="str">
        <f>INDEX([1]道具配置表!$D:$D,MATCH(D436,[1]道具配置表!$A:$A,0))</f>
        <v>5分钟建造加速</v>
      </c>
      <c r="F436" s="24">
        <f>F421+5</f>
        <v>25</v>
      </c>
      <c r="G436" s="24"/>
      <c r="H436" s="24"/>
      <c r="I436" s="24"/>
      <c r="J436" s="24"/>
      <c r="K436" s="97">
        <v>1</v>
      </c>
      <c r="L436" s="97"/>
      <c r="M436" s="97" t="b">
        <v>1</v>
      </c>
      <c r="N436" s="24"/>
      <c r="V436" s="20"/>
      <c r="W436" s="20"/>
      <c r="X436" s="20"/>
      <c r="Y436" s="20"/>
      <c r="Z436" s="20"/>
      <c r="AA436" s="20"/>
      <c r="AB436" s="20"/>
      <c r="AC436" s="20"/>
      <c r="AD436" s="20"/>
    </row>
    <row r="437" spans="1:30" ht="13.5" customHeight="1" x14ac:dyDescent="0.25">
      <c r="A437" s="95"/>
      <c r="B437" s="95"/>
      <c r="C437" s="95"/>
      <c r="D437" s="97">
        <v>49509</v>
      </c>
      <c r="E437" s="97" t="str">
        <f>INDEX([1]道具配置表!$D:$D,MATCH(D437,[1]道具配置表!$A:$A,0))</f>
        <v>每日任务用替换自选BP升级道具</v>
      </c>
      <c r="F437" s="97">
        <v>1</v>
      </c>
      <c r="G437" s="95"/>
      <c r="H437" s="95"/>
      <c r="I437" s="95"/>
      <c r="J437" s="95"/>
      <c r="K437" s="97">
        <v>1</v>
      </c>
      <c r="L437" s="97"/>
      <c r="M437" s="97" t="b">
        <v>1</v>
      </c>
      <c r="N437" s="95"/>
      <c r="V437" s="20"/>
      <c r="W437" s="20"/>
      <c r="X437" s="20"/>
      <c r="Y437" s="20"/>
      <c r="Z437" s="20"/>
      <c r="AA437" s="20"/>
      <c r="AB437" s="20"/>
      <c r="AC437" s="20"/>
      <c r="AD437" s="20"/>
    </row>
    <row r="438" spans="1:30" ht="13.5" customHeight="1" x14ac:dyDescent="0.25">
      <c r="A438" s="24">
        <v>6604402</v>
      </c>
      <c r="B438" s="24" t="s">
        <v>265</v>
      </c>
      <c r="C438" s="26" t="str">
        <f>IF(A438="","",IF((COUNTIFS(A:A,A438))&gt;1,"ID重复",""))</f>
        <v/>
      </c>
      <c r="D438" s="24">
        <v>6141</v>
      </c>
      <c r="E438" s="24" t="str">
        <f>INDEX([1]道具配置表!$D:$D,MATCH(D438,[1]道具配置表!$A:$A,0))</f>
        <v>5分钟科技加速</v>
      </c>
      <c r="F438" s="24">
        <f>F423+5</f>
        <v>25</v>
      </c>
      <c r="G438" s="24"/>
      <c r="H438" s="24"/>
      <c r="I438" s="24"/>
      <c r="J438" s="24"/>
      <c r="K438" s="97">
        <v>1</v>
      </c>
      <c r="L438" s="97"/>
      <c r="M438" s="97" t="b">
        <v>1</v>
      </c>
      <c r="N438" s="24"/>
      <c r="V438" s="20"/>
      <c r="W438" s="20"/>
      <c r="X438" s="20"/>
      <c r="Y438" s="20"/>
      <c r="Z438" s="20"/>
      <c r="AA438" s="20"/>
      <c r="AB438" s="20"/>
      <c r="AC438" s="20"/>
      <c r="AD438" s="20"/>
    </row>
    <row r="439" spans="1:30" ht="13.5" customHeight="1" x14ac:dyDescent="0.25">
      <c r="A439" s="24"/>
      <c r="B439" s="24"/>
      <c r="C439" s="26" t="str">
        <f>IF(A439="","",IF((COUNTIFS(A:A,A439))&gt;1,"ID重复",""))</f>
        <v/>
      </c>
      <c r="D439" s="24">
        <v>2006</v>
      </c>
      <c r="E439" s="24" t="str">
        <f>INDEX([1]道具配置表!$D:$D,MATCH(D439,[1]道具配置表!$A:$A,0))</f>
        <v>铜币奖池招募券</v>
      </c>
      <c r="F439" s="24">
        <v>1</v>
      </c>
      <c r="G439" s="24"/>
      <c r="H439" s="24"/>
      <c r="I439" s="24"/>
      <c r="J439" s="24"/>
      <c r="K439" s="97">
        <v>1</v>
      </c>
      <c r="L439" s="97"/>
      <c r="M439" s="97" t="b">
        <v>1</v>
      </c>
      <c r="N439" s="24"/>
      <c r="V439" s="20"/>
      <c r="W439" s="20"/>
      <c r="X439" s="20"/>
      <c r="Y439" s="20"/>
      <c r="Z439" s="20"/>
      <c r="AA439" s="20"/>
      <c r="AB439" s="20"/>
      <c r="AC439" s="20"/>
      <c r="AD439" s="20"/>
    </row>
    <row r="440" spans="1:30" ht="13.5" customHeight="1" x14ac:dyDescent="0.25">
      <c r="A440" s="77"/>
      <c r="B440" s="77"/>
      <c r="C440" s="77"/>
      <c r="D440" s="77">
        <v>56001</v>
      </c>
      <c r="E440" s="77" t="str">
        <f>INDEX([1]道具配置表!$D:$D,MATCH(D440,[1]道具配置表!$A:$A,0))</f>
        <v>锻造装备消耗材料</v>
      </c>
      <c r="F440" s="77">
        <v>1500</v>
      </c>
      <c r="G440" s="77"/>
      <c r="H440" s="77"/>
      <c r="I440" s="77"/>
      <c r="J440" s="77"/>
      <c r="K440" s="97">
        <v>1</v>
      </c>
      <c r="L440" s="97"/>
      <c r="M440" s="97" t="b">
        <v>1</v>
      </c>
      <c r="N440" s="77"/>
      <c r="V440" s="20"/>
      <c r="W440" s="20"/>
      <c r="X440" s="20"/>
      <c r="Y440" s="20"/>
      <c r="Z440" s="20"/>
      <c r="AA440" s="20"/>
      <c r="AB440" s="20"/>
      <c r="AC440" s="20"/>
      <c r="AD440" s="20"/>
    </row>
    <row r="441" spans="1:30" ht="13.5" customHeight="1" x14ac:dyDescent="0.25">
      <c r="A441" s="95"/>
      <c r="B441" s="95"/>
      <c r="C441" s="95"/>
      <c r="D441" s="97">
        <v>49509</v>
      </c>
      <c r="E441" s="97" t="str">
        <f>INDEX([1]道具配置表!$D:$D,MATCH(D441,[1]道具配置表!$A:$A,0))</f>
        <v>每日任务用替换自选BP升级道具</v>
      </c>
      <c r="F441" s="97">
        <v>1</v>
      </c>
      <c r="G441" s="95"/>
      <c r="H441" s="95"/>
      <c r="I441" s="95"/>
      <c r="J441" s="95"/>
      <c r="K441" s="95">
        <v>1</v>
      </c>
      <c r="L441" s="95"/>
      <c r="M441" s="95" t="b">
        <v>1</v>
      </c>
      <c r="N441" s="95"/>
      <c r="V441" s="20"/>
      <c r="W441" s="20"/>
      <c r="X441" s="20"/>
      <c r="Y441" s="20"/>
      <c r="Z441" s="20"/>
      <c r="AA441" s="20"/>
      <c r="AB441" s="20"/>
      <c r="AC441" s="20"/>
      <c r="AD441" s="20"/>
    </row>
    <row r="442" spans="1:30" ht="13.5" customHeight="1" x14ac:dyDescent="0.25">
      <c r="A442" s="24">
        <v>6604403</v>
      </c>
      <c r="B442" s="24" t="s">
        <v>266</v>
      </c>
      <c r="C442" s="26" t="str">
        <f>IF(A442="","",IF((COUNTIFS(A:A,A442))&gt;1,"ID重复",""))</f>
        <v/>
      </c>
      <c r="D442" s="24">
        <v>7003</v>
      </c>
      <c r="E442" s="24" t="str">
        <f>INDEX([1]道具配置表!$D:$D,MATCH(D442,[1]道具配置表!$A:$A,0))</f>
        <v>1银币（立即使用，不进背包）</v>
      </c>
      <c r="F442" s="24">
        <v>200</v>
      </c>
      <c r="G442" s="24"/>
      <c r="H442" s="24"/>
      <c r="I442" s="24"/>
      <c r="J442" s="24"/>
      <c r="K442" s="95">
        <v>1</v>
      </c>
      <c r="L442" s="95"/>
      <c r="M442" s="95" t="b">
        <v>1</v>
      </c>
      <c r="N442" s="24"/>
      <c r="V442" s="20"/>
      <c r="W442" s="20"/>
      <c r="X442" s="20"/>
      <c r="Y442" s="20"/>
      <c r="Z442" s="20"/>
      <c r="AA442" s="20"/>
      <c r="AB442" s="20"/>
      <c r="AC442" s="20"/>
      <c r="AD442" s="20"/>
    </row>
    <row r="443" spans="1:30" ht="13.5" customHeight="1" x14ac:dyDescent="0.25">
      <c r="A443" s="24"/>
      <c r="B443" s="24"/>
      <c r="C443" s="26" t="str">
        <f>IF(A443="","",IF((COUNTIFS(A:A,A443))&gt;1,"ID重复",""))</f>
        <v/>
      </c>
      <c r="D443" s="24">
        <v>502</v>
      </c>
      <c r="E443" s="24" t="str">
        <f>INDEX([1]道具配置表!$D:$D,MATCH(D443,[1]道具配置表!$A:$A,0))</f>
        <v>1万资源自选宝箱</v>
      </c>
      <c r="F443" s="24">
        <f>F428+20</f>
        <v>100</v>
      </c>
      <c r="G443" s="24"/>
      <c r="H443" s="24"/>
      <c r="I443" s="24"/>
      <c r="J443" s="24"/>
      <c r="K443" s="95">
        <v>1</v>
      </c>
      <c r="L443" s="95"/>
      <c r="M443" s="95" t="b">
        <v>1</v>
      </c>
      <c r="N443" s="24"/>
      <c r="V443" s="20"/>
      <c r="W443" s="20"/>
      <c r="X443" s="20"/>
      <c r="Y443" s="20"/>
      <c r="Z443" s="20"/>
      <c r="AA443" s="20"/>
      <c r="AB443" s="20"/>
      <c r="AC443" s="20"/>
      <c r="AD443" s="20"/>
    </row>
    <row r="444" spans="1:30" ht="13.5" customHeight="1" x14ac:dyDescent="0.25">
      <c r="A444" s="77"/>
      <c r="B444" s="77"/>
      <c r="C444" s="77"/>
      <c r="D444" s="78">
        <v>6197</v>
      </c>
      <c r="E444" s="98" t="str">
        <f>INDEX([1]道具配置表!$D:$D,MATCH(D444,[1]道具配置表!$A:$A,0))</f>
        <v>5分钟锻造加速</v>
      </c>
      <c r="F444" s="77">
        <v>25</v>
      </c>
      <c r="G444" s="77"/>
      <c r="H444" s="77"/>
      <c r="I444" s="77"/>
      <c r="J444" s="77"/>
      <c r="K444" s="95">
        <v>1</v>
      </c>
      <c r="L444" s="95"/>
      <c r="M444" s="95" t="b">
        <v>1</v>
      </c>
      <c r="N444" s="77"/>
      <c r="V444" s="20"/>
      <c r="W444" s="20"/>
      <c r="X444" s="20"/>
      <c r="Y444" s="20"/>
      <c r="Z444" s="20"/>
      <c r="AA444" s="20"/>
      <c r="AB444" s="20"/>
      <c r="AC444" s="20"/>
      <c r="AD444" s="20"/>
    </row>
    <row r="445" spans="1:30" ht="13.5" customHeight="1" x14ac:dyDescent="0.25">
      <c r="A445" s="97"/>
      <c r="B445" s="97"/>
      <c r="C445" s="97"/>
      <c r="D445" s="97">
        <v>49509</v>
      </c>
      <c r="E445" s="98" t="str">
        <f>INDEX([1]道具配置表!$D:$D,MATCH(D445,[1]道具配置表!$A:$A,0))</f>
        <v>每日任务用替换自选BP升级道具</v>
      </c>
      <c r="F445" s="97">
        <v>1</v>
      </c>
      <c r="G445" s="97"/>
      <c r="H445" s="97"/>
      <c r="I445" s="97"/>
      <c r="J445" s="97"/>
      <c r="K445" s="98">
        <v>1</v>
      </c>
      <c r="L445" s="98"/>
      <c r="M445" s="98" t="b">
        <v>1</v>
      </c>
      <c r="N445" s="97"/>
      <c r="V445" s="20"/>
      <c r="W445" s="20"/>
      <c r="X445" s="20"/>
      <c r="Y445" s="20"/>
      <c r="Z445" s="20"/>
      <c r="AA445" s="20"/>
      <c r="AB445" s="20"/>
      <c r="AC445" s="20"/>
      <c r="AD445" s="20"/>
    </row>
    <row r="446" spans="1:30" ht="13.5" customHeight="1" x14ac:dyDescent="0.25">
      <c r="A446" s="24">
        <v>6604404</v>
      </c>
      <c r="B446" s="24" t="s">
        <v>267</v>
      </c>
      <c r="C446" s="26" t="str">
        <f>IF(A446="","",IF((COUNTIFS(A:A,A446))&gt;1,"ID重复",""))</f>
        <v/>
      </c>
      <c r="D446" s="24">
        <v>6161</v>
      </c>
      <c r="E446" s="98" t="str">
        <f>INDEX([1]道具配置表!$D:$D,MATCH(D446,[1]道具配置表!$A:$A,0))</f>
        <v>5分钟训练加速</v>
      </c>
      <c r="F446" s="24">
        <f>F431+5</f>
        <v>25</v>
      </c>
      <c r="G446" s="24"/>
      <c r="H446" s="24"/>
      <c r="I446" s="24"/>
      <c r="J446" s="24"/>
      <c r="K446" s="98">
        <v>1</v>
      </c>
      <c r="L446" s="98"/>
      <c r="M446" s="98" t="b">
        <v>1</v>
      </c>
      <c r="N446" s="24"/>
      <c r="V446" s="20"/>
      <c r="W446" s="20"/>
      <c r="X446" s="20"/>
      <c r="Y446" s="20"/>
      <c r="Z446" s="20"/>
      <c r="AA446" s="20"/>
      <c r="AB446" s="20"/>
      <c r="AC446" s="20"/>
      <c r="AD446" s="20"/>
    </row>
    <row r="447" spans="1:30" ht="13.5" customHeight="1" x14ac:dyDescent="0.25">
      <c r="A447" s="24"/>
      <c r="B447" s="24"/>
      <c r="C447" s="26" t="str">
        <f>IF(A447="","",IF((COUNTIFS(A:A,A447))&gt;1,"ID重复",""))</f>
        <v/>
      </c>
      <c r="D447" s="24">
        <v>2007</v>
      </c>
      <c r="E447" s="98" t="str">
        <f>INDEX([1]道具配置表!$D:$D,MATCH(D447,[1]道具配置表!$A:$A,0))</f>
        <v>大奖池招募券</v>
      </c>
      <c r="F447" s="24">
        <v>1</v>
      </c>
      <c r="G447" s="24"/>
      <c r="H447" s="24"/>
      <c r="I447" s="24"/>
      <c r="J447" s="24"/>
      <c r="K447" s="98">
        <v>1</v>
      </c>
      <c r="L447" s="98"/>
      <c r="M447" s="98" t="b">
        <v>1</v>
      </c>
      <c r="N447" s="24"/>
      <c r="V447" s="20"/>
      <c r="W447" s="20"/>
      <c r="X447" s="20"/>
      <c r="Y447" s="20"/>
      <c r="Z447" s="20"/>
      <c r="AA447" s="20"/>
      <c r="AB447" s="20"/>
      <c r="AC447" s="20"/>
      <c r="AD447" s="20"/>
    </row>
    <row r="448" spans="1:30" ht="13.5" customHeight="1" x14ac:dyDescent="0.25">
      <c r="A448" s="77"/>
      <c r="B448" s="77"/>
      <c r="C448" s="77"/>
      <c r="D448" s="77">
        <v>56203</v>
      </c>
      <c r="E448" s="98" t="str">
        <f>INDEX([1]道具配置表!$D:$D,MATCH(D448,[1]道具配置表!$A:$A,0))</f>
        <v>全随机图纸</v>
      </c>
      <c r="F448" s="77">
        <v>1</v>
      </c>
      <c r="G448" s="77"/>
      <c r="H448" s="77"/>
      <c r="I448" s="77"/>
      <c r="J448" s="77"/>
      <c r="K448" s="98">
        <v>1</v>
      </c>
      <c r="L448" s="98"/>
      <c r="M448" s="98" t="b">
        <v>1</v>
      </c>
      <c r="N448" s="77"/>
      <c r="V448" s="20"/>
      <c r="W448" s="20"/>
      <c r="X448" s="20"/>
      <c r="Y448" s="20"/>
      <c r="Z448" s="20"/>
      <c r="AA448" s="20"/>
      <c r="AB448" s="20"/>
      <c r="AC448" s="20"/>
      <c r="AD448" s="20"/>
    </row>
    <row r="449" spans="1:30" ht="13.5" customHeight="1" x14ac:dyDescent="0.25">
      <c r="A449" s="116"/>
      <c r="B449" s="116"/>
      <c r="C449" s="116"/>
      <c r="D449" s="116">
        <v>56213</v>
      </c>
      <c r="E449" s="116" t="str">
        <f>INDEX([1]道具配置表!$D:$D,MATCH(D449,[1]道具配置表!$A:$A,0))</f>
        <v>白色宝石宝箱-随机</v>
      </c>
      <c r="F449" s="116">
        <v>1</v>
      </c>
      <c r="G449" s="116"/>
      <c r="H449" s="116"/>
      <c r="I449" s="116"/>
      <c r="J449" s="116"/>
      <c r="K449" s="116">
        <v>1</v>
      </c>
      <c r="L449" s="116"/>
      <c r="M449" s="116" t="b">
        <v>1</v>
      </c>
      <c r="N449" s="116"/>
      <c r="V449" s="20"/>
      <c r="W449" s="20"/>
      <c r="X449" s="20"/>
      <c r="Y449" s="20"/>
      <c r="Z449" s="20"/>
      <c r="AA449" s="20"/>
      <c r="AB449" s="20"/>
      <c r="AC449" s="20"/>
      <c r="AD449" s="20"/>
    </row>
    <row r="450" spans="1:30" ht="13.5" customHeight="1" x14ac:dyDescent="0.25">
      <c r="A450" s="97"/>
      <c r="B450" s="97"/>
      <c r="C450" s="97"/>
      <c r="D450" s="97">
        <v>49509</v>
      </c>
      <c r="E450" s="98" t="str">
        <f>INDEX([1]道具配置表!$D:$D,MATCH(D450,[1]道具配置表!$A:$A,0))</f>
        <v>每日任务用替换自选BP升级道具</v>
      </c>
      <c r="F450" s="97">
        <v>1</v>
      </c>
      <c r="G450" s="97"/>
      <c r="H450" s="97"/>
      <c r="I450" s="97"/>
      <c r="J450" s="97"/>
      <c r="K450" s="98">
        <v>1</v>
      </c>
      <c r="L450" s="98"/>
      <c r="M450" s="98" t="b">
        <v>1</v>
      </c>
      <c r="N450" s="97"/>
      <c r="V450" s="20"/>
      <c r="W450" s="20"/>
      <c r="X450" s="20"/>
      <c r="Y450" s="20"/>
      <c r="Z450" s="20"/>
      <c r="AA450" s="20"/>
      <c r="AB450" s="20"/>
      <c r="AC450" s="20"/>
      <c r="AD450" s="20"/>
    </row>
    <row r="451" spans="1:30" ht="13.5" customHeight="1" x14ac:dyDescent="0.25">
      <c r="A451" s="98">
        <v>6604501</v>
      </c>
      <c r="B451" s="98" t="s">
        <v>1475</v>
      </c>
      <c r="C451" s="98" t="s">
        <v>119</v>
      </c>
      <c r="D451" s="98">
        <v>502</v>
      </c>
      <c r="E451" s="98" t="str">
        <f>INDEX([1]道具配置表!$D:$D,MATCH(D451,[1]道具配置表!$A:$A,0))</f>
        <v>1万资源自选宝箱</v>
      </c>
      <c r="F451" s="98">
        <v>50</v>
      </c>
      <c r="G451" s="98"/>
      <c r="H451" s="98"/>
      <c r="I451" s="98"/>
      <c r="J451" s="98"/>
      <c r="K451" s="98">
        <v>1</v>
      </c>
      <c r="L451" s="98"/>
      <c r="M451" s="98" t="b">
        <v>1</v>
      </c>
      <c r="N451" s="98"/>
      <c r="V451" s="20"/>
      <c r="W451" s="20"/>
      <c r="X451" s="20"/>
      <c r="Y451" s="20"/>
      <c r="Z451" s="20"/>
      <c r="AA451" s="20"/>
      <c r="AB451" s="20"/>
      <c r="AC451" s="20"/>
      <c r="AD451" s="20"/>
    </row>
    <row r="452" spans="1:30" ht="13.5" customHeight="1" x14ac:dyDescent="0.25">
      <c r="A452" s="98"/>
      <c r="B452" s="98"/>
      <c r="C452" s="98" t="s">
        <v>119</v>
      </c>
      <c r="D452" s="98">
        <v>6121</v>
      </c>
      <c r="E452" s="98" t="str">
        <f>INDEX([1]道具配置表!$D:$D,MATCH(D452,[1]道具配置表!$A:$A,0))</f>
        <v>5分钟建造加速</v>
      </c>
      <c r="F452" s="98">
        <v>25</v>
      </c>
      <c r="G452" s="98"/>
      <c r="H452" s="98"/>
      <c r="I452" s="98"/>
      <c r="J452" s="98"/>
      <c r="K452" s="98">
        <v>1</v>
      </c>
      <c r="L452" s="98"/>
      <c r="M452" s="98" t="b">
        <v>1</v>
      </c>
      <c r="N452" s="98"/>
      <c r="V452" s="20"/>
      <c r="W452" s="20"/>
      <c r="X452" s="20"/>
      <c r="Y452" s="20"/>
      <c r="Z452" s="20"/>
      <c r="AA452" s="20"/>
      <c r="AB452" s="20"/>
      <c r="AC452" s="20"/>
      <c r="AD452" s="20"/>
    </row>
    <row r="453" spans="1:30" ht="13.5" customHeight="1" x14ac:dyDescent="0.25">
      <c r="A453" s="98"/>
      <c r="B453" s="98"/>
      <c r="C453" s="98"/>
      <c r="D453" s="98">
        <v>49509</v>
      </c>
      <c r="E453" s="98" t="str">
        <f>INDEX([1]道具配置表!$D:$D,MATCH(D453,[1]道具配置表!$A:$A,0))</f>
        <v>每日任务用替换自选BP升级道具</v>
      </c>
      <c r="F453" s="98">
        <v>1</v>
      </c>
      <c r="G453" s="98"/>
      <c r="H453" s="98"/>
      <c r="I453" s="98"/>
      <c r="J453" s="98"/>
      <c r="K453" s="98">
        <v>1</v>
      </c>
      <c r="L453" s="98"/>
      <c r="M453" s="98" t="b">
        <v>1</v>
      </c>
      <c r="N453" s="98"/>
      <c r="V453" s="20"/>
      <c r="W453" s="20"/>
      <c r="X453" s="20"/>
      <c r="Y453" s="20"/>
      <c r="Z453" s="20"/>
      <c r="AA453" s="20"/>
      <c r="AB453" s="20"/>
      <c r="AC453" s="20"/>
      <c r="AD453" s="20"/>
    </row>
    <row r="454" spans="1:30" ht="13.5" customHeight="1" x14ac:dyDescent="0.25">
      <c r="A454" s="98">
        <v>6604502</v>
      </c>
      <c r="B454" s="98" t="s">
        <v>1476</v>
      </c>
      <c r="C454" s="98" t="s">
        <v>119</v>
      </c>
      <c r="D454" s="98">
        <v>6141</v>
      </c>
      <c r="E454" s="98" t="str">
        <f>INDEX([1]道具配置表!$D:$D,MATCH(D454,[1]道具配置表!$A:$A,0))</f>
        <v>5分钟科技加速</v>
      </c>
      <c r="F454" s="98">
        <v>25</v>
      </c>
      <c r="G454" s="98"/>
      <c r="H454" s="98"/>
      <c r="I454" s="98"/>
      <c r="J454" s="98"/>
      <c r="K454" s="98">
        <v>1</v>
      </c>
      <c r="L454" s="98"/>
      <c r="M454" s="98" t="b">
        <v>1</v>
      </c>
      <c r="N454" s="98"/>
      <c r="V454" s="20"/>
      <c r="W454" s="20"/>
      <c r="X454" s="20"/>
      <c r="Y454" s="20"/>
      <c r="Z454" s="20"/>
      <c r="AA454" s="20"/>
      <c r="AB454" s="20"/>
      <c r="AC454" s="20"/>
      <c r="AD454" s="20"/>
    </row>
    <row r="455" spans="1:30" ht="13.5" customHeight="1" x14ac:dyDescent="0.25">
      <c r="A455" s="98"/>
      <c r="B455" s="98"/>
      <c r="C455" s="98" t="s">
        <v>119</v>
      </c>
      <c r="D455" s="98">
        <v>2006</v>
      </c>
      <c r="E455" s="98" t="str">
        <f>INDEX([1]道具配置表!$D:$D,MATCH(D455,[1]道具配置表!$A:$A,0))</f>
        <v>铜币奖池招募券</v>
      </c>
      <c r="F455" s="98">
        <v>1</v>
      </c>
      <c r="G455" s="98"/>
      <c r="H455" s="98"/>
      <c r="I455" s="98"/>
      <c r="J455" s="98"/>
      <c r="K455" s="98">
        <v>1</v>
      </c>
      <c r="L455" s="98"/>
      <c r="M455" s="98" t="b">
        <v>1</v>
      </c>
      <c r="N455" s="98"/>
      <c r="V455" s="20"/>
      <c r="W455" s="20"/>
      <c r="X455" s="20"/>
      <c r="Y455" s="20"/>
      <c r="Z455" s="20"/>
      <c r="AA455" s="20"/>
      <c r="AB455" s="20"/>
      <c r="AC455" s="20"/>
      <c r="AD455" s="20"/>
    </row>
    <row r="456" spans="1:30" ht="13.5" customHeight="1" x14ac:dyDescent="0.25">
      <c r="A456" s="98"/>
      <c r="B456" s="98"/>
      <c r="C456" s="98"/>
      <c r="D456" s="98">
        <v>56001</v>
      </c>
      <c r="E456" s="98" t="str">
        <f>INDEX([1]道具配置表!$D:$D,MATCH(D456,[1]道具配置表!$A:$A,0))</f>
        <v>锻造装备消耗材料</v>
      </c>
      <c r="F456" s="98">
        <v>1500</v>
      </c>
      <c r="G456" s="98"/>
      <c r="H456" s="98"/>
      <c r="I456" s="98"/>
      <c r="J456" s="98"/>
      <c r="K456" s="98">
        <v>1</v>
      </c>
      <c r="L456" s="98"/>
      <c r="M456" s="98" t="b">
        <v>1</v>
      </c>
      <c r="N456" s="98"/>
      <c r="V456" s="20"/>
      <c r="W456" s="20"/>
      <c r="X456" s="20"/>
      <c r="Y456" s="20"/>
      <c r="Z456" s="20"/>
      <c r="AA456" s="20"/>
      <c r="AB456" s="20"/>
      <c r="AC456" s="20"/>
      <c r="AD456" s="20"/>
    </row>
    <row r="457" spans="1:30" ht="13.5" customHeight="1" x14ac:dyDescent="0.25">
      <c r="A457" s="98"/>
      <c r="B457" s="98"/>
      <c r="C457" s="98"/>
      <c r="D457" s="98">
        <v>49509</v>
      </c>
      <c r="E457" s="98" t="str">
        <f>INDEX([1]道具配置表!$D:$D,MATCH(D457,[1]道具配置表!$A:$A,0))</f>
        <v>每日任务用替换自选BP升级道具</v>
      </c>
      <c r="F457" s="98">
        <v>1</v>
      </c>
      <c r="G457" s="98"/>
      <c r="H457" s="98"/>
      <c r="I457" s="98"/>
      <c r="J457" s="98"/>
      <c r="K457" s="98">
        <v>1</v>
      </c>
      <c r="L457" s="98"/>
      <c r="M457" s="98" t="b">
        <v>1</v>
      </c>
      <c r="N457" s="98"/>
      <c r="V457" s="20"/>
      <c r="W457" s="20"/>
      <c r="X457" s="20"/>
      <c r="Y457" s="20"/>
      <c r="Z457" s="20"/>
      <c r="AA457" s="20"/>
      <c r="AB457" s="20"/>
      <c r="AC457" s="20"/>
      <c r="AD457" s="20"/>
    </row>
    <row r="458" spans="1:30" ht="13.5" customHeight="1" x14ac:dyDescent="0.25">
      <c r="A458" s="98">
        <v>6604503</v>
      </c>
      <c r="B458" s="98" t="s">
        <v>1477</v>
      </c>
      <c r="C458" s="98" t="s">
        <v>119</v>
      </c>
      <c r="D458" s="98">
        <v>7003</v>
      </c>
      <c r="E458" s="98" t="str">
        <f>INDEX([1]道具配置表!$D:$D,MATCH(D458,[1]道具配置表!$A:$A,0))</f>
        <v>1银币（立即使用，不进背包）</v>
      </c>
      <c r="F458" s="98">
        <v>200</v>
      </c>
      <c r="G458" s="98"/>
      <c r="H458" s="98"/>
      <c r="I458" s="98"/>
      <c r="J458" s="98"/>
      <c r="K458" s="98">
        <v>1</v>
      </c>
      <c r="L458" s="98"/>
      <c r="M458" s="98" t="b">
        <v>1</v>
      </c>
      <c r="N458" s="98"/>
      <c r="V458" s="20"/>
      <c r="W458" s="20"/>
      <c r="X458" s="20"/>
      <c r="Y458" s="20"/>
      <c r="Z458" s="20"/>
      <c r="AA458" s="20"/>
      <c r="AB458" s="20"/>
      <c r="AC458" s="20"/>
      <c r="AD458" s="20"/>
    </row>
    <row r="459" spans="1:30" ht="13.5" customHeight="1" x14ac:dyDescent="0.25">
      <c r="A459" s="98"/>
      <c r="B459" s="98"/>
      <c r="C459" s="98" t="s">
        <v>119</v>
      </c>
      <c r="D459" s="98">
        <v>502</v>
      </c>
      <c r="E459" s="98" t="str">
        <f>INDEX([1]道具配置表!$D:$D,MATCH(D459,[1]道具配置表!$A:$A,0))</f>
        <v>1万资源自选宝箱</v>
      </c>
      <c r="F459" s="98">
        <v>100</v>
      </c>
      <c r="G459" s="98"/>
      <c r="H459" s="98"/>
      <c r="I459" s="98"/>
      <c r="J459" s="98"/>
      <c r="K459" s="98">
        <v>1</v>
      </c>
      <c r="L459" s="98"/>
      <c r="M459" s="98" t="b">
        <v>1</v>
      </c>
      <c r="N459" s="98"/>
      <c r="V459" s="20"/>
      <c r="W459" s="20"/>
      <c r="X459" s="20"/>
      <c r="Y459" s="20"/>
      <c r="Z459" s="20"/>
      <c r="AA459" s="20"/>
      <c r="AB459" s="20"/>
      <c r="AC459" s="20"/>
      <c r="AD459" s="20"/>
    </row>
    <row r="460" spans="1:30" ht="13.5" customHeight="1" x14ac:dyDescent="0.25">
      <c r="A460" s="98"/>
      <c r="B460" s="98"/>
      <c r="C460" s="98"/>
      <c r="D460" s="98">
        <v>6197</v>
      </c>
      <c r="E460" s="98" t="str">
        <f>INDEX([1]道具配置表!$D:$D,MATCH(D460,[1]道具配置表!$A:$A,0))</f>
        <v>5分钟锻造加速</v>
      </c>
      <c r="F460" s="98">
        <v>25</v>
      </c>
      <c r="G460" s="98"/>
      <c r="H460" s="98"/>
      <c r="I460" s="98"/>
      <c r="J460" s="98"/>
      <c r="K460" s="98">
        <v>1</v>
      </c>
      <c r="L460" s="98"/>
      <c r="M460" s="98" t="b">
        <v>1</v>
      </c>
      <c r="N460" s="98"/>
      <c r="V460" s="20"/>
      <c r="W460" s="20"/>
      <c r="X460" s="20"/>
      <c r="Y460" s="20"/>
      <c r="Z460" s="20"/>
      <c r="AA460" s="20"/>
      <c r="AB460" s="20"/>
      <c r="AC460" s="20"/>
      <c r="AD460" s="20"/>
    </row>
    <row r="461" spans="1:30" ht="13.5" customHeight="1" x14ac:dyDescent="0.25">
      <c r="A461" s="98"/>
      <c r="B461" s="98"/>
      <c r="C461" s="98"/>
      <c r="D461" s="98">
        <v>49509</v>
      </c>
      <c r="E461" s="98" t="str">
        <f>INDEX([1]道具配置表!$D:$D,MATCH(D461,[1]道具配置表!$A:$A,0))</f>
        <v>每日任务用替换自选BP升级道具</v>
      </c>
      <c r="F461" s="98">
        <v>1</v>
      </c>
      <c r="G461" s="98"/>
      <c r="H461" s="98"/>
      <c r="I461" s="98"/>
      <c r="J461" s="98"/>
      <c r="K461" s="98">
        <v>1</v>
      </c>
      <c r="L461" s="98"/>
      <c r="M461" s="98" t="b">
        <v>1</v>
      </c>
      <c r="N461" s="98"/>
      <c r="V461" s="20"/>
      <c r="W461" s="20"/>
      <c r="X461" s="20"/>
      <c r="Y461" s="20"/>
      <c r="Z461" s="20"/>
      <c r="AA461" s="20"/>
      <c r="AB461" s="20"/>
      <c r="AC461" s="20"/>
      <c r="AD461" s="20"/>
    </row>
    <row r="462" spans="1:30" ht="13.5" customHeight="1" x14ac:dyDescent="0.25">
      <c r="A462" s="98">
        <v>6604504</v>
      </c>
      <c r="B462" s="98" t="s">
        <v>1478</v>
      </c>
      <c r="C462" s="98" t="s">
        <v>119</v>
      </c>
      <c r="D462" s="98">
        <v>6161</v>
      </c>
      <c r="E462" s="98" t="str">
        <f>INDEX([1]道具配置表!$D:$D,MATCH(D462,[1]道具配置表!$A:$A,0))</f>
        <v>5分钟训练加速</v>
      </c>
      <c r="F462" s="98">
        <v>25</v>
      </c>
      <c r="G462" s="98"/>
      <c r="H462" s="98"/>
      <c r="I462" s="98"/>
      <c r="J462" s="98"/>
      <c r="K462" s="98">
        <v>1</v>
      </c>
      <c r="L462" s="98"/>
      <c r="M462" s="98" t="b">
        <v>1</v>
      </c>
      <c r="N462" s="98"/>
      <c r="V462" s="20"/>
      <c r="W462" s="20"/>
      <c r="X462" s="20"/>
      <c r="Y462" s="20"/>
      <c r="Z462" s="20"/>
      <c r="AA462" s="20"/>
      <c r="AB462" s="20"/>
      <c r="AC462" s="20"/>
      <c r="AD462" s="20"/>
    </row>
    <row r="463" spans="1:30" ht="13.5" customHeight="1" x14ac:dyDescent="0.25">
      <c r="A463" s="98"/>
      <c r="B463" s="98"/>
      <c r="C463" s="98" t="s">
        <v>119</v>
      </c>
      <c r="D463" s="98">
        <v>2007</v>
      </c>
      <c r="E463" s="98" t="str">
        <f>INDEX([1]道具配置表!$D:$D,MATCH(D463,[1]道具配置表!$A:$A,0))</f>
        <v>大奖池招募券</v>
      </c>
      <c r="F463" s="98">
        <v>1</v>
      </c>
      <c r="G463" s="98"/>
      <c r="H463" s="98"/>
      <c r="I463" s="98"/>
      <c r="J463" s="98"/>
      <c r="K463" s="98">
        <v>1</v>
      </c>
      <c r="L463" s="98"/>
      <c r="M463" s="98" t="b">
        <v>1</v>
      </c>
      <c r="N463" s="98"/>
      <c r="V463" s="20"/>
      <c r="W463" s="20"/>
      <c r="X463" s="20"/>
      <c r="Y463" s="20"/>
      <c r="Z463" s="20"/>
      <c r="AA463" s="20"/>
      <c r="AB463" s="20"/>
      <c r="AC463" s="20"/>
      <c r="AD463" s="20"/>
    </row>
    <row r="464" spans="1:30" ht="13.5" customHeight="1" x14ac:dyDescent="0.25">
      <c r="A464" s="98"/>
      <c r="B464" s="98"/>
      <c r="C464" s="98"/>
      <c r="D464" s="98">
        <v>56203</v>
      </c>
      <c r="E464" s="98" t="str">
        <f>INDEX([1]道具配置表!$D:$D,MATCH(D464,[1]道具配置表!$A:$A,0))</f>
        <v>全随机图纸</v>
      </c>
      <c r="F464" s="98">
        <v>1</v>
      </c>
      <c r="G464" s="98"/>
      <c r="H464" s="98"/>
      <c r="I464" s="98"/>
      <c r="J464" s="98"/>
      <c r="K464" s="98">
        <v>1</v>
      </c>
      <c r="L464" s="98"/>
      <c r="M464" s="98" t="b">
        <v>1</v>
      </c>
      <c r="N464" s="98"/>
      <c r="V464" s="20"/>
      <c r="W464" s="20"/>
      <c r="X464" s="20"/>
      <c r="Y464" s="20"/>
      <c r="Z464" s="20"/>
      <c r="AA464" s="20"/>
      <c r="AB464" s="20"/>
      <c r="AC464" s="20"/>
      <c r="AD464" s="20"/>
    </row>
    <row r="465" spans="1:30" ht="13.5" customHeight="1" x14ac:dyDescent="0.25">
      <c r="A465" s="98"/>
      <c r="B465" s="98"/>
      <c r="C465" s="98"/>
      <c r="D465" s="98">
        <v>56213</v>
      </c>
      <c r="E465" s="98" t="str">
        <f>INDEX([1]道具配置表!$D:$D,MATCH(D465,[1]道具配置表!$A:$A,0))</f>
        <v>白色宝石宝箱-随机</v>
      </c>
      <c r="F465" s="98">
        <v>1</v>
      </c>
      <c r="G465" s="98"/>
      <c r="H465" s="98"/>
      <c r="I465" s="98"/>
      <c r="J465" s="98"/>
      <c r="K465" s="98">
        <v>1</v>
      </c>
      <c r="L465" s="98"/>
      <c r="M465" s="98" t="b">
        <v>1</v>
      </c>
      <c r="N465" s="98"/>
      <c r="V465" s="20"/>
      <c r="W465" s="20"/>
      <c r="X465" s="20"/>
      <c r="Y465" s="20"/>
      <c r="Z465" s="20"/>
      <c r="AA465" s="20"/>
      <c r="AB465" s="20"/>
      <c r="AC465" s="20"/>
      <c r="AD465" s="20"/>
    </row>
    <row r="466" spans="1:30" ht="13.5" customHeight="1" x14ac:dyDescent="0.25">
      <c r="A466" s="98"/>
      <c r="B466" s="98"/>
      <c r="C466" s="98"/>
      <c r="D466" s="98">
        <v>49509</v>
      </c>
      <c r="E466" s="98" t="str">
        <f>INDEX([1]道具配置表!$D:$D,MATCH(D466,[1]道具配置表!$A:$A,0))</f>
        <v>每日任务用替换自选BP升级道具</v>
      </c>
      <c r="F466" s="98">
        <v>1</v>
      </c>
      <c r="G466" s="98"/>
      <c r="H466" s="98"/>
      <c r="I466" s="98"/>
      <c r="J466" s="98"/>
      <c r="K466" s="98">
        <v>1</v>
      </c>
      <c r="L466" s="98"/>
      <c r="M466" s="98" t="b">
        <v>1</v>
      </c>
      <c r="N466" s="98"/>
      <c r="V466" s="20"/>
      <c r="W466" s="20"/>
      <c r="X466" s="20"/>
      <c r="Y466" s="20"/>
      <c r="Z466" s="20"/>
      <c r="AA466" s="20"/>
      <c r="AB466" s="20"/>
      <c r="AC466" s="20"/>
      <c r="AD466" s="20"/>
    </row>
    <row r="467" spans="1:30" ht="13.5" customHeight="1" x14ac:dyDescent="0.25">
      <c r="A467" s="25">
        <v>6605101</v>
      </c>
      <c r="B467" s="25" t="s">
        <v>268</v>
      </c>
      <c r="C467" s="26" t="s">
        <v>119</v>
      </c>
      <c r="D467" s="25">
        <v>222</v>
      </c>
      <c r="E467" s="27" t="str">
        <f>INDEX([1]道具配置表!$D:$D,MATCH(D467,[1]道具配置表!$A:$A,0))</f>
        <v>1千食物</v>
      </c>
      <c r="F467" s="25">
        <v>2</v>
      </c>
      <c r="G467" s="30">
        <v>1</v>
      </c>
      <c r="H467" s="30">
        <v>1</v>
      </c>
      <c r="I467" s="31" t="s">
        <v>368</v>
      </c>
      <c r="J467" s="30"/>
      <c r="K467" s="30">
        <v>1</v>
      </c>
      <c r="L467" s="25"/>
      <c r="M467" s="25" t="b">
        <v>1</v>
      </c>
      <c r="N467" s="25"/>
      <c r="V467" s="20"/>
      <c r="W467" s="20"/>
      <c r="X467" s="20"/>
      <c r="Y467" s="20"/>
      <c r="Z467" s="20"/>
      <c r="AA467" s="20"/>
      <c r="AB467" s="20"/>
      <c r="AC467" s="20"/>
      <c r="AD467" s="20"/>
    </row>
    <row r="468" spans="1:30" ht="13.5" customHeight="1" x14ac:dyDescent="0.25">
      <c r="A468" s="25"/>
      <c r="B468" s="25"/>
      <c r="C468" s="26" t="s">
        <v>119</v>
      </c>
      <c r="D468" s="25">
        <v>221</v>
      </c>
      <c r="E468" s="27" t="str">
        <f>INDEX([1]道具配置表!$D:$D,MATCH(D468,[1]道具配置表!$A:$A,0))</f>
        <v>1千木材</v>
      </c>
      <c r="F468" s="25">
        <v>2</v>
      </c>
      <c r="G468" s="30"/>
      <c r="H468" s="30"/>
      <c r="I468" s="30"/>
      <c r="J468" s="30"/>
      <c r="K468" s="30">
        <v>1</v>
      </c>
      <c r="L468" s="25"/>
      <c r="M468" s="25" t="b">
        <v>1</v>
      </c>
      <c r="N468" s="25"/>
      <c r="V468" s="20"/>
      <c r="W468" s="20"/>
      <c r="X468" s="20"/>
      <c r="Y468" s="20"/>
      <c r="Z468" s="20"/>
      <c r="AA468" s="20"/>
      <c r="AB468" s="20"/>
      <c r="AC468" s="20"/>
      <c r="AD468" s="20"/>
    </row>
    <row r="469" spans="1:30" ht="13.5" customHeight="1" x14ac:dyDescent="0.25">
      <c r="A469" s="25"/>
      <c r="B469" s="25"/>
      <c r="C469" s="26" t="s">
        <v>119</v>
      </c>
      <c r="D469" s="25">
        <v>7227</v>
      </c>
      <c r="E469" s="27" t="str">
        <f>INDEX([1]道具配置表!$D:$D,MATCH(D469,[1]道具配置表!$A:$A,0))</f>
        <v>经验书*1000</v>
      </c>
      <c r="F469" s="25">
        <v>1</v>
      </c>
      <c r="G469" s="30"/>
      <c r="H469" s="30"/>
      <c r="I469" s="30"/>
      <c r="J469" s="30"/>
      <c r="K469" s="30">
        <v>1</v>
      </c>
      <c r="L469" s="25"/>
      <c r="M469" s="25" t="b">
        <v>1</v>
      </c>
      <c r="N469" s="25"/>
      <c r="V469" s="20"/>
      <c r="W469" s="20"/>
      <c r="X469" s="20"/>
      <c r="Y469" s="20"/>
      <c r="Z469" s="20"/>
      <c r="AA469" s="20"/>
      <c r="AB469" s="20"/>
      <c r="AC469" s="20"/>
      <c r="AD469" s="20"/>
    </row>
    <row r="470" spans="1:30" ht="13.5" customHeight="1" x14ac:dyDescent="0.25">
      <c r="A470" s="25"/>
      <c r="B470" s="25"/>
      <c r="C470" s="26" t="s">
        <v>119</v>
      </c>
      <c r="D470" s="25">
        <v>20000</v>
      </c>
      <c r="E470" s="27" t="str">
        <f>INDEX([1]道具配置表!$D:$D,MATCH(D470,[1]道具配置表!$A:$A,0))</f>
        <v>技能点1</v>
      </c>
      <c r="F470" s="25">
        <v>4</v>
      </c>
      <c r="G470" s="30"/>
      <c r="H470" s="30"/>
      <c r="I470" s="30"/>
      <c r="J470" s="30"/>
      <c r="K470" s="30">
        <v>1</v>
      </c>
      <c r="L470" s="25"/>
      <c r="M470" s="25" t="b">
        <v>1</v>
      </c>
      <c r="N470" s="25"/>
      <c r="V470" s="20"/>
      <c r="W470" s="20"/>
      <c r="X470" s="20"/>
      <c r="Y470" s="20"/>
      <c r="Z470" s="20"/>
      <c r="AA470" s="20"/>
      <c r="AB470" s="20"/>
      <c r="AC470" s="20"/>
      <c r="AD470" s="20"/>
    </row>
    <row r="471" spans="1:30" ht="13.5" customHeight="1" x14ac:dyDescent="0.25">
      <c r="A471" s="25"/>
      <c r="B471" s="25"/>
      <c r="C471" s="26" t="s">
        <v>119</v>
      </c>
      <c r="D471" s="25">
        <v>6101</v>
      </c>
      <c r="E471" s="27" t="str">
        <f>INDEX([1]道具配置表!$D:$D,MATCH(D471,[1]道具配置表!$A:$A,0))</f>
        <v>5分钟通用加速</v>
      </c>
      <c r="F471" s="25">
        <v>1</v>
      </c>
      <c r="G471" s="30"/>
      <c r="H471" s="30"/>
      <c r="I471" s="30"/>
      <c r="J471" s="30">
        <v>200</v>
      </c>
      <c r="K471" s="30"/>
      <c r="L471" s="25"/>
      <c r="M471" s="25" t="b">
        <v>1</v>
      </c>
      <c r="N471" s="25"/>
      <c r="V471" s="20"/>
      <c r="W471" s="20"/>
      <c r="X471" s="20"/>
      <c r="Y471" s="20"/>
      <c r="Z471" s="20"/>
      <c r="AA471" s="20"/>
      <c r="AB471" s="20"/>
      <c r="AC471" s="20"/>
      <c r="AD471" s="20"/>
    </row>
    <row r="472" spans="1:30" ht="13.5" customHeight="1" x14ac:dyDescent="0.25">
      <c r="A472" s="30"/>
      <c r="B472" s="30"/>
      <c r="C472" s="30"/>
      <c r="D472" s="30">
        <v>6121</v>
      </c>
      <c r="E472" s="30" t="str">
        <f>INDEX([1]道具配置表!$D:$D,MATCH(D472,[1]道具配置表!$A:$A,0))</f>
        <v>5分钟建造加速</v>
      </c>
      <c r="F472" s="30">
        <v>1</v>
      </c>
      <c r="G472" s="30"/>
      <c r="H472" s="30"/>
      <c r="I472" s="30"/>
      <c r="J472" s="30">
        <v>200</v>
      </c>
      <c r="K472" s="30"/>
      <c r="L472" s="30"/>
      <c r="M472" s="44" t="b">
        <v>1</v>
      </c>
      <c r="N472" s="3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spans="1:30" ht="13.5" customHeight="1" x14ac:dyDescent="0.25">
      <c r="A473" s="30"/>
      <c r="B473" s="30"/>
      <c r="C473" s="30"/>
      <c r="D473" s="30">
        <v>6141</v>
      </c>
      <c r="E473" s="30" t="str">
        <f>INDEX([1]道具配置表!$D:$D,MATCH(D473,[1]道具配置表!$A:$A,0))</f>
        <v>5分钟科技加速</v>
      </c>
      <c r="F473" s="30">
        <v>1</v>
      </c>
      <c r="G473" s="30"/>
      <c r="H473" s="30"/>
      <c r="I473" s="30"/>
      <c r="J473" s="30">
        <v>200</v>
      </c>
      <c r="K473" s="30"/>
      <c r="L473" s="30"/>
      <c r="M473" s="44" t="b">
        <v>1</v>
      </c>
      <c r="N473" s="3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spans="1:30" ht="13.5" customHeight="1" x14ac:dyDescent="0.25">
      <c r="A474" s="30"/>
      <c r="B474" s="30"/>
      <c r="C474" s="30"/>
      <c r="D474" s="30">
        <v>6161</v>
      </c>
      <c r="E474" s="30" t="str">
        <f>INDEX([1]道具配置表!$D:$D,MATCH(D474,[1]道具配置表!$A:$A,0))</f>
        <v>5分钟训练加速</v>
      </c>
      <c r="F474" s="30">
        <v>1</v>
      </c>
      <c r="G474" s="30"/>
      <c r="H474" s="30"/>
      <c r="I474" s="30"/>
      <c r="J474" s="30">
        <v>200</v>
      </c>
      <c r="K474" s="30"/>
      <c r="L474" s="30"/>
      <c r="M474" s="44" t="b">
        <v>1</v>
      </c>
      <c r="N474" s="3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spans="1:30" ht="13.5" customHeight="1" x14ac:dyDescent="0.25">
      <c r="A475" s="30"/>
      <c r="B475" s="30"/>
      <c r="C475" s="30"/>
      <c r="D475" s="30">
        <v>6181</v>
      </c>
      <c r="E475" s="30" t="str">
        <f>INDEX([1]道具配置表!$D:$D,MATCH(D475,[1]道具配置表!$A:$A,0))</f>
        <v>5分钟治疗加速</v>
      </c>
      <c r="F475" s="30">
        <v>1</v>
      </c>
      <c r="G475" s="30"/>
      <c r="H475" s="30"/>
      <c r="I475" s="30"/>
      <c r="J475" s="30">
        <v>200</v>
      </c>
      <c r="K475" s="30"/>
      <c r="L475" s="30"/>
      <c r="M475" s="44" t="b">
        <v>1</v>
      </c>
      <c r="N475" s="3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spans="1:30" ht="13.5" customHeight="1" x14ac:dyDescent="0.25">
      <c r="A476" s="43"/>
      <c r="B476" s="43"/>
      <c r="C476" s="43"/>
      <c r="D476" s="43">
        <v>2068</v>
      </c>
      <c r="E476" s="43" t="str">
        <f>INDEX([1]道具配置表!$D:$D,MATCH(D476,[1]道具配置表!$A:$A,0))</f>
        <v>庇佑蓝图</v>
      </c>
      <c r="F476" s="43">
        <v>1</v>
      </c>
      <c r="G476" s="43"/>
      <c r="H476" s="43"/>
      <c r="I476" s="43"/>
      <c r="J476" s="43"/>
      <c r="K476" s="43">
        <v>0.2</v>
      </c>
      <c r="L476" s="43"/>
      <c r="M476" s="44" t="b">
        <v>1</v>
      </c>
      <c r="N476" s="43"/>
      <c r="V476" s="20"/>
      <c r="W476" s="20"/>
      <c r="X476" s="20"/>
      <c r="Y476" s="20"/>
      <c r="Z476" s="20"/>
      <c r="AA476" s="20"/>
      <c r="AB476" s="20"/>
      <c r="AC476" s="20"/>
      <c r="AD476" s="20"/>
    </row>
    <row r="477" spans="1:30" ht="13.5" customHeight="1" x14ac:dyDescent="0.25">
      <c r="A477" s="25">
        <v>6605102</v>
      </c>
      <c r="B477" s="25" t="s">
        <v>269</v>
      </c>
      <c r="C477" s="26" t="s">
        <v>119</v>
      </c>
      <c r="D477" s="27">
        <v>222</v>
      </c>
      <c r="E477" s="27" t="str">
        <f>INDEX([1]道具配置表!$D:$D,MATCH(D477,[1]道具配置表!$A:$A,0))</f>
        <v>1千食物</v>
      </c>
      <c r="F477" s="27">
        <v>2</v>
      </c>
      <c r="G477" s="30">
        <v>1</v>
      </c>
      <c r="H477" s="30">
        <v>1</v>
      </c>
      <c r="I477" s="31" t="s">
        <v>368</v>
      </c>
      <c r="J477" s="30"/>
      <c r="K477" s="30">
        <v>1</v>
      </c>
      <c r="L477" s="25"/>
      <c r="M477" s="44" t="b">
        <v>1</v>
      </c>
      <c r="N477" s="25"/>
      <c r="V477" s="20"/>
      <c r="W477" s="20"/>
      <c r="X477" s="20"/>
      <c r="Y477" s="20"/>
      <c r="Z477" s="20"/>
      <c r="AA477" s="20"/>
      <c r="AB477" s="20"/>
      <c r="AC477" s="20"/>
      <c r="AD477" s="20"/>
    </row>
    <row r="478" spans="1:30" ht="13.5" customHeight="1" x14ac:dyDescent="0.25">
      <c r="A478" s="25"/>
      <c r="B478" s="25"/>
      <c r="C478" s="26" t="s">
        <v>119</v>
      </c>
      <c r="D478" s="27">
        <v>221</v>
      </c>
      <c r="E478" s="27" t="str">
        <f>INDEX([1]道具配置表!$D:$D,MATCH(D478,[1]道具配置表!$A:$A,0))</f>
        <v>1千木材</v>
      </c>
      <c r="F478" s="27">
        <v>2</v>
      </c>
      <c r="G478" s="30"/>
      <c r="H478" s="30"/>
      <c r="I478" s="30"/>
      <c r="J478" s="30"/>
      <c r="K478" s="30">
        <v>1</v>
      </c>
      <c r="L478" s="25"/>
      <c r="M478" s="44" t="b">
        <v>1</v>
      </c>
      <c r="N478" s="25"/>
      <c r="V478" s="20"/>
      <c r="W478" s="20"/>
      <c r="X478" s="20"/>
      <c r="Y478" s="20"/>
      <c r="Z478" s="20"/>
      <c r="AA478" s="20"/>
      <c r="AB478" s="20"/>
      <c r="AC478" s="20"/>
      <c r="AD478" s="20"/>
    </row>
    <row r="479" spans="1:30" ht="13.5" customHeight="1" x14ac:dyDescent="0.25">
      <c r="A479" s="25"/>
      <c r="B479" s="25"/>
      <c r="C479" s="26" t="s">
        <v>119</v>
      </c>
      <c r="D479" s="25">
        <v>7227</v>
      </c>
      <c r="E479" s="27" t="str">
        <f>INDEX([1]道具配置表!$D:$D,MATCH(D479,[1]道具配置表!$A:$A,0))</f>
        <v>经验书*1000</v>
      </c>
      <c r="F479" s="25">
        <v>2</v>
      </c>
      <c r="G479" s="30"/>
      <c r="H479" s="30"/>
      <c r="I479" s="30"/>
      <c r="J479" s="30"/>
      <c r="K479" s="30">
        <v>1</v>
      </c>
      <c r="L479" s="25"/>
      <c r="M479" s="44" t="b">
        <v>1</v>
      </c>
      <c r="N479" s="25"/>
      <c r="V479" s="20"/>
      <c r="W479" s="20"/>
      <c r="X479" s="20"/>
      <c r="Y479" s="20"/>
      <c r="Z479" s="20"/>
      <c r="AA479" s="20"/>
      <c r="AB479" s="20"/>
      <c r="AC479" s="20"/>
      <c r="AD479" s="20"/>
    </row>
    <row r="480" spans="1:30" ht="13.5" customHeight="1" x14ac:dyDescent="0.25">
      <c r="A480" s="25"/>
      <c r="B480" s="25"/>
      <c r="C480" s="26" t="s">
        <v>119</v>
      </c>
      <c r="D480" s="25">
        <v>20000</v>
      </c>
      <c r="E480" s="27" t="str">
        <f>INDEX([1]道具配置表!$D:$D,MATCH(D480,[1]道具配置表!$A:$A,0))</f>
        <v>技能点1</v>
      </c>
      <c r="F480" s="25">
        <v>8</v>
      </c>
      <c r="G480" s="30"/>
      <c r="H480" s="30"/>
      <c r="I480" s="30"/>
      <c r="J480" s="30"/>
      <c r="K480" s="30">
        <v>1</v>
      </c>
      <c r="L480" s="25"/>
      <c r="M480" s="44" t="b">
        <v>1</v>
      </c>
      <c r="N480" s="25"/>
      <c r="V480" s="20"/>
      <c r="W480" s="20"/>
      <c r="X480" s="20"/>
      <c r="Y480" s="20"/>
      <c r="Z480" s="20"/>
      <c r="AA480" s="20"/>
      <c r="AB480" s="20"/>
      <c r="AC480" s="20"/>
      <c r="AD480" s="20"/>
    </row>
    <row r="481" spans="1:30" ht="13.5" customHeight="1" x14ac:dyDescent="0.25">
      <c r="A481" s="25"/>
      <c r="B481" s="25"/>
      <c r="C481" s="26" t="s">
        <v>119</v>
      </c>
      <c r="D481" s="25">
        <v>6101</v>
      </c>
      <c r="E481" s="27" t="str">
        <f>INDEX([1]道具配置表!$D:$D,MATCH(D481,[1]道具配置表!$A:$A,0))</f>
        <v>5分钟通用加速</v>
      </c>
      <c r="F481" s="30">
        <v>1</v>
      </c>
      <c r="G481" s="30"/>
      <c r="H481" s="30"/>
      <c r="I481" s="30"/>
      <c r="J481" s="30">
        <v>200</v>
      </c>
      <c r="K481" s="30"/>
      <c r="L481" s="25"/>
      <c r="M481" s="44" t="b">
        <v>1</v>
      </c>
      <c r="N481" s="25"/>
      <c r="V481" s="20"/>
      <c r="W481" s="20"/>
      <c r="X481" s="20"/>
      <c r="Y481" s="20"/>
      <c r="Z481" s="20"/>
      <c r="AA481" s="20"/>
      <c r="AB481" s="20"/>
      <c r="AC481" s="20"/>
      <c r="AD481" s="20"/>
    </row>
    <row r="482" spans="1:30" ht="13.5" customHeight="1" x14ac:dyDescent="0.25">
      <c r="A482" s="30"/>
      <c r="B482" s="30"/>
      <c r="C482" s="30"/>
      <c r="D482" s="30">
        <v>6121</v>
      </c>
      <c r="E482" s="30" t="str">
        <f>INDEX([1]道具配置表!$D:$D,MATCH(D482,[1]道具配置表!$A:$A,0))</f>
        <v>5分钟建造加速</v>
      </c>
      <c r="F482" s="30">
        <v>1</v>
      </c>
      <c r="G482" s="30"/>
      <c r="H482" s="30"/>
      <c r="I482" s="30"/>
      <c r="J482" s="30">
        <v>200</v>
      </c>
      <c r="K482" s="30"/>
      <c r="L482" s="30"/>
      <c r="M482" s="44" t="b">
        <v>1</v>
      </c>
      <c r="N482" s="3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spans="1:30" ht="13.5" customHeight="1" x14ac:dyDescent="0.25">
      <c r="A483" s="30"/>
      <c r="B483" s="30"/>
      <c r="C483" s="30"/>
      <c r="D483" s="30">
        <v>6141</v>
      </c>
      <c r="E483" s="30" t="str">
        <f>INDEX([1]道具配置表!$D:$D,MATCH(D483,[1]道具配置表!$A:$A,0))</f>
        <v>5分钟科技加速</v>
      </c>
      <c r="F483" s="30">
        <v>1</v>
      </c>
      <c r="G483" s="30"/>
      <c r="H483" s="30"/>
      <c r="I483" s="30"/>
      <c r="J483" s="30">
        <v>200</v>
      </c>
      <c r="K483" s="30"/>
      <c r="L483" s="30"/>
      <c r="M483" s="44" t="b">
        <v>1</v>
      </c>
      <c r="N483" s="3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spans="1:30" ht="13.5" customHeight="1" x14ac:dyDescent="0.25">
      <c r="A484" s="30"/>
      <c r="B484" s="30"/>
      <c r="C484" s="30"/>
      <c r="D484" s="30">
        <v>6161</v>
      </c>
      <c r="E484" s="30" t="str">
        <f>INDEX([1]道具配置表!$D:$D,MATCH(D484,[1]道具配置表!$A:$A,0))</f>
        <v>5分钟训练加速</v>
      </c>
      <c r="F484" s="30">
        <v>1</v>
      </c>
      <c r="G484" s="30"/>
      <c r="H484" s="30"/>
      <c r="I484" s="30"/>
      <c r="J484" s="30">
        <v>200</v>
      </c>
      <c r="K484" s="30"/>
      <c r="L484" s="30"/>
      <c r="M484" s="44" t="b">
        <v>1</v>
      </c>
      <c r="N484" s="3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spans="1:30" ht="13.5" customHeight="1" x14ac:dyDescent="0.25">
      <c r="A485" s="30"/>
      <c r="B485" s="30"/>
      <c r="C485" s="30"/>
      <c r="D485" s="30">
        <v>6181</v>
      </c>
      <c r="E485" s="30" t="str">
        <f>INDEX([1]道具配置表!$D:$D,MATCH(D485,[1]道具配置表!$A:$A,0))</f>
        <v>5分钟治疗加速</v>
      </c>
      <c r="F485" s="30">
        <v>1</v>
      </c>
      <c r="G485" s="30"/>
      <c r="H485" s="30"/>
      <c r="I485" s="30"/>
      <c r="J485" s="30">
        <v>200</v>
      </c>
      <c r="K485" s="30"/>
      <c r="L485" s="30"/>
      <c r="M485" s="44" t="b">
        <v>1</v>
      </c>
      <c r="N485" s="3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spans="1:30" ht="13.5" customHeight="1" x14ac:dyDescent="0.25">
      <c r="A486" s="44"/>
      <c r="B486" s="44"/>
      <c r="C486" s="44"/>
      <c r="D486" s="44">
        <v>2068</v>
      </c>
      <c r="E486" s="44" t="str">
        <f>INDEX([1]道具配置表!$D:$D,MATCH(D486,[1]道具配置表!$A:$A,0))</f>
        <v>庇佑蓝图</v>
      </c>
      <c r="F486" s="44">
        <v>1</v>
      </c>
      <c r="G486" s="44"/>
      <c r="H486" s="44"/>
      <c r="I486" s="44"/>
      <c r="J486" s="44"/>
      <c r="K486" s="44">
        <v>0.2</v>
      </c>
      <c r="L486" s="44"/>
      <c r="M486" s="44" t="b">
        <v>1</v>
      </c>
      <c r="N486" s="44"/>
      <c r="V486" s="20"/>
      <c r="W486" s="20"/>
      <c r="X486" s="20"/>
      <c r="Y486" s="20"/>
      <c r="Z486" s="20"/>
      <c r="AA486" s="20"/>
      <c r="AB486" s="20"/>
      <c r="AC486" s="20"/>
      <c r="AD486" s="20"/>
    </row>
    <row r="487" spans="1:30" ht="13.5" customHeight="1" x14ac:dyDescent="0.25">
      <c r="A487" s="26">
        <v>6605103</v>
      </c>
      <c r="B487" s="25" t="s">
        <v>270</v>
      </c>
      <c r="C487" s="26" t="s">
        <v>119</v>
      </c>
      <c r="D487" s="27">
        <v>222</v>
      </c>
      <c r="E487" s="27" t="str">
        <f>INDEX([1]道具配置表!$D:$D,MATCH(D487,[1]道具配置表!$A:$A,0))</f>
        <v>1千食物</v>
      </c>
      <c r="F487" s="27">
        <v>3</v>
      </c>
      <c r="G487" s="30">
        <v>1</v>
      </c>
      <c r="H487" s="30">
        <v>1</v>
      </c>
      <c r="I487" s="31" t="s">
        <v>368</v>
      </c>
      <c r="J487" s="30"/>
      <c r="K487" s="30">
        <v>1</v>
      </c>
      <c r="L487" s="25"/>
      <c r="M487" s="44" t="b">
        <v>1</v>
      </c>
      <c r="N487" s="25"/>
      <c r="V487" s="20"/>
      <c r="W487" s="20"/>
      <c r="X487" s="20"/>
      <c r="Y487" s="20"/>
      <c r="Z487" s="20"/>
      <c r="AA487" s="20"/>
      <c r="AB487" s="20"/>
      <c r="AC487" s="20"/>
      <c r="AD487" s="20"/>
    </row>
    <row r="488" spans="1:30" ht="13.5" customHeight="1" x14ac:dyDescent="0.25">
      <c r="A488" s="26"/>
      <c r="B488" s="25"/>
      <c r="C488" s="26" t="s">
        <v>119</v>
      </c>
      <c r="D488" s="27">
        <v>221</v>
      </c>
      <c r="E488" s="27" t="str">
        <f>INDEX([1]道具配置表!$D:$D,MATCH(D488,[1]道具配置表!$A:$A,0))</f>
        <v>1千木材</v>
      </c>
      <c r="F488" s="27">
        <v>3</v>
      </c>
      <c r="G488" s="30"/>
      <c r="H488" s="30"/>
      <c r="I488" s="30"/>
      <c r="J488" s="30"/>
      <c r="K488" s="30">
        <v>1</v>
      </c>
      <c r="L488" s="25"/>
      <c r="M488" s="44" t="b">
        <v>1</v>
      </c>
      <c r="N488" s="25"/>
      <c r="V488" s="20"/>
      <c r="W488" s="20"/>
      <c r="X488" s="20"/>
      <c r="Y488" s="20"/>
      <c r="Z488" s="20"/>
      <c r="AA488" s="20"/>
      <c r="AB488" s="20"/>
      <c r="AC488" s="20"/>
      <c r="AD488" s="20"/>
    </row>
    <row r="489" spans="1:30" ht="13.5" customHeight="1" x14ac:dyDescent="0.25">
      <c r="A489" s="26"/>
      <c r="B489" s="25"/>
      <c r="C489" s="26" t="s">
        <v>119</v>
      </c>
      <c r="D489" s="25">
        <v>7227</v>
      </c>
      <c r="E489" s="27" t="str">
        <f>INDEX([1]道具配置表!$D:$D,MATCH(D489,[1]道具配置表!$A:$A,0))</f>
        <v>经验书*1000</v>
      </c>
      <c r="F489" s="25">
        <v>3</v>
      </c>
      <c r="G489" s="30"/>
      <c r="H489" s="30"/>
      <c r="I489" s="30"/>
      <c r="J489" s="30"/>
      <c r="K489" s="30">
        <v>1</v>
      </c>
      <c r="L489" s="25"/>
      <c r="M489" s="44" t="b">
        <v>1</v>
      </c>
      <c r="N489" s="25"/>
      <c r="V489" s="20"/>
      <c r="W489" s="20"/>
      <c r="X489" s="20"/>
      <c r="Y489" s="20"/>
      <c r="Z489" s="20"/>
      <c r="AA489" s="20"/>
      <c r="AB489" s="20"/>
      <c r="AC489" s="20"/>
      <c r="AD489" s="20"/>
    </row>
    <row r="490" spans="1:30" ht="13.5" customHeight="1" x14ac:dyDescent="0.25">
      <c r="A490" s="26"/>
      <c r="B490" s="25"/>
      <c r="C490" s="26" t="s">
        <v>119</v>
      </c>
      <c r="D490" s="25">
        <v>20000</v>
      </c>
      <c r="E490" s="27" t="str">
        <f>INDEX([1]道具配置表!$D:$D,MATCH(D490,[1]道具配置表!$A:$A,0))</f>
        <v>技能点1</v>
      </c>
      <c r="F490" s="25">
        <v>12</v>
      </c>
      <c r="G490" s="30"/>
      <c r="H490" s="30"/>
      <c r="I490" s="30"/>
      <c r="J490" s="30"/>
      <c r="K490" s="30">
        <v>1</v>
      </c>
      <c r="L490" s="25"/>
      <c r="M490" s="44" t="b">
        <v>1</v>
      </c>
      <c r="N490" s="25"/>
      <c r="V490" s="20"/>
      <c r="W490" s="20"/>
      <c r="X490" s="20"/>
      <c r="Y490" s="20"/>
      <c r="Z490" s="20"/>
      <c r="AA490" s="20"/>
      <c r="AB490" s="20"/>
      <c r="AC490" s="20"/>
      <c r="AD490" s="20"/>
    </row>
    <row r="491" spans="1:30" ht="13.5" customHeight="1" x14ac:dyDescent="0.25">
      <c r="A491" s="26"/>
      <c r="B491" s="25"/>
      <c r="C491" s="26" t="s">
        <v>119</v>
      </c>
      <c r="D491" s="25">
        <v>6101</v>
      </c>
      <c r="E491" s="27" t="str">
        <f>INDEX([1]道具配置表!$D:$D,MATCH(D491,[1]道具配置表!$A:$A,0))</f>
        <v>5分钟通用加速</v>
      </c>
      <c r="F491" s="30">
        <v>1</v>
      </c>
      <c r="G491" s="30"/>
      <c r="H491" s="30"/>
      <c r="I491" s="30"/>
      <c r="J491" s="30">
        <v>200</v>
      </c>
      <c r="K491" s="30"/>
      <c r="L491" s="25"/>
      <c r="M491" s="44" t="b">
        <v>1</v>
      </c>
      <c r="N491" s="25"/>
      <c r="V491" s="20"/>
      <c r="W491" s="20"/>
      <c r="X491" s="20"/>
      <c r="Y491" s="20"/>
      <c r="Z491" s="20"/>
      <c r="AA491" s="20"/>
      <c r="AB491" s="20"/>
      <c r="AC491" s="20"/>
      <c r="AD491" s="20"/>
    </row>
    <row r="492" spans="1:30" ht="13.5" customHeight="1" x14ac:dyDescent="0.25">
      <c r="A492" s="30"/>
      <c r="B492" s="30"/>
      <c r="C492" s="30"/>
      <c r="D492" s="30">
        <v>6121</v>
      </c>
      <c r="E492" s="30" t="str">
        <f>INDEX([1]道具配置表!$D:$D,MATCH(D492,[1]道具配置表!$A:$A,0))</f>
        <v>5分钟建造加速</v>
      </c>
      <c r="F492" s="30">
        <v>1</v>
      </c>
      <c r="G492" s="30"/>
      <c r="H492" s="30"/>
      <c r="I492" s="30"/>
      <c r="J492" s="30">
        <v>200</v>
      </c>
      <c r="K492" s="30"/>
      <c r="L492" s="30"/>
      <c r="M492" s="44" t="b">
        <v>1</v>
      </c>
      <c r="N492" s="3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spans="1:30" ht="13.5" customHeight="1" x14ac:dyDescent="0.25">
      <c r="A493" s="30"/>
      <c r="B493" s="30"/>
      <c r="C493" s="30"/>
      <c r="D493" s="30">
        <v>6141</v>
      </c>
      <c r="E493" s="30" t="str">
        <f>INDEX([1]道具配置表!$D:$D,MATCH(D493,[1]道具配置表!$A:$A,0))</f>
        <v>5分钟科技加速</v>
      </c>
      <c r="F493" s="30">
        <v>1</v>
      </c>
      <c r="G493" s="30"/>
      <c r="H493" s="30"/>
      <c r="I493" s="30"/>
      <c r="J493" s="30">
        <v>200</v>
      </c>
      <c r="K493" s="30"/>
      <c r="L493" s="30"/>
      <c r="M493" s="44" t="b">
        <v>1</v>
      </c>
      <c r="N493" s="3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spans="1:30" ht="13.5" customHeight="1" x14ac:dyDescent="0.25">
      <c r="A494" s="30"/>
      <c r="B494" s="30"/>
      <c r="C494" s="30"/>
      <c r="D494" s="30">
        <v>6161</v>
      </c>
      <c r="E494" s="30" t="str">
        <f>INDEX([1]道具配置表!$D:$D,MATCH(D494,[1]道具配置表!$A:$A,0))</f>
        <v>5分钟训练加速</v>
      </c>
      <c r="F494" s="30">
        <v>1</v>
      </c>
      <c r="G494" s="30"/>
      <c r="H494" s="30"/>
      <c r="I494" s="30"/>
      <c r="J494" s="30">
        <v>200</v>
      </c>
      <c r="K494" s="30"/>
      <c r="L494" s="30"/>
      <c r="M494" s="44" t="b">
        <v>1</v>
      </c>
      <c r="N494" s="3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spans="1:30" ht="13.5" customHeight="1" x14ac:dyDescent="0.25">
      <c r="A495" s="30"/>
      <c r="B495" s="30"/>
      <c r="C495" s="30"/>
      <c r="D495" s="30">
        <v>6181</v>
      </c>
      <c r="E495" s="30" t="str">
        <f>INDEX([1]道具配置表!$D:$D,MATCH(D495,[1]道具配置表!$A:$A,0))</f>
        <v>5分钟治疗加速</v>
      </c>
      <c r="F495" s="30">
        <v>1</v>
      </c>
      <c r="G495" s="30"/>
      <c r="H495" s="30"/>
      <c r="I495" s="30"/>
      <c r="J495" s="30">
        <v>200</v>
      </c>
      <c r="K495" s="30"/>
      <c r="L495" s="30"/>
      <c r="M495" s="44" t="b">
        <v>1</v>
      </c>
      <c r="N495" s="3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spans="1:30" ht="13.5" customHeight="1" x14ac:dyDescent="0.25">
      <c r="A496" s="44"/>
      <c r="B496" s="44"/>
      <c r="C496" s="44"/>
      <c r="D496" s="44">
        <v>2068</v>
      </c>
      <c r="E496" s="44" t="str">
        <f>INDEX([1]道具配置表!$D:$D,MATCH(D496,[1]道具配置表!$A:$A,0))</f>
        <v>庇佑蓝图</v>
      </c>
      <c r="F496" s="44">
        <v>1</v>
      </c>
      <c r="G496" s="44"/>
      <c r="H496" s="44"/>
      <c r="I496" s="44"/>
      <c r="J496" s="44"/>
      <c r="K496" s="44">
        <v>0.2</v>
      </c>
      <c r="L496" s="44"/>
      <c r="M496" s="44" t="b">
        <v>1</v>
      </c>
      <c r="N496" s="44"/>
      <c r="V496" s="20"/>
      <c r="W496" s="20"/>
      <c r="X496" s="20"/>
      <c r="Y496" s="20"/>
      <c r="Z496" s="20"/>
      <c r="AA496" s="20"/>
      <c r="AB496" s="20"/>
      <c r="AC496" s="20"/>
      <c r="AD496" s="20"/>
    </row>
    <row r="497" spans="1:30" ht="13.5" customHeight="1" x14ac:dyDescent="0.25">
      <c r="A497" s="26">
        <v>6605104</v>
      </c>
      <c r="B497" s="25" t="s">
        <v>271</v>
      </c>
      <c r="C497" s="26" t="s">
        <v>119</v>
      </c>
      <c r="D497" s="27">
        <v>222</v>
      </c>
      <c r="E497" s="27" t="str">
        <f>INDEX([1]道具配置表!$D:$D,MATCH(D497,[1]道具配置表!$A:$A,0))</f>
        <v>1千食物</v>
      </c>
      <c r="F497" s="27">
        <v>3</v>
      </c>
      <c r="G497" s="25">
        <v>1</v>
      </c>
      <c r="H497" s="25">
        <v>1</v>
      </c>
      <c r="I497" s="31" t="s">
        <v>368</v>
      </c>
      <c r="J497" s="25"/>
      <c r="K497" s="25">
        <v>1</v>
      </c>
      <c r="L497" s="25"/>
      <c r="M497" s="44" t="b">
        <v>1</v>
      </c>
      <c r="N497" s="25"/>
      <c r="V497" s="20"/>
      <c r="W497" s="20"/>
      <c r="X497" s="20"/>
      <c r="Y497" s="20"/>
      <c r="Z497" s="20"/>
      <c r="AA497" s="20"/>
      <c r="AB497" s="20"/>
      <c r="AC497" s="20"/>
      <c r="AD497" s="20"/>
    </row>
    <row r="498" spans="1:30" ht="13.5" customHeight="1" x14ac:dyDescent="0.25">
      <c r="A498" s="26"/>
      <c r="B498" s="25"/>
      <c r="C498" s="26" t="s">
        <v>119</v>
      </c>
      <c r="D498" s="27">
        <v>221</v>
      </c>
      <c r="E498" s="27" t="str">
        <f>INDEX([1]道具配置表!$D:$D,MATCH(D498,[1]道具配置表!$A:$A,0))</f>
        <v>1千木材</v>
      </c>
      <c r="F498" s="27">
        <v>3</v>
      </c>
      <c r="G498" s="25"/>
      <c r="H498" s="25"/>
      <c r="I498" s="25"/>
      <c r="J498" s="25"/>
      <c r="K498" s="25">
        <v>1</v>
      </c>
      <c r="L498" s="25"/>
      <c r="M498" s="44" t="b">
        <v>1</v>
      </c>
      <c r="N498" s="25"/>
      <c r="V498" s="20"/>
      <c r="W498" s="20"/>
      <c r="X498" s="20"/>
      <c r="Y498" s="20"/>
      <c r="Z498" s="20"/>
      <c r="AA498" s="20"/>
      <c r="AB498" s="20"/>
      <c r="AC498" s="20"/>
      <c r="AD498" s="20"/>
    </row>
    <row r="499" spans="1:30" ht="13.5" customHeight="1" x14ac:dyDescent="0.25">
      <c r="A499" s="26"/>
      <c r="B499" s="25"/>
      <c r="C499" s="26" t="s">
        <v>119</v>
      </c>
      <c r="D499" s="25">
        <v>7227</v>
      </c>
      <c r="E499" s="27" t="str">
        <f>INDEX([1]道具配置表!$D:$D,MATCH(D499,[1]道具配置表!$A:$A,0))</f>
        <v>经验书*1000</v>
      </c>
      <c r="F499" s="25">
        <v>4</v>
      </c>
      <c r="G499" s="25"/>
      <c r="H499" s="25"/>
      <c r="I499" s="25"/>
      <c r="J499" s="25"/>
      <c r="K499" s="25">
        <v>1</v>
      </c>
      <c r="L499" s="25"/>
      <c r="M499" s="44" t="b">
        <v>1</v>
      </c>
      <c r="N499" s="25"/>
      <c r="V499" s="20"/>
      <c r="W499" s="20"/>
      <c r="X499" s="20"/>
      <c r="Y499" s="20"/>
      <c r="Z499" s="20"/>
      <c r="AA499" s="20"/>
      <c r="AB499" s="20"/>
      <c r="AC499" s="20"/>
      <c r="AD499" s="20"/>
    </row>
    <row r="500" spans="1:30" ht="13.5" customHeight="1" x14ac:dyDescent="0.25">
      <c r="A500" s="26"/>
      <c r="B500" s="25"/>
      <c r="C500" s="26" t="s">
        <v>119</v>
      </c>
      <c r="D500" s="25">
        <v>20000</v>
      </c>
      <c r="E500" s="27" t="str">
        <f>INDEX([1]道具配置表!$D:$D,MATCH(D500,[1]道具配置表!$A:$A,0))</f>
        <v>技能点1</v>
      </c>
      <c r="F500" s="25">
        <v>16</v>
      </c>
      <c r="G500" s="25"/>
      <c r="H500" s="25"/>
      <c r="I500" s="25"/>
      <c r="J500" s="25"/>
      <c r="K500" s="25">
        <v>1</v>
      </c>
      <c r="L500" s="25"/>
      <c r="M500" s="44" t="b">
        <v>1</v>
      </c>
      <c r="N500" s="25"/>
      <c r="V500" s="20"/>
      <c r="W500" s="20"/>
      <c r="X500" s="20"/>
      <c r="Y500" s="20"/>
      <c r="Z500" s="20"/>
      <c r="AA500" s="20"/>
      <c r="AB500" s="20"/>
      <c r="AC500" s="20"/>
      <c r="AD500" s="20"/>
    </row>
    <row r="501" spans="1:30" ht="13.5" customHeight="1" x14ac:dyDescent="0.25">
      <c r="A501" s="30"/>
      <c r="B501" s="30"/>
      <c r="C501" s="30" t="s">
        <v>119</v>
      </c>
      <c r="D501" s="30">
        <v>6101</v>
      </c>
      <c r="E501" s="30" t="str">
        <f>INDEX([1]道具配置表!$D:$D,MATCH(D501,[1]道具配置表!$A:$A,0))</f>
        <v>5分钟通用加速</v>
      </c>
      <c r="F501" s="30">
        <v>1</v>
      </c>
      <c r="G501" s="30"/>
      <c r="H501" s="30"/>
      <c r="I501" s="30"/>
      <c r="J501" s="30">
        <v>200</v>
      </c>
      <c r="K501" s="30"/>
      <c r="L501" s="30"/>
      <c r="M501" s="44" t="b">
        <v>1</v>
      </c>
      <c r="N501" s="3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spans="1:30" ht="13.5" customHeight="1" x14ac:dyDescent="0.25">
      <c r="A502" s="30"/>
      <c r="B502" s="30"/>
      <c r="C502" s="30" t="s">
        <v>119</v>
      </c>
      <c r="D502" s="30">
        <v>6121</v>
      </c>
      <c r="E502" s="30" t="str">
        <f>INDEX([1]道具配置表!$D:$D,MATCH(D502,[1]道具配置表!$A:$A,0))</f>
        <v>5分钟建造加速</v>
      </c>
      <c r="F502" s="30">
        <v>1</v>
      </c>
      <c r="G502" s="30"/>
      <c r="H502" s="30"/>
      <c r="I502" s="30"/>
      <c r="J502" s="30">
        <v>200</v>
      </c>
      <c r="K502" s="30"/>
      <c r="L502" s="30"/>
      <c r="M502" s="44" t="b">
        <v>1</v>
      </c>
      <c r="N502" s="3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spans="1:30" ht="13.5" customHeight="1" x14ac:dyDescent="0.25">
      <c r="A503" s="30"/>
      <c r="B503" s="30"/>
      <c r="C503" s="30" t="s">
        <v>119</v>
      </c>
      <c r="D503" s="30">
        <v>6141</v>
      </c>
      <c r="E503" s="30" t="str">
        <f>INDEX([1]道具配置表!$D:$D,MATCH(D503,[1]道具配置表!$A:$A,0))</f>
        <v>5分钟科技加速</v>
      </c>
      <c r="F503" s="30">
        <v>1</v>
      </c>
      <c r="G503" s="30"/>
      <c r="H503" s="30"/>
      <c r="I503" s="30"/>
      <c r="J503" s="30">
        <v>200</v>
      </c>
      <c r="K503" s="30"/>
      <c r="L503" s="30"/>
      <c r="M503" s="44" t="b">
        <v>1</v>
      </c>
      <c r="N503" s="3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spans="1:30" ht="13.5" customHeight="1" x14ac:dyDescent="0.25">
      <c r="A504" s="30"/>
      <c r="B504" s="30"/>
      <c r="C504" s="30" t="s">
        <v>119</v>
      </c>
      <c r="D504" s="30">
        <v>6161</v>
      </c>
      <c r="E504" s="30" t="str">
        <f>INDEX([1]道具配置表!$D:$D,MATCH(D504,[1]道具配置表!$A:$A,0))</f>
        <v>5分钟训练加速</v>
      </c>
      <c r="F504" s="30">
        <v>1</v>
      </c>
      <c r="G504" s="30"/>
      <c r="H504" s="30"/>
      <c r="I504" s="30"/>
      <c r="J504" s="30">
        <v>200</v>
      </c>
      <c r="K504" s="30"/>
      <c r="L504" s="30"/>
      <c r="M504" s="44" t="b">
        <v>1</v>
      </c>
      <c r="N504" s="3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spans="1:30" ht="13.5" customHeight="1" x14ac:dyDescent="0.25">
      <c r="A505" s="26"/>
      <c r="B505" s="25"/>
      <c r="C505" s="26" t="s">
        <v>119</v>
      </c>
      <c r="D505" s="30">
        <v>6181</v>
      </c>
      <c r="E505" s="30" t="str">
        <f>INDEX([1]道具配置表!$D:$D,MATCH(D505,[1]道具配置表!$A:$A,0))</f>
        <v>5分钟治疗加速</v>
      </c>
      <c r="F505" s="25">
        <v>1</v>
      </c>
      <c r="G505" s="25"/>
      <c r="H505" s="25"/>
      <c r="I505" s="25"/>
      <c r="J505" s="30">
        <v>200</v>
      </c>
      <c r="K505" s="25"/>
      <c r="L505" s="25"/>
      <c r="M505" s="44" t="b">
        <v>1</v>
      </c>
      <c r="N505" s="25"/>
      <c r="V505" s="20"/>
      <c r="W505" s="20"/>
      <c r="X505" s="20"/>
      <c r="Y505" s="20"/>
      <c r="Z505" s="20"/>
      <c r="AA505" s="20"/>
      <c r="AB505" s="20"/>
      <c r="AC505" s="20"/>
      <c r="AD505" s="20"/>
    </row>
    <row r="506" spans="1:30" ht="13.5" customHeight="1" x14ac:dyDescent="0.25">
      <c r="A506" s="44"/>
      <c r="B506" s="44"/>
      <c r="C506" s="44"/>
      <c r="D506" s="44">
        <v>2068</v>
      </c>
      <c r="E506" s="44" t="str">
        <f>INDEX([1]道具配置表!$D:$D,MATCH(D506,[1]道具配置表!$A:$A,0))</f>
        <v>庇佑蓝图</v>
      </c>
      <c r="F506" s="44">
        <v>1</v>
      </c>
      <c r="G506" s="44"/>
      <c r="H506" s="44"/>
      <c r="I506" s="44"/>
      <c r="J506" s="44"/>
      <c r="K506" s="44">
        <v>0.2</v>
      </c>
      <c r="L506" s="44"/>
      <c r="M506" s="44" t="b">
        <v>1</v>
      </c>
      <c r="N506" s="44"/>
      <c r="V506" s="20"/>
      <c r="W506" s="20"/>
      <c r="X506" s="20"/>
      <c r="Y506" s="20"/>
      <c r="Z506" s="20"/>
      <c r="AA506" s="20"/>
      <c r="AB506" s="20"/>
      <c r="AC506" s="20"/>
      <c r="AD506" s="20"/>
    </row>
    <row r="507" spans="1:30" ht="13.5" customHeight="1" x14ac:dyDescent="0.25">
      <c r="A507" s="26">
        <v>6605105</v>
      </c>
      <c r="B507" s="25" t="s">
        <v>272</v>
      </c>
      <c r="C507" s="26" t="s">
        <v>119</v>
      </c>
      <c r="D507" s="27">
        <v>222</v>
      </c>
      <c r="E507" s="27" t="str">
        <f>INDEX([1]道具配置表!$D:$D,MATCH(D507,[1]道具配置表!$A:$A,0))</f>
        <v>1千食物</v>
      </c>
      <c r="F507" s="27">
        <v>4</v>
      </c>
      <c r="G507" s="30">
        <v>1</v>
      </c>
      <c r="H507" s="30">
        <v>1</v>
      </c>
      <c r="I507" s="31" t="s">
        <v>368</v>
      </c>
      <c r="J507" s="30"/>
      <c r="K507" s="30">
        <v>1</v>
      </c>
      <c r="L507" s="25"/>
      <c r="M507" s="44" t="b">
        <v>1</v>
      </c>
      <c r="N507" s="25"/>
      <c r="V507" s="20"/>
      <c r="W507" s="20"/>
      <c r="X507" s="20"/>
      <c r="Y507" s="20"/>
      <c r="Z507" s="20"/>
      <c r="AA507" s="20"/>
      <c r="AB507" s="20"/>
      <c r="AC507" s="20"/>
      <c r="AD507" s="20"/>
    </row>
    <row r="508" spans="1:30" ht="13.5" customHeight="1" x14ac:dyDescent="0.25">
      <c r="A508" s="26"/>
      <c r="B508" s="25"/>
      <c r="C508" s="26" t="s">
        <v>119</v>
      </c>
      <c r="D508" s="27">
        <v>221</v>
      </c>
      <c r="E508" s="27" t="str">
        <f>INDEX([1]道具配置表!$D:$D,MATCH(D508,[1]道具配置表!$A:$A,0))</f>
        <v>1千木材</v>
      </c>
      <c r="F508" s="27">
        <v>4</v>
      </c>
      <c r="G508" s="30"/>
      <c r="H508" s="30"/>
      <c r="I508" s="30"/>
      <c r="J508" s="30"/>
      <c r="K508" s="30">
        <v>1</v>
      </c>
      <c r="L508" s="25"/>
      <c r="M508" s="44" t="b">
        <v>1</v>
      </c>
      <c r="N508" s="25"/>
      <c r="V508" s="20"/>
      <c r="W508" s="20"/>
      <c r="X508" s="20"/>
      <c r="Y508" s="20"/>
      <c r="Z508" s="20"/>
      <c r="AA508" s="20"/>
      <c r="AB508" s="20"/>
      <c r="AC508" s="20"/>
      <c r="AD508" s="20"/>
    </row>
    <row r="509" spans="1:30" ht="13.5" customHeight="1" x14ac:dyDescent="0.25">
      <c r="A509" s="26"/>
      <c r="B509" s="25"/>
      <c r="C509" s="26" t="s">
        <v>119</v>
      </c>
      <c r="D509" s="25">
        <v>223</v>
      </c>
      <c r="E509" s="27" t="str">
        <f>INDEX([1]道具配置表!$D:$D,MATCH(D509,[1]道具配置表!$A:$A,0))</f>
        <v>1千石头</v>
      </c>
      <c r="F509" s="25">
        <v>4</v>
      </c>
      <c r="G509" s="30"/>
      <c r="H509" s="30"/>
      <c r="I509" s="30"/>
      <c r="J509" s="30"/>
      <c r="K509" s="30">
        <v>1</v>
      </c>
      <c r="L509" s="25"/>
      <c r="M509" s="44" t="b">
        <v>1</v>
      </c>
      <c r="N509" s="25"/>
      <c r="V509" s="20"/>
      <c r="W509" s="20"/>
      <c r="X509" s="20"/>
      <c r="Y509" s="20"/>
      <c r="Z509" s="20"/>
      <c r="AA509" s="20"/>
      <c r="AB509" s="20"/>
      <c r="AC509" s="20"/>
      <c r="AD509" s="20"/>
    </row>
    <row r="510" spans="1:30" ht="13.5" customHeight="1" x14ac:dyDescent="0.25">
      <c r="A510" s="26"/>
      <c r="B510" s="25"/>
      <c r="C510" s="26" t="s">
        <v>119</v>
      </c>
      <c r="D510" s="25">
        <v>7227</v>
      </c>
      <c r="E510" s="27" t="str">
        <f>INDEX([1]道具配置表!$D:$D,MATCH(D510,[1]道具配置表!$A:$A,0))</f>
        <v>经验书*1000</v>
      </c>
      <c r="F510" s="25">
        <v>5</v>
      </c>
      <c r="G510" s="30"/>
      <c r="H510" s="30"/>
      <c r="I510" s="30"/>
      <c r="J510" s="30"/>
      <c r="K510" s="30">
        <v>1</v>
      </c>
      <c r="L510" s="25"/>
      <c r="M510" s="44" t="b">
        <v>1</v>
      </c>
      <c r="N510" s="25"/>
      <c r="V510" s="20"/>
      <c r="W510" s="20"/>
      <c r="X510" s="20"/>
      <c r="Y510" s="20"/>
      <c r="Z510" s="20"/>
      <c r="AA510" s="20"/>
      <c r="AB510" s="20"/>
      <c r="AC510" s="20"/>
      <c r="AD510" s="20"/>
    </row>
    <row r="511" spans="1:30" ht="13.5" customHeight="1" x14ac:dyDescent="0.25">
      <c r="A511" s="26"/>
      <c r="B511" s="25"/>
      <c r="C511" s="26" t="s">
        <v>119</v>
      </c>
      <c r="D511" s="25">
        <v>20000</v>
      </c>
      <c r="E511" s="27" t="str">
        <f>INDEX([1]道具配置表!$D:$D,MATCH(D511,[1]道具配置表!$A:$A,0))</f>
        <v>技能点1</v>
      </c>
      <c r="F511" s="25">
        <v>20</v>
      </c>
      <c r="G511" s="30"/>
      <c r="H511" s="30"/>
      <c r="I511" s="30"/>
      <c r="K511" s="30">
        <v>1</v>
      </c>
      <c r="L511" s="25"/>
      <c r="M511" s="44" t="b">
        <v>1</v>
      </c>
      <c r="N511" s="25"/>
      <c r="V511" s="20"/>
      <c r="W511" s="20"/>
      <c r="X511" s="20"/>
      <c r="Y511" s="20"/>
      <c r="Z511" s="20"/>
      <c r="AA511" s="20"/>
      <c r="AB511" s="20"/>
      <c r="AC511" s="20"/>
      <c r="AD511" s="20"/>
    </row>
    <row r="512" spans="1:30" ht="13.5" customHeight="1" x14ac:dyDescent="0.25">
      <c r="A512" s="26"/>
      <c r="B512" s="25"/>
      <c r="C512" s="26" t="s">
        <v>119</v>
      </c>
      <c r="D512" s="30">
        <v>6101</v>
      </c>
      <c r="E512" s="30" t="str">
        <f>INDEX([1]道具配置表!$D:$D,MATCH(D512,[1]道具配置表!$A:$A,0))</f>
        <v>5分钟通用加速</v>
      </c>
      <c r="F512" s="30">
        <v>1</v>
      </c>
      <c r="G512" s="30"/>
      <c r="H512" s="30"/>
      <c r="I512" s="30"/>
      <c r="J512" s="30">
        <v>200</v>
      </c>
      <c r="K512" s="30"/>
      <c r="L512" s="25"/>
      <c r="M512" s="44" t="b">
        <v>1</v>
      </c>
      <c r="N512" s="25"/>
      <c r="V512" s="20"/>
      <c r="W512" s="20"/>
      <c r="X512" s="20"/>
      <c r="Y512" s="20"/>
      <c r="Z512" s="20"/>
      <c r="AA512" s="20"/>
      <c r="AB512" s="20"/>
      <c r="AC512" s="20"/>
      <c r="AD512" s="20"/>
    </row>
    <row r="513" spans="1:30" ht="13.5" customHeight="1" x14ac:dyDescent="0.25">
      <c r="A513" s="30"/>
      <c r="B513" s="30"/>
      <c r="C513" s="30"/>
      <c r="D513" s="30">
        <v>6121</v>
      </c>
      <c r="E513" s="30" t="str">
        <f>INDEX([1]道具配置表!$D:$D,MATCH(D513,[1]道具配置表!$A:$A,0))</f>
        <v>5分钟建造加速</v>
      </c>
      <c r="F513" s="30">
        <v>1</v>
      </c>
      <c r="G513" s="30"/>
      <c r="H513" s="30"/>
      <c r="I513" s="30"/>
      <c r="J513" s="30">
        <v>200</v>
      </c>
      <c r="K513" s="30"/>
      <c r="L513" s="30"/>
      <c r="M513" s="44" t="b">
        <v>1</v>
      </c>
      <c r="N513" s="3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spans="1:30" ht="13.5" customHeight="1" x14ac:dyDescent="0.25">
      <c r="A514" s="30"/>
      <c r="B514" s="30"/>
      <c r="C514" s="30"/>
      <c r="D514" s="30">
        <v>6141</v>
      </c>
      <c r="E514" s="30" t="str">
        <f>INDEX([1]道具配置表!$D:$D,MATCH(D514,[1]道具配置表!$A:$A,0))</f>
        <v>5分钟科技加速</v>
      </c>
      <c r="F514" s="30">
        <v>1</v>
      </c>
      <c r="G514" s="30"/>
      <c r="H514" s="30"/>
      <c r="I514" s="30"/>
      <c r="J514" s="30">
        <v>200</v>
      </c>
      <c r="K514" s="30"/>
      <c r="L514" s="30"/>
      <c r="M514" s="44" t="b">
        <v>1</v>
      </c>
      <c r="N514" s="3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spans="1:30" ht="13.5" customHeight="1" x14ac:dyDescent="0.25">
      <c r="A515" s="30"/>
      <c r="B515" s="30"/>
      <c r="C515" s="30"/>
      <c r="D515" s="30">
        <v>6161</v>
      </c>
      <c r="E515" s="30" t="str">
        <f>INDEX([1]道具配置表!$D:$D,MATCH(D515,[1]道具配置表!$A:$A,0))</f>
        <v>5分钟训练加速</v>
      </c>
      <c r="F515" s="30">
        <v>1</v>
      </c>
      <c r="G515" s="30"/>
      <c r="H515" s="30"/>
      <c r="I515" s="30"/>
      <c r="J515" s="30">
        <v>200</v>
      </c>
      <c r="K515" s="30"/>
      <c r="L515" s="30"/>
      <c r="M515" s="44" t="b">
        <v>1</v>
      </c>
      <c r="N515" s="3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spans="1:30" ht="13.5" customHeight="1" x14ac:dyDescent="0.25">
      <c r="A516" s="30"/>
      <c r="B516" s="30"/>
      <c r="C516" s="30"/>
      <c r="D516" s="30">
        <v>6181</v>
      </c>
      <c r="E516" s="30" t="str">
        <f>INDEX([1]道具配置表!$D:$D,MATCH(D516,[1]道具配置表!$A:$A,0))</f>
        <v>5分钟治疗加速</v>
      </c>
      <c r="F516" s="30">
        <v>1</v>
      </c>
      <c r="G516" s="30"/>
      <c r="H516" s="30"/>
      <c r="I516" s="30"/>
      <c r="J516" s="30">
        <v>200</v>
      </c>
      <c r="K516" s="30"/>
      <c r="L516" s="30"/>
      <c r="M516" s="44" t="b">
        <v>1</v>
      </c>
      <c r="N516" s="3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spans="1:30" ht="13.5" customHeight="1" x14ac:dyDescent="0.25">
      <c r="A517" s="44"/>
      <c r="B517" s="44"/>
      <c r="C517" s="44"/>
      <c r="D517" s="44">
        <v>2068</v>
      </c>
      <c r="E517" s="44" t="str">
        <f>INDEX([1]道具配置表!$D:$D,MATCH(D517,[1]道具配置表!$A:$A,0))</f>
        <v>庇佑蓝图</v>
      </c>
      <c r="F517" s="44">
        <v>2</v>
      </c>
      <c r="G517" s="44"/>
      <c r="H517" s="44"/>
      <c r="I517" s="44"/>
      <c r="J517" s="44"/>
      <c r="K517" s="44">
        <v>0.2</v>
      </c>
      <c r="L517" s="44"/>
      <c r="M517" s="44" t="b">
        <v>1</v>
      </c>
      <c r="N517" s="44"/>
      <c r="V517" s="20"/>
      <c r="W517" s="20"/>
      <c r="X517" s="20"/>
      <c r="Y517" s="20"/>
      <c r="Z517" s="20"/>
      <c r="AA517" s="20"/>
      <c r="AB517" s="20"/>
      <c r="AC517" s="20"/>
      <c r="AD517" s="20"/>
    </row>
    <row r="518" spans="1:30" ht="13.5" customHeight="1" x14ac:dyDescent="0.25">
      <c r="A518" s="26">
        <v>6605106</v>
      </c>
      <c r="B518" s="25" t="s">
        <v>273</v>
      </c>
      <c r="C518" s="26" t="s">
        <v>119</v>
      </c>
      <c r="D518" s="27">
        <v>222</v>
      </c>
      <c r="E518" s="27" t="str">
        <f>INDEX([1]道具配置表!$D:$D,MATCH(D518,[1]道具配置表!$A:$A,0))</f>
        <v>1千食物</v>
      </c>
      <c r="F518" s="30">
        <v>4</v>
      </c>
      <c r="G518" s="30">
        <v>1</v>
      </c>
      <c r="H518" s="30">
        <v>1</v>
      </c>
      <c r="I518" s="31" t="s">
        <v>368</v>
      </c>
      <c r="J518" s="30"/>
      <c r="K518" s="30">
        <v>1</v>
      </c>
      <c r="L518" s="25"/>
      <c r="M518" s="44" t="b">
        <v>1</v>
      </c>
      <c r="N518" s="25"/>
      <c r="V518" s="20"/>
      <c r="W518" s="20"/>
      <c r="X518" s="20"/>
      <c r="Y518" s="20"/>
      <c r="Z518" s="20"/>
      <c r="AA518" s="20"/>
      <c r="AB518" s="20"/>
      <c r="AC518" s="20"/>
      <c r="AD518" s="20"/>
    </row>
    <row r="519" spans="1:30" ht="13.5" customHeight="1" x14ac:dyDescent="0.25">
      <c r="A519" s="26"/>
      <c r="B519" s="25"/>
      <c r="C519" s="26" t="s">
        <v>119</v>
      </c>
      <c r="D519" s="27">
        <v>221</v>
      </c>
      <c r="E519" s="27" t="str">
        <f>INDEX([1]道具配置表!$D:$D,MATCH(D519,[1]道具配置表!$A:$A,0))</f>
        <v>1千木材</v>
      </c>
      <c r="F519" s="27">
        <v>4</v>
      </c>
      <c r="G519" s="30"/>
      <c r="H519" s="30"/>
      <c r="I519" s="30"/>
      <c r="J519" s="30"/>
      <c r="K519" s="30">
        <v>1</v>
      </c>
      <c r="L519" s="25"/>
      <c r="M519" s="44" t="b">
        <v>1</v>
      </c>
      <c r="N519" s="25"/>
      <c r="V519" s="20"/>
      <c r="W519" s="20"/>
      <c r="X519" s="20"/>
      <c r="Y519" s="20"/>
      <c r="Z519" s="20"/>
      <c r="AA519" s="20"/>
      <c r="AB519" s="20"/>
      <c r="AC519" s="20"/>
      <c r="AD519" s="20"/>
    </row>
    <row r="520" spans="1:30" ht="13.5" customHeight="1" x14ac:dyDescent="0.25">
      <c r="A520" s="26"/>
      <c r="B520" s="25"/>
      <c r="C520" s="26" t="s">
        <v>119</v>
      </c>
      <c r="D520" s="27">
        <v>223</v>
      </c>
      <c r="E520" s="27" t="str">
        <f>INDEX([1]道具配置表!$D:$D,MATCH(D520,[1]道具配置表!$A:$A,0))</f>
        <v>1千石头</v>
      </c>
      <c r="F520" s="30">
        <v>4</v>
      </c>
      <c r="G520" s="30"/>
      <c r="H520" s="30"/>
      <c r="I520" s="30"/>
      <c r="J520" s="30"/>
      <c r="K520" s="30">
        <v>1</v>
      </c>
      <c r="L520" s="25"/>
      <c r="M520" s="44" t="b">
        <v>1</v>
      </c>
      <c r="N520" s="25"/>
      <c r="V520" s="20"/>
      <c r="W520" s="20"/>
      <c r="X520" s="20"/>
      <c r="Y520" s="20"/>
      <c r="Z520" s="20"/>
      <c r="AA520" s="20"/>
      <c r="AB520" s="20"/>
      <c r="AC520" s="20"/>
      <c r="AD520" s="20"/>
    </row>
    <row r="521" spans="1:30" ht="13.5" customHeight="1" x14ac:dyDescent="0.25">
      <c r="A521" s="26"/>
      <c r="B521" s="25"/>
      <c r="C521" s="26" t="s">
        <v>119</v>
      </c>
      <c r="D521" s="25">
        <v>7227</v>
      </c>
      <c r="E521" s="27" t="str">
        <f>INDEX([1]道具配置表!$D:$D,MATCH(D521,[1]道具配置表!$A:$A,0))</f>
        <v>经验书*1000</v>
      </c>
      <c r="F521" s="30">
        <v>6</v>
      </c>
      <c r="G521" s="30"/>
      <c r="H521" s="30"/>
      <c r="I521" s="30"/>
      <c r="J521" s="30"/>
      <c r="K521" s="30">
        <v>1</v>
      </c>
      <c r="L521" s="25"/>
      <c r="M521" s="44" t="b">
        <v>1</v>
      </c>
      <c r="N521" s="25"/>
      <c r="V521" s="20"/>
      <c r="W521" s="20"/>
      <c r="X521" s="20"/>
      <c r="Y521" s="20"/>
      <c r="Z521" s="20"/>
      <c r="AA521" s="20"/>
      <c r="AB521" s="20"/>
      <c r="AC521" s="20"/>
      <c r="AD521" s="20"/>
    </row>
    <row r="522" spans="1:30" ht="13.5" customHeight="1" x14ac:dyDescent="0.25">
      <c r="A522" s="26"/>
      <c r="B522" s="25"/>
      <c r="C522" s="26" t="s">
        <v>119</v>
      </c>
      <c r="D522" s="25">
        <v>20000</v>
      </c>
      <c r="E522" s="27" t="str">
        <f>INDEX([1]道具配置表!$D:$D,MATCH(D522,[1]道具配置表!$A:$A,0))</f>
        <v>技能点1</v>
      </c>
      <c r="F522" s="30">
        <v>24</v>
      </c>
      <c r="G522" s="30"/>
      <c r="H522" s="30"/>
      <c r="I522" s="30"/>
      <c r="K522" s="30">
        <v>1</v>
      </c>
      <c r="L522" s="25"/>
      <c r="M522" s="44" t="b">
        <v>1</v>
      </c>
      <c r="N522" s="25"/>
      <c r="V522" s="20"/>
      <c r="W522" s="20"/>
      <c r="X522" s="20"/>
      <c r="Y522" s="20"/>
      <c r="Z522" s="20"/>
      <c r="AA522" s="20"/>
      <c r="AB522" s="20"/>
      <c r="AC522" s="20"/>
      <c r="AD522" s="20"/>
    </row>
    <row r="523" spans="1:30" ht="13.5" customHeight="1" x14ac:dyDescent="0.25">
      <c r="A523" s="26"/>
      <c r="B523" s="25"/>
      <c r="C523" s="26" t="s">
        <v>119</v>
      </c>
      <c r="D523" s="30">
        <v>6101</v>
      </c>
      <c r="E523" s="30" t="str">
        <f>INDEX([1]道具配置表!$D:$D,MATCH(D523,[1]道具配置表!$A:$A,0))</f>
        <v>5分钟通用加速</v>
      </c>
      <c r="F523" s="30">
        <v>1</v>
      </c>
      <c r="G523" s="30"/>
      <c r="H523" s="30"/>
      <c r="I523" s="30"/>
      <c r="J523" s="30">
        <v>200</v>
      </c>
      <c r="K523" s="30"/>
      <c r="L523" s="25"/>
      <c r="M523" s="44" t="b">
        <v>1</v>
      </c>
      <c r="N523" s="25"/>
      <c r="V523" s="20"/>
      <c r="W523" s="20"/>
      <c r="X523" s="20"/>
      <c r="Y523" s="20"/>
      <c r="Z523" s="20"/>
      <c r="AA523" s="20"/>
      <c r="AB523" s="20"/>
      <c r="AC523" s="20"/>
      <c r="AD523" s="20"/>
    </row>
    <row r="524" spans="1:30" ht="13.5" customHeight="1" x14ac:dyDescent="0.25">
      <c r="A524" s="30"/>
      <c r="B524" s="30"/>
      <c r="C524" s="30"/>
      <c r="D524" s="30">
        <v>6121</v>
      </c>
      <c r="E524" s="30" t="str">
        <f>INDEX([1]道具配置表!$D:$D,MATCH(D524,[1]道具配置表!$A:$A,0))</f>
        <v>5分钟建造加速</v>
      </c>
      <c r="F524" s="30">
        <v>1</v>
      </c>
      <c r="G524" s="30"/>
      <c r="H524" s="30"/>
      <c r="I524" s="30"/>
      <c r="J524" s="30">
        <v>200</v>
      </c>
      <c r="K524" s="30"/>
      <c r="L524" s="30"/>
      <c r="M524" s="44" t="b">
        <v>1</v>
      </c>
      <c r="N524" s="3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spans="1:30" ht="13.5" customHeight="1" x14ac:dyDescent="0.25">
      <c r="A525" s="30"/>
      <c r="B525" s="30"/>
      <c r="C525" s="30"/>
      <c r="D525" s="30">
        <v>6141</v>
      </c>
      <c r="E525" s="30" t="str">
        <f>INDEX([1]道具配置表!$D:$D,MATCH(D525,[1]道具配置表!$A:$A,0))</f>
        <v>5分钟科技加速</v>
      </c>
      <c r="F525" s="30">
        <v>1</v>
      </c>
      <c r="G525" s="30"/>
      <c r="H525" s="30"/>
      <c r="I525" s="30"/>
      <c r="J525" s="30">
        <v>200</v>
      </c>
      <c r="K525" s="30"/>
      <c r="L525" s="30"/>
      <c r="M525" s="44" t="b">
        <v>1</v>
      </c>
      <c r="N525" s="3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spans="1:30" ht="13.5" customHeight="1" x14ac:dyDescent="0.25">
      <c r="A526" s="30"/>
      <c r="B526" s="30"/>
      <c r="C526" s="30"/>
      <c r="D526" s="30">
        <v>6161</v>
      </c>
      <c r="E526" s="30" t="str">
        <f>INDEX([1]道具配置表!$D:$D,MATCH(D526,[1]道具配置表!$A:$A,0))</f>
        <v>5分钟训练加速</v>
      </c>
      <c r="F526" s="30">
        <v>1</v>
      </c>
      <c r="G526" s="30"/>
      <c r="H526" s="30"/>
      <c r="I526" s="30"/>
      <c r="J526" s="30">
        <v>200</v>
      </c>
      <c r="K526" s="30"/>
      <c r="L526" s="30"/>
      <c r="M526" s="44" t="b">
        <v>1</v>
      </c>
      <c r="N526" s="3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spans="1:30" ht="13.5" customHeight="1" x14ac:dyDescent="0.25">
      <c r="A527" s="30"/>
      <c r="B527" s="30"/>
      <c r="C527" s="30"/>
      <c r="D527" s="30">
        <v>6181</v>
      </c>
      <c r="E527" s="30" t="str">
        <f>INDEX([1]道具配置表!$D:$D,MATCH(D527,[1]道具配置表!$A:$A,0))</f>
        <v>5分钟治疗加速</v>
      </c>
      <c r="F527" s="30">
        <v>1</v>
      </c>
      <c r="G527" s="30"/>
      <c r="H527" s="30"/>
      <c r="I527" s="30"/>
      <c r="J527" s="30">
        <v>200</v>
      </c>
      <c r="K527" s="30"/>
      <c r="L527" s="30"/>
      <c r="M527" s="44" t="b">
        <v>1</v>
      </c>
      <c r="N527" s="3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spans="1:30" ht="13.5" customHeight="1" x14ac:dyDescent="0.25">
      <c r="A528" s="44"/>
      <c r="B528" s="44"/>
      <c r="C528" s="44"/>
      <c r="D528" s="44">
        <v>2068</v>
      </c>
      <c r="E528" s="44" t="str">
        <f>INDEX([1]道具配置表!$D:$D,MATCH(D528,[1]道具配置表!$A:$A,0))</f>
        <v>庇佑蓝图</v>
      </c>
      <c r="F528" s="44">
        <v>2</v>
      </c>
      <c r="G528" s="44"/>
      <c r="H528" s="44"/>
      <c r="I528" s="44"/>
      <c r="J528" s="44"/>
      <c r="K528" s="44">
        <v>0.2</v>
      </c>
      <c r="L528" s="44"/>
      <c r="M528" s="44" t="b">
        <v>1</v>
      </c>
      <c r="N528" s="44"/>
      <c r="V528" s="20"/>
      <c r="W528" s="20"/>
      <c r="X528" s="20"/>
      <c r="Y528" s="20"/>
      <c r="Z528" s="20"/>
      <c r="AA528" s="20"/>
      <c r="AB528" s="20"/>
      <c r="AC528" s="20"/>
      <c r="AD528" s="20"/>
    </row>
    <row r="529" spans="1:30" ht="13.5" customHeight="1" x14ac:dyDescent="0.25">
      <c r="A529" s="26">
        <v>6605107</v>
      </c>
      <c r="B529" s="25" t="s">
        <v>274</v>
      </c>
      <c r="C529" s="26" t="s">
        <v>119</v>
      </c>
      <c r="D529" s="27">
        <v>222</v>
      </c>
      <c r="E529" s="27" t="str">
        <f>INDEX([1]道具配置表!$D:$D,MATCH(D529,[1]道具配置表!$A:$A,0))</f>
        <v>1千食物</v>
      </c>
      <c r="F529" s="30">
        <v>5</v>
      </c>
      <c r="G529" s="30">
        <v>1</v>
      </c>
      <c r="H529" s="30">
        <v>1</v>
      </c>
      <c r="I529" s="31" t="s">
        <v>368</v>
      </c>
      <c r="J529" s="30"/>
      <c r="K529" s="30">
        <v>1</v>
      </c>
      <c r="L529" s="25"/>
      <c r="M529" s="44" t="b">
        <v>1</v>
      </c>
      <c r="N529" s="25"/>
      <c r="V529" s="20"/>
      <c r="W529" s="20"/>
      <c r="X529" s="20"/>
      <c r="Y529" s="20"/>
      <c r="Z529" s="20"/>
      <c r="AA529" s="20"/>
      <c r="AB529" s="20"/>
      <c r="AC529" s="20"/>
      <c r="AD529" s="20"/>
    </row>
    <row r="530" spans="1:30" ht="13.5" customHeight="1" x14ac:dyDescent="0.25">
      <c r="A530" s="26"/>
      <c r="B530" s="25"/>
      <c r="C530" s="26" t="s">
        <v>119</v>
      </c>
      <c r="D530" s="27">
        <v>221</v>
      </c>
      <c r="E530" s="27" t="str">
        <f>INDEX([1]道具配置表!$D:$D,MATCH(D530,[1]道具配置表!$A:$A,0))</f>
        <v>1千木材</v>
      </c>
      <c r="F530" s="30">
        <v>5</v>
      </c>
      <c r="G530" s="30"/>
      <c r="H530" s="30"/>
      <c r="I530" s="30"/>
      <c r="J530" s="30"/>
      <c r="K530" s="30">
        <v>1</v>
      </c>
      <c r="L530" s="25"/>
      <c r="M530" s="44" t="b">
        <v>1</v>
      </c>
      <c r="N530" s="25"/>
      <c r="V530" s="20"/>
      <c r="W530" s="20"/>
      <c r="X530" s="20"/>
      <c r="Y530" s="20"/>
      <c r="Z530" s="20"/>
      <c r="AA530" s="20"/>
      <c r="AB530" s="20"/>
      <c r="AC530" s="20"/>
      <c r="AD530" s="20"/>
    </row>
    <row r="531" spans="1:30" ht="13.5" customHeight="1" x14ac:dyDescent="0.25">
      <c r="A531" s="26"/>
      <c r="B531" s="25"/>
      <c r="C531" s="26" t="s">
        <v>119</v>
      </c>
      <c r="D531" s="27">
        <v>223</v>
      </c>
      <c r="E531" s="27" t="str">
        <f>INDEX([1]道具配置表!$D:$D,MATCH(D531,[1]道具配置表!$A:$A,0))</f>
        <v>1千石头</v>
      </c>
      <c r="F531" s="30">
        <v>5</v>
      </c>
      <c r="G531" s="30"/>
      <c r="H531" s="30"/>
      <c r="I531" s="30"/>
      <c r="J531" s="30"/>
      <c r="K531" s="30">
        <v>1</v>
      </c>
      <c r="L531" s="25"/>
      <c r="M531" s="44" t="b">
        <v>1</v>
      </c>
      <c r="N531" s="25"/>
      <c r="V531" s="20"/>
      <c r="W531" s="20"/>
      <c r="X531" s="20"/>
      <c r="Y531" s="20"/>
      <c r="Z531" s="20"/>
      <c r="AA531" s="20"/>
      <c r="AB531" s="20"/>
      <c r="AC531" s="20"/>
      <c r="AD531" s="20"/>
    </row>
    <row r="532" spans="1:30" ht="13.5" customHeight="1" x14ac:dyDescent="0.25">
      <c r="A532" s="26"/>
      <c r="B532" s="25"/>
      <c r="C532" s="26" t="s">
        <v>119</v>
      </c>
      <c r="D532" s="25">
        <v>7227</v>
      </c>
      <c r="E532" s="27" t="str">
        <f>INDEX([1]道具配置表!$D:$D,MATCH(D532,[1]道具配置表!$A:$A,0))</f>
        <v>经验书*1000</v>
      </c>
      <c r="F532" s="30">
        <v>7</v>
      </c>
      <c r="G532" s="30"/>
      <c r="H532" s="30"/>
      <c r="I532" s="30"/>
      <c r="J532" s="30"/>
      <c r="K532" s="30">
        <v>1</v>
      </c>
      <c r="L532" s="25"/>
      <c r="M532" s="44" t="b">
        <v>1</v>
      </c>
      <c r="N532" s="25"/>
      <c r="V532" s="20"/>
      <c r="W532" s="20"/>
      <c r="X532" s="20"/>
      <c r="Y532" s="20"/>
      <c r="Z532" s="20"/>
      <c r="AA532" s="20"/>
      <c r="AB532" s="20"/>
      <c r="AC532" s="20"/>
      <c r="AD532" s="20"/>
    </row>
    <row r="533" spans="1:30" ht="13.5" customHeight="1" x14ac:dyDescent="0.25">
      <c r="A533" s="26"/>
      <c r="B533" s="25"/>
      <c r="C533" s="26" t="s">
        <v>119</v>
      </c>
      <c r="D533" s="25">
        <v>20000</v>
      </c>
      <c r="E533" s="27" t="str">
        <f>INDEX([1]道具配置表!$D:$D,MATCH(D533,[1]道具配置表!$A:$A,0))</f>
        <v>技能点1</v>
      </c>
      <c r="F533" s="30">
        <v>28</v>
      </c>
      <c r="G533" s="30"/>
      <c r="H533" s="30"/>
      <c r="I533" s="30"/>
      <c r="K533" s="30">
        <v>1</v>
      </c>
      <c r="L533" s="25"/>
      <c r="M533" s="44" t="b">
        <v>1</v>
      </c>
      <c r="N533" s="25"/>
      <c r="V533" s="20"/>
      <c r="W533" s="20"/>
      <c r="X533" s="20"/>
      <c r="Y533" s="20"/>
      <c r="Z533" s="20"/>
      <c r="AA533" s="20"/>
      <c r="AB533" s="20"/>
      <c r="AC533" s="20"/>
      <c r="AD533" s="20"/>
    </row>
    <row r="534" spans="1:30" ht="13.5" customHeight="1" x14ac:dyDescent="0.25">
      <c r="A534" s="26"/>
      <c r="B534" s="25"/>
      <c r="C534" s="26" t="s">
        <v>119</v>
      </c>
      <c r="D534" s="30">
        <v>6101</v>
      </c>
      <c r="E534" s="30" t="str">
        <f>INDEX([1]道具配置表!$D:$D,MATCH(D534,[1]道具配置表!$A:$A,0))</f>
        <v>5分钟通用加速</v>
      </c>
      <c r="F534" s="30">
        <v>1</v>
      </c>
      <c r="G534" s="30"/>
      <c r="H534" s="30"/>
      <c r="I534" s="30"/>
      <c r="J534" s="30">
        <v>200</v>
      </c>
      <c r="K534" s="30"/>
      <c r="L534" s="25"/>
      <c r="M534" s="44" t="b">
        <v>1</v>
      </c>
      <c r="N534" s="25"/>
      <c r="V534" s="20"/>
      <c r="W534" s="20"/>
      <c r="X534" s="20"/>
      <c r="Y534" s="20"/>
      <c r="Z534" s="20"/>
      <c r="AA534" s="20"/>
      <c r="AB534" s="20"/>
      <c r="AC534" s="20"/>
      <c r="AD534" s="20"/>
    </row>
    <row r="535" spans="1:30" ht="13.5" customHeight="1" x14ac:dyDescent="0.25">
      <c r="A535" s="30"/>
      <c r="B535" s="30"/>
      <c r="C535" s="30"/>
      <c r="D535" s="30">
        <v>6121</v>
      </c>
      <c r="E535" s="30" t="str">
        <f>INDEX([1]道具配置表!$D:$D,MATCH(D535,[1]道具配置表!$A:$A,0))</f>
        <v>5分钟建造加速</v>
      </c>
      <c r="F535" s="30">
        <v>1</v>
      </c>
      <c r="G535" s="30"/>
      <c r="H535" s="30"/>
      <c r="I535" s="30"/>
      <c r="J535" s="30">
        <v>200</v>
      </c>
      <c r="K535" s="30"/>
      <c r="L535" s="30"/>
      <c r="M535" s="44" t="b">
        <v>1</v>
      </c>
      <c r="N535" s="3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spans="1:30" ht="13.5" customHeight="1" x14ac:dyDescent="0.25">
      <c r="A536" s="30"/>
      <c r="B536" s="30"/>
      <c r="C536" s="30"/>
      <c r="D536" s="30">
        <v>6141</v>
      </c>
      <c r="E536" s="30" t="str">
        <f>INDEX([1]道具配置表!$D:$D,MATCH(D536,[1]道具配置表!$A:$A,0))</f>
        <v>5分钟科技加速</v>
      </c>
      <c r="F536" s="30">
        <v>1</v>
      </c>
      <c r="G536" s="30"/>
      <c r="H536" s="30"/>
      <c r="I536" s="30"/>
      <c r="J536" s="30">
        <v>200</v>
      </c>
      <c r="K536" s="30"/>
      <c r="L536" s="30"/>
      <c r="M536" s="44" t="b">
        <v>1</v>
      </c>
      <c r="N536" s="3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spans="1:30" ht="13.5" customHeight="1" x14ac:dyDescent="0.25">
      <c r="A537" s="30"/>
      <c r="B537" s="30"/>
      <c r="C537" s="30"/>
      <c r="D537" s="30">
        <v>6161</v>
      </c>
      <c r="E537" s="30" t="str">
        <f>INDEX([1]道具配置表!$D:$D,MATCH(D537,[1]道具配置表!$A:$A,0))</f>
        <v>5分钟训练加速</v>
      </c>
      <c r="F537" s="30">
        <v>1</v>
      </c>
      <c r="G537" s="30"/>
      <c r="H537" s="30"/>
      <c r="I537" s="30"/>
      <c r="J537" s="30">
        <v>200</v>
      </c>
      <c r="K537" s="30"/>
      <c r="L537" s="30"/>
      <c r="M537" s="44" t="b">
        <v>1</v>
      </c>
      <c r="N537" s="3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spans="1:30" ht="13.5" customHeight="1" x14ac:dyDescent="0.25">
      <c r="A538" s="30"/>
      <c r="B538" s="30"/>
      <c r="C538" s="30"/>
      <c r="D538" s="30">
        <v>6181</v>
      </c>
      <c r="E538" s="30" t="str">
        <f>INDEX([1]道具配置表!$D:$D,MATCH(D538,[1]道具配置表!$A:$A,0))</f>
        <v>5分钟治疗加速</v>
      </c>
      <c r="F538" s="30">
        <v>1</v>
      </c>
      <c r="G538" s="30"/>
      <c r="H538" s="30"/>
      <c r="I538" s="30"/>
      <c r="J538" s="30">
        <v>200</v>
      </c>
      <c r="K538" s="30"/>
      <c r="L538" s="30"/>
      <c r="M538" s="44" t="b">
        <v>1</v>
      </c>
      <c r="N538" s="3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spans="1:30" ht="13.5" customHeight="1" x14ac:dyDescent="0.25">
      <c r="A539" s="44"/>
      <c r="B539" s="44"/>
      <c r="C539" s="44"/>
      <c r="D539" s="44">
        <v>2068</v>
      </c>
      <c r="E539" s="44" t="str">
        <f>INDEX([1]道具配置表!$D:$D,MATCH(D539,[1]道具配置表!$A:$A,0))</f>
        <v>庇佑蓝图</v>
      </c>
      <c r="F539" s="44">
        <v>2</v>
      </c>
      <c r="G539" s="44"/>
      <c r="H539" s="44"/>
      <c r="I539" s="44"/>
      <c r="J539" s="44"/>
      <c r="K539" s="44">
        <v>0.2</v>
      </c>
      <c r="L539" s="44"/>
      <c r="M539" s="44" t="b">
        <v>1</v>
      </c>
      <c r="N539" s="44"/>
      <c r="V539" s="20"/>
      <c r="W539" s="20"/>
      <c r="X539" s="20"/>
      <c r="Y539" s="20"/>
      <c r="Z539" s="20"/>
      <c r="AA539" s="20"/>
      <c r="AB539" s="20"/>
      <c r="AC539" s="20"/>
      <c r="AD539" s="20"/>
    </row>
    <row r="540" spans="1:30" ht="13.5" customHeight="1" x14ac:dyDescent="0.25">
      <c r="A540" s="26">
        <v>6605108</v>
      </c>
      <c r="B540" s="25" t="s">
        <v>275</v>
      </c>
      <c r="C540" s="26" t="s">
        <v>119</v>
      </c>
      <c r="D540" s="27">
        <v>222</v>
      </c>
      <c r="E540" s="27" t="str">
        <f>INDEX([1]道具配置表!$D:$D,MATCH(D540,[1]道具配置表!$A:$A,0))</f>
        <v>1千食物</v>
      </c>
      <c r="F540" s="30">
        <v>5</v>
      </c>
      <c r="G540" s="30">
        <v>1</v>
      </c>
      <c r="H540" s="30">
        <v>1</v>
      </c>
      <c r="I540" s="31" t="s">
        <v>368</v>
      </c>
      <c r="J540" s="30"/>
      <c r="K540" s="30">
        <v>1</v>
      </c>
      <c r="L540" s="25"/>
      <c r="M540" s="44" t="b">
        <v>1</v>
      </c>
      <c r="N540" s="25"/>
      <c r="V540" s="20"/>
      <c r="W540" s="20"/>
      <c r="X540" s="20"/>
      <c r="Y540" s="20"/>
      <c r="Z540" s="20"/>
      <c r="AA540" s="20"/>
      <c r="AB540" s="20"/>
      <c r="AC540" s="20"/>
      <c r="AD540" s="20"/>
    </row>
    <row r="541" spans="1:30" ht="13.5" customHeight="1" x14ac:dyDescent="0.25">
      <c r="A541" s="26"/>
      <c r="B541" s="25"/>
      <c r="C541" s="26" t="s">
        <v>119</v>
      </c>
      <c r="D541" s="27">
        <v>221</v>
      </c>
      <c r="E541" s="27" t="str">
        <f>INDEX([1]道具配置表!$D:$D,MATCH(D541,[1]道具配置表!$A:$A,0))</f>
        <v>1千木材</v>
      </c>
      <c r="F541" s="30">
        <v>5</v>
      </c>
      <c r="G541" s="30"/>
      <c r="H541" s="30"/>
      <c r="I541" s="30"/>
      <c r="J541" s="30"/>
      <c r="K541" s="30">
        <v>1</v>
      </c>
      <c r="L541" s="25"/>
      <c r="M541" s="44" t="b">
        <v>1</v>
      </c>
      <c r="N541" s="25"/>
      <c r="V541" s="20"/>
      <c r="W541" s="20"/>
      <c r="X541" s="20"/>
      <c r="Y541" s="20"/>
      <c r="Z541" s="20"/>
      <c r="AA541" s="20"/>
      <c r="AB541" s="20"/>
      <c r="AC541" s="20"/>
      <c r="AD541" s="20"/>
    </row>
    <row r="542" spans="1:30" ht="13.5" customHeight="1" x14ac:dyDescent="0.25">
      <c r="A542" s="26"/>
      <c r="B542" s="25"/>
      <c r="C542" s="26" t="s">
        <v>119</v>
      </c>
      <c r="D542" s="27">
        <v>223</v>
      </c>
      <c r="E542" s="27" t="str">
        <f>INDEX([1]道具配置表!$D:$D,MATCH(D542,[1]道具配置表!$A:$A,0))</f>
        <v>1千石头</v>
      </c>
      <c r="F542" s="30">
        <v>5</v>
      </c>
      <c r="G542" s="30"/>
      <c r="H542" s="30"/>
      <c r="I542" s="30"/>
      <c r="J542" s="30"/>
      <c r="K542" s="30">
        <v>1</v>
      </c>
      <c r="L542" s="25"/>
      <c r="M542" s="44" t="b">
        <v>1</v>
      </c>
      <c r="N542" s="25"/>
      <c r="V542" s="20"/>
      <c r="W542" s="20"/>
      <c r="X542" s="20"/>
      <c r="Y542" s="20"/>
      <c r="Z542" s="20"/>
      <c r="AA542" s="20"/>
      <c r="AB542" s="20"/>
      <c r="AC542" s="20"/>
      <c r="AD542" s="20"/>
    </row>
    <row r="543" spans="1:30" ht="13.5" customHeight="1" x14ac:dyDescent="0.25">
      <c r="A543" s="26"/>
      <c r="B543" s="25"/>
      <c r="C543" s="26" t="s">
        <v>119</v>
      </c>
      <c r="D543" s="25">
        <v>7227</v>
      </c>
      <c r="E543" s="27" t="str">
        <f>INDEX([1]道具配置表!$D:$D,MATCH(D543,[1]道具配置表!$A:$A,0))</f>
        <v>经验书*1000</v>
      </c>
      <c r="F543" s="30">
        <v>8</v>
      </c>
      <c r="G543" s="30"/>
      <c r="H543" s="30"/>
      <c r="I543" s="30"/>
      <c r="J543" s="30"/>
      <c r="K543" s="30">
        <v>1</v>
      </c>
      <c r="L543" s="25"/>
      <c r="M543" s="44" t="b">
        <v>1</v>
      </c>
      <c r="N543" s="25"/>
      <c r="V543" s="20"/>
      <c r="W543" s="20"/>
      <c r="X543" s="20"/>
      <c r="Y543" s="20"/>
      <c r="Z543" s="20"/>
      <c r="AA543" s="20"/>
      <c r="AB543" s="20"/>
      <c r="AC543" s="20"/>
      <c r="AD543" s="20"/>
    </row>
    <row r="544" spans="1:30" ht="13.5" customHeight="1" x14ac:dyDescent="0.25">
      <c r="A544" s="26"/>
      <c r="B544" s="25"/>
      <c r="C544" s="26" t="s">
        <v>119</v>
      </c>
      <c r="D544" s="25">
        <v>20000</v>
      </c>
      <c r="E544" s="27" t="str">
        <f>INDEX([1]道具配置表!$D:$D,MATCH(D544,[1]道具配置表!$A:$A,0))</f>
        <v>技能点1</v>
      </c>
      <c r="F544" s="30">
        <v>32</v>
      </c>
      <c r="G544" s="30"/>
      <c r="H544" s="30"/>
      <c r="I544" s="30"/>
      <c r="K544" s="30">
        <v>1</v>
      </c>
      <c r="L544" s="25"/>
      <c r="M544" s="44" t="b">
        <v>1</v>
      </c>
      <c r="N544" s="25"/>
      <c r="V544" s="20"/>
      <c r="W544" s="20"/>
      <c r="X544" s="20"/>
      <c r="Y544" s="20"/>
      <c r="Z544" s="20"/>
      <c r="AA544" s="20"/>
      <c r="AB544" s="20"/>
      <c r="AC544" s="20"/>
      <c r="AD544" s="20"/>
    </row>
    <row r="545" spans="1:30" ht="13.5" customHeight="1" x14ac:dyDescent="0.25">
      <c r="A545" s="26"/>
      <c r="B545" s="25"/>
      <c r="C545" s="26" t="s">
        <v>119</v>
      </c>
      <c r="D545" s="30">
        <v>6101</v>
      </c>
      <c r="E545" s="30" t="str">
        <f>INDEX([1]道具配置表!$D:$D,MATCH(D545,[1]道具配置表!$A:$A,0))</f>
        <v>5分钟通用加速</v>
      </c>
      <c r="F545" s="30">
        <v>1</v>
      </c>
      <c r="G545" s="30"/>
      <c r="H545" s="30"/>
      <c r="I545" s="30"/>
      <c r="J545" s="30">
        <v>200</v>
      </c>
      <c r="K545" s="30"/>
      <c r="L545" s="25"/>
      <c r="M545" s="44" t="b">
        <v>1</v>
      </c>
      <c r="N545" s="25"/>
      <c r="V545" s="20"/>
      <c r="W545" s="20"/>
      <c r="X545" s="20"/>
      <c r="Y545" s="20"/>
      <c r="Z545" s="20"/>
      <c r="AA545" s="20"/>
      <c r="AB545" s="20"/>
      <c r="AC545" s="20"/>
      <c r="AD545" s="20"/>
    </row>
    <row r="546" spans="1:30" ht="13.5" customHeight="1" x14ac:dyDescent="0.25">
      <c r="A546" s="30"/>
      <c r="B546" s="30"/>
      <c r="C546" s="30"/>
      <c r="D546" s="30">
        <v>6121</v>
      </c>
      <c r="E546" s="30" t="str">
        <f>INDEX([1]道具配置表!$D:$D,MATCH(D546,[1]道具配置表!$A:$A,0))</f>
        <v>5分钟建造加速</v>
      </c>
      <c r="F546" s="30">
        <v>1</v>
      </c>
      <c r="G546" s="30"/>
      <c r="H546" s="30"/>
      <c r="I546" s="30"/>
      <c r="J546" s="30">
        <v>200</v>
      </c>
      <c r="K546" s="30"/>
      <c r="L546" s="30"/>
      <c r="M546" s="44" t="b">
        <v>1</v>
      </c>
      <c r="N546" s="3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spans="1:30" ht="13.5" customHeight="1" x14ac:dyDescent="0.25">
      <c r="A547" s="30"/>
      <c r="B547" s="30"/>
      <c r="C547" s="30"/>
      <c r="D547" s="30">
        <v>6141</v>
      </c>
      <c r="E547" s="30" t="str">
        <f>INDEX([1]道具配置表!$D:$D,MATCH(D547,[1]道具配置表!$A:$A,0))</f>
        <v>5分钟科技加速</v>
      </c>
      <c r="F547" s="30">
        <v>1</v>
      </c>
      <c r="G547" s="30"/>
      <c r="H547" s="30"/>
      <c r="I547" s="30"/>
      <c r="J547" s="30">
        <v>200</v>
      </c>
      <c r="K547" s="30"/>
      <c r="L547" s="30"/>
      <c r="M547" s="44" t="b">
        <v>1</v>
      </c>
      <c r="N547" s="3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spans="1:30" ht="13.5" customHeight="1" x14ac:dyDescent="0.25">
      <c r="A548" s="30"/>
      <c r="B548" s="30"/>
      <c r="C548" s="30"/>
      <c r="D548" s="30">
        <v>6161</v>
      </c>
      <c r="E548" s="30" t="str">
        <f>INDEX([1]道具配置表!$D:$D,MATCH(D548,[1]道具配置表!$A:$A,0))</f>
        <v>5分钟训练加速</v>
      </c>
      <c r="F548" s="30">
        <v>1</v>
      </c>
      <c r="G548" s="30"/>
      <c r="H548" s="30"/>
      <c r="I548" s="30"/>
      <c r="J548" s="30">
        <v>200</v>
      </c>
      <c r="K548" s="30"/>
      <c r="L548" s="30"/>
      <c r="M548" s="44" t="b">
        <v>1</v>
      </c>
      <c r="N548" s="3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spans="1:30" ht="13.5" customHeight="1" x14ac:dyDescent="0.25">
      <c r="A549" s="30"/>
      <c r="B549" s="30"/>
      <c r="C549" s="30"/>
      <c r="D549" s="30">
        <v>6181</v>
      </c>
      <c r="E549" s="30" t="str">
        <f>INDEX([1]道具配置表!$D:$D,MATCH(D549,[1]道具配置表!$A:$A,0))</f>
        <v>5分钟治疗加速</v>
      </c>
      <c r="F549" s="30">
        <v>1</v>
      </c>
      <c r="G549" s="30"/>
      <c r="H549" s="30"/>
      <c r="I549" s="30"/>
      <c r="J549" s="30">
        <v>200</v>
      </c>
      <c r="K549" s="30"/>
      <c r="L549" s="30"/>
      <c r="M549" s="44" t="b">
        <v>1</v>
      </c>
      <c r="N549" s="3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spans="1:30" ht="13.5" customHeight="1" x14ac:dyDescent="0.25">
      <c r="A550" s="44"/>
      <c r="B550" s="44"/>
      <c r="C550" s="44"/>
      <c r="D550" s="44">
        <v>2068</v>
      </c>
      <c r="E550" s="44" t="str">
        <f>INDEX([1]道具配置表!$D:$D,MATCH(D550,[1]道具配置表!$A:$A,0))</f>
        <v>庇佑蓝图</v>
      </c>
      <c r="F550" s="44">
        <v>2</v>
      </c>
      <c r="G550" s="44"/>
      <c r="H550" s="44"/>
      <c r="I550" s="44"/>
      <c r="J550" s="44"/>
      <c r="K550" s="44">
        <v>0.2</v>
      </c>
      <c r="L550" s="44"/>
      <c r="M550" s="44" t="b">
        <v>1</v>
      </c>
      <c r="N550" s="44"/>
      <c r="V550" s="20"/>
      <c r="W550" s="20"/>
      <c r="X550" s="20"/>
      <c r="Y550" s="20"/>
      <c r="Z550" s="20"/>
      <c r="AA550" s="20"/>
      <c r="AB550" s="20"/>
      <c r="AC550" s="20"/>
      <c r="AD550" s="20"/>
    </row>
    <row r="551" spans="1:30" ht="13.5" customHeight="1" x14ac:dyDescent="0.25">
      <c r="A551" s="26">
        <v>6605109</v>
      </c>
      <c r="B551" s="25" t="s">
        <v>276</v>
      </c>
      <c r="C551" s="26" t="s">
        <v>119</v>
      </c>
      <c r="D551" s="27">
        <v>222</v>
      </c>
      <c r="E551" s="27" t="str">
        <f>INDEX([1]道具配置表!$D:$D,MATCH(D551,[1]道具配置表!$A:$A,0))</f>
        <v>1千食物</v>
      </c>
      <c r="F551" s="30">
        <v>6</v>
      </c>
      <c r="G551" s="30">
        <v>1</v>
      </c>
      <c r="H551" s="30">
        <v>1</v>
      </c>
      <c r="I551" s="31" t="s">
        <v>368</v>
      </c>
      <c r="J551" s="30"/>
      <c r="K551" s="30">
        <v>1</v>
      </c>
      <c r="L551" s="25"/>
      <c r="M551" s="44" t="b">
        <v>1</v>
      </c>
      <c r="N551" s="25"/>
      <c r="V551" s="20"/>
      <c r="W551" s="20"/>
      <c r="X551" s="20"/>
      <c r="Y551" s="20"/>
      <c r="Z551" s="20"/>
      <c r="AA551" s="20"/>
      <c r="AB551" s="20"/>
      <c r="AC551" s="20"/>
      <c r="AD551" s="20"/>
    </row>
    <row r="552" spans="1:30" ht="13.5" customHeight="1" x14ac:dyDescent="0.25">
      <c r="A552" s="26"/>
      <c r="B552" s="25"/>
      <c r="C552" s="26" t="s">
        <v>119</v>
      </c>
      <c r="D552" s="27">
        <v>221</v>
      </c>
      <c r="E552" s="27" t="str">
        <f>INDEX([1]道具配置表!$D:$D,MATCH(D552,[1]道具配置表!$A:$A,0))</f>
        <v>1千木材</v>
      </c>
      <c r="F552" s="30">
        <v>6</v>
      </c>
      <c r="G552" s="30"/>
      <c r="H552" s="30"/>
      <c r="I552" s="30"/>
      <c r="J552" s="30"/>
      <c r="K552" s="30">
        <v>1</v>
      </c>
      <c r="L552" s="25"/>
      <c r="M552" s="44" t="b">
        <v>1</v>
      </c>
      <c r="N552" s="25"/>
      <c r="V552" s="20"/>
      <c r="W552" s="20"/>
      <c r="X552" s="20"/>
      <c r="Y552" s="20"/>
      <c r="Z552" s="20"/>
      <c r="AA552" s="20"/>
      <c r="AB552" s="20"/>
      <c r="AC552" s="20"/>
      <c r="AD552" s="20"/>
    </row>
    <row r="553" spans="1:30" ht="13.5" customHeight="1" x14ac:dyDescent="0.25">
      <c r="A553" s="26"/>
      <c r="B553" s="25"/>
      <c r="C553" s="26" t="s">
        <v>119</v>
      </c>
      <c r="D553" s="27">
        <v>223</v>
      </c>
      <c r="E553" s="27" t="str">
        <f>INDEX([1]道具配置表!$D:$D,MATCH(D553,[1]道具配置表!$A:$A,0))</f>
        <v>1千石头</v>
      </c>
      <c r="F553" s="30">
        <v>6</v>
      </c>
      <c r="G553" s="30"/>
      <c r="H553" s="30"/>
      <c r="I553" s="30"/>
      <c r="J553" s="30"/>
      <c r="K553" s="30">
        <v>1</v>
      </c>
      <c r="L553" s="25"/>
      <c r="M553" s="44" t="b">
        <v>1</v>
      </c>
      <c r="N553" s="25"/>
      <c r="V553" s="20"/>
      <c r="W553" s="20"/>
      <c r="X553" s="20"/>
      <c r="Y553" s="20"/>
      <c r="Z553" s="20"/>
      <c r="AA553" s="20"/>
      <c r="AB553" s="20"/>
      <c r="AC553" s="20"/>
      <c r="AD553" s="20"/>
    </row>
    <row r="554" spans="1:30" ht="13.5" customHeight="1" x14ac:dyDescent="0.25">
      <c r="A554" s="26"/>
      <c r="B554" s="25"/>
      <c r="C554" s="26" t="s">
        <v>119</v>
      </c>
      <c r="D554" s="25">
        <v>7227</v>
      </c>
      <c r="E554" s="27" t="str">
        <f>INDEX([1]道具配置表!$D:$D,MATCH(D554,[1]道具配置表!$A:$A,0))</f>
        <v>经验书*1000</v>
      </c>
      <c r="F554" s="30">
        <v>9</v>
      </c>
      <c r="G554" s="30"/>
      <c r="H554" s="30"/>
      <c r="I554" s="30"/>
      <c r="J554" s="30"/>
      <c r="K554" s="30">
        <v>1</v>
      </c>
      <c r="L554" s="25"/>
      <c r="M554" s="44" t="b">
        <v>1</v>
      </c>
      <c r="N554" s="25"/>
      <c r="V554" s="20"/>
      <c r="W554" s="20"/>
      <c r="X554" s="20"/>
      <c r="Y554" s="20"/>
      <c r="Z554" s="20"/>
      <c r="AA554" s="20"/>
      <c r="AB554" s="20"/>
      <c r="AC554" s="20"/>
      <c r="AD554" s="20"/>
    </row>
    <row r="555" spans="1:30" ht="13.5" customHeight="1" x14ac:dyDescent="0.25">
      <c r="A555" s="26"/>
      <c r="B555" s="25"/>
      <c r="C555" s="26" t="s">
        <v>119</v>
      </c>
      <c r="D555" s="25">
        <v>20000</v>
      </c>
      <c r="E555" s="27" t="str">
        <f>INDEX([1]道具配置表!$D:$D,MATCH(D555,[1]道具配置表!$A:$A,0))</f>
        <v>技能点1</v>
      </c>
      <c r="F555" s="30">
        <v>36</v>
      </c>
      <c r="G555" s="30"/>
      <c r="H555" s="30"/>
      <c r="I555" s="30"/>
      <c r="K555" s="30">
        <v>1</v>
      </c>
      <c r="L555" s="25"/>
      <c r="M555" s="44" t="b">
        <v>1</v>
      </c>
      <c r="N555" s="25"/>
      <c r="V555" s="20"/>
      <c r="W555" s="20"/>
      <c r="X555" s="20"/>
      <c r="Y555" s="20"/>
      <c r="Z555" s="20"/>
      <c r="AA555" s="20"/>
      <c r="AB555" s="20"/>
      <c r="AC555" s="20"/>
      <c r="AD555" s="20"/>
    </row>
    <row r="556" spans="1:30" ht="13.5" customHeight="1" x14ac:dyDescent="0.25">
      <c r="A556" s="26"/>
      <c r="B556" s="25"/>
      <c r="C556" s="26" t="s">
        <v>119</v>
      </c>
      <c r="D556" s="30">
        <v>6101</v>
      </c>
      <c r="E556" s="30" t="str">
        <f>INDEX([1]道具配置表!$D:$D,MATCH(D556,[1]道具配置表!$A:$A,0))</f>
        <v>5分钟通用加速</v>
      </c>
      <c r="F556" s="30">
        <v>1</v>
      </c>
      <c r="G556" s="30"/>
      <c r="H556" s="30"/>
      <c r="I556" s="30"/>
      <c r="J556" s="30">
        <v>200</v>
      </c>
      <c r="K556" s="30"/>
      <c r="L556" s="25"/>
      <c r="M556" s="44" t="b">
        <v>1</v>
      </c>
      <c r="N556" s="25"/>
      <c r="V556" s="20"/>
      <c r="W556" s="20"/>
      <c r="X556" s="20"/>
      <c r="Y556" s="20"/>
      <c r="Z556" s="20"/>
      <c r="AA556" s="20"/>
      <c r="AB556" s="20"/>
      <c r="AC556" s="20"/>
      <c r="AD556" s="20"/>
    </row>
    <row r="557" spans="1:30" ht="13.5" customHeight="1" x14ac:dyDescent="0.25">
      <c r="A557" s="30"/>
      <c r="B557" s="30"/>
      <c r="C557" s="30"/>
      <c r="D557" s="30">
        <v>6121</v>
      </c>
      <c r="E557" s="30" t="str">
        <f>INDEX([1]道具配置表!$D:$D,MATCH(D557,[1]道具配置表!$A:$A,0))</f>
        <v>5分钟建造加速</v>
      </c>
      <c r="F557" s="30">
        <v>1</v>
      </c>
      <c r="G557" s="30"/>
      <c r="H557" s="30"/>
      <c r="I557" s="30"/>
      <c r="J557" s="30">
        <v>200</v>
      </c>
      <c r="K557" s="30"/>
      <c r="L557" s="30"/>
      <c r="M557" s="44" t="b">
        <v>1</v>
      </c>
      <c r="N557" s="3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spans="1:30" ht="13.5" customHeight="1" x14ac:dyDescent="0.25">
      <c r="A558" s="30"/>
      <c r="B558" s="30"/>
      <c r="C558" s="30"/>
      <c r="D558" s="30">
        <v>6141</v>
      </c>
      <c r="E558" s="30" t="str">
        <f>INDEX([1]道具配置表!$D:$D,MATCH(D558,[1]道具配置表!$A:$A,0))</f>
        <v>5分钟科技加速</v>
      </c>
      <c r="F558" s="30">
        <v>1</v>
      </c>
      <c r="G558" s="30"/>
      <c r="H558" s="30"/>
      <c r="I558" s="30"/>
      <c r="J558" s="30">
        <v>200</v>
      </c>
      <c r="K558" s="30"/>
      <c r="L558" s="30"/>
      <c r="M558" s="44" t="b">
        <v>1</v>
      </c>
      <c r="N558" s="3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spans="1:30" ht="13.5" customHeight="1" x14ac:dyDescent="0.25">
      <c r="A559" s="30"/>
      <c r="B559" s="30"/>
      <c r="C559" s="30"/>
      <c r="D559" s="30">
        <v>6161</v>
      </c>
      <c r="E559" s="30" t="str">
        <f>INDEX([1]道具配置表!$D:$D,MATCH(D559,[1]道具配置表!$A:$A,0))</f>
        <v>5分钟训练加速</v>
      </c>
      <c r="F559" s="30">
        <v>1</v>
      </c>
      <c r="G559" s="30"/>
      <c r="H559" s="30"/>
      <c r="I559" s="30"/>
      <c r="J559" s="30">
        <v>200</v>
      </c>
      <c r="K559" s="30"/>
      <c r="L559" s="30"/>
      <c r="M559" s="44" t="b">
        <v>1</v>
      </c>
      <c r="N559" s="3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spans="1:30" ht="13.5" customHeight="1" x14ac:dyDescent="0.25">
      <c r="A560" s="30"/>
      <c r="B560" s="30"/>
      <c r="C560" s="30"/>
      <c r="D560" s="30">
        <v>6181</v>
      </c>
      <c r="E560" s="30" t="str">
        <f>INDEX([1]道具配置表!$D:$D,MATCH(D560,[1]道具配置表!$A:$A,0))</f>
        <v>5分钟治疗加速</v>
      </c>
      <c r="F560" s="30">
        <v>1</v>
      </c>
      <c r="G560" s="30"/>
      <c r="H560" s="30"/>
      <c r="I560" s="30"/>
      <c r="J560" s="30">
        <v>200</v>
      </c>
      <c r="K560" s="30"/>
      <c r="L560" s="30"/>
      <c r="M560" s="44" t="b">
        <v>1</v>
      </c>
      <c r="N560" s="3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spans="1:30" ht="13.5" customHeight="1" x14ac:dyDescent="0.25">
      <c r="A561" s="44"/>
      <c r="B561" s="44"/>
      <c r="C561" s="44"/>
      <c r="D561" s="44">
        <v>2068</v>
      </c>
      <c r="E561" s="44" t="str">
        <f>INDEX([1]道具配置表!$D:$D,MATCH(D561,[1]道具配置表!$A:$A,0))</f>
        <v>庇佑蓝图</v>
      </c>
      <c r="F561" s="44">
        <v>2</v>
      </c>
      <c r="G561" s="44"/>
      <c r="H561" s="44"/>
      <c r="I561" s="44"/>
      <c r="J561" s="44"/>
      <c r="K561" s="44">
        <v>0.2</v>
      </c>
      <c r="L561" s="44"/>
      <c r="M561" s="44" t="b">
        <v>1</v>
      </c>
      <c r="N561" s="44"/>
      <c r="V561" s="20"/>
      <c r="W561" s="20"/>
      <c r="X561" s="20"/>
      <c r="Y561" s="20"/>
      <c r="Z561" s="20"/>
      <c r="AA561" s="20"/>
      <c r="AB561" s="20"/>
      <c r="AC561" s="20"/>
      <c r="AD561" s="20"/>
    </row>
    <row r="562" spans="1:30" ht="13.5" customHeight="1" x14ac:dyDescent="0.25">
      <c r="A562" s="26">
        <v>6605110</v>
      </c>
      <c r="B562" s="25" t="s">
        <v>277</v>
      </c>
      <c r="C562" s="26" t="s">
        <v>119</v>
      </c>
      <c r="D562" s="27">
        <v>222</v>
      </c>
      <c r="E562" s="27" t="str">
        <f>INDEX([1]道具配置表!$D:$D,MATCH(D562,[1]道具配置表!$A:$A,0))</f>
        <v>1千食物</v>
      </c>
      <c r="F562" s="30">
        <v>6</v>
      </c>
      <c r="G562" s="30">
        <v>1</v>
      </c>
      <c r="H562" s="30">
        <v>1</v>
      </c>
      <c r="I562" s="31" t="s">
        <v>368</v>
      </c>
      <c r="J562" s="30"/>
      <c r="K562" s="30">
        <v>1</v>
      </c>
      <c r="L562" s="25"/>
      <c r="M562" s="44" t="b">
        <v>1</v>
      </c>
      <c r="N562" s="25"/>
      <c r="V562" s="20"/>
      <c r="W562" s="20"/>
      <c r="X562" s="20"/>
      <c r="Y562" s="20"/>
      <c r="Z562" s="20"/>
      <c r="AA562" s="20"/>
      <c r="AB562" s="20"/>
      <c r="AC562" s="20"/>
      <c r="AD562" s="20"/>
    </row>
    <row r="563" spans="1:30" ht="13.5" customHeight="1" x14ac:dyDescent="0.25">
      <c r="A563" s="26"/>
      <c r="B563" s="25"/>
      <c r="C563" s="26" t="s">
        <v>119</v>
      </c>
      <c r="D563" s="27">
        <v>221</v>
      </c>
      <c r="E563" s="27" t="str">
        <f>INDEX([1]道具配置表!$D:$D,MATCH(D563,[1]道具配置表!$A:$A,0))</f>
        <v>1千木材</v>
      </c>
      <c r="F563" s="30">
        <v>6</v>
      </c>
      <c r="G563" s="30"/>
      <c r="H563" s="30"/>
      <c r="I563" s="30"/>
      <c r="J563" s="30"/>
      <c r="K563" s="30">
        <v>1</v>
      </c>
      <c r="L563" s="25"/>
      <c r="M563" s="44" t="b">
        <v>1</v>
      </c>
      <c r="N563" s="25"/>
      <c r="V563" s="20"/>
      <c r="W563" s="20"/>
      <c r="X563" s="20"/>
      <c r="Y563" s="20"/>
      <c r="Z563" s="20"/>
      <c r="AA563" s="20"/>
      <c r="AB563" s="20"/>
      <c r="AC563" s="20"/>
      <c r="AD563" s="20"/>
    </row>
    <row r="564" spans="1:30" ht="13.5" customHeight="1" x14ac:dyDescent="0.25">
      <c r="A564" s="26"/>
      <c r="B564" s="25"/>
      <c r="C564" s="26" t="s">
        <v>119</v>
      </c>
      <c r="D564" s="27">
        <v>223</v>
      </c>
      <c r="E564" s="27" t="str">
        <f>INDEX([1]道具配置表!$D:$D,MATCH(D564,[1]道具配置表!$A:$A,0))</f>
        <v>1千石头</v>
      </c>
      <c r="F564" s="30">
        <v>6</v>
      </c>
      <c r="G564" s="30"/>
      <c r="H564" s="30"/>
      <c r="I564" s="30"/>
      <c r="J564" s="30"/>
      <c r="K564" s="30">
        <v>1</v>
      </c>
      <c r="L564" s="25"/>
      <c r="M564" s="44" t="b">
        <v>1</v>
      </c>
      <c r="N564" s="25"/>
      <c r="V564" s="20"/>
      <c r="W564" s="20"/>
      <c r="X564" s="20"/>
      <c r="Y564" s="20"/>
      <c r="Z564" s="20"/>
      <c r="AA564" s="20"/>
      <c r="AB564" s="20"/>
      <c r="AC564" s="20"/>
      <c r="AD564" s="20"/>
    </row>
    <row r="565" spans="1:30" ht="13.5" customHeight="1" x14ac:dyDescent="0.25">
      <c r="A565" s="26"/>
      <c r="B565" s="25"/>
      <c r="C565" s="26" t="s">
        <v>119</v>
      </c>
      <c r="D565" s="25">
        <v>7227</v>
      </c>
      <c r="E565" s="27" t="str">
        <f>INDEX([1]道具配置表!$D:$D,MATCH(D565,[1]道具配置表!$A:$A,0))</f>
        <v>经验书*1000</v>
      </c>
      <c r="F565" s="30">
        <v>10</v>
      </c>
      <c r="G565" s="30"/>
      <c r="H565" s="30"/>
      <c r="I565" s="30"/>
      <c r="J565" s="30"/>
      <c r="K565" s="30">
        <v>1</v>
      </c>
      <c r="L565" s="25"/>
      <c r="M565" s="44" t="b">
        <v>1</v>
      </c>
      <c r="N565" s="25"/>
      <c r="V565" s="20"/>
      <c r="W565" s="20"/>
      <c r="X565" s="20"/>
      <c r="Y565" s="20"/>
      <c r="Z565" s="20"/>
      <c r="AA565" s="20"/>
      <c r="AB565" s="20"/>
      <c r="AC565" s="20"/>
      <c r="AD565" s="20"/>
    </row>
    <row r="566" spans="1:30" ht="13.5" customHeight="1" x14ac:dyDescent="0.25">
      <c r="A566" s="26"/>
      <c r="B566" s="25"/>
      <c r="C566" s="26" t="s">
        <v>119</v>
      </c>
      <c r="D566" s="25">
        <v>20000</v>
      </c>
      <c r="E566" s="27" t="str">
        <f>INDEX([1]道具配置表!$D:$D,MATCH(D566,[1]道具配置表!$A:$A,0))</f>
        <v>技能点1</v>
      </c>
      <c r="F566" s="30">
        <v>40</v>
      </c>
      <c r="G566" s="30"/>
      <c r="H566" s="30"/>
      <c r="I566" s="30"/>
      <c r="K566" s="30">
        <v>1</v>
      </c>
      <c r="L566" s="25"/>
      <c r="M566" s="44" t="b">
        <v>1</v>
      </c>
      <c r="N566" s="25"/>
      <c r="V566" s="20"/>
      <c r="W566" s="20"/>
      <c r="X566" s="20"/>
      <c r="Y566" s="20"/>
      <c r="Z566" s="20"/>
      <c r="AA566" s="20"/>
      <c r="AB566" s="20"/>
      <c r="AC566" s="20"/>
      <c r="AD566" s="20"/>
    </row>
    <row r="567" spans="1:30" ht="13.5" customHeight="1" x14ac:dyDescent="0.25">
      <c r="A567" s="26"/>
      <c r="B567" s="25"/>
      <c r="C567" s="26" t="s">
        <v>119</v>
      </c>
      <c r="D567" s="30">
        <v>6101</v>
      </c>
      <c r="E567" s="30" t="str">
        <f>INDEX([1]道具配置表!$D:$D,MATCH(D567,[1]道具配置表!$A:$A,0))</f>
        <v>5分钟通用加速</v>
      </c>
      <c r="F567" s="30">
        <v>1</v>
      </c>
      <c r="G567" s="30"/>
      <c r="H567" s="30"/>
      <c r="I567" s="30"/>
      <c r="J567" s="30">
        <v>200</v>
      </c>
      <c r="K567" s="30"/>
      <c r="L567" s="25"/>
      <c r="M567" s="44" t="b">
        <v>1</v>
      </c>
      <c r="N567" s="25"/>
      <c r="V567" s="20"/>
      <c r="W567" s="20"/>
      <c r="X567" s="20"/>
      <c r="Y567" s="20"/>
      <c r="Z567" s="20"/>
      <c r="AA567" s="20"/>
      <c r="AB567" s="20"/>
      <c r="AC567" s="20"/>
      <c r="AD567" s="20"/>
    </row>
    <row r="568" spans="1:30" ht="13.5" customHeight="1" x14ac:dyDescent="0.25">
      <c r="A568" s="30"/>
      <c r="B568" s="30"/>
      <c r="C568" s="30"/>
      <c r="D568" s="30">
        <v>6121</v>
      </c>
      <c r="E568" s="30" t="str">
        <f>INDEX([1]道具配置表!$D:$D,MATCH(D568,[1]道具配置表!$A:$A,0))</f>
        <v>5分钟建造加速</v>
      </c>
      <c r="F568" s="30">
        <v>1</v>
      </c>
      <c r="G568" s="30"/>
      <c r="H568" s="30"/>
      <c r="I568" s="30"/>
      <c r="J568" s="30">
        <v>200</v>
      </c>
      <c r="K568" s="30"/>
      <c r="L568" s="30"/>
      <c r="M568" s="44" t="b">
        <v>1</v>
      </c>
      <c r="N568" s="3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spans="1:30" ht="13.5" customHeight="1" x14ac:dyDescent="0.25">
      <c r="A569" s="30"/>
      <c r="B569" s="30"/>
      <c r="C569" s="30"/>
      <c r="D569" s="30">
        <v>6141</v>
      </c>
      <c r="E569" s="30" t="str">
        <f>INDEX([1]道具配置表!$D:$D,MATCH(D569,[1]道具配置表!$A:$A,0))</f>
        <v>5分钟科技加速</v>
      </c>
      <c r="F569" s="30">
        <v>1</v>
      </c>
      <c r="G569" s="30"/>
      <c r="H569" s="30"/>
      <c r="I569" s="30"/>
      <c r="J569" s="30">
        <v>200</v>
      </c>
      <c r="K569" s="30"/>
      <c r="L569" s="30"/>
      <c r="M569" s="44" t="b">
        <v>1</v>
      </c>
      <c r="N569" s="3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spans="1:30" ht="13.5" customHeight="1" x14ac:dyDescent="0.25">
      <c r="A570" s="30"/>
      <c r="B570" s="30"/>
      <c r="C570" s="30"/>
      <c r="D570" s="30">
        <v>6161</v>
      </c>
      <c r="E570" s="30" t="str">
        <f>INDEX([1]道具配置表!$D:$D,MATCH(D570,[1]道具配置表!$A:$A,0))</f>
        <v>5分钟训练加速</v>
      </c>
      <c r="F570" s="30">
        <v>1</v>
      </c>
      <c r="G570" s="30"/>
      <c r="H570" s="30"/>
      <c r="I570" s="30"/>
      <c r="J570" s="30">
        <v>200</v>
      </c>
      <c r="K570" s="30"/>
      <c r="L570" s="30"/>
      <c r="M570" s="44" t="b">
        <v>1</v>
      </c>
      <c r="N570" s="3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spans="1:30" ht="13.5" customHeight="1" x14ac:dyDescent="0.25">
      <c r="A571" s="30"/>
      <c r="B571" s="30"/>
      <c r="C571" s="30"/>
      <c r="D571" s="30">
        <v>6181</v>
      </c>
      <c r="E571" s="30" t="str">
        <f>INDEX([1]道具配置表!$D:$D,MATCH(D571,[1]道具配置表!$A:$A,0))</f>
        <v>5分钟治疗加速</v>
      </c>
      <c r="F571" s="30">
        <v>1</v>
      </c>
      <c r="G571" s="30"/>
      <c r="H571" s="30"/>
      <c r="I571" s="30"/>
      <c r="J571" s="30">
        <v>200</v>
      </c>
      <c r="K571" s="30"/>
      <c r="L571" s="30"/>
      <c r="M571" s="44" t="b">
        <v>1</v>
      </c>
      <c r="N571" s="3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spans="1:30" ht="13.5" customHeight="1" x14ac:dyDescent="0.25">
      <c r="A572" s="44"/>
      <c r="B572" s="44"/>
      <c r="C572" s="44"/>
      <c r="D572" s="44">
        <v>2068</v>
      </c>
      <c r="E572" s="44" t="str">
        <f>INDEX([1]道具配置表!$D:$D,MATCH(D572,[1]道具配置表!$A:$A,0))</f>
        <v>庇佑蓝图</v>
      </c>
      <c r="F572" s="44">
        <v>3</v>
      </c>
      <c r="G572" s="44"/>
      <c r="H572" s="44"/>
      <c r="I572" s="44"/>
      <c r="J572" s="44"/>
      <c r="K572" s="44">
        <v>0.2</v>
      </c>
      <c r="L572" s="44"/>
      <c r="M572" s="44" t="b">
        <v>1</v>
      </c>
      <c r="N572" s="44"/>
      <c r="V572" s="20"/>
      <c r="W572" s="20"/>
      <c r="X572" s="20"/>
      <c r="Y572" s="20"/>
      <c r="Z572" s="20"/>
      <c r="AA572" s="20"/>
      <c r="AB572" s="20"/>
      <c r="AC572" s="20"/>
      <c r="AD572" s="20"/>
    </row>
    <row r="573" spans="1:30" ht="13.5" customHeight="1" x14ac:dyDescent="0.25">
      <c r="A573" s="26">
        <v>6605111</v>
      </c>
      <c r="B573" s="25" t="s">
        <v>278</v>
      </c>
      <c r="C573" s="26" t="s">
        <v>119</v>
      </c>
      <c r="D573" s="27">
        <v>222</v>
      </c>
      <c r="E573" s="27" t="str">
        <f>INDEX([1]道具配置表!$D:$D,MATCH(D573,[1]道具配置表!$A:$A,0))</f>
        <v>1千食物</v>
      </c>
      <c r="F573" s="30">
        <v>7</v>
      </c>
      <c r="G573" s="30">
        <v>1</v>
      </c>
      <c r="H573" s="30">
        <v>1</v>
      </c>
      <c r="I573" s="31" t="s">
        <v>368</v>
      </c>
      <c r="J573" s="30"/>
      <c r="K573" s="30">
        <v>1</v>
      </c>
      <c r="L573" s="25"/>
      <c r="M573" s="44" t="b">
        <v>1</v>
      </c>
      <c r="N573" s="25"/>
      <c r="V573" s="20"/>
      <c r="W573" s="20"/>
      <c r="X573" s="20"/>
      <c r="Y573" s="20"/>
      <c r="Z573" s="20"/>
      <c r="AA573" s="20"/>
      <c r="AB573" s="20"/>
      <c r="AC573" s="20"/>
      <c r="AD573" s="20"/>
    </row>
    <row r="574" spans="1:30" ht="13.5" customHeight="1" x14ac:dyDescent="0.25">
      <c r="A574" s="26"/>
      <c r="B574" s="25"/>
      <c r="C574" s="26" t="s">
        <v>119</v>
      </c>
      <c r="D574" s="27">
        <v>221</v>
      </c>
      <c r="E574" s="27" t="str">
        <f>INDEX([1]道具配置表!$D:$D,MATCH(D574,[1]道具配置表!$A:$A,0))</f>
        <v>1千木材</v>
      </c>
      <c r="F574" s="30">
        <v>7</v>
      </c>
      <c r="G574" s="30"/>
      <c r="H574" s="30"/>
      <c r="I574" s="30"/>
      <c r="J574" s="30"/>
      <c r="K574" s="30">
        <v>1</v>
      </c>
      <c r="L574" s="25"/>
      <c r="M574" s="44" t="b">
        <v>1</v>
      </c>
      <c r="N574" s="25"/>
      <c r="V574" s="20"/>
      <c r="W574" s="20"/>
      <c r="X574" s="20"/>
      <c r="Y574" s="20"/>
      <c r="Z574" s="20"/>
      <c r="AA574" s="20"/>
      <c r="AB574" s="20"/>
      <c r="AC574" s="20"/>
      <c r="AD574" s="20"/>
    </row>
    <row r="575" spans="1:30" ht="13.5" customHeight="1" x14ac:dyDescent="0.25">
      <c r="A575" s="26"/>
      <c r="B575" s="25"/>
      <c r="C575" s="26" t="s">
        <v>119</v>
      </c>
      <c r="D575" s="27">
        <v>223</v>
      </c>
      <c r="E575" s="27" t="str">
        <f>INDEX([1]道具配置表!$D:$D,MATCH(D575,[1]道具配置表!$A:$A,0))</f>
        <v>1千石头</v>
      </c>
      <c r="F575" s="30">
        <v>7</v>
      </c>
      <c r="G575" s="30"/>
      <c r="H575" s="30"/>
      <c r="I575" s="30"/>
      <c r="J575" s="30"/>
      <c r="K575" s="30">
        <v>1</v>
      </c>
      <c r="L575" s="25"/>
      <c r="M575" s="44" t="b">
        <v>1</v>
      </c>
      <c r="N575" s="25"/>
      <c r="V575" s="20"/>
      <c r="W575" s="20"/>
      <c r="X575" s="20"/>
      <c r="Y575" s="20"/>
      <c r="Z575" s="20"/>
      <c r="AA575" s="20"/>
      <c r="AB575" s="20"/>
      <c r="AC575" s="20"/>
      <c r="AD575" s="20"/>
    </row>
    <row r="576" spans="1:30" ht="13.5" customHeight="1" x14ac:dyDescent="0.25">
      <c r="A576" s="26"/>
      <c r="B576" s="25"/>
      <c r="C576" s="26" t="s">
        <v>119</v>
      </c>
      <c r="D576" s="25">
        <v>224</v>
      </c>
      <c r="E576" s="27" t="str">
        <f>INDEX([1]道具配置表!$D:$D,MATCH(D576,[1]道具配置表!$A:$A,0))</f>
        <v>1千黄金</v>
      </c>
      <c r="F576" s="30">
        <v>7</v>
      </c>
      <c r="G576" s="30"/>
      <c r="H576" s="30"/>
      <c r="I576" s="30"/>
      <c r="J576" s="30"/>
      <c r="K576" s="30">
        <v>1</v>
      </c>
      <c r="L576" s="25"/>
      <c r="M576" s="44" t="b">
        <v>1</v>
      </c>
      <c r="N576" s="25"/>
      <c r="V576" s="20"/>
      <c r="W576" s="20"/>
      <c r="X576" s="20"/>
      <c r="Y576" s="20"/>
      <c r="Z576" s="20"/>
      <c r="AA576" s="20"/>
      <c r="AB576" s="20"/>
      <c r="AC576" s="20"/>
      <c r="AD576" s="20"/>
    </row>
    <row r="577" spans="1:30" ht="13.5" customHeight="1" x14ac:dyDescent="0.25">
      <c r="A577" s="26"/>
      <c r="B577" s="25"/>
      <c r="C577" s="26" t="s">
        <v>119</v>
      </c>
      <c r="D577" s="25">
        <v>7227</v>
      </c>
      <c r="E577" s="27" t="str">
        <f>INDEX([1]道具配置表!$D:$D,MATCH(D577,[1]道具配置表!$A:$A,0))</f>
        <v>经验书*1000</v>
      </c>
      <c r="F577" s="30">
        <v>11</v>
      </c>
      <c r="G577" s="30"/>
      <c r="H577" s="30"/>
      <c r="I577" s="30"/>
      <c r="J577" s="30"/>
      <c r="K577" s="30">
        <v>1</v>
      </c>
      <c r="L577" s="25"/>
      <c r="M577" s="44" t="b">
        <v>1</v>
      </c>
      <c r="N577" s="25"/>
      <c r="V577" s="20"/>
      <c r="W577" s="20"/>
      <c r="X577" s="20"/>
      <c r="Y577" s="20"/>
      <c r="Z577" s="20"/>
      <c r="AA577" s="20"/>
      <c r="AB577" s="20"/>
      <c r="AC577" s="20"/>
      <c r="AD577" s="20"/>
    </row>
    <row r="578" spans="1:30" ht="13.5" customHeight="1" x14ac:dyDescent="0.25">
      <c r="A578" s="26"/>
      <c r="B578" s="25"/>
      <c r="C578" s="26" t="s">
        <v>119</v>
      </c>
      <c r="D578" s="25">
        <v>20000</v>
      </c>
      <c r="E578" s="27" t="str">
        <f>INDEX([1]道具配置表!$D:$D,MATCH(D578,[1]道具配置表!$A:$A,0))</f>
        <v>技能点1</v>
      </c>
      <c r="F578" s="30">
        <v>44</v>
      </c>
      <c r="G578" s="30"/>
      <c r="H578" s="30"/>
      <c r="I578" s="30"/>
      <c r="J578" s="30"/>
      <c r="K578" s="30">
        <v>1</v>
      </c>
      <c r="L578" s="25"/>
      <c r="M578" s="44" t="b">
        <v>1</v>
      </c>
      <c r="N578" s="25"/>
      <c r="V578" s="20"/>
      <c r="W578" s="20"/>
      <c r="X578" s="20"/>
      <c r="Y578" s="20"/>
      <c r="Z578" s="20"/>
      <c r="AA578" s="20"/>
      <c r="AB578" s="20"/>
      <c r="AC578" s="20"/>
      <c r="AD578" s="20"/>
    </row>
    <row r="579" spans="1:30" ht="13.5" customHeight="1" x14ac:dyDescent="0.25">
      <c r="A579" s="26"/>
      <c r="B579" s="25"/>
      <c r="C579" s="26" t="s">
        <v>119</v>
      </c>
      <c r="D579" s="30">
        <v>6101</v>
      </c>
      <c r="E579" s="30" t="str">
        <f>INDEX([1]道具配置表!$D:$D,MATCH(D579,[1]道具配置表!$A:$A,0))</f>
        <v>5分钟通用加速</v>
      </c>
      <c r="F579" s="30">
        <v>1</v>
      </c>
      <c r="G579" s="30"/>
      <c r="H579" s="30"/>
      <c r="I579" s="30"/>
      <c r="J579" s="30">
        <v>200</v>
      </c>
      <c r="K579" s="30"/>
      <c r="L579" s="25"/>
      <c r="M579" s="44" t="b">
        <v>1</v>
      </c>
      <c r="N579" s="25"/>
      <c r="V579" s="20"/>
      <c r="W579" s="20"/>
      <c r="X579" s="20"/>
      <c r="Y579" s="20"/>
      <c r="Z579" s="20"/>
      <c r="AA579" s="20"/>
      <c r="AB579" s="20"/>
      <c r="AC579" s="20"/>
      <c r="AD579" s="20"/>
    </row>
    <row r="580" spans="1:30" ht="13.5" customHeight="1" x14ac:dyDescent="0.25">
      <c r="A580" s="30"/>
      <c r="B580" s="30"/>
      <c r="C580" s="30"/>
      <c r="D580" s="30">
        <v>6121</v>
      </c>
      <c r="E580" s="30" t="str">
        <f>INDEX([1]道具配置表!$D:$D,MATCH(D580,[1]道具配置表!$A:$A,0))</f>
        <v>5分钟建造加速</v>
      </c>
      <c r="F580" s="30">
        <v>1</v>
      </c>
      <c r="G580" s="30"/>
      <c r="H580" s="30"/>
      <c r="I580" s="30"/>
      <c r="J580" s="30">
        <v>200</v>
      </c>
      <c r="K580" s="30"/>
      <c r="L580" s="30"/>
      <c r="M580" s="44" t="b">
        <v>1</v>
      </c>
      <c r="N580" s="3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spans="1:30" ht="13.5" customHeight="1" x14ac:dyDescent="0.25">
      <c r="A581" s="30"/>
      <c r="B581" s="30"/>
      <c r="C581" s="30"/>
      <c r="D581" s="30">
        <v>6141</v>
      </c>
      <c r="E581" s="30" t="str">
        <f>INDEX([1]道具配置表!$D:$D,MATCH(D581,[1]道具配置表!$A:$A,0))</f>
        <v>5分钟科技加速</v>
      </c>
      <c r="F581" s="30">
        <v>1</v>
      </c>
      <c r="G581" s="30"/>
      <c r="H581" s="30"/>
      <c r="I581" s="30"/>
      <c r="J581" s="30">
        <v>200</v>
      </c>
      <c r="K581" s="30"/>
      <c r="L581" s="30"/>
      <c r="M581" s="44" t="b">
        <v>1</v>
      </c>
      <c r="N581" s="3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spans="1:30" ht="13.5" customHeight="1" x14ac:dyDescent="0.25">
      <c r="A582" s="30"/>
      <c r="B582" s="30"/>
      <c r="C582" s="30"/>
      <c r="D582" s="30">
        <v>6161</v>
      </c>
      <c r="E582" s="30" t="str">
        <f>INDEX([1]道具配置表!$D:$D,MATCH(D582,[1]道具配置表!$A:$A,0))</f>
        <v>5分钟训练加速</v>
      </c>
      <c r="F582" s="30">
        <v>1</v>
      </c>
      <c r="G582" s="30"/>
      <c r="H582" s="30"/>
      <c r="I582" s="30"/>
      <c r="J582" s="30">
        <v>200</v>
      </c>
      <c r="K582" s="30"/>
      <c r="L582" s="30"/>
      <c r="M582" s="44" t="b">
        <v>1</v>
      </c>
      <c r="N582" s="3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spans="1:30" ht="13.5" customHeight="1" x14ac:dyDescent="0.25">
      <c r="A583" s="30"/>
      <c r="B583" s="30"/>
      <c r="C583" s="30"/>
      <c r="D583" s="30">
        <v>6181</v>
      </c>
      <c r="E583" s="30" t="str">
        <f>INDEX([1]道具配置表!$D:$D,MATCH(D583,[1]道具配置表!$A:$A,0))</f>
        <v>5分钟治疗加速</v>
      </c>
      <c r="F583" s="30">
        <v>1</v>
      </c>
      <c r="G583" s="30"/>
      <c r="H583" s="30"/>
      <c r="I583" s="30"/>
      <c r="J583" s="30">
        <v>200</v>
      </c>
      <c r="K583" s="30"/>
      <c r="L583" s="30"/>
      <c r="M583" s="44" t="b">
        <v>1</v>
      </c>
      <c r="N583" s="3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spans="1:30" ht="13.5" customHeight="1" x14ac:dyDescent="0.25">
      <c r="A584" s="44"/>
      <c r="B584" s="44"/>
      <c r="C584" s="44"/>
      <c r="D584" s="44">
        <v>2068</v>
      </c>
      <c r="E584" s="44" t="str">
        <f>INDEX([1]道具配置表!$D:$D,MATCH(D584,[1]道具配置表!$A:$A,0))</f>
        <v>庇佑蓝图</v>
      </c>
      <c r="F584" s="44">
        <v>3</v>
      </c>
      <c r="G584" s="44"/>
      <c r="H584" s="44"/>
      <c r="I584" s="44"/>
      <c r="J584" s="44"/>
      <c r="K584" s="44">
        <v>0.2</v>
      </c>
      <c r="L584" s="44"/>
      <c r="M584" s="44" t="b">
        <v>1</v>
      </c>
      <c r="N584" s="44"/>
      <c r="V584" s="20"/>
      <c r="W584" s="20"/>
      <c r="X584" s="20"/>
      <c r="Y584" s="20"/>
      <c r="Z584" s="20"/>
      <c r="AA584" s="20"/>
      <c r="AB584" s="20"/>
      <c r="AC584" s="20"/>
      <c r="AD584" s="20"/>
    </row>
    <row r="585" spans="1:30" ht="13.5" customHeight="1" x14ac:dyDescent="0.25">
      <c r="A585" s="26">
        <v>6605112</v>
      </c>
      <c r="B585" s="25" t="s">
        <v>279</v>
      </c>
      <c r="C585" s="26" t="s">
        <v>119</v>
      </c>
      <c r="D585" s="27">
        <v>222</v>
      </c>
      <c r="E585" s="27" t="str">
        <f>INDEX([1]道具配置表!$D:$D,MATCH(D585,[1]道具配置表!$A:$A,0))</f>
        <v>1千食物</v>
      </c>
      <c r="F585" s="30">
        <v>7</v>
      </c>
      <c r="G585" s="30">
        <v>1</v>
      </c>
      <c r="H585" s="30">
        <v>1</v>
      </c>
      <c r="I585" s="31" t="s">
        <v>368</v>
      </c>
      <c r="J585" s="30"/>
      <c r="K585" s="30">
        <v>1</v>
      </c>
      <c r="L585" s="25"/>
      <c r="M585" s="44" t="b">
        <v>1</v>
      </c>
      <c r="N585" s="25"/>
      <c r="V585" s="20"/>
      <c r="W585" s="20"/>
      <c r="X585" s="20"/>
      <c r="Y585" s="20"/>
      <c r="Z585" s="20"/>
      <c r="AA585" s="20"/>
      <c r="AB585" s="20"/>
      <c r="AC585" s="20"/>
      <c r="AD585" s="20"/>
    </row>
    <row r="586" spans="1:30" ht="13.5" customHeight="1" x14ac:dyDescent="0.25">
      <c r="A586" s="26"/>
      <c r="B586" s="25"/>
      <c r="C586" s="26" t="s">
        <v>119</v>
      </c>
      <c r="D586" s="27">
        <v>221</v>
      </c>
      <c r="E586" s="27" t="str">
        <f>INDEX([1]道具配置表!$D:$D,MATCH(D586,[1]道具配置表!$A:$A,0))</f>
        <v>1千木材</v>
      </c>
      <c r="F586" s="30">
        <v>7</v>
      </c>
      <c r="G586" s="30"/>
      <c r="H586" s="30"/>
      <c r="I586" s="30"/>
      <c r="J586" s="30"/>
      <c r="K586" s="30">
        <v>1</v>
      </c>
      <c r="L586" s="25"/>
      <c r="M586" s="44" t="b">
        <v>1</v>
      </c>
      <c r="N586" s="25"/>
      <c r="V586" s="20"/>
      <c r="W586" s="20"/>
      <c r="X586" s="20"/>
      <c r="Y586" s="20"/>
      <c r="Z586" s="20"/>
      <c r="AA586" s="20"/>
      <c r="AB586" s="20"/>
      <c r="AC586" s="20"/>
      <c r="AD586" s="20"/>
    </row>
    <row r="587" spans="1:30" ht="13.5" customHeight="1" x14ac:dyDescent="0.25">
      <c r="A587" s="26"/>
      <c r="B587" s="25"/>
      <c r="C587" s="26" t="s">
        <v>119</v>
      </c>
      <c r="D587" s="27">
        <v>223</v>
      </c>
      <c r="E587" s="27" t="str">
        <f>INDEX([1]道具配置表!$D:$D,MATCH(D587,[1]道具配置表!$A:$A,0))</f>
        <v>1千石头</v>
      </c>
      <c r="F587" s="30">
        <v>7</v>
      </c>
      <c r="G587" s="30"/>
      <c r="H587" s="30"/>
      <c r="I587" s="30"/>
      <c r="J587" s="30"/>
      <c r="K587" s="30">
        <v>1</v>
      </c>
      <c r="L587" s="25"/>
      <c r="M587" s="44" t="b">
        <v>1</v>
      </c>
      <c r="N587" s="25"/>
      <c r="V587" s="20"/>
      <c r="W587" s="20"/>
      <c r="X587" s="20"/>
      <c r="Y587" s="20"/>
      <c r="Z587" s="20"/>
      <c r="AA587" s="20"/>
      <c r="AB587" s="20"/>
      <c r="AC587" s="20"/>
      <c r="AD587" s="20"/>
    </row>
    <row r="588" spans="1:30" ht="13.5" customHeight="1" x14ac:dyDescent="0.25">
      <c r="A588" s="26"/>
      <c r="B588" s="25"/>
      <c r="C588" s="26" t="s">
        <v>119</v>
      </c>
      <c r="D588" s="27">
        <v>224</v>
      </c>
      <c r="E588" s="27" t="str">
        <f>INDEX([1]道具配置表!$D:$D,MATCH(D588,[1]道具配置表!$A:$A,0))</f>
        <v>1千黄金</v>
      </c>
      <c r="F588" s="30">
        <v>7</v>
      </c>
      <c r="G588" s="30"/>
      <c r="H588" s="30"/>
      <c r="I588" s="30"/>
      <c r="J588" s="30"/>
      <c r="K588" s="30">
        <v>1</v>
      </c>
      <c r="L588" s="25"/>
      <c r="M588" s="44" t="b">
        <v>1</v>
      </c>
      <c r="N588" s="25"/>
      <c r="V588" s="20"/>
      <c r="W588" s="20"/>
      <c r="X588" s="20"/>
      <c r="Y588" s="20"/>
      <c r="Z588" s="20"/>
      <c r="AA588" s="20"/>
      <c r="AB588" s="20"/>
      <c r="AC588" s="20"/>
      <c r="AD588" s="20"/>
    </row>
    <row r="589" spans="1:30" ht="13.5" customHeight="1" x14ac:dyDescent="0.25">
      <c r="A589" s="26"/>
      <c r="B589" s="25"/>
      <c r="C589" s="26" t="s">
        <v>119</v>
      </c>
      <c r="D589" s="25">
        <v>7227</v>
      </c>
      <c r="E589" s="27" t="str">
        <f>INDEX([1]道具配置表!$D:$D,MATCH(D589,[1]道具配置表!$A:$A,0))</f>
        <v>经验书*1000</v>
      </c>
      <c r="F589" s="30">
        <v>12</v>
      </c>
      <c r="G589" s="30"/>
      <c r="H589" s="30"/>
      <c r="I589" s="30"/>
      <c r="J589" s="30"/>
      <c r="K589" s="30">
        <v>1</v>
      </c>
      <c r="L589" s="25"/>
      <c r="M589" s="44" t="b">
        <v>1</v>
      </c>
      <c r="N589" s="25"/>
      <c r="V589" s="20"/>
      <c r="W589" s="20"/>
      <c r="X589" s="20"/>
      <c r="Y589" s="20"/>
      <c r="Z589" s="20"/>
      <c r="AA589" s="20"/>
      <c r="AB589" s="20"/>
      <c r="AC589" s="20"/>
      <c r="AD589" s="20"/>
    </row>
    <row r="590" spans="1:30" ht="13.5" customHeight="1" x14ac:dyDescent="0.25">
      <c r="A590" s="26"/>
      <c r="B590" s="25"/>
      <c r="C590" s="26" t="s">
        <v>119</v>
      </c>
      <c r="D590" s="25">
        <v>20000</v>
      </c>
      <c r="E590" s="27" t="str">
        <f>INDEX([1]道具配置表!$D:$D,MATCH(D590,[1]道具配置表!$A:$A,0))</f>
        <v>技能点1</v>
      </c>
      <c r="F590" s="30">
        <v>48</v>
      </c>
      <c r="G590" s="30"/>
      <c r="H590" s="30"/>
      <c r="I590" s="30"/>
      <c r="J590" s="30"/>
      <c r="K590" s="30">
        <v>1</v>
      </c>
      <c r="L590" s="25"/>
      <c r="M590" s="44" t="b">
        <v>1</v>
      </c>
      <c r="N590" s="25"/>
      <c r="V590" s="20"/>
      <c r="W590" s="20"/>
      <c r="X590" s="20"/>
      <c r="Y590" s="20"/>
      <c r="Z590" s="20"/>
      <c r="AA590" s="20"/>
      <c r="AB590" s="20"/>
      <c r="AC590" s="20"/>
      <c r="AD590" s="20"/>
    </row>
    <row r="591" spans="1:30" ht="13.5" customHeight="1" x14ac:dyDescent="0.25">
      <c r="A591" s="26"/>
      <c r="B591" s="25"/>
      <c r="C591" s="26" t="s">
        <v>119</v>
      </c>
      <c r="D591" s="30">
        <v>6101</v>
      </c>
      <c r="E591" s="30" t="str">
        <f>INDEX([1]道具配置表!$D:$D,MATCH(D591,[1]道具配置表!$A:$A,0))</f>
        <v>5分钟通用加速</v>
      </c>
      <c r="F591" s="30">
        <v>1</v>
      </c>
      <c r="G591" s="30"/>
      <c r="H591" s="30"/>
      <c r="I591" s="30"/>
      <c r="J591" s="30">
        <v>200</v>
      </c>
      <c r="K591" s="30"/>
      <c r="L591" s="25"/>
      <c r="M591" s="44" t="b">
        <v>1</v>
      </c>
      <c r="N591" s="25"/>
      <c r="V591" s="20"/>
      <c r="W591" s="20"/>
      <c r="X591" s="20"/>
      <c r="Y591" s="20"/>
      <c r="Z591" s="20"/>
      <c r="AA591" s="20"/>
      <c r="AB591" s="20"/>
      <c r="AC591" s="20"/>
      <c r="AD591" s="20"/>
    </row>
    <row r="592" spans="1:30" ht="13.5" customHeight="1" x14ac:dyDescent="0.25">
      <c r="A592" s="30"/>
      <c r="B592" s="30"/>
      <c r="C592" s="30"/>
      <c r="D592" s="30">
        <v>6121</v>
      </c>
      <c r="E592" s="30" t="str">
        <f>INDEX([1]道具配置表!$D:$D,MATCH(D592,[1]道具配置表!$A:$A,0))</f>
        <v>5分钟建造加速</v>
      </c>
      <c r="F592" s="30">
        <v>1</v>
      </c>
      <c r="G592" s="30"/>
      <c r="H592" s="30"/>
      <c r="I592" s="30"/>
      <c r="J592" s="30">
        <v>200</v>
      </c>
      <c r="K592" s="30"/>
      <c r="L592" s="30"/>
      <c r="M592" s="44" t="b">
        <v>1</v>
      </c>
      <c r="N592" s="3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spans="1:30" ht="13.5" customHeight="1" x14ac:dyDescent="0.25">
      <c r="A593" s="30"/>
      <c r="B593" s="30"/>
      <c r="C593" s="30"/>
      <c r="D593" s="30">
        <v>6141</v>
      </c>
      <c r="E593" s="30" t="str">
        <f>INDEX([1]道具配置表!$D:$D,MATCH(D593,[1]道具配置表!$A:$A,0))</f>
        <v>5分钟科技加速</v>
      </c>
      <c r="F593" s="30">
        <v>1</v>
      </c>
      <c r="G593" s="30"/>
      <c r="H593" s="30"/>
      <c r="I593" s="30"/>
      <c r="J593" s="30">
        <v>200</v>
      </c>
      <c r="K593" s="30"/>
      <c r="L593" s="30"/>
      <c r="M593" s="44" t="b">
        <v>1</v>
      </c>
      <c r="N593" s="3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spans="1:30" ht="13.5" customHeight="1" x14ac:dyDescent="0.25">
      <c r="A594" s="30"/>
      <c r="B594" s="30"/>
      <c r="C594" s="30"/>
      <c r="D594" s="30">
        <v>6161</v>
      </c>
      <c r="E594" s="30" t="str">
        <f>INDEX([1]道具配置表!$D:$D,MATCH(D594,[1]道具配置表!$A:$A,0))</f>
        <v>5分钟训练加速</v>
      </c>
      <c r="F594" s="30">
        <v>1</v>
      </c>
      <c r="G594" s="30"/>
      <c r="H594" s="30"/>
      <c r="I594" s="30"/>
      <c r="J594" s="30">
        <v>200</v>
      </c>
      <c r="K594" s="30"/>
      <c r="L594" s="30"/>
      <c r="M594" s="44" t="b">
        <v>1</v>
      </c>
      <c r="N594" s="3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spans="1:30" ht="13.5" customHeight="1" x14ac:dyDescent="0.25">
      <c r="A595" s="30"/>
      <c r="B595" s="30"/>
      <c r="C595" s="30"/>
      <c r="D595" s="30">
        <v>6181</v>
      </c>
      <c r="E595" s="30" t="str">
        <f>INDEX([1]道具配置表!$D:$D,MATCH(D595,[1]道具配置表!$A:$A,0))</f>
        <v>5分钟治疗加速</v>
      </c>
      <c r="F595" s="30">
        <v>1</v>
      </c>
      <c r="G595" s="30"/>
      <c r="H595" s="30"/>
      <c r="I595" s="30"/>
      <c r="J595" s="30">
        <v>200</v>
      </c>
      <c r="K595" s="30"/>
      <c r="L595" s="30"/>
      <c r="M595" s="44" t="b">
        <v>1</v>
      </c>
      <c r="N595" s="3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spans="1:30" ht="13.5" customHeight="1" x14ac:dyDescent="0.25">
      <c r="A596" s="44"/>
      <c r="B596" s="44"/>
      <c r="C596" s="44"/>
      <c r="D596" s="44">
        <v>2068</v>
      </c>
      <c r="E596" s="44" t="str">
        <f>INDEX([1]道具配置表!$D:$D,MATCH(D596,[1]道具配置表!$A:$A,0))</f>
        <v>庇佑蓝图</v>
      </c>
      <c r="F596" s="44">
        <v>3</v>
      </c>
      <c r="G596" s="44"/>
      <c r="H596" s="44"/>
      <c r="I596" s="44"/>
      <c r="J596" s="44"/>
      <c r="K596" s="44">
        <v>0.2</v>
      </c>
      <c r="L596" s="44"/>
      <c r="M596" s="44" t="b">
        <v>1</v>
      </c>
      <c r="N596" s="44"/>
      <c r="V596" s="20"/>
      <c r="W596" s="20"/>
      <c r="X596" s="20"/>
      <c r="Y596" s="20"/>
      <c r="Z596" s="20"/>
      <c r="AA596" s="20"/>
      <c r="AB596" s="20"/>
      <c r="AC596" s="20"/>
      <c r="AD596" s="20"/>
    </row>
    <row r="597" spans="1:30" ht="13.5" customHeight="1" x14ac:dyDescent="0.25">
      <c r="A597" s="26">
        <v>6605113</v>
      </c>
      <c r="B597" s="25" t="s">
        <v>280</v>
      </c>
      <c r="C597" s="26" t="s">
        <v>119</v>
      </c>
      <c r="D597" s="27">
        <v>222</v>
      </c>
      <c r="E597" s="27" t="str">
        <f>INDEX([1]道具配置表!$D:$D,MATCH(D597,[1]道具配置表!$A:$A,0))</f>
        <v>1千食物</v>
      </c>
      <c r="F597" s="30">
        <v>8</v>
      </c>
      <c r="G597" s="30">
        <v>1</v>
      </c>
      <c r="H597" s="30">
        <v>1</v>
      </c>
      <c r="I597" s="31" t="s">
        <v>368</v>
      </c>
      <c r="J597" s="30"/>
      <c r="K597" s="30">
        <v>1</v>
      </c>
      <c r="L597" s="25"/>
      <c r="M597" s="44" t="b">
        <v>1</v>
      </c>
      <c r="N597" s="25"/>
      <c r="V597" s="20"/>
      <c r="W597" s="20"/>
      <c r="X597" s="20"/>
      <c r="Y597" s="20"/>
      <c r="Z597" s="20"/>
      <c r="AA597" s="20"/>
      <c r="AB597" s="20"/>
      <c r="AC597" s="20"/>
      <c r="AD597" s="20"/>
    </row>
    <row r="598" spans="1:30" ht="13.5" customHeight="1" x14ac:dyDescent="0.25">
      <c r="A598" s="26"/>
      <c r="B598" s="25"/>
      <c r="C598" s="26" t="s">
        <v>119</v>
      </c>
      <c r="D598" s="27">
        <v>221</v>
      </c>
      <c r="E598" s="27" t="str">
        <f>INDEX([1]道具配置表!$D:$D,MATCH(D598,[1]道具配置表!$A:$A,0))</f>
        <v>1千木材</v>
      </c>
      <c r="F598" s="30">
        <v>8</v>
      </c>
      <c r="G598" s="30"/>
      <c r="H598" s="30"/>
      <c r="I598" s="30"/>
      <c r="J598" s="30"/>
      <c r="K598" s="30">
        <v>1</v>
      </c>
      <c r="L598" s="25"/>
      <c r="M598" s="44" t="b">
        <v>1</v>
      </c>
      <c r="N598" s="25"/>
      <c r="V598" s="20"/>
      <c r="W598" s="20"/>
      <c r="X598" s="20"/>
      <c r="Y598" s="20"/>
      <c r="Z598" s="20"/>
      <c r="AA598" s="20"/>
      <c r="AB598" s="20"/>
      <c r="AC598" s="20"/>
      <c r="AD598" s="20"/>
    </row>
    <row r="599" spans="1:30" ht="13.5" customHeight="1" x14ac:dyDescent="0.25">
      <c r="A599" s="26"/>
      <c r="B599" s="25"/>
      <c r="C599" s="26" t="s">
        <v>119</v>
      </c>
      <c r="D599" s="27">
        <v>223</v>
      </c>
      <c r="E599" s="27" t="str">
        <f>INDEX([1]道具配置表!$D:$D,MATCH(D599,[1]道具配置表!$A:$A,0))</f>
        <v>1千石头</v>
      </c>
      <c r="F599" s="30">
        <v>8</v>
      </c>
      <c r="G599" s="30"/>
      <c r="H599" s="30"/>
      <c r="I599" s="30"/>
      <c r="J599" s="30"/>
      <c r="K599" s="30">
        <v>1</v>
      </c>
      <c r="L599" s="25"/>
      <c r="M599" s="44" t="b">
        <v>1</v>
      </c>
      <c r="N599" s="25"/>
      <c r="V599" s="20"/>
      <c r="W599" s="20"/>
      <c r="X599" s="20"/>
      <c r="Y599" s="20"/>
      <c r="Z599" s="20"/>
      <c r="AA599" s="20"/>
      <c r="AB599" s="20"/>
      <c r="AC599" s="20"/>
      <c r="AD599" s="20"/>
    </row>
    <row r="600" spans="1:30" ht="13.5" customHeight="1" x14ac:dyDescent="0.25">
      <c r="A600" s="26"/>
      <c r="B600" s="25"/>
      <c r="C600" s="26" t="s">
        <v>119</v>
      </c>
      <c r="D600" s="27">
        <v>224</v>
      </c>
      <c r="E600" s="27" t="str">
        <f>INDEX([1]道具配置表!$D:$D,MATCH(D600,[1]道具配置表!$A:$A,0))</f>
        <v>1千黄金</v>
      </c>
      <c r="F600" s="30">
        <v>8</v>
      </c>
      <c r="G600" s="30"/>
      <c r="H600" s="30"/>
      <c r="I600" s="30"/>
      <c r="J600" s="30"/>
      <c r="K600" s="30">
        <v>1</v>
      </c>
      <c r="L600" s="25"/>
      <c r="M600" s="44" t="b">
        <v>1</v>
      </c>
      <c r="N600" s="25"/>
      <c r="V600" s="20"/>
      <c r="W600" s="20"/>
      <c r="X600" s="20"/>
      <c r="Y600" s="20"/>
      <c r="Z600" s="20"/>
      <c r="AA600" s="20"/>
      <c r="AB600" s="20"/>
      <c r="AC600" s="20"/>
      <c r="AD600" s="20"/>
    </row>
    <row r="601" spans="1:30" ht="13.5" customHeight="1" x14ac:dyDescent="0.25">
      <c r="A601" s="26"/>
      <c r="B601" s="25"/>
      <c r="C601" s="26" t="s">
        <v>119</v>
      </c>
      <c r="D601" s="25">
        <v>7227</v>
      </c>
      <c r="E601" s="27" t="str">
        <f>INDEX([1]道具配置表!$D:$D,MATCH(D601,[1]道具配置表!$A:$A,0))</f>
        <v>经验书*1000</v>
      </c>
      <c r="F601" s="30">
        <v>13</v>
      </c>
      <c r="G601" s="30"/>
      <c r="H601" s="30"/>
      <c r="I601" s="30"/>
      <c r="J601" s="30"/>
      <c r="K601" s="30">
        <v>1</v>
      </c>
      <c r="L601" s="25"/>
      <c r="M601" s="44" t="b">
        <v>1</v>
      </c>
      <c r="N601" s="25"/>
      <c r="V601" s="20"/>
      <c r="W601" s="20"/>
      <c r="X601" s="20"/>
      <c r="Y601" s="20"/>
      <c r="Z601" s="20"/>
      <c r="AA601" s="20"/>
      <c r="AB601" s="20"/>
      <c r="AC601" s="20"/>
      <c r="AD601" s="20"/>
    </row>
    <row r="602" spans="1:30" ht="13.5" customHeight="1" x14ac:dyDescent="0.25">
      <c r="A602" s="26"/>
      <c r="B602" s="25"/>
      <c r="C602" s="26" t="s">
        <v>119</v>
      </c>
      <c r="D602" s="25">
        <v>20000</v>
      </c>
      <c r="E602" s="27" t="str">
        <f>INDEX([1]道具配置表!$D:$D,MATCH(D602,[1]道具配置表!$A:$A,0))</f>
        <v>技能点1</v>
      </c>
      <c r="F602" s="30">
        <v>52</v>
      </c>
      <c r="G602" s="30"/>
      <c r="H602" s="30"/>
      <c r="I602" s="30"/>
      <c r="J602" s="30"/>
      <c r="K602" s="30">
        <v>1</v>
      </c>
      <c r="L602" s="25"/>
      <c r="M602" s="44" t="b">
        <v>1</v>
      </c>
      <c r="N602" s="25"/>
      <c r="V602" s="20"/>
      <c r="W602" s="20"/>
      <c r="X602" s="20"/>
      <c r="Y602" s="20"/>
      <c r="Z602" s="20"/>
      <c r="AA602" s="20"/>
      <c r="AB602" s="20"/>
      <c r="AC602" s="20"/>
      <c r="AD602" s="20"/>
    </row>
    <row r="603" spans="1:30" ht="13.5" customHeight="1" x14ac:dyDescent="0.25">
      <c r="A603" s="26"/>
      <c r="B603" s="25"/>
      <c r="C603" s="26" t="s">
        <v>119</v>
      </c>
      <c r="D603" s="30">
        <v>6101</v>
      </c>
      <c r="E603" s="30" t="str">
        <f>INDEX([1]道具配置表!$D:$D,MATCH(D603,[1]道具配置表!$A:$A,0))</f>
        <v>5分钟通用加速</v>
      </c>
      <c r="F603" s="30">
        <v>1</v>
      </c>
      <c r="G603" s="30"/>
      <c r="H603" s="30"/>
      <c r="I603" s="30"/>
      <c r="J603" s="30">
        <v>200</v>
      </c>
      <c r="K603" s="30"/>
      <c r="L603" s="25"/>
      <c r="M603" s="44" t="b">
        <v>1</v>
      </c>
      <c r="N603" s="25"/>
      <c r="V603" s="20"/>
      <c r="W603" s="20"/>
      <c r="X603" s="20"/>
      <c r="Y603" s="20"/>
      <c r="Z603" s="20"/>
      <c r="AA603" s="20"/>
      <c r="AB603" s="20"/>
      <c r="AC603" s="20"/>
      <c r="AD603" s="20"/>
    </row>
    <row r="604" spans="1:30" ht="13.5" customHeight="1" x14ac:dyDescent="0.25">
      <c r="A604" s="30"/>
      <c r="B604" s="30"/>
      <c r="C604" s="30"/>
      <c r="D604" s="30">
        <v>6121</v>
      </c>
      <c r="E604" s="30" t="str">
        <f>INDEX([1]道具配置表!$D:$D,MATCH(D604,[1]道具配置表!$A:$A,0))</f>
        <v>5分钟建造加速</v>
      </c>
      <c r="F604" s="30">
        <v>1</v>
      </c>
      <c r="G604" s="30"/>
      <c r="H604" s="30"/>
      <c r="I604" s="30"/>
      <c r="J604" s="30">
        <v>200</v>
      </c>
      <c r="K604" s="30"/>
      <c r="L604" s="30"/>
      <c r="M604" s="44" t="b">
        <v>1</v>
      </c>
      <c r="N604" s="3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spans="1:30" ht="13.5" customHeight="1" x14ac:dyDescent="0.25">
      <c r="A605" s="30"/>
      <c r="B605" s="30"/>
      <c r="C605" s="30"/>
      <c r="D605" s="30">
        <v>6141</v>
      </c>
      <c r="E605" s="30" t="str">
        <f>INDEX([1]道具配置表!$D:$D,MATCH(D605,[1]道具配置表!$A:$A,0))</f>
        <v>5分钟科技加速</v>
      </c>
      <c r="F605" s="30">
        <v>1</v>
      </c>
      <c r="G605" s="30"/>
      <c r="H605" s="30"/>
      <c r="I605" s="30"/>
      <c r="J605" s="30">
        <v>200</v>
      </c>
      <c r="K605" s="30"/>
      <c r="L605" s="30"/>
      <c r="M605" s="44" t="b">
        <v>1</v>
      </c>
      <c r="N605" s="3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spans="1:30" ht="13.5" customHeight="1" x14ac:dyDescent="0.25">
      <c r="A606" s="30"/>
      <c r="B606" s="30"/>
      <c r="C606" s="30"/>
      <c r="D606" s="30">
        <v>6161</v>
      </c>
      <c r="E606" s="30" t="str">
        <f>INDEX([1]道具配置表!$D:$D,MATCH(D606,[1]道具配置表!$A:$A,0))</f>
        <v>5分钟训练加速</v>
      </c>
      <c r="F606" s="30">
        <v>1</v>
      </c>
      <c r="G606" s="30"/>
      <c r="H606" s="30"/>
      <c r="I606" s="30"/>
      <c r="J606" s="30">
        <v>200</v>
      </c>
      <c r="K606" s="30"/>
      <c r="L606" s="30"/>
      <c r="M606" s="44" t="b">
        <v>1</v>
      </c>
      <c r="N606" s="3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spans="1:30" ht="13.5" customHeight="1" x14ac:dyDescent="0.25">
      <c r="A607" s="30"/>
      <c r="B607" s="30"/>
      <c r="C607" s="30"/>
      <c r="D607" s="30">
        <v>6181</v>
      </c>
      <c r="E607" s="30" t="str">
        <f>INDEX([1]道具配置表!$D:$D,MATCH(D607,[1]道具配置表!$A:$A,0))</f>
        <v>5分钟治疗加速</v>
      </c>
      <c r="F607" s="30">
        <v>1</v>
      </c>
      <c r="G607" s="30"/>
      <c r="H607" s="30"/>
      <c r="I607" s="30"/>
      <c r="J607" s="30">
        <v>200</v>
      </c>
      <c r="K607" s="30"/>
      <c r="L607" s="30"/>
      <c r="M607" s="44" t="b">
        <v>1</v>
      </c>
      <c r="N607" s="3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spans="1:30" ht="13.5" customHeight="1" x14ac:dyDescent="0.25">
      <c r="A608" s="44"/>
      <c r="B608" s="44"/>
      <c r="C608" s="44"/>
      <c r="D608" s="44">
        <v>2068</v>
      </c>
      <c r="E608" s="44" t="str">
        <f>INDEX([1]道具配置表!$D:$D,MATCH(D608,[1]道具配置表!$A:$A,0))</f>
        <v>庇佑蓝图</v>
      </c>
      <c r="F608" s="44">
        <v>3</v>
      </c>
      <c r="G608" s="44"/>
      <c r="H608" s="44"/>
      <c r="I608" s="44"/>
      <c r="J608" s="44"/>
      <c r="K608" s="44">
        <v>0.2</v>
      </c>
      <c r="L608" s="44"/>
      <c r="M608" s="44" t="b">
        <v>1</v>
      </c>
      <c r="N608" s="44"/>
      <c r="V608" s="20"/>
      <c r="W608" s="20"/>
      <c r="X608" s="20"/>
      <c r="Y608" s="20"/>
      <c r="Z608" s="20"/>
      <c r="AA608" s="20"/>
      <c r="AB608" s="20"/>
      <c r="AC608" s="20"/>
      <c r="AD608" s="20"/>
    </row>
    <row r="609" spans="1:30" ht="13.5" customHeight="1" x14ac:dyDescent="0.25">
      <c r="A609" s="26">
        <v>6605114</v>
      </c>
      <c r="B609" s="25" t="s">
        <v>281</v>
      </c>
      <c r="C609" s="26" t="s">
        <v>119</v>
      </c>
      <c r="D609" s="27">
        <v>222</v>
      </c>
      <c r="E609" s="27" t="str">
        <f>INDEX([1]道具配置表!$D:$D,MATCH(D609,[1]道具配置表!$A:$A,0))</f>
        <v>1千食物</v>
      </c>
      <c r="F609" s="30">
        <v>8</v>
      </c>
      <c r="G609" s="30">
        <v>1</v>
      </c>
      <c r="H609" s="30">
        <v>1</v>
      </c>
      <c r="I609" s="31" t="s">
        <v>368</v>
      </c>
      <c r="J609" s="30"/>
      <c r="K609" s="30">
        <v>1</v>
      </c>
      <c r="L609" s="25"/>
      <c r="M609" s="44" t="b">
        <v>1</v>
      </c>
      <c r="N609" s="25"/>
      <c r="V609" s="20"/>
      <c r="W609" s="20"/>
      <c r="X609" s="20"/>
      <c r="Y609" s="20"/>
      <c r="Z609" s="20"/>
      <c r="AA609" s="20"/>
      <c r="AB609" s="20"/>
      <c r="AC609" s="20"/>
      <c r="AD609" s="20"/>
    </row>
    <row r="610" spans="1:30" ht="13.5" customHeight="1" x14ac:dyDescent="0.25">
      <c r="A610" s="26"/>
      <c r="B610" s="25"/>
      <c r="C610" s="26" t="s">
        <v>119</v>
      </c>
      <c r="D610" s="27">
        <v>221</v>
      </c>
      <c r="E610" s="27" t="str">
        <f>INDEX([1]道具配置表!$D:$D,MATCH(D610,[1]道具配置表!$A:$A,0))</f>
        <v>1千木材</v>
      </c>
      <c r="F610" s="30">
        <v>8</v>
      </c>
      <c r="G610" s="30"/>
      <c r="H610" s="30"/>
      <c r="I610" s="30"/>
      <c r="J610" s="30"/>
      <c r="K610" s="30">
        <v>1</v>
      </c>
      <c r="L610" s="25"/>
      <c r="M610" s="44" t="b">
        <v>1</v>
      </c>
      <c r="N610" s="25"/>
      <c r="V610" s="20"/>
      <c r="W610" s="20"/>
      <c r="X610" s="20"/>
      <c r="Y610" s="20"/>
      <c r="Z610" s="20"/>
      <c r="AA610" s="20"/>
      <c r="AB610" s="20"/>
      <c r="AC610" s="20"/>
      <c r="AD610" s="20"/>
    </row>
    <row r="611" spans="1:30" ht="13.5" customHeight="1" x14ac:dyDescent="0.25">
      <c r="A611" s="26"/>
      <c r="B611" s="25"/>
      <c r="C611" s="26" t="s">
        <v>119</v>
      </c>
      <c r="D611" s="27">
        <v>223</v>
      </c>
      <c r="E611" s="27" t="str">
        <f>INDEX([1]道具配置表!$D:$D,MATCH(D611,[1]道具配置表!$A:$A,0))</f>
        <v>1千石头</v>
      </c>
      <c r="F611" s="30">
        <v>8</v>
      </c>
      <c r="G611" s="30"/>
      <c r="H611" s="30"/>
      <c r="I611" s="30"/>
      <c r="J611" s="30"/>
      <c r="K611" s="30">
        <v>1</v>
      </c>
      <c r="L611" s="25"/>
      <c r="M611" s="44" t="b">
        <v>1</v>
      </c>
      <c r="N611" s="25"/>
      <c r="V611" s="20"/>
      <c r="W611" s="20"/>
      <c r="X611" s="20"/>
      <c r="Y611" s="20"/>
      <c r="Z611" s="20"/>
      <c r="AA611" s="20"/>
      <c r="AB611" s="20"/>
      <c r="AC611" s="20"/>
      <c r="AD611" s="20"/>
    </row>
    <row r="612" spans="1:30" ht="13.5" customHeight="1" x14ac:dyDescent="0.25">
      <c r="A612" s="26"/>
      <c r="B612" s="25"/>
      <c r="C612" s="26" t="s">
        <v>119</v>
      </c>
      <c r="D612" s="27">
        <v>224</v>
      </c>
      <c r="E612" s="27" t="str">
        <f>INDEX([1]道具配置表!$D:$D,MATCH(D612,[1]道具配置表!$A:$A,0))</f>
        <v>1千黄金</v>
      </c>
      <c r="F612" s="30">
        <v>8</v>
      </c>
      <c r="G612" s="30"/>
      <c r="H612" s="30"/>
      <c r="I612" s="30"/>
      <c r="J612" s="30"/>
      <c r="K612" s="30">
        <v>1</v>
      </c>
      <c r="L612" s="25"/>
      <c r="M612" s="44" t="b">
        <v>1</v>
      </c>
      <c r="N612" s="25"/>
      <c r="V612" s="20"/>
      <c r="W612" s="20"/>
      <c r="X612" s="20"/>
      <c r="Y612" s="20"/>
      <c r="Z612" s="20"/>
      <c r="AA612" s="20"/>
      <c r="AB612" s="20"/>
      <c r="AC612" s="20"/>
      <c r="AD612" s="20"/>
    </row>
    <row r="613" spans="1:30" ht="13.5" customHeight="1" x14ac:dyDescent="0.25">
      <c r="A613" s="26"/>
      <c r="B613" s="25"/>
      <c r="C613" s="26" t="s">
        <v>119</v>
      </c>
      <c r="D613" s="25">
        <v>7227</v>
      </c>
      <c r="E613" s="27" t="str">
        <f>INDEX([1]道具配置表!$D:$D,MATCH(D613,[1]道具配置表!$A:$A,0))</f>
        <v>经验书*1000</v>
      </c>
      <c r="F613" s="30">
        <v>14</v>
      </c>
      <c r="G613" s="30"/>
      <c r="H613" s="30"/>
      <c r="I613" s="30"/>
      <c r="J613" s="30"/>
      <c r="K613" s="30">
        <v>1</v>
      </c>
      <c r="L613" s="25"/>
      <c r="M613" s="44" t="b">
        <v>1</v>
      </c>
      <c r="N613" s="25"/>
      <c r="V613" s="20"/>
      <c r="W613" s="20"/>
      <c r="X613" s="20"/>
      <c r="Y613" s="20"/>
      <c r="Z613" s="20"/>
      <c r="AA613" s="20"/>
      <c r="AB613" s="20"/>
      <c r="AC613" s="20"/>
      <c r="AD613" s="20"/>
    </row>
    <row r="614" spans="1:30" ht="13.5" customHeight="1" x14ac:dyDescent="0.25">
      <c r="A614" s="26"/>
      <c r="B614" s="25"/>
      <c r="C614" s="26" t="s">
        <v>119</v>
      </c>
      <c r="D614" s="25">
        <v>20000</v>
      </c>
      <c r="E614" s="27" t="str">
        <f>INDEX([1]道具配置表!$D:$D,MATCH(D614,[1]道具配置表!$A:$A,0))</f>
        <v>技能点1</v>
      </c>
      <c r="F614" s="30">
        <v>56</v>
      </c>
      <c r="G614" s="30"/>
      <c r="H614" s="30"/>
      <c r="I614" s="30"/>
      <c r="J614" s="30"/>
      <c r="K614" s="30">
        <v>1</v>
      </c>
      <c r="L614" s="25"/>
      <c r="M614" s="44" t="b">
        <v>1</v>
      </c>
      <c r="N614" s="25"/>
      <c r="V614" s="20"/>
      <c r="W614" s="20"/>
      <c r="X614" s="20"/>
      <c r="Y614" s="20"/>
      <c r="Z614" s="20"/>
      <c r="AA614" s="20"/>
      <c r="AB614" s="20"/>
      <c r="AC614" s="20"/>
      <c r="AD614" s="20"/>
    </row>
    <row r="615" spans="1:30" ht="13.5" customHeight="1" x14ac:dyDescent="0.25">
      <c r="A615" s="26"/>
      <c r="B615" s="25"/>
      <c r="C615" s="26" t="s">
        <v>119</v>
      </c>
      <c r="D615" s="30">
        <v>6101</v>
      </c>
      <c r="E615" s="30" t="str">
        <f>INDEX([1]道具配置表!$D:$D,MATCH(D615,[1]道具配置表!$A:$A,0))</f>
        <v>5分钟通用加速</v>
      </c>
      <c r="F615" s="30">
        <v>1</v>
      </c>
      <c r="G615" s="30"/>
      <c r="H615" s="30"/>
      <c r="I615" s="30"/>
      <c r="J615" s="30">
        <v>200</v>
      </c>
      <c r="K615" s="30"/>
      <c r="L615" s="25"/>
      <c r="M615" s="44" t="b">
        <v>1</v>
      </c>
      <c r="N615" s="25"/>
      <c r="V615" s="20"/>
      <c r="W615" s="20"/>
      <c r="X615" s="20"/>
      <c r="Y615" s="20"/>
      <c r="Z615" s="20"/>
      <c r="AA615" s="20"/>
      <c r="AB615" s="20"/>
      <c r="AC615" s="20"/>
      <c r="AD615" s="20"/>
    </row>
    <row r="616" spans="1:30" ht="13.5" customHeight="1" x14ac:dyDescent="0.25">
      <c r="A616" s="30"/>
      <c r="B616" s="30"/>
      <c r="C616" s="30"/>
      <c r="D616" s="30">
        <v>6121</v>
      </c>
      <c r="E616" s="30" t="str">
        <f>INDEX([1]道具配置表!$D:$D,MATCH(D616,[1]道具配置表!$A:$A,0))</f>
        <v>5分钟建造加速</v>
      </c>
      <c r="F616" s="30">
        <v>1</v>
      </c>
      <c r="G616" s="30"/>
      <c r="H616" s="30"/>
      <c r="I616" s="30"/>
      <c r="J616" s="30">
        <v>200</v>
      </c>
      <c r="K616" s="30"/>
      <c r="L616" s="30"/>
      <c r="M616" s="44" t="b">
        <v>1</v>
      </c>
      <c r="N616" s="3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spans="1:30" ht="13.5" customHeight="1" x14ac:dyDescent="0.25">
      <c r="A617" s="30"/>
      <c r="B617" s="30"/>
      <c r="C617" s="30"/>
      <c r="D617" s="30">
        <v>6141</v>
      </c>
      <c r="E617" s="30" t="str">
        <f>INDEX([1]道具配置表!$D:$D,MATCH(D617,[1]道具配置表!$A:$A,0))</f>
        <v>5分钟科技加速</v>
      </c>
      <c r="F617" s="30">
        <v>1</v>
      </c>
      <c r="G617" s="30"/>
      <c r="H617" s="30"/>
      <c r="I617" s="30"/>
      <c r="J617" s="30">
        <v>200</v>
      </c>
      <c r="K617" s="30"/>
      <c r="L617" s="30"/>
      <c r="M617" s="44" t="b">
        <v>1</v>
      </c>
      <c r="N617" s="3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spans="1:30" ht="13.5" customHeight="1" x14ac:dyDescent="0.25">
      <c r="A618" s="30"/>
      <c r="B618" s="30"/>
      <c r="C618" s="30"/>
      <c r="D618" s="30">
        <v>6161</v>
      </c>
      <c r="E618" s="30" t="str">
        <f>INDEX([1]道具配置表!$D:$D,MATCH(D618,[1]道具配置表!$A:$A,0))</f>
        <v>5分钟训练加速</v>
      </c>
      <c r="F618" s="30">
        <v>1</v>
      </c>
      <c r="G618" s="30"/>
      <c r="H618" s="30"/>
      <c r="I618" s="30"/>
      <c r="J618" s="30">
        <v>200</v>
      </c>
      <c r="K618" s="30"/>
      <c r="L618" s="30"/>
      <c r="M618" s="44" t="b">
        <v>1</v>
      </c>
      <c r="N618" s="3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spans="1:30" ht="13.5" customHeight="1" x14ac:dyDescent="0.25">
      <c r="A619" s="30"/>
      <c r="B619" s="30"/>
      <c r="C619" s="30"/>
      <c r="D619" s="30">
        <v>6181</v>
      </c>
      <c r="E619" s="30" t="str">
        <f>INDEX([1]道具配置表!$D:$D,MATCH(D619,[1]道具配置表!$A:$A,0))</f>
        <v>5分钟治疗加速</v>
      </c>
      <c r="F619" s="30">
        <v>1</v>
      </c>
      <c r="G619" s="30"/>
      <c r="H619" s="30"/>
      <c r="I619" s="30"/>
      <c r="J619" s="30">
        <v>200</v>
      </c>
      <c r="K619" s="30"/>
      <c r="L619" s="30"/>
      <c r="M619" s="44" t="b">
        <v>1</v>
      </c>
      <c r="N619" s="3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spans="1:30" ht="13.5" customHeight="1" x14ac:dyDescent="0.25">
      <c r="A620" s="44"/>
      <c r="B620" s="44"/>
      <c r="C620" s="44"/>
      <c r="D620" s="44">
        <v>2068</v>
      </c>
      <c r="E620" s="44" t="str">
        <f>INDEX([1]道具配置表!$D:$D,MATCH(D620,[1]道具配置表!$A:$A,0))</f>
        <v>庇佑蓝图</v>
      </c>
      <c r="F620" s="44">
        <v>3</v>
      </c>
      <c r="G620" s="44"/>
      <c r="H620" s="44"/>
      <c r="I620" s="44"/>
      <c r="J620" s="44"/>
      <c r="K620" s="44">
        <v>0.2</v>
      </c>
      <c r="L620" s="44"/>
      <c r="M620" s="44" t="b">
        <v>1</v>
      </c>
      <c r="N620" s="44"/>
      <c r="V620" s="20"/>
      <c r="W620" s="20"/>
      <c r="X620" s="20"/>
      <c r="Y620" s="20"/>
      <c r="Z620" s="20"/>
      <c r="AA620" s="20"/>
      <c r="AB620" s="20"/>
      <c r="AC620" s="20"/>
      <c r="AD620" s="20"/>
    </row>
    <row r="621" spans="1:30" ht="13.5" customHeight="1" x14ac:dyDescent="0.25">
      <c r="A621" s="26">
        <v>6605115</v>
      </c>
      <c r="B621" s="25" t="s">
        <v>282</v>
      </c>
      <c r="C621" s="26" t="s">
        <v>119</v>
      </c>
      <c r="D621" s="27">
        <v>222</v>
      </c>
      <c r="E621" s="27" t="str">
        <f>INDEX([1]道具配置表!$D:$D,MATCH(D621,[1]道具配置表!$A:$A,0))</f>
        <v>1千食物</v>
      </c>
      <c r="F621" s="30">
        <v>9</v>
      </c>
      <c r="G621" s="30">
        <v>1</v>
      </c>
      <c r="H621" s="30">
        <v>1</v>
      </c>
      <c r="I621" s="31" t="s">
        <v>368</v>
      </c>
      <c r="J621" s="30"/>
      <c r="K621" s="30">
        <v>1</v>
      </c>
      <c r="L621" s="25"/>
      <c r="M621" s="44" t="b">
        <v>1</v>
      </c>
      <c r="N621" s="25"/>
      <c r="V621" s="20"/>
      <c r="W621" s="20"/>
      <c r="X621" s="20"/>
      <c r="Y621" s="20"/>
      <c r="Z621" s="20"/>
      <c r="AA621" s="20"/>
      <c r="AB621" s="20"/>
      <c r="AC621" s="20"/>
      <c r="AD621" s="20"/>
    </row>
    <row r="622" spans="1:30" ht="13.5" customHeight="1" x14ac:dyDescent="0.25">
      <c r="A622" s="26"/>
      <c r="B622" s="25"/>
      <c r="C622" s="26" t="s">
        <v>119</v>
      </c>
      <c r="D622" s="27">
        <v>221</v>
      </c>
      <c r="E622" s="27" t="str">
        <f>INDEX([1]道具配置表!$D:$D,MATCH(D622,[1]道具配置表!$A:$A,0))</f>
        <v>1千木材</v>
      </c>
      <c r="F622" s="30">
        <v>9</v>
      </c>
      <c r="G622" s="30"/>
      <c r="H622" s="30"/>
      <c r="I622" s="30"/>
      <c r="J622" s="30"/>
      <c r="K622" s="30">
        <v>1</v>
      </c>
      <c r="L622" s="25"/>
      <c r="M622" s="44" t="b">
        <v>1</v>
      </c>
      <c r="N622" s="25"/>
      <c r="V622" s="20"/>
      <c r="W622" s="20"/>
      <c r="X622" s="20"/>
      <c r="Y622" s="20"/>
      <c r="Z622" s="20"/>
      <c r="AA622" s="20"/>
      <c r="AB622" s="20"/>
      <c r="AC622" s="20"/>
      <c r="AD622" s="20"/>
    </row>
    <row r="623" spans="1:30" ht="13.5" customHeight="1" x14ac:dyDescent="0.25">
      <c r="A623" s="26"/>
      <c r="B623" s="25"/>
      <c r="C623" s="26" t="s">
        <v>119</v>
      </c>
      <c r="D623" s="27">
        <v>223</v>
      </c>
      <c r="E623" s="27" t="str">
        <f>INDEX([1]道具配置表!$D:$D,MATCH(D623,[1]道具配置表!$A:$A,0))</f>
        <v>1千石头</v>
      </c>
      <c r="F623" s="30">
        <v>9</v>
      </c>
      <c r="G623" s="30"/>
      <c r="H623" s="30"/>
      <c r="I623" s="30"/>
      <c r="J623" s="30"/>
      <c r="K623" s="30">
        <v>1</v>
      </c>
      <c r="L623" s="25"/>
      <c r="M623" s="44" t="b">
        <v>1</v>
      </c>
      <c r="N623" s="25"/>
      <c r="V623" s="20"/>
      <c r="W623" s="20"/>
      <c r="X623" s="20"/>
      <c r="Y623" s="20"/>
      <c r="Z623" s="20"/>
      <c r="AA623" s="20"/>
      <c r="AB623" s="20"/>
      <c r="AC623" s="20"/>
      <c r="AD623" s="20"/>
    </row>
    <row r="624" spans="1:30" ht="13.5" customHeight="1" x14ac:dyDescent="0.25">
      <c r="A624" s="26"/>
      <c r="B624" s="25"/>
      <c r="C624" s="26" t="s">
        <v>119</v>
      </c>
      <c r="D624" s="27">
        <v>224</v>
      </c>
      <c r="E624" s="27" t="str">
        <f>INDEX([1]道具配置表!$D:$D,MATCH(D624,[1]道具配置表!$A:$A,0))</f>
        <v>1千黄金</v>
      </c>
      <c r="F624" s="30">
        <v>9</v>
      </c>
      <c r="G624" s="30"/>
      <c r="H624" s="30"/>
      <c r="I624" s="30"/>
      <c r="J624" s="30"/>
      <c r="K624" s="30">
        <v>1</v>
      </c>
      <c r="L624" s="25"/>
      <c r="M624" s="44" t="b">
        <v>1</v>
      </c>
      <c r="N624" s="25"/>
      <c r="V624" s="20"/>
      <c r="W624" s="20"/>
      <c r="X624" s="20"/>
      <c r="Y624" s="20"/>
      <c r="Z624" s="20"/>
      <c r="AA624" s="20"/>
      <c r="AB624" s="20"/>
      <c r="AC624" s="20"/>
      <c r="AD624" s="20"/>
    </row>
    <row r="625" spans="1:30" ht="13.5" customHeight="1" x14ac:dyDescent="0.25">
      <c r="A625" s="26"/>
      <c r="B625" s="25"/>
      <c r="C625" s="26" t="s">
        <v>119</v>
      </c>
      <c r="D625" s="25">
        <v>7227</v>
      </c>
      <c r="E625" s="27" t="str">
        <f>INDEX([1]道具配置表!$D:$D,MATCH(D625,[1]道具配置表!$A:$A,0))</f>
        <v>经验书*1000</v>
      </c>
      <c r="F625" s="30">
        <v>15</v>
      </c>
      <c r="G625" s="30"/>
      <c r="H625" s="30"/>
      <c r="I625" s="30"/>
      <c r="J625" s="30"/>
      <c r="K625" s="30">
        <v>1</v>
      </c>
      <c r="L625" s="25"/>
      <c r="M625" s="44" t="b">
        <v>1</v>
      </c>
      <c r="N625" s="25"/>
      <c r="V625" s="20"/>
      <c r="W625" s="20"/>
      <c r="X625" s="20"/>
      <c r="Y625" s="20"/>
      <c r="Z625" s="20"/>
      <c r="AA625" s="20"/>
      <c r="AB625" s="20"/>
      <c r="AC625" s="20"/>
      <c r="AD625" s="20"/>
    </row>
    <row r="626" spans="1:30" ht="13.5" customHeight="1" x14ac:dyDescent="0.25">
      <c r="A626" s="26"/>
      <c r="B626" s="25"/>
      <c r="C626" s="26" t="s">
        <v>119</v>
      </c>
      <c r="D626" s="25">
        <v>20000</v>
      </c>
      <c r="E626" s="27" t="str">
        <f>INDEX([1]道具配置表!$D:$D,MATCH(D626,[1]道具配置表!$A:$A,0))</f>
        <v>技能点1</v>
      </c>
      <c r="F626" s="30">
        <v>60</v>
      </c>
      <c r="G626" s="30"/>
      <c r="H626" s="30"/>
      <c r="I626" s="30"/>
      <c r="J626" s="30"/>
      <c r="K626" s="30">
        <v>1</v>
      </c>
      <c r="L626" s="25"/>
      <c r="M626" s="44" t="b">
        <v>1</v>
      </c>
      <c r="N626" s="25"/>
      <c r="V626" s="20"/>
      <c r="W626" s="20"/>
      <c r="X626" s="20"/>
      <c r="Y626" s="20"/>
      <c r="Z626" s="20"/>
      <c r="AA626" s="20"/>
      <c r="AB626" s="20"/>
      <c r="AC626" s="20"/>
      <c r="AD626" s="20"/>
    </row>
    <row r="627" spans="1:30" ht="13.5" customHeight="1" x14ac:dyDescent="0.25">
      <c r="A627" s="26"/>
      <c r="B627" s="25"/>
      <c r="C627" s="26" t="s">
        <v>119</v>
      </c>
      <c r="D627" s="30">
        <v>6101</v>
      </c>
      <c r="E627" s="30" t="str">
        <f>INDEX([1]道具配置表!$D:$D,MATCH(D627,[1]道具配置表!$A:$A,0))</f>
        <v>5分钟通用加速</v>
      </c>
      <c r="F627" s="30">
        <v>1</v>
      </c>
      <c r="G627" s="30"/>
      <c r="H627" s="30"/>
      <c r="I627" s="30"/>
      <c r="J627" s="30">
        <v>200</v>
      </c>
      <c r="K627" s="30"/>
      <c r="L627" s="25"/>
      <c r="M627" s="44" t="b">
        <v>1</v>
      </c>
      <c r="N627" s="25"/>
      <c r="V627" s="20"/>
      <c r="W627" s="20"/>
      <c r="X627" s="20"/>
      <c r="Y627" s="20"/>
      <c r="Z627" s="20"/>
      <c r="AA627" s="20"/>
      <c r="AB627" s="20"/>
      <c r="AC627" s="20"/>
      <c r="AD627" s="20"/>
    </row>
    <row r="628" spans="1:30" ht="13.5" customHeight="1" x14ac:dyDescent="0.25">
      <c r="A628" s="30"/>
      <c r="B628" s="30"/>
      <c r="C628" s="30"/>
      <c r="D628" s="30">
        <v>6121</v>
      </c>
      <c r="E628" s="30" t="str">
        <f>INDEX([1]道具配置表!$D:$D,MATCH(D628,[1]道具配置表!$A:$A,0))</f>
        <v>5分钟建造加速</v>
      </c>
      <c r="F628" s="30">
        <v>1</v>
      </c>
      <c r="G628" s="30"/>
      <c r="H628" s="30"/>
      <c r="I628" s="30"/>
      <c r="J628" s="30">
        <v>200</v>
      </c>
      <c r="K628" s="30"/>
      <c r="L628" s="30"/>
      <c r="M628" s="44" t="b">
        <v>1</v>
      </c>
      <c r="N628" s="3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spans="1:30" ht="13.5" customHeight="1" x14ac:dyDescent="0.25">
      <c r="A629" s="30"/>
      <c r="B629" s="30"/>
      <c r="C629" s="30"/>
      <c r="D629" s="30">
        <v>6141</v>
      </c>
      <c r="E629" s="30" t="str">
        <f>INDEX([1]道具配置表!$D:$D,MATCH(D629,[1]道具配置表!$A:$A,0))</f>
        <v>5分钟科技加速</v>
      </c>
      <c r="F629" s="30">
        <v>1</v>
      </c>
      <c r="G629" s="30"/>
      <c r="H629" s="30"/>
      <c r="I629" s="30"/>
      <c r="J629" s="30">
        <v>200</v>
      </c>
      <c r="K629" s="30"/>
      <c r="L629" s="30"/>
      <c r="M629" s="44" t="b">
        <v>1</v>
      </c>
      <c r="N629" s="3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spans="1:30" ht="13.5" customHeight="1" x14ac:dyDescent="0.25">
      <c r="A630" s="30"/>
      <c r="B630" s="30"/>
      <c r="C630" s="30"/>
      <c r="D630" s="30">
        <v>6161</v>
      </c>
      <c r="E630" s="30" t="str">
        <f>INDEX([1]道具配置表!$D:$D,MATCH(D630,[1]道具配置表!$A:$A,0))</f>
        <v>5分钟训练加速</v>
      </c>
      <c r="F630" s="30">
        <v>1</v>
      </c>
      <c r="G630" s="30"/>
      <c r="H630" s="30"/>
      <c r="I630" s="30"/>
      <c r="J630" s="30">
        <v>200</v>
      </c>
      <c r="K630" s="30"/>
      <c r="L630" s="30"/>
      <c r="M630" s="44" t="b">
        <v>1</v>
      </c>
      <c r="N630" s="3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spans="1:30" ht="13.5" customHeight="1" x14ac:dyDescent="0.25">
      <c r="A631" s="30"/>
      <c r="B631" s="30"/>
      <c r="C631" s="30"/>
      <c r="D631" s="30">
        <v>6181</v>
      </c>
      <c r="E631" s="30" t="str">
        <f>INDEX([1]道具配置表!$D:$D,MATCH(D631,[1]道具配置表!$A:$A,0))</f>
        <v>5分钟治疗加速</v>
      </c>
      <c r="F631" s="30">
        <v>1</v>
      </c>
      <c r="G631" s="30"/>
      <c r="H631" s="30"/>
      <c r="I631" s="30"/>
      <c r="J631" s="30">
        <v>200</v>
      </c>
      <c r="K631" s="30"/>
      <c r="L631" s="30"/>
      <c r="M631" s="44" t="b">
        <v>1</v>
      </c>
      <c r="N631" s="3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spans="1:30" ht="13.5" customHeight="1" x14ac:dyDescent="0.25">
      <c r="A632" s="44"/>
      <c r="B632" s="44"/>
      <c r="C632" s="44"/>
      <c r="D632" s="44">
        <v>2068</v>
      </c>
      <c r="E632" s="44" t="str">
        <f>INDEX([1]道具配置表!$D:$D,MATCH(D632,[1]道具配置表!$A:$A,0))</f>
        <v>庇佑蓝图</v>
      </c>
      <c r="F632" s="44">
        <v>4</v>
      </c>
      <c r="G632" s="44"/>
      <c r="H632" s="44"/>
      <c r="I632" s="44"/>
      <c r="J632" s="44"/>
      <c r="K632" s="44">
        <v>0.2</v>
      </c>
      <c r="L632" s="44"/>
      <c r="M632" s="44" t="b">
        <v>1</v>
      </c>
      <c r="N632" s="44"/>
      <c r="V632" s="20"/>
      <c r="W632" s="20"/>
      <c r="X632" s="20"/>
      <c r="Y632" s="20"/>
      <c r="Z632" s="20"/>
      <c r="AA632" s="20"/>
      <c r="AB632" s="20"/>
      <c r="AC632" s="20"/>
      <c r="AD632" s="20"/>
    </row>
    <row r="633" spans="1:30" ht="13.5" customHeight="1" x14ac:dyDescent="0.25">
      <c r="A633" s="26">
        <v>6605116</v>
      </c>
      <c r="B633" s="25" t="s">
        <v>283</v>
      </c>
      <c r="C633" s="26" t="s">
        <v>119</v>
      </c>
      <c r="D633" s="27">
        <v>222</v>
      </c>
      <c r="E633" s="27" t="str">
        <f>INDEX([1]道具配置表!$D:$D,MATCH(D633,[1]道具配置表!$A:$A,0))</f>
        <v>1千食物</v>
      </c>
      <c r="F633" s="30">
        <v>9</v>
      </c>
      <c r="G633" s="30">
        <v>1</v>
      </c>
      <c r="H633" s="30">
        <v>1</v>
      </c>
      <c r="I633" s="31" t="s">
        <v>368</v>
      </c>
      <c r="J633" s="30"/>
      <c r="K633" s="30">
        <v>1</v>
      </c>
      <c r="L633" s="25"/>
      <c r="M633" s="44" t="b">
        <v>1</v>
      </c>
      <c r="N633" s="25"/>
      <c r="V633" s="20"/>
      <c r="W633" s="20"/>
      <c r="X633" s="20"/>
      <c r="Y633" s="20"/>
      <c r="Z633" s="20"/>
      <c r="AA633" s="20"/>
      <c r="AB633" s="20"/>
      <c r="AC633" s="20"/>
      <c r="AD633" s="20"/>
    </row>
    <row r="634" spans="1:30" ht="13.5" customHeight="1" x14ac:dyDescent="0.25">
      <c r="A634" s="26"/>
      <c r="B634" s="25"/>
      <c r="C634" s="26" t="s">
        <v>119</v>
      </c>
      <c r="D634" s="27">
        <v>221</v>
      </c>
      <c r="E634" s="27" t="str">
        <f>INDEX([1]道具配置表!$D:$D,MATCH(D634,[1]道具配置表!$A:$A,0))</f>
        <v>1千木材</v>
      </c>
      <c r="F634" s="30">
        <v>9</v>
      </c>
      <c r="G634" s="30"/>
      <c r="H634" s="30"/>
      <c r="I634" s="30"/>
      <c r="J634" s="30"/>
      <c r="K634" s="30">
        <v>1</v>
      </c>
      <c r="L634" s="25"/>
      <c r="M634" s="44" t="b">
        <v>1</v>
      </c>
      <c r="N634" s="25"/>
      <c r="V634" s="20"/>
      <c r="W634" s="20"/>
      <c r="X634" s="20"/>
      <c r="Y634" s="20"/>
      <c r="Z634" s="20"/>
      <c r="AA634" s="20"/>
      <c r="AB634" s="20"/>
      <c r="AC634" s="20"/>
      <c r="AD634" s="20"/>
    </row>
    <row r="635" spans="1:30" ht="13.5" customHeight="1" x14ac:dyDescent="0.25">
      <c r="A635" s="26"/>
      <c r="B635" s="25"/>
      <c r="C635" s="26" t="s">
        <v>119</v>
      </c>
      <c r="D635" s="27">
        <v>223</v>
      </c>
      <c r="E635" s="27" t="str">
        <f>INDEX([1]道具配置表!$D:$D,MATCH(D635,[1]道具配置表!$A:$A,0))</f>
        <v>1千石头</v>
      </c>
      <c r="F635" s="30">
        <v>9</v>
      </c>
      <c r="G635" s="30"/>
      <c r="H635" s="30"/>
      <c r="I635" s="30"/>
      <c r="J635" s="30"/>
      <c r="K635" s="30">
        <v>1</v>
      </c>
      <c r="L635" s="25"/>
      <c r="M635" s="44" t="b">
        <v>1</v>
      </c>
      <c r="N635" s="25"/>
      <c r="V635" s="20"/>
      <c r="W635" s="20"/>
      <c r="X635" s="20"/>
      <c r="Y635" s="20"/>
      <c r="Z635" s="20"/>
      <c r="AA635" s="20"/>
      <c r="AB635" s="20"/>
      <c r="AC635" s="20"/>
      <c r="AD635" s="20"/>
    </row>
    <row r="636" spans="1:30" ht="13.5" customHeight="1" x14ac:dyDescent="0.25">
      <c r="A636" s="26"/>
      <c r="B636" s="25"/>
      <c r="C636" s="26" t="s">
        <v>119</v>
      </c>
      <c r="D636" s="27">
        <v>224</v>
      </c>
      <c r="E636" s="27" t="str">
        <f>INDEX([1]道具配置表!$D:$D,MATCH(D636,[1]道具配置表!$A:$A,0))</f>
        <v>1千黄金</v>
      </c>
      <c r="F636" s="30">
        <v>9</v>
      </c>
      <c r="G636" s="30"/>
      <c r="H636" s="30"/>
      <c r="I636" s="30"/>
      <c r="J636" s="30"/>
      <c r="K636" s="30">
        <v>1</v>
      </c>
      <c r="L636" s="25"/>
      <c r="M636" s="44" t="b">
        <v>1</v>
      </c>
      <c r="N636" s="25"/>
      <c r="V636" s="20"/>
      <c r="W636" s="20"/>
      <c r="X636" s="20"/>
      <c r="Y636" s="20"/>
      <c r="Z636" s="20"/>
      <c r="AA636" s="20"/>
      <c r="AB636" s="20"/>
      <c r="AC636" s="20"/>
      <c r="AD636" s="20"/>
    </row>
    <row r="637" spans="1:30" ht="13.5" customHeight="1" x14ac:dyDescent="0.25">
      <c r="A637" s="26"/>
      <c r="B637" s="25"/>
      <c r="C637" s="26" t="s">
        <v>119</v>
      </c>
      <c r="D637" s="25">
        <v>7227</v>
      </c>
      <c r="E637" s="27" t="str">
        <f>INDEX([1]道具配置表!$D:$D,MATCH(D637,[1]道具配置表!$A:$A,0))</f>
        <v>经验书*1000</v>
      </c>
      <c r="F637" s="30">
        <v>16</v>
      </c>
      <c r="G637" s="30"/>
      <c r="H637" s="30"/>
      <c r="I637" s="30"/>
      <c r="J637" s="30"/>
      <c r="K637" s="30">
        <v>1</v>
      </c>
      <c r="L637" s="25"/>
      <c r="M637" s="44" t="b">
        <v>1</v>
      </c>
      <c r="N637" s="25"/>
      <c r="V637" s="20"/>
      <c r="W637" s="20"/>
      <c r="X637" s="20"/>
      <c r="Y637" s="20"/>
      <c r="Z637" s="20"/>
      <c r="AA637" s="20"/>
      <c r="AB637" s="20"/>
      <c r="AC637" s="20"/>
      <c r="AD637" s="20"/>
    </row>
    <row r="638" spans="1:30" ht="13.5" customHeight="1" x14ac:dyDescent="0.25">
      <c r="A638" s="26"/>
      <c r="B638" s="25"/>
      <c r="C638" s="26" t="s">
        <v>119</v>
      </c>
      <c r="D638" s="25">
        <v>20000</v>
      </c>
      <c r="E638" s="27" t="str">
        <f>INDEX([1]道具配置表!$D:$D,MATCH(D638,[1]道具配置表!$A:$A,0))</f>
        <v>技能点1</v>
      </c>
      <c r="F638" s="30">
        <v>64</v>
      </c>
      <c r="G638" s="30"/>
      <c r="H638" s="30"/>
      <c r="I638" s="30"/>
      <c r="J638" s="30"/>
      <c r="K638" s="30">
        <v>1</v>
      </c>
      <c r="L638" s="25"/>
      <c r="M638" s="44" t="b">
        <v>1</v>
      </c>
      <c r="N638" s="25"/>
      <c r="V638" s="20"/>
      <c r="W638" s="20"/>
      <c r="X638" s="20"/>
      <c r="Y638" s="20"/>
      <c r="Z638" s="20"/>
      <c r="AA638" s="20"/>
      <c r="AB638" s="20"/>
      <c r="AC638" s="20"/>
      <c r="AD638" s="20"/>
    </row>
    <row r="639" spans="1:30" ht="13.5" customHeight="1" x14ac:dyDescent="0.25">
      <c r="A639" s="26"/>
      <c r="B639" s="25"/>
      <c r="C639" s="26" t="s">
        <v>119</v>
      </c>
      <c r="D639" s="30">
        <v>6101</v>
      </c>
      <c r="E639" s="30" t="str">
        <f>INDEX([1]道具配置表!$D:$D,MATCH(D639,[1]道具配置表!$A:$A,0))</f>
        <v>5分钟通用加速</v>
      </c>
      <c r="F639" s="30">
        <v>1</v>
      </c>
      <c r="G639" s="30"/>
      <c r="H639" s="30"/>
      <c r="I639" s="30"/>
      <c r="J639" s="30">
        <v>200</v>
      </c>
      <c r="K639" s="30"/>
      <c r="L639" s="25"/>
      <c r="M639" s="44" t="b">
        <v>1</v>
      </c>
      <c r="N639" s="25"/>
      <c r="V639" s="20"/>
      <c r="W639" s="20"/>
      <c r="X639" s="20"/>
      <c r="Y639" s="20"/>
      <c r="Z639" s="20"/>
      <c r="AA639" s="20"/>
      <c r="AB639" s="20"/>
      <c r="AC639" s="20"/>
      <c r="AD639" s="20"/>
    </row>
    <row r="640" spans="1:30" ht="13.5" customHeight="1" x14ac:dyDescent="0.25">
      <c r="A640" s="30"/>
      <c r="B640" s="30"/>
      <c r="C640" s="30"/>
      <c r="D640" s="30">
        <v>6121</v>
      </c>
      <c r="E640" s="30" t="str">
        <f>INDEX([1]道具配置表!$D:$D,MATCH(D640,[1]道具配置表!$A:$A,0))</f>
        <v>5分钟建造加速</v>
      </c>
      <c r="F640" s="30">
        <v>1</v>
      </c>
      <c r="G640" s="30"/>
      <c r="H640" s="30"/>
      <c r="I640" s="30"/>
      <c r="J640" s="30">
        <v>200</v>
      </c>
      <c r="K640" s="30"/>
      <c r="L640" s="30"/>
      <c r="M640" s="44" t="b">
        <v>1</v>
      </c>
      <c r="N640" s="3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spans="1:30" ht="13.5" customHeight="1" x14ac:dyDescent="0.25">
      <c r="A641" s="30"/>
      <c r="B641" s="30"/>
      <c r="C641" s="30"/>
      <c r="D641" s="30">
        <v>6141</v>
      </c>
      <c r="E641" s="30" t="str">
        <f>INDEX([1]道具配置表!$D:$D,MATCH(D641,[1]道具配置表!$A:$A,0))</f>
        <v>5分钟科技加速</v>
      </c>
      <c r="F641" s="30">
        <v>1</v>
      </c>
      <c r="G641" s="30"/>
      <c r="H641" s="30"/>
      <c r="I641" s="30"/>
      <c r="J641" s="30">
        <v>200</v>
      </c>
      <c r="K641" s="30"/>
      <c r="L641" s="30"/>
      <c r="M641" s="44" t="b">
        <v>1</v>
      </c>
      <c r="N641" s="3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spans="1:30" ht="13.5" customHeight="1" x14ac:dyDescent="0.25">
      <c r="A642" s="30"/>
      <c r="B642" s="30"/>
      <c r="C642" s="30"/>
      <c r="D642" s="30">
        <v>6161</v>
      </c>
      <c r="E642" s="30" t="str">
        <f>INDEX([1]道具配置表!$D:$D,MATCH(D642,[1]道具配置表!$A:$A,0))</f>
        <v>5分钟训练加速</v>
      </c>
      <c r="F642" s="30">
        <v>1</v>
      </c>
      <c r="G642" s="30"/>
      <c r="H642" s="30"/>
      <c r="I642" s="30"/>
      <c r="J642" s="30">
        <v>200</v>
      </c>
      <c r="K642" s="30"/>
      <c r="L642" s="30"/>
      <c r="M642" s="44" t="b">
        <v>1</v>
      </c>
      <c r="N642" s="3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spans="1:30" ht="13.5" customHeight="1" x14ac:dyDescent="0.25">
      <c r="A643" s="30"/>
      <c r="B643" s="30"/>
      <c r="C643" s="30"/>
      <c r="D643" s="30">
        <v>6181</v>
      </c>
      <c r="E643" s="30" t="str">
        <f>INDEX([1]道具配置表!$D:$D,MATCH(D643,[1]道具配置表!$A:$A,0))</f>
        <v>5分钟治疗加速</v>
      </c>
      <c r="F643" s="30">
        <v>1</v>
      </c>
      <c r="G643" s="30"/>
      <c r="H643" s="30"/>
      <c r="I643" s="30"/>
      <c r="J643" s="30">
        <v>200</v>
      </c>
      <c r="K643" s="30"/>
      <c r="L643" s="30"/>
      <c r="M643" s="44" t="b">
        <v>1</v>
      </c>
      <c r="N643" s="3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spans="1:30" ht="13.5" customHeight="1" x14ac:dyDescent="0.25">
      <c r="A644" s="44"/>
      <c r="B644" s="44"/>
      <c r="C644" s="44"/>
      <c r="D644" s="44">
        <v>2068</v>
      </c>
      <c r="E644" s="44" t="str">
        <f>INDEX([1]道具配置表!$D:$D,MATCH(D644,[1]道具配置表!$A:$A,0))</f>
        <v>庇佑蓝图</v>
      </c>
      <c r="F644" s="44">
        <v>4</v>
      </c>
      <c r="G644" s="44"/>
      <c r="H644" s="44"/>
      <c r="I644" s="44"/>
      <c r="J644" s="44"/>
      <c r="K644" s="44">
        <v>0.2</v>
      </c>
      <c r="L644" s="44"/>
      <c r="M644" s="44" t="b">
        <v>1</v>
      </c>
      <c r="N644" s="44"/>
      <c r="V644" s="20"/>
      <c r="W644" s="20"/>
      <c r="X644" s="20"/>
      <c r="Y644" s="20"/>
      <c r="Z644" s="20"/>
      <c r="AA644" s="20"/>
      <c r="AB644" s="20"/>
      <c r="AC644" s="20"/>
      <c r="AD644" s="20"/>
    </row>
    <row r="645" spans="1:30" ht="13.5" customHeight="1" x14ac:dyDescent="0.25">
      <c r="A645" s="26">
        <v>6605117</v>
      </c>
      <c r="B645" s="25" t="s">
        <v>284</v>
      </c>
      <c r="C645" s="26" t="s">
        <v>119</v>
      </c>
      <c r="D645" s="27">
        <v>222</v>
      </c>
      <c r="E645" s="27" t="str">
        <f>INDEX([1]道具配置表!$D:$D,MATCH(D645,[1]道具配置表!$A:$A,0))</f>
        <v>1千食物</v>
      </c>
      <c r="F645" s="30">
        <v>10</v>
      </c>
      <c r="G645" s="30">
        <v>1</v>
      </c>
      <c r="H645" s="30">
        <v>1</v>
      </c>
      <c r="I645" s="31" t="s">
        <v>368</v>
      </c>
      <c r="J645" s="30"/>
      <c r="K645" s="30">
        <v>1</v>
      </c>
      <c r="L645" s="25"/>
      <c r="M645" s="44" t="b">
        <v>1</v>
      </c>
      <c r="N645" s="25"/>
      <c r="V645" s="20"/>
      <c r="W645" s="20"/>
      <c r="X645" s="20"/>
      <c r="Y645" s="20"/>
      <c r="Z645" s="20"/>
      <c r="AA645" s="20"/>
      <c r="AB645" s="20"/>
      <c r="AC645" s="20"/>
      <c r="AD645" s="20"/>
    </row>
    <row r="646" spans="1:30" ht="13.5" customHeight="1" x14ac:dyDescent="0.25">
      <c r="A646" s="26"/>
      <c r="B646" s="25"/>
      <c r="C646" s="26" t="s">
        <v>119</v>
      </c>
      <c r="D646" s="27">
        <v>221</v>
      </c>
      <c r="E646" s="27" t="str">
        <f>INDEX([1]道具配置表!$D:$D,MATCH(D646,[1]道具配置表!$A:$A,0))</f>
        <v>1千木材</v>
      </c>
      <c r="F646" s="30">
        <v>10</v>
      </c>
      <c r="G646" s="30"/>
      <c r="H646" s="30"/>
      <c r="I646" s="30"/>
      <c r="J646" s="30"/>
      <c r="K646" s="30">
        <v>1</v>
      </c>
      <c r="L646" s="25"/>
      <c r="M646" s="44" t="b">
        <v>1</v>
      </c>
      <c r="N646" s="25"/>
      <c r="V646" s="20"/>
      <c r="W646" s="20"/>
      <c r="X646" s="20"/>
      <c r="Y646" s="20"/>
      <c r="Z646" s="20"/>
      <c r="AA646" s="20"/>
      <c r="AB646" s="20"/>
      <c r="AC646" s="20"/>
      <c r="AD646" s="20"/>
    </row>
    <row r="647" spans="1:30" ht="13.5" customHeight="1" x14ac:dyDescent="0.25">
      <c r="A647" s="26"/>
      <c r="B647" s="25"/>
      <c r="C647" s="26" t="s">
        <v>119</v>
      </c>
      <c r="D647" s="27">
        <v>223</v>
      </c>
      <c r="E647" s="27" t="str">
        <f>INDEX([1]道具配置表!$D:$D,MATCH(D647,[1]道具配置表!$A:$A,0))</f>
        <v>1千石头</v>
      </c>
      <c r="F647" s="30">
        <v>10</v>
      </c>
      <c r="G647" s="30"/>
      <c r="H647" s="30"/>
      <c r="I647" s="30"/>
      <c r="J647" s="30"/>
      <c r="K647" s="30">
        <v>1</v>
      </c>
      <c r="L647" s="25"/>
      <c r="M647" s="44" t="b">
        <v>1</v>
      </c>
      <c r="N647" s="25"/>
      <c r="V647" s="20"/>
      <c r="W647" s="20"/>
      <c r="X647" s="20"/>
      <c r="Y647" s="20"/>
      <c r="Z647" s="20"/>
      <c r="AA647" s="20"/>
      <c r="AB647" s="20"/>
      <c r="AC647" s="20"/>
      <c r="AD647" s="20"/>
    </row>
    <row r="648" spans="1:30" ht="13.5" customHeight="1" x14ac:dyDescent="0.25">
      <c r="A648" s="26"/>
      <c r="B648" s="25"/>
      <c r="C648" s="26" t="s">
        <v>119</v>
      </c>
      <c r="D648" s="27">
        <v>224</v>
      </c>
      <c r="E648" s="27" t="str">
        <f>INDEX([1]道具配置表!$D:$D,MATCH(D648,[1]道具配置表!$A:$A,0))</f>
        <v>1千黄金</v>
      </c>
      <c r="F648" s="30">
        <v>10</v>
      </c>
      <c r="G648" s="30"/>
      <c r="H648" s="30"/>
      <c r="I648" s="30"/>
      <c r="J648" s="30"/>
      <c r="K648" s="30">
        <v>1</v>
      </c>
      <c r="L648" s="25"/>
      <c r="M648" s="44" t="b">
        <v>1</v>
      </c>
      <c r="N648" s="25"/>
      <c r="V648" s="20"/>
      <c r="W648" s="20"/>
      <c r="X648" s="20"/>
      <c r="Y648" s="20"/>
      <c r="Z648" s="20"/>
      <c r="AA648" s="20"/>
      <c r="AB648" s="20"/>
      <c r="AC648" s="20"/>
      <c r="AD648" s="20"/>
    </row>
    <row r="649" spans="1:30" ht="13.5" customHeight="1" x14ac:dyDescent="0.25">
      <c r="A649" s="26"/>
      <c r="B649" s="25"/>
      <c r="C649" s="26" t="s">
        <v>119</v>
      </c>
      <c r="D649" s="25">
        <v>7227</v>
      </c>
      <c r="E649" s="27" t="str">
        <f>INDEX([1]道具配置表!$D:$D,MATCH(D649,[1]道具配置表!$A:$A,0))</f>
        <v>经验书*1000</v>
      </c>
      <c r="F649" s="30">
        <v>17</v>
      </c>
      <c r="G649" s="30"/>
      <c r="H649" s="30"/>
      <c r="I649" s="30"/>
      <c r="J649" s="30"/>
      <c r="K649" s="30">
        <v>1</v>
      </c>
      <c r="L649" s="25"/>
      <c r="M649" s="44" t="b">
        <v>1</v>
      </c>
      <c r="N649" s="25"/>
      <c r="V649" s="20"/>
      <c r="W649" s="20"/>
      <c r="X649" s="20"/>
      <c r="Y649" s="20"/>
      <c r="Z649" s="20"/>
      <c r="AA649" s="20"/>
      <c r="AB649" s="20"/>
      <c r="AC649" s="20"/>
      <c r="AD649" s="20"/>
    </row>
    <row r="650" spans="1:30" ht="13.5" customHeight="1" x14ac:dyDescent="0.25">
      <c r="A650" s="26"/>
      <c r="B650" s="25"/>
      <c r="C650" s="26" t="s">
        <v>119</v>
      </c>
      <c r="D650" s="25">
        <v>20000</v>
      </c>
      <c r="E650" s="27" t="str">
        <f>INDEX([1]道具配置表!$D:$D,MATCH(D650,[1]道具配置表!$A:$A,0))</f>
        <v>技能点1</v>
      </c>
      <c r="F650" s="30">
        <v>68</v>
      </c>
      <c r="G650" s="30"/>
      <c r="H650" s="30"/>
      <c r="I650" s="30"/>
      <c r="J650" s="30"/>
      <c r="K650" s="30">
        <v>1</v>
      </c>
      <c r="L650" s="25"/>
      <c r="M650" s="44" t="b">
        <v>1</v>
      </c>
      <c r="N650" s="25"/>
      <c r="V650" s="20"/>
      <c r="W650" s="20"/>
      <c r="X650" s="20"/>
      <c r="Y650" s="20"/>
      <c r="Z650" s="20"/>
      <c r="AA650" s="20"/>
      <c r="AB650" s="20"/>
      <c r="AC650" s="20"/>
      <c r="AD650" s="20"/>
    </row>
    <row r="651" spans="1:30" ht="13.5" customHeight="1" x14ac:dyDescent="0.25">
      <c r="A651" s="26"/>
      <c r="B651" s="25"/>
      <c r="C651" s="26" t="s">
        <v>119</v>
      </c>
      <c r="D651" s="30">
        <v>6101</v>
      </c>
      <c r="E651" s="30" t="str">
        <f>INDEX([1]道具配置表!$D:$D,MATCH(D651,[1]道具配置表!$A:$A,0))</f>
        <v>5分钟通用加速</v>
      </c>
      <c r="F651" s="30">
        <v>1</v>
      </c>
      <c r="G651" s="30"/>
      <c r="H651" s="30"/>
      <c r="I651" s="30"/>
      <c r="J651" s="30">
        <v>200</v>
      </c>
      <c r="K651" s="30"/>
      <c r="L651" s="25"/>
      <c r="M651" s="44" t="b">
        <v>1</v>
      </c>
      <c r="N651" s="25"/>
      <c r="V651" s="20"/>
      <c r="W651" s="20"/>
      <c r="X651" s="20"/>
      <c r="Y651" s="20"/>
      <c r="Z651" s="20"/>
      <c r="AA651" s="20"/>
      <c r="AB651" s="20"/>
      <c r="AC651" s="20"/>
      <c r="AD651" s="20"/>
    </row>
    <row r="652" spans="1:30" ht="13.5" customHeight="1" x14ac:dyDescent="0.25">
      <c r="A652" s="30"/>
      <c r="B652" s="30"/>
      <c r="C652" s="30"/>
      <c r="D652" s="30">
        <v>6121</v>
      </c>
      <c r="E652" s="30" t="str">
        <f>INDEX([1]道具配置表!$D:$D,MATCH(D652,[1]道具配置表!$A:$A,0))</f>
        <v>5分钟建造加速</v>
      </c>
      <c r="F652" s="30">
        <v>1</v>
      </c>
      <c r="G652" s="30"/>
      <c r="H652" s="30"/>
      <c r="I652" s="30"/>
      <c r="J652" s="30">
        <v>200</v>
      </c>
      <c r="K652" s="30"/>
      <c r="L652" s="30"/>
      <c r="M652" s="44" t="b">
        <v>1</v>
      </c>
      <c r="N652" s="3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spans="1:30" ht="13.5" customHeight="1" x14ac:dyDescent="0.25">
      <c r="A653" s="30"/>
      <c r="B653" s="30"/>
      <c r="C653" s="30"/>
      <c r="D653" s="30">
        <v>6141</v>
      </c>
      <c r="E653" s="30" t="str">
        <f>INDEX([1]道具配置表!$D:$D,MATCH(D653,[1]道具配置表!$A:$A,0))</f>
        <v>5分钟科技加速</v>
      </c>
      <c r="F653" s="30">
        <v>1</v>
      </c>
      <c r="G653" s="30"/>
      <c r="H653" s="30"/>
      <c r="I653" s="30"/>
      <c r="J653" s="30">
        <v>200</v>
      </c>
      <c r="K653" s="30"/>
      <c r="L653" s="30"/>
      <c r="M653" s="44" t="b">
        <v>1</v>
      </c>
      <c r="N653" s="3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spans="1:30" ht="13.5" customHeight="1" x14ac:dyDescent="0.25">
      <c r="A654" s="30"/>
      <c r="B654" s="30"/>
      <c r="C654" s="30"/>
      <c r="D654" s="30">
        <v>6161</v>
      </c>
      <c r="E654" s="30" t="str">
        <f>INDEX([1]道具配置表!$D:$D,MATCH(D654,[1]道具配置表!$A:$A,0))</f>
        <v>5分钟训练加速</v>
      </c>
      <c r="F654" s="30">
        <v>1</v>
      </c>
      <c r="G654" s="30"/>
      <c r="H654" s="30"/>
      <c r="I654" s="30"/>
      <c r="J654" s="30">
        <v>200</v>
      </c>
      <c r="K654" s="30"/>
      <c r="L654" s="30"/>
      <c r="M654" s="44" t="b">
        <v>1</v>
      </c>
      <c r="N654" s="3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spans="1:30" ht="13.5" customHeight="1" x14ac:dyDescent="0.25">
      <c r="A655" s="30"/>
      <c r="B655" s="30"/>
      <c r="C655" s="30"/>
      <c r="D655" s="30">
        <v>6181</v>
      </c>
      <c r="E655" s="30" t="str">
        <f>INDEX([1]道具配置表!$D:$D,MATCH(D655,[1]道具配置表!$A:$A,0))</f>
        <v>5分钟治疗加速</v>
      </c>
      <c r="F655" s="30">
        <v>1</v>
      </c>
      <c r="G655" s="30"/>
      <c r="H655" s="30"/>
      <c r="I655" s="30"/>
      <c r="J655" s="30">
        <v>200</v>
      </c>
      <c r="K655" s="30"/>
      <c r="L655" s="30"/>
      <c r="M655" s="44" t="b">
        <v>1</v>
      </c>
      <c r="N655" s="3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spans="1:30" ht="13.5" customHeight="1" x14ac:dyDescent="0.25">
      <c r="A656" s="44"/>
      <c r="B656" s="44"/>
      <c r="C656" s="44"/>
      <c r="D656" s="44">
        <v>2068</v>
      </c>
      <c r="E656" s="44" t="str">
        <f>INDEX([1]道具配置表!$D:$D,MATCH(D656,[1]道具配置表!$A:$A,0))</f>
        <v>庇佑蓝图</v>
      </c>
      <c r="F656" s="44">
        <v>4</v>
      </c>
      <c r="G656" s="44"/>
      <c r="H656" s="44"/>
      <c r="I656" s="44"/>
      <c r="J656" s="44"/>
      <c r="K656" s="44">
        <v>0.2</v>
      </c>
      <c r="L656" s="44"/>
      <c r="M656" s="44" t="b">
        <v>1</v>
      </c>
      <c r="N656" s="44"/>
      <c r="V656" s="20"/>
      <c r="W656" s="20"/>
      <c r="X656" s="20"/>
      <c r="Y656" s="20"/>
      <c r="Z656" s="20"/>
      <c r="AA656" s="20"/>
      <c r="AB656" s="20"/>
      <c r="AC656" s="20"/>
      <c r="AD656" s="20"/>
    </row>
    <row r="657" spans="1:30" ht="13.5" customHeight="1" x14ac:dyDescent="0.25">
      <c r="A657" s="26">
        <v>6605118</v>
      </c>
      <c r="B657" s="25" t="s">
        <v>285</v>
      </c>
      <c r="C657" s="26" t="s">
        <v>119</v>
      </c>
      <c r="D657" s="27">
        <v>222</v>
      </c>
      <c r="E657" s="27" t="str">
        <f>INDEX([1]道具配置表!$D:$D,MATCH(D657,[1]道具配置表!$A:$A,0))</f>
        <v>1千食物</v>
      </c>
      <c r="F657" s="30">
        <v>10</v>
      </c>
      <c r="G657" s="30">
        <v>1</v>
      </c>
      <c r="H657" s="30">
        <v>1</v>
      </c>
      <c r="I657" s="31" t="s">
        <v>368</v>
      </c>
      <c r="J657" s="30"/>
      <c r="K657" s="30">
        <v>1</v>
      </c>
      <c r="L657" s="25"/>
      <c r="M657" s="44" t="b">
        <v>1</v>
      </c>
      <c r="N657" s="25"/>
      <c r="V657" s="20"/>
      <c r="W657" s="20"/>
      <c r="X657" s="20"/>
      <c r="Y657" s="20"/>
      <c r="Z657" s="20"/>
      <c r="AA657" s="20"/>
      <c r="AB657" s="20"/>
      <c r="AC657" s="20"/>
      <c r="AD657" s="20"/>
    </row>
    <row r="658" spans="1:30" ht="13.5" customHeight="1" x14ac:dyDescent="0.25">
      <c r="A658" s="26"/>
      <c r="B658" s="25"/>
      <c r="C658" s="26" t="s">
        <v>119</v>
      </c>
      <c r="D658" s="27">
        <v>221</v>
      </c>
      <c r="E658" s="27" t="str">
        <f>INDEX([1]道具配置表!$D:$D,MATCH(D658,[1]道具配置表!$A:$A,0))</f>
        <v>1千木材</v>
      </c>
      <c r="F658" s="30">
        <v>10</v>
      </c>
      <c r="G658" s="30"/>
      <c r="H658" s="30"/>
      <c r="I658" s="30"/>
      <c r="J658" s="30"/>
      <c r="K658" s="30">
        <v>1</v>
      </c>
      <c r="L658" s="25"/>
      <c r="M658" s="44" t="b">
        <v>1</v>
      </c>
      <c r="N658" s="25"/>
      <c r="V658" s="20"/>
      <c r="W658" s="20"/>
      <c r="X658" s="20"/>
      <c r="Y658" s="20"/>
      <c r="Z658" s="20"/>
      <c r="AA658" s="20"/>
      <c r="AB658" s="20"/>
      <c r="AC658" s="20"/>
      <c r="AD658" s="20"/>
    </row>
    <row r="659" spans="1:30" ht="13.5" customHeight="1" x14ac:dyDescent="0.25">
      <c r="A659" s="26"/>
      <c r="B659" s="25"/>
      <c r="C659" s="26" t="s">
        <v>119</v>
      </c>
      <c r="D659" s="27">
        <v>223</v>
      </c>
      <c r="E659" s="27" t="str">
        <f>INDEX([1]道具配置表!$D:$D,MATCH(D659,[1]道具配置表!$A:$A,0))</f>
        <v>1千石头</v>
      </c>
      <c r="F659" s="30">
        <v>10</v>
      </c>
      <c r="G659" s="30"/>
      <c r="H659" s="30"/>
      <c r="I659" s="30"/>
      <c r="J659" s="30"/>
      <c r="K659" s="30">
        <v>1</v>
      </c>
      <c r="L659" s="25"/>
      <c r="M659" s="44" t="b">
        <v>1</v>
      </c>
      <c r="N659" s="25"/>
      <c r="V659" s="20"/>
      <c r="W659" s="20"/>
      <c r="X659" s="20"/>
      <c r="Y659" s="20"/>
      <c r="Z659" s="20"/>
      <c r="AA659" s="20"/>
      <c r="AB659" s="20"/>
      <c r="AC659" s="20"/>
      <c r="AD659" s="20"/>
    </row>
    <row r="660" spans="1:30" ht="13.5" customHeight="1" x14ac:dyDescent="0.25">
      <c r="A660" s="26"/>
      <c r="B660" s="25"/>
      <c r="C660" s="26" t="s">
        <v>119</v>
      </c>
      <c r="D660" s="27">
        <v>224</v>
      </c>
      <c r="E660" s="27" t="str">
        <f>INDEX([1]道具配置表!$D:$D,MATCH(D660,[1]道具配置表!$A:$A,0))</f>
        <v>1千黄金</v>
      </c>
      <c r="F660" s="30">
        <v>10</v>
      </c>
      <c r="G660" s="30"/>
      <c r="H660" s="30"/>
      <c r="I660" s="30"/>
      <c r="J660" s="30"/>
      <c r="K660" s="30">
        <v>1</v>
      </c>
      <c r="L660" s="25"/>
      <c r="M660" s="44" t="b">
        <v>1</v>
      </c>
      <c r="N660" s="25"/>
      <c r="V660" s="20"/>
      <c r="W660" s="20"/>
      <c r="X660" s="20"/>
      <c r="Y660" s="20"/>
      <c r="Z660" s="20"/>
      <c r="AA660" s="20"/>
      <c r="AB660" s="20"/>
      <c r="AC660" s="20"/>
      <c r="AD660" s="20"/>
    </row>
    <row r="661" spans="1:30" ht="13.5" customHeight="1" x14ac:dyDescent="0.25">
      <c r="A661" s="26"/>
      <c r="B661" s="25"/>
      <c r="C661" s="26" t="s">
        <v>119</v>
      </c>
      <c r="D661" s="25">
        <v>7227</v>
      </c>
      <c r="E661" s="27" t="str">
        <f>INDEX([1]道具配置表!$D:$D,MATCH(D661,[1]道具配置表!$A:$A,0))</f>
        <v>经验书*1000</v>
      </c>
      <c r="F661" s="30">
        <v>18</v>
      </c>
      <c r="G661" s="30"/>
      <c r="H661" s="30"/>
      <c r="I661" s="30"/>
      <c r="J661" s="30"/>
      <c r="K661" s="30">
        <v>1</v>
      </c>
      <c r="L661" s="25"/>
      <c r="M661" s="44" t="b">
        <v>1</v>
      </c>
      <c r="N661" s="25"/>
      <c r="V661" s="20"/>
      <c r="W661" s="20"/>
      <c r="X661" s="20"/>
      <c r="Y661" s="20"/>
      <c r="Z661" s="20"/>
      <c r="AA661" s="20"/>
      <c r="AB661" s="20"/>
      <c r="AC661" s="20"/>
      <c r="AD661" s="20"/>
    </row>
    <row r="662" spans="1:30" ht="13.5" customHeight="1" x14ac:dyDescent="0.25">
      <c r="A662" s="26"/>
      <c r="B662" s="25"/>
      <c r="C662" s="26" t="s">
        <v>119</v>
      </c>
      <c r="D662" s="25">
        <v>20000</v>
      </c>
      <c r="E662" s="27" t="str">
        <f>INDEX([1]道具配置表!$D:$D,MATCH(D662,[1]道具配置表!$A:$A,0))</f>
        <v>技能点1</v>
      </c>
      <c r="F662" s="30">
        <v>72</v>
      </c>
      <c r="G662" s="30"/>
      <c r="H662" s="30"/>
      <c r="I662" s="30"/>
      <c r="J662" s="30"/>
      <c r="K662" s="30">
        <v>1</v>
      </c>
      <c r="L662" s="25"/>
      <c r="M662" s="44" t="b">
        <v>1</v>
      </c>
      <c r="N662" s="25"/>
      <c r="V662" s="20"/>
      <c r="W662" s="20"/>
      <c r="X662" s="20"/>
      <c r="Y662" s="20"/>
      <c r="Z662" s="20"/>
      <c r="AA662" s="20"/>
      <c r="AB662" s="20"/>
      <c r="AC662" s="20"/>
      <c r="AD662" s="20"/>
    </row>
    <row r="663" spans="1:30" ht="13.5" customHeight="1" x14ac:dyDescent="0.25">
      <c r="A663" s="26"/>
      <c r="B663" s="25"/>
      <c r="C663" s="26" t="s">
        <v>119</v>
      </c>
      <c r="D663" s="30">
        <v>6101</v>
      </c>
      <c r="E663" s="30" t="str">
        <f>INDEX([1]道具配置表!$D:$D,MATCH(D663,[1]道具配置表!$A:$A,0))</f>
        <v>5分钟通用加速</v>
      </c>
      <c r="F663" s="30">
        <v>1</v>
      </c>
      <c r="G663" s="30"/>
      <c r="H663" s="30"/>
      <c r="I663" s="30"/>
      <c r="J663" s="30">
        <v>200</v>
      </c>
      <c r="K663" s="30"/>
      <c r="L663" s="25"/>
      <c r="M663" s="44" t="b">
        <v>1</v>
      </c>
      <c r="N663" s="25"/>
      <c r="V663" s="20"/>
      <c r="W663" s="20"/>
      <c r="X663" s="20"/>
      <c r="Y663" s="20"/>
      <c r="Z663" s="20"/>
      <c r="AA663" s="20"/>
      <c r="AB663" s="20"/>
      <c r="AC663" s="20"/>
      <c r="AD663" s="20"/>
    </row>
    <row r="664" spans="1:30" ht="13.5" customHeight="1" x14ac:dyDescent="0.25">
      <c r="A664" s="30"/>
      <c r="B664" s="30"/>
      <c r="C664" s="30"/>
      <c r="D664" s="30">
        <v>6121</v>
      </c>
      <c r="E664" s="30" t="str">
        <f>INDEX([1]道具配置表!$D:$D,MATCH(D664,[1]道具配置表!$A:$A,0))</f>
        <v>5分钟建造加速</v>
      </c>
      <c r="F664" s="30">
        <v>1</v>
      </c>
      <c r="G664" s="30"/>
      <c r="H664" s="30"/>
      <c r="I664" s="30"/>
      <c r="J664" s="30">
        <v>200</v>
      </c>
      <c r="K664" s="30"/>
      <c r="L664" s="30"/>
      <c r="M664" s="44" t="b">
        <v>1</v>
      </c>
      <c r="N664" s="3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spans="1:30" ht="13.5" customHeight="1" x14ac:dyDescent="0.25">
      <c r="A665" s="30"/>
      <c r="B665" s="30"/>
      <c r="C665" s="30"/>
      <c r="D665" s="30">
        <v>6141</v>
      </c>
      <c r="E665" s="30" t="str">
        <f>INDEX([1]道具配置表!$D:$D,MATCH(D665,[1]道具配置表!$A:$A,0))</f>
        <v>5分钟科技加速</v>
      </c>
      <c r="F665" s="30">
        <v>1</v>
      </c>
      <c r="G665" s="30"/>
      <c r="H665" s="30"/>
      <c r="I665" s="30"/>
      <c r="J665" s="30">
        <v>200</v>
      </c>
      <c r="K665" s="30"/>
      <c r="L665" s="30"/>
      <c r="M665" s="44" t="b">
        <v>1</v>
      </c>
      <c r="N665" s="3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spans="1:30" ht="13.5" customHeight="1" x14ac:dyDescent="0.25">
      <c r="A666" s="30"/>
      <c r="B666" s="30"/>
      <c r="C666" s="30"/>
      <c r="D666" s="30">
        <v>6161</v>
      </c>
      <c r="E666" s="30" t="str">
        <f>INDEX([1]道具配置表!$D:$D,MATCH(D666,[1]道具配置表!$A:$A,0))</f>
        <v>5分钟训练加速</v>
      </c>
      <c r="F666" s="30">
        <v>1</v>
      </c>
      <c r="G666" s="30"/>
      <c r="H666" s="30"/>
      <c r="I666" s="30"/>
      <c r="J666" s="30">
        <v>200</v>
      </c>
      <c r="K666" s="30"/>
      <c r="L666" s="30"/>
      <c r="M666" s="44" t="b">
        <v>1</v>
      </c>
      <c r="N666" s="3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spans="1:30" ht="13.5" customHeight="1" x14ac:dyDescent="0.25">
      <c r="A667" s="30"/>
      <c r="B667" s="30"/>
      <c r="C667" s="30"/>
      <c r="D667" s="30">
        <v>6181</v>
      </c>
      <c r="E667" s="30" t="str">
        <f>INDEX([1]道具配置表!$D:$D,MATCH(D667,[1]道具配置表!$A:$A,0))</f>
        <v>5分钟治疗加速</v>
      </c>
      <c r="F667" s="30">
        <v>1</v>
      </c>
      <c r="G667" s="30"/>
      <c r="H667" s="30"/>
      <c r="I667" s="30"/>
      <c r="J667" s="30">
        <v>200</v>
      </c>
      <c r="K667" s="30"/>
      <c r="L667" s="30"/>
      <c r="M667" s="44" t="b">
        <v>1</v>
      </c>
      <c r="N667" s="3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spans="1:30" ht="13.5" customHeight="1" x14ac:dyDescent="0.25">
      <c r="A668" s="44"/>
      <c r="B668" s="44"/>
      <c r="C668" s="44"/>
      <c r="D668" s="44">
        <v>2068</v>
      </c>
      <c r="E668" s="44" t="str">
        <f>INDEX([1]道具配置表!$D:$D,MATCH(D668,[1]道具配置表!$A:$A,0))</f>
        <v>庇佑蓝图</v>
      </c>
      <c r="F668" s="44">
        <v>4</v>
      </c>
      <c r="G668" s="44"/>
      <c r="H668" s="44"/>
      <c r="I668" s="44"/>
      <c r="J668" s="44"/>
      <c r="K668" s="44">
        <v>0.2</v>
      </c>
      <c r="L668" s="44"/>
      <c r="M668" s="44" t="b">
        <v>1</v>
      </c>
      <c r="N668" s="44"/>
      <c r="V668" s="20"/>
      <c r="W668" s="20"/>
      <c r="X668" s="20"/>
      <c r="Y668" s="20"/>
      <c r="Z668" s="20"/>
      <c r="AA668" s="20"/>
      <c r="AB668" s="20"/>
      <c r="AC668" s="20"/>
      <c r="AD668" s="20"/>
    </row>
    <row r="669" spans="1:30" ht="13.5" customHeight="1" x14ac:dyDescent="0.25">
      <c r="A669" s="26">
        <v>6605119</v>
      </c>
      <c r="B669" s="25" t="s">
        <v>286</v>
      </c>
      <c r="C669" s="26" t="s">
        <v>119</v>
      </c>
      <c r="D669" s="27">
        <v>222</v>
      </c>
      <c r="E669" s="27" t="str">
        <f>INDEX([1]道具配置表!$D:$D,MATCH(D669,[1]道具配置表!$A:$A,0))</f>
        <v>1千食物</v>
      </c>
      <c r="F669" s="30">
        <v>11</v>
      </c>
      <c r="G669" s="30">
        <v>1</v>
      </c>
      <c r="H669" s="30">
        <v>1</v>
      </c>
      <c r="I669" s="31" t="s">
        <v>368</v>
      </c>
      <c r="J669" s="30"/>
      <c r="K669" s="30">
        <v>1</v>
      </c>
      <c r="L669" s="25"/>
      <c r="M669" s="44" t="b">
        <v>1</v>
      </c>
      <c r="N669" s="25"/>
      <c r="V669" s="20"/>
      <c r="W669" s="20"/>
      <c r="X669" s="20"/>
      <c r="Y669" s="20"/>
      <c r="Z669" s="20"/>
      <c r="AA669" s="20"/>
      <c r="AB669" s="20"/>
      <c r="AC669" s="20"/>
      <c r="AD669" s="20"/>
    </row>
    <row r="670" spans="1:30" ht="13.5" customHeight="1" x14ac:dyDescent="0.25">
      <c r="A670" s="26"/>
      <c r="B670" s="25"/>
      <c r="C670" s="26" t="s">
        <v>119</v>
      </c>
      <c r="D670" s="27">
        <v>221</v>
      </c>
      <c r="E670" s="27" t="str">
        <f>INDEX([1]道具配置表!$D:$D,MATCH(D670,[1]道具配置表!$A:$A,0))</f>
        <v>1千木材</v>
      </c>
      <c r="F670" s="30">
        <v>11</v>
      </c>
      <c r="G670" s="30"/>
      <c r="H670" s="30"/>
      <c r="I670" s="30"/>
      <c r="J670" s="30"/>
      <c r="K670" s="30">
        <v>1</v>
      </c>
      <c r="L670" s="25"/>
      <c r="M670" s="44" t="b">
        <v>1</v>
      </c>
      <c r="N670" s="25"/>
      <c r="V670" s="20"/>
      <c r="W670" s="20"/>
      <c r="X670" s="20"/>
      <c r="Y670" s="20"/>
      <c r="Z670" s="20"/>
      <c r="AA670" s="20"/>
      <c r="AB670" s="20"/>
      <c r="AC670" s="20"/>
      <c r="AD670" s="20"/>
    </row>
    <row r="671" spans="1:30" ht="13.5" customHeight="1" x14ac:dyDescent="0.25">
      <c r="A671" s="26"/>
      <c r="B671" s="25"/>
      <c r="C671" s="26" t="s">
        <v>119</v>
      </c>
      <c r="D671" s="27">
        <v>223</v>
      </c>
      <c r="E671" s="27" t="str">
        <f>INDEX([1]道具配置表!$D:$D,MATCH(D671,[1]道具配置表!$A:$A,0))</f>
        <v>1千石头</v>
      </c>
      <c r="F671" s="30">
        <v>11</v>
      </c>
      <c r="G671" s="30"/>
      <c r="H671" s="30"/>
      <c r="I671" s="30"/>
      <c r="J671" s="30"/>
      <c r="K671" s="30">
        <v>1</v>
      </c>
      <c r="L671" s="25"/>
      <c r="M671" s="44" t="b">
        <v>1</v>
      </c>
      <c r="N671" s="25"/>
      <c r="V671" s="20"/>
      <c r="W671" s="20"/>
      <c r="X671" s="20"/>
      <c r="Y671" s="20"/>
      <c r="Z671" s="20"/>
      <c r="AA671" s="20"/>
      <c r="AB671" s="20"/>
      <c r="AC671" s="20"/>
      <c r="AD671" s="20"/>
    </row>
    <row r="672" spans="1:30" ht="13.5" customHeight="1" x14ac:dyDescent="0.25">
      <c r="A672" s="26"/>
      <c r="B672" s="25"/>
      <c r="C672" s="26" t="s">
        <v>119</v>
      </c>
      <c r="D672" s="27">
        <v>224</v>
      </c>
      <c r="E672" s="27" t="str">
        <f>INDEX([1]道具配置表!$D:$D,MATCH(D672,[1]道具配置表!$A:$A,0))</f>
        <v>1千黄金</v>
      </c>
      <c r="F672" s="30">
        <v>11</v>
      </c>
      <c r="G672" s="30"/>
      <c r="H672" s="30"/>
      <c r="I672" s="30"/>
      <c r="J672" s="30"/>
      <c r="K672" s="30">
        <v>1</v>
      </c>
      <c r="L672" s="25"/>
      <c r="M672" s="44" t="b">
        <v>1</v>
      </c>
      <c r="N672" s="25"/>
      <c r="V672" s="20"/>
      <c r="W672" s="20"/>
      <c r="X672" s="20"/>
      <c r="Y672" s="20"/>
      <c r="Z672" s="20"/>
      <c r="AA672" s="20"/>
      <c r="AB672" s="20"/>
      <c r="AC672" s="20"/>
      <c r="AD672" s="20"/>
    </row>
    <row r="673" spans="1:30" ht="13.5" customHeight="1" x14ac:dyDescent="0.25">
      <c r="A673" s="26"/>
      <c r="B673" s="25"/>
      <c r="C673" s="26" t="s">
        <v>119</v>
      </c>
      <c r="D673" s="25">
        <v>7227</v>
      </c>
      <c r="E673" s="27" t="str">
        <f>INDEX([1]道具配置表!$D:$D,MATCH(D673,[1]道具配置表!$A:$A,0))</f>
        <v>经验书*1000</v>
      </c>
      <c r="F673" s="30">
        <v>19</v>
      </c>
      <c r="G673" s="30"/>
      <c r="H673" s="30"/>
      <c r="I673" s="30"/>
      <c r="J673" s="30"/>
      <c r="K673" s="30">
        <v>1</v>
      </c>
      <c r="L673" s="25"/>
      <c r="M673" s="44" t="b">
        <v>1</v>
      </c>
      <c r="N673" s="25"/>
      <c r="V673" s="20"/>
      <c r="W673" s="20"/>
      <c r="X673" s="20"/>
      <c r="Y673" s="20"/>
      <c r="Z673" s="20"/>
      <c r="AA673" s="20"/>
      <c r="AB673" s="20"/>
      <c r="AC673" s="20"/>
      <c r="AD673" s="20"/>
    </row>
    <row r="674" spans="1:30" ht="13.5" customHeight="1" x14ac:dyDescent="0.25">
      <c r="A674" s="26"/>
      <c r="B674" s="25"/>
      <c r="C674" s="26" t="s">
        <v>119</v>
      </c>
      <c r="D674" s="25">
        <v>20000</v>
      </c>
      <c r="E674" s="27" t="str">
        <f>INDEX([1]道具配置表!$D:$D,MATCH(D674,[1]道具配置表!$A:$A,0))</f>
        <v>技能点1</v>
      </c>
      <c r="F674" s="30">
        <v>76</v>
      </c>
      <c r="G674" s="30"/>
      <c r="H674" s="30"/>
      <c r="I674" s="30"/>
      <c r="J674" s="30"/>
      <c r="K674" s="30">
        <v>1</v>
      </c>
      <c r="L674" s="25"/>
      <c r="M674" s="44" t="b">
        <v>1</v>
      </c>
      <c r="N674" s="25"/>
      <c r="V674" s="20"/>
      <c r="W674" s="20"/>
      <c r="X674" s="20"/>
      <c r="Y674" s="20"/>
      <c r="Z674" s="20"/>
      <c r="AA674" s="20"/>
      <c r="AB674" s="20"/>
      <c r="AC674" s="20"/>
      <c r="AD674" s="20"/>
    </row>
    <row r="675" spans="1:30" ht="13.5" customHeight="1" x14ac:dyDescent="0.25">
      <c r="A675" s="26"/>
      <c r="B675" s="25"/>
      <c r="C675" s="26" t="s">
        <v>119</v>
      </c>
      <c r="D675" s="30">
        <v>6101</v>
      </c>
      <c r="E675" s="30" t="str">
        <f>INDEX([1]道具配置表!$D:$D,MATCH(D675,[1]道具配置表!$A:$A,0))</f>
        <v>5分钟通用加速</v>
      </c>
      <c r="F675" s="30">
        <v>1</v>
      </c>
      <c r="G675" s="30"/>
      <c r="H675" s="30"/>
      <c r="I675" s="30"/>
      <c r="J675" s="30">
        <v>200</v>
      </c>
      <c r="K675" s="30"/>
      <c r="L675" s="25"/>
      <c r="M675" s="44" t="b">
        <v>1</v>
      </c>
      <c r="N675" s="25"/>
      <c r="V675" s="20"/>
      <c r="W675" s="20"/>
      <c r="X675" s="20"/>
      <c r="Y675" s="20"/>
      <c r="Z675" s="20"/>
      <c r="AA675" s="20"/>
      <c r="AB675" s="20"/>
      <c r="AC675" s="20"/>
      <c r="AD675" s="20"/>
    </row>
    <row r="676" spans="1:30" ht="13.5" customHeight="1" x14ac:dyDescent="0.25">
      <c r="A676" s="30"/>
      <c r="B676" s="30"/>
      <c r="C676" s="30"/>
      <c r="D676" s="30">
        <v>6121</v>
      </c>
      <c r="E676" s="30" t="str">
        <f>INDEX([1]道具配置表!$D:$D,MATCH(D676,[1]道具配置表!$A:$A,0))</f>
        <v>5分钟建造加速</v>
      </c>
      <c r="F676" s="30">
        <v>1</v>
      </c>
      <c r="G676" s="30"/>
      <c r="H676" s="30"/>
      <c r="I676" s="30"/>
      <c r="J676" s="30">
        <v>200</v>
      </c>
      <c r="K676" s="30"/>
      <c r="L676" s="30"/>
      <c r="M676" s="44" t="b">
        <v>1</v>
      </c>
      <c r="N676" s="3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spans="1:30" ht="13.5" customHeight="1" x14ac:dyDescent="0.25">
      <c r="A677" s="30"/>
      <c r="B677" s="30"/>
      <c r="C677" s="30"/>
      <c r="D677" s="30">
        <v>6141</v>
      </c>
      <c r="E677" s="30" t="str">
        <f>INDEX([1]道具配置表!$D:$D,MATCH(D677,[1]道具配置表!$A:$A,0))</f>
        <v>5分钟科技加速</v>
      </c>
      <c r="F677" s="30">
        <v>1</v>
      </c>
      <c r="G677" s="30"/>
      <c r="H677" s="30"/>
      <c r="I677" s="30"/>
      <c r="J677" s="30">
        <v>200</v>
      </c>
      <c r="K677" s="30"/>
      <c r="L677" s="30"/>
      <c r="M677" s="44" t="b">
        <v>1</v>
      </c>
      <c r="N677" s="3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spans="1:30" ht="13.5" customHeight="1" x14ac:dyDescent="0.25">
      <c r="A678" s="30"/>
      <c r="B678" s="30"/>
      <c r="C678" s="30"/>
      <c r="D678" s="30">
        <v>6161</v>
      </c>
      <c r="E678" s="30" t="str">
        <f>INDEX([1]道具配置表!$D:$D,MATCH(D678,[1]道具配置表!$A:$A,0))</f>
        <v>5分钟训练加速</v>
      </c>
      <c r="F678" s="30">
        <v>1</v>
      </c>
      <c r="G678" s="30"/>
      <c r="H678" s="30"/>
      <c r="I678" s="30"/>
      <c r="J678" s="30">
        <v>200</v>
      </c>
      <c r="K678" s="30"/>
      <c r="L678" s="30"/>
      <c r="M678" s="44" t="b">
        <v>1</v>
      </c>
      <c r="N678" s="3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spans="1:30" ht="13.5" customHeight="1" x14ac:dyDescent="0.25">
      <c r="A679" s="30"/>
      <c r="B679" s="30"/>
      <c r="C679" s="30"/>
      <c r="D679" s="30">
        <v>6181</v>
      </c>
      <c r="E679" s="30" t="str">
        <f>INDEX([1]道具配置表!$D:$D,MATCH(D679,[1]道具配置表!$A:$A,0))</f>
        <v>5分钟治疗加速</v>
      </c>
      <c r="F679" s="30">
        <v>1</v>
      </c>
      <c r="G679" s="30"/>
      <c r="H679" s="30"/>
      <c r="I679" s="30"/>
      <c r="J679" s="30">
        <v>200</v>
      </c>
      <c r="K679" s="30"/>
      <c r="L679" s="30"/>
      <c r="M679" s="44" t="b">
        <v>1</v>
      </c>
      <c r="N679" s="3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spans="1:30" ht="13.5" customHeight="1" x14ac:dyDescent="0.25">
      <c r="A680" s="44"/>
      <c r="B680" s="44"/>
      <c r="C680" s="44"/>
      <c r="D680" s="44">
        <v>2068</v>
      </c>
      <c r="E680" s="44" t="str">
        <f>INDEX([1]道具配置表!$D:$D,MATCH(D680,[1]道具配置表!$A:$A,0))</f>
        <v>庇佑蓝图</v>
      </c>
      <c r="F680" s="44">
        <v>4</v>
      </c>
      <c r="G680" s="44"/>
      <c r="H680" s="44"/>
      <c r="I680" s="44"/>
      <c r="J680" s="44"/>
      <c r="K680" s="44">
        <v>0.2</v>
      </c>
      <c r="L680" s="44"/>
      <c r="M680" s="44" t="b">
        <v>1</v>
      </c>
      <c r="N680" s="44"/>
      <c r="V680" s="20"/>
      <c r="W680" s="20"/>
      <c r="X680" s="20"/>
      <c r="Y680" s="20"/>
      <c r="Z680" s="20"/>
      <c r="AA680" s="20"/>
      <c r="AB680" s="20"/>
      <c r="AC680" s="20"/>
      <c r="AD680" s="20"/>
    </row>
    <row r="681" spans="1:30" ht="13.5" customHeight="1" x14ac:dyDescent="0.25">
      <c r="A681" s="26">
        <v>6605120</v>
      </c>
      <c r="B681" s="25" t="s">
        <v>287</v>
      </c>
      <c r="C681" s="26" t="s">
        <v>119</v>
      </c>
      <c r="D681" s="27">
        <v>222</v>
      </c>
      <c r="E681" s="27" t="str">
        <f>INDEX([1]道具配置表!$D:$D,MATCH(D681,[1]道具配置表!$A:$A,0))</f>
        <v>1千食物</v>
      </c>
      <c r="F681" s="30">
        <v>11</v>
      </c>
      <c r="G681" s="30">
        <v>1</v>
      </c>
      <c r="H681" s="30">
        <v>1</v>
      </c>
      <c r="I681" s="31" t="s">
        <v>368</v>
      </c>
      <c r="J681" s="30"/>
      <c r="K681" s="30">
        <v>1</v>
      </c>
      <c r="L681" s="25"/>
      <c r="M681" s="44" t="b">
        <v>1</v>
      </c>
      <c r="N681" s="25"/>
      <c r="V681" s="20"/>
      <c r="W681" s="20"/>
      <c r="X681" s="20"/>
      <c r="Y681" s="20"/>
      <c r="Z681" s="20"/>
      <c r="AA681" s="20"/>
      <c r="AB681" s="20"/>
      <c r="AC681" s="20"/>
      <c r="AD681" s="20"/>
    </row>
    <row r="682" spans="1:30" ht="13.5" customHeight="1" x14ac:dyDescent="0.25">
      <c r="A682" s="26"/>
      <c r="B682" s="25"/>
      <c r="C682" s="26" t="s">
        <v>119</v>
      </c>
      <c r="D682" s="27">
        <v>221</v>
      </c>
      <c r="E682" s="27" t="str">
        <f>INDEX([1]道具配置表!$D:$D,MATCH(D682,[1]道具配置表!$A:$A,0))</f>
        <v>1千木材</v>
      </c>
      <c r="F682" s="30">
        <v>11</v>
      </c>
      <c r="G682" s="30"/>
      <c r="H682" s="30"/>
      <c r="I682" s="30"/>
      <c r="J682" s="30"/>
      <c r="K682" s="30">
        <v>1</v>
      </c>
      <c r="L682" s="25"/>
      <c r="M682" s="44" t="b">
        <v>1</v>
      </c>
      <c r="N682" s="25"/>
      <c r="V682" s="20"/>
      <c r="W682" s="20"/>
      <c r="X682" s="20"/>
      <c r="Y682" s="20"/>
      <c r="Z682" s="20"/>
      <c r="AA682" s="20"/>
      <c r="AB682" s="20"/>
      <c r="AC682" s="20"/>
      <c r="AD682" s="20"/>
    </row>
    <row r="683" spans="1:30" ht="13.5" customHeight="1" x14ac:dyDescent="0.25">
      <c r="A683" s="26"/>
      <c r="B683" s="25"/>
      <c r="C683" s="26" t="s">
        <v>119</v>
      </c>
      <c r="D683" s="27">
        <v>223</v>
      </c>
      <c r="E683" s="27" t="str">
        <f>INDEX([1]道具配置表!$D:$D,MATCH(D683,[1]道具配置表!$A:$A,0))</f>
        <v>1千石头</v>
      </c>
      <c r="F683" s="30">
        <v>11</v>
      </c>
      <c r="G683" s="30"/>
      <c r="H683" s="30"/>
      <c r="I683" s="30"/>
      <c r="J683" s="30"/>
      <c r="K683" s="30">
        <v>1</v>
      </c>
      <c r="L683" s="25"/>
      <c r="M683" s="44" t="b">
        <v>1</v>
      </c>
      <c r="N683" s="25"/>
      <c r="V683" s="20"/>
      <c r="W683" s="20"/>
      <c r="X683" s="20"/>
      <c r="Y683" s="20"/>
      <c r="Z683" s="20"/>
      <c r="AA683" s="20"/>
      <c r="AB683" s="20"/>
      <c r="AC683" s="20"/>
      <c r="AD683" s="20"/>
    </row>
    <row r="684" spans="1:30" ht="13.5" customHeight="1" x14ac:dyDescent="0.25">
      <c r="A684" s="26"/>
      <c r="B684" s="25"/>
      <c r="C684" s="26" t="s">
        <v>119</v>
      </c>
      <c r="D684" s="27">
        <v>224</v>
      </c>
      <c r="E684" s="27" t="str">
        <f>INDEX([1]道具配置表!$D:$D,MATCH(D684,[1]道具配置表!$A:$A,0))</f>
        <v>1千黄金</v>
      </c>
      <c r="F684" s="30">
        <v>11</v>
      </c>
      <c r="G684" s="30"/>
      <c r="H684" s="30"/>
      <c r="I684" s="30"/>
      <c r="J684" s="30"/>
      <c r="K684" s="30">
        <v>1</v>
      </c>
      <c r="L684" s="25"/>
      <c r="M684" s="44" t="b">
        <v>1</v>
      </c>
      <c r="N684" s="25"/>
      <c r="V684" s="20"/>
      <c r="W684" s="20"/>
      <c r="X684" s="20"/>
      <c r="Y684" s="20"/>
      <c r="Z684" s="20"/>
      <c r="AA684" s="20"/>
      <c r="AB684" s="20"/>
      <c r="AC684" s="20"/>
      <c r="AD684" s="20"/>
    </row>
    <row r="685" spans="1:30" ht="13.5" customHeight="1" x14ac:dyDescent="0.25">
      <c r="A685" s="26"/>
      <c r="B685" s="25"/>
      <c r="C685" s="26" t="s">
        <v>119</v>
      </c>
      <c r="D685" s="25">
        <v>7227</v>
      </c>
      <c r="E685" s="27" t="str">
        <f>INDEX([1]道具配置表!$D:$D,MATCH(D685,[1]道具配置表!$A:$A,0))</f>
        <v>经验书*1000</v>
      </c>
      <c r="F685" s="30">
        <v>20</v>
      </c>
      <c r="G685" s="30"/>
      <c r="H685" s="30"/>
      <c r="I685" s="30"/>
      <c r="J685" s="30"/>
      <c r="K685" s="30">
        <v>1</v>
      </c>
      <c r="L685" s="25"/>
      <c r="M685" s="44" t="b">
        <v>1</v>
      </c>
      <c r="N685" s="25"/>
      <c r="V685" s="20"/>
      <c r="W685" s="20"/>
      <c r="X685" s="20"/>
      <c r="Y685" s="20"/>
      <c r="Z685" s="20"/>
      <c r="AA685" s="20"/>
      <c r="AB685" s="20"/>
      <c r="AC685" s="20"/>
      <c r="AD685" s="20"/>
    </row>
    <row r="686" spans="1:30" ht="13.5" customHeight="1" x14ac:dyDescent="0.25">
      <c r="A686" s="26"/>
      <c r="B686" s="25"/>
      <c r="C686" s="26" t="s">
        <v>119</v>
      </c>
      <c r="D686" s="25">
        <v>20000</v>
      </c>
      <c r="E686" s="27" t="str">
        <f>INDEX([1]道具配置表!$D:$D,MATCH(D686,[1]道具配置表!$A:$A,0))</f>
        <v>技能点1</v>
      </c>
      <c r="F686" s="30">
        <v>80</v>
      </c>
      <c r="G686" s="30"/>
      <c r="H686" s="30"/>
      <c r="I686" s="30"/>
      <c r="J686" s="30"/>
      <c r="K686" s="30">
        <v>1</v>
      </c>
      <c r="L686" s="25"/>
      <c r="M686" s="44" t="b">
        <v>1</v>
      </c>
      <c r="N686" s="25"/>
      <c r="V686" s="20"/>
      <c r="W686" s="20"/>
      <c r="X686" s="20"/>
      <c r="Y686" s="20"/>
      <c r="Z686" s="20"/>
      <c r="AA686" s="20"/>
      <c r="AB686" s="20"/>
      <c r="AC686" s="20"/>
      <c r="AD686" s="20"/>
    </row>
    <row r="687" spans="1:30" ht="13.5" customHeight="1" x14ac:dyDescent="0.25">
      <c r="A687" s="26"/>
      <c r="B687" s="25"/>
      <c r="C687" s="26" t="s">
        <v>119</v>
      </c>
      <c r="D687" s="30">
        <v>6101</v>
      </c>
      <c r="E687" s="30" t="str">
        <f>INDEX([1]道具配置表!$D:$D,MATCH(D687,[1]道具配置表!$A:$A,0))</f>
        <v>5分钟通用加速</v>
      </c>
      <c r="F687" s="30">
        <v>1</v>
      </c>
      <c r="G687" s="30"/>
      <c r="H687" s="30"/>
      <c r="I687" s="30"/>
      <c r="J687" s="30">
        <v>200</v>
      </c>
      <c r="K687" s="30"/>
      <c r="L687" s="25"/>
      <c r="M687" s="44" t="b">
        <v>1</v>
      </c>
      <c r="N687" s="25"/>
      <c r="V687" s="20"/>
      <c r="W687" s="20"/>
      <c r="X687" s="20"/>
      <c r="Y687" s="20"/>
      <c r="Z687" s="20"/>
      <c r="AA687" s="20"/>
      <c r="AB687" s="20"/>
      <c r="AC687" s="20"/>
      <c r="AD687" s="20"/>
    </row>
    <row r="688" spans="1:30" ht="13.5" customHeight="1" x14ac:dyDescent="0.25">
      <c r="A688" s="30"/>
      <c r="B688" s="30"/>
      <c r="C688" s="30"/>
      <c r="D688" s="30">
        <v>6121</v>
      </c>
      <c r="E688" s="30" t="str">
        <f>INDEX([1]道具配置表!$D:$D,MATCH(D688,[1]道具配置表!$A:$A,0))</f>
        <v>5分钟建造加速</v>
      </c>
      <c r="F688" s="30">
        <v>1</v>
      </c>
      <c r="G688" s="30"/>
      <c r="H688" s="30"/>
      <c r="I688" s="30"/>
      <c r="J688" s="30">
        <v>200</v>
      </c>
      <c r="K688" s="30"/>
      <c r="L688" s="30"/>
      <c r="M688" s="44" t="b">
        <v>1</v>
      </c>
      <c r="N688" s="3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spans="1:30" ht="13.5" customHeight="1" x14ac:dyDescent="0.25">
      <c r="A689" s="30"/>
      <c r="B689" s="30"/>
      <c r="C689" s="30"/>
      <c r="D689" s="30">
        <v>6141</v>
      </c>
      <c r="E689" s="30" t="str">
        <f>INDEX([1]道具配置表!$D:$D,MATCH(D689,[1]道具配置表!$A:$A,0))</f>
        <v>5分钟科技加速</v>
      </c>
      <c r="F689" s="30">
        <v>1</v>
      </c>
      <c r="G689" s="30"/>
      <c r="H689" s="30"/>
      <c r="I689" s="30"/>
      <c r="J689" s="30">
        <v>200</v>
      </c>
      <c r="K689" s="30"/>
      <c r="L689" s="30"/>
      <c r="M689" s="44" t="b">
        <v>1</v>
      </c>
      <c r="N689" s="3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spans="1:30" ht="13.5" customHeight="1" x14ac:dyDescent="0.25">
      <c r="A690" s="30"/>
      <c r="B690" s="30"/>
      <c r="C690" s="30"/>
      <c r="D690" s="30">
        <v>6161</v>
      </c>
      <c r="E690" s="30" t="str">
        <f>INDEX([1]道具配置表!$D:$D,MATCH(D690,[1]道具配置表!$A:$A,0))</f>
        <v>5分钟训练加速</v>
      </c>
      <c r="F690" s="30">
        <v>1</v>
      </c>
      <c r="G690" s="30"/>
      <c r="H690" s="30"/>
      <c r="I690" s="30"/>
      <c r="J690" s="30">
        <v>200</v>
      </c>
      <c r="K690" s="30"/>
      <c r="L690" s="30"/>
      <c r="M690" s="44" t="b">
        <v>1</v>
      </c>
      <c r="N690" s="3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spans="1:30" ht="13.5" customHeight="1" x14ac:dyDescent="0.25">
      <c r="A691" s="30"/>
      <c r="B691" s="30"/>
      <c r="C691" s="30"/>
      <c r="D691" s="30">
        <v>6181</v>
      </c>
      <c r="E691" s="30" t="str">
        <f>INDEX([1]道具配置表!$D:$D,MATCH(D691,[1]道具配置表!$A:$A,0))</f>
        <v>5分钟治疗加速</v>
      </c>
      <c r="F691" s="30">
        <v>1</v>
      </c>
      <c r="G691" s="30"/>
      <c r="H691" s="30"/>
      <c r="I691" s="30"/>
      <c r="J691" s="30">
        <v>200</v>
      </c>
      <c r="K691" s="30"/>
      <c r="L691" s="30"/>
      <c r="M691" s="44" t="b">
        <v>1</v>
      </c>
      <c r="N691" s="3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spans="1:30" ht="13.5" customHeight="1" x14ac:dyDescent="0.25">
      <c r="A692" s="44"/>
      <c r="B692" s="44"/>
      <c r="C692" s="44"/>
      <c r="D692" s="44">
        <v>2068</v>
      </c>
      <c r="E692" s="44" t="str">
        <f>INDEX([1]道具配置表!$D:$D,MATCH(D692,[1]道具配置表!$A:$A,0))</f>
        <v>庇佑蓝图</v>
      </c>
      <c r="F692" s="44">
        <v>4</v>
      </c>
      <c r="G692" s="44"/>
      <c r="H692" s="44"/>
      <c r="I692" s="44"/>
      <c r="J692" s="44"/>
      <c r="K692" s="44">
        <v>0.2</v>
      </c>
      <c r="L692" s="44"/>
      <c r="M692" s="44" t="b">
        <v>1</v>
      </c>
      <c r="N692" s="44"/>
      <c r="V692" s="20"/>
      <c r="W692" s="20"/>
      <c r="X692" s="20"/>
      <c r="Y692" s="20"/>
      <c r="Z692" s="20"/>
      <c r="AA692" s="20"/>
      <c r="AB692" s="20"/>
      <c r="AC692" s="20"/>
      <c r="AD692" s="20"/>
    </row>
    <row r="693" spans="1:30" ht="13.5" customHeight="1" x14ac:dyDescent="0.25">
      <c r="A693" s="26">
        <v>6605121</v>
      </c>
      <c r="B693" s="25" t="s">
        <v>288</v>
      </c>
      <c r="C693" s="26" t="s">
        <v>119</v>
      </c>
      <c r="D693" s="27">
        <v>222</v>
      </c>
      <c r="E693" s="27" t="str">
        <f>INDEX([1]道具配置表!$D:$D,MATCH(D693,[1]道具配置表!$A:$A,0))</f>
        <v>1千食物</v>
      </c>
      <c r="F693" s="30">
        <v>12</v>
      </c>
      <c r="G693" s="30">
        <v>1</v>
      </c>
      <c r="H693" s="30">
        <v>1</v>
      </c>
      <c r="I693" s="31" t="s">
        <v>368</v>
      </c>
      <c r="J693" s="30"/>
      <c r="K693" s="30">
        <v>1</v>
      </c>
      <c r="L693" s="25"/>
      <c r="M693" s="44" t="b">
        <v>1</v>
      </c>
      <c r="N693" s="25"/>
      <c r="V693" s="20"/>
      <c r="W693" s="20"/>
      <c r="X693" s="20"/>
      <c r="Y693" s="20"/>
      <c r="Z693" s="20"/>
      <c r="AA693" s="20"/>
      <c r="AB693" s="20"/>
      <c r="AC693" s="20"/>
      <c r="AD693" s="20"/>
    </row>
    <row r="694" spans="1:30" ht="13.5" customHeight="1" x14ac:dyDescent="0.25">
      <c r="A694" s="26"/>
      <c r="B694" s="25"/>
      <c r="C694" s="26" t="s">
        <v>119</v>
      </c>
      <c r="D694" s="27">
        <v>221</v>
      </c>
      <c r="E694" s="27" t="str">
        <f>INDEX([1]道具配置表!$D:$D,MATCH(D694,[1]道具配置表!$A:$A,0))</f>
        <v>1千木材</v>
      </c>
      <c r="F694" s="30">
        <v>12</v>
      </c>
      <c r="G694" s="30"/>
      <c r="H694" s="30"/>
      <c r="I694" s="30"/>
      <c r="J694" s="30"/>
      <c r="K694" s="30">
        <v>1</v>
      </c>
      <c r="L694" s="25"/>
      <c r="M694" s="44" t="b">
        <v>1</v>
      </c>
      <c r="N694" s="25"/>
      <c r="V694" s="20"/>
      <c r="W694" s="20"/>
      <c r="X694" s="20"/>
      <c r="Y694" s="20"/>
      <c r="Z694" s="20"/>
      <c r="AA694" s="20"/>
      <c r="AB694" s="20"/>
      <c r="AC694" s="20"/>
      <c r="AD694" s="20"/>
    </row>
    <row r="695" spans="1:30" ht="13.5" customHeight="1" x14ac:dyDescent="0.25">
      <c r="A695" s="26"/>
      <c r="B695" s="25"/>
      <c r="C695" s="26" t="s">
        <v>119</v>
      </c>
      <c r="D695" s="27">
        <v>223</v>
      </c>
      <c r="E695" s="27" t="str">
        <f>INDEX([1]道具配置表!$D:$D,MATCH(D695,[1]道具配置表!$A:$A,0))</f>
        <v>1千石头</v>
      </c>
      <c r="F695" s="30">
        <v>12</v>
      </c>
      <c r="G695" s="30"/>
      <c r="H695" s="30"/>
      <c r="I695" s="30"/>
      <c r="J695" s="30"/>
      <c r="K695" s="30">
        <v>1</v>
      </c>
      <c r="L695" s="25"/>
      <c r="M695" s="44" t="b">
        <v>1</v>
      </c>
      <c r="N695" s="25"/>
      <c r="V695" s="20"/>
      <c r="W695" s="20"/>
      <c r="X695" s="20"/>
      <c r="Y695" s="20"/>
      <c r="Z695" s="20"/>
      <c r="AA695" s="20"/>
      <c r="AB695" s="20"/>
      <c r="AC695" s="20"/>
      <c r="AD695" s="20"/>
    </row>
    <row r="696" spans="1:30" ht="13.5" customHeight="1" x14ac:dyDescent="0.25">
      <c r="A696" s="26"/>
      <c r="B696" s="25"/>
      <c r="C696" s="26" t="s">
        <v>119</v>
      </c>
      <c r="D696" s="27">
        <v>224</v>
      </c>
      <c r="E696" s="27" t="str">
        <f>INDEX([1]道具配置表!$D:$D,MATCH(D696,[1]道具配置表!$A:$A,0))</f>
        <v>1千黄金</v>
      </c>
      <c r="F696" s="30">
        <v>12</v>
      </c>
      <c r="G696" s="30"/>
      <c r="H696" s="30"/>
      <c r="I696" s="30"/>
      <c r="J696" s="30"/>
      <c r="K696" s="30">
        <v>1</v>
      </c>
      <c r="L696" s="25"/>
      <c r="M696" s="44" t="b">
        <v>1</v>
      </c>
      <c r="N696" s="25"/>
      <c r="V696" s="20"/>
      <c r="W696" s="20"/>
      <c r="X696" s="20"/>
      <c r="Y696" s="20"/>
      <c r="Z696" s="20"/>
      <c r="AA696" s="20"/>
      <c r="AB696" s="20"/>
      <c r="AC696" s="20"/>
      <c r="AD696" s="20"/>
    </row>
    <row r="697" spans="1:30" ht="13.5" customHeight="1" x14ac:dyDescent="0.25">
      <c r="A697" s="26"/>
      <c r="B697" s="25"/>
      <c r="C697" s="26" t="s">
        <v>119</v>
      </c>
      <c r="D697" s="25">
        <v>7227</v>
      </c>
      <c r="E697" s="27" t="str">
        <f>INDEX([1]道具配置表!$D:$D,MATCH(D697,[1]道具配置表!$A:$A,0))</f>
        <v>经验书*1000</v>
      </c>
      <c r="F697" s="30">
        <v>21</v>
      </c>
      <c r="G697" s="30"/>
      <c r="H697" s="30"/>
      <c r="I697" s="30"/>
      <c r="J697" s="30"/>
      <c r="K697" s="30">
        <v>1</v>
      </c>
      <c r="L697" s="25"/>
      <c r="M697" s="44" t="b">
        <v>1</v>
      </c>
      <c r="N697" s="25"/>
      <c r="V697" s="20"/>
      <c r="W697" s="20"/>
      <c r="X697" s="20"/>
      <c r="Y697" s="20"/>
      <c r="Z697" s="20"/>
      <c r="AA697" s="20"/>
      <c r="AB697" s="20"/>
      <c r="AC697" s="20"/>
      <c r="AD697" s="20"/>
    </row>
    <row r="698" spans="1:30" ht="13.5" customHeight="1" x14ac:dyDescent="0.25">
      <c r="A698" s="26"/>
      <c r="B698" s="25"/>
      <c r="C698" s="26" t="s">
        <v>119</v>
      </c>
      <c r="D698" s="25">
        <v>20000</v>
      </c>
      <c r="E698" s="27" t="str">
        <f>INDEX([1]道具配置表!$D:$D,MATCH(D698,[1]道具配置表!$A:$A,0))</f>
        <v>技能点1</v>
      </c>
      <c r="F698" s="30">
        <v>84</v>
      </c>
      <c r="G698" s="30"/>
      <c r="H698" s="30"/>
      <c r="I698" s="30"/>
      <c r="J698" s="30"/>
      <c r="K698" s="30">
        <v>1</v>
      </c>
      <c r="L698" s="25"/>
      <c r="M698" s="44" t="b">
        <v>1</v>
      </c>
      <c r="N698" s="25"/>
      <c r="V698" s="20"/>
      <c r="W698" s="20"/>
      <c r="X698" s="20"/>
      <c r="Y698" s="20"/>
      <c r="Z698" s="20"/>
      <c r="AA698" s="20"/>
      <c r="AB698" s="20"/>
      <c r="AC698" s="20"/>
      <c r="AD698" s="20"/>
    </row>
    <row r="699" spans="1:30" ht="13.5" customHeight="1" x14ac:dyDescent="0.25">
      <c r="A699" s="26"/>
      <c r="B699" s="25"/>
      <c r="C699" s="26" t="s">
        <v>119</v>
      </c>
      <c r="D699" s="30">
        <v>6101</v>
      </c>
      <c r="E699" s="30" t="str">
        <f>INDEX([1]道具配置表!$D:$D,MATCH(D699,[1]道具配置表!$A:$A,0))</f>
        <v>5分钟通用加速</v>
      </c>
      <c r="F699" s="30">
        <v>1</v>
      </c>
      <c r="G699" s="30"/>
      <c r="H699" s="30"/>
      <c r="I699" s="30"/>
      <c r="J699" s="30">
        <v>200</v>
      </c>
      <c r="K699" s="30"/>
      <c r="L699" s="25"/>
      <c r="M699" s="44" t="b">
        <v>1</v>
      </c>
      <c r="N699" s="25"/>
      <c r="V699" s="20"/>
      <c r="W699" s="20"/>
      <c r="X699" s="20"/>
      <c r="Y699" s="20"/>
      <c r="Z699" s="20"/>
      <c r="AA699" s="20"/>
      <c r="AB699" s="20"/>
      <c r="AC699" s="20"/>
      <c r="AD699" s="20"/>
    </row>
    <row r="700" spans="1:30" ht="13.5" customHeight="1" x14ac:dyDescent="0.25">
      <c r="A700" s="30"/>
      <c r="B700" s="30"/>
      <c r="C700" s="30"/>
      <c r="D700" s="30">
        <v>6121</v>
      </c>
      <c r="E700" s="30" t="str">
        <f>INDEX([1]道具配置表!$D:$D,MATCH(D700,[1]道具配置表!$A:$A,0))</f>
        <v>5分钟建造加速</v>
      </c>
      <c r="F700" s="30">
        <v>1</v>
      </c>
      <c r="G700" s="30"/>
      <c r="H700" s="30"/>
      <c r="I700" s="30"/>
      <c r="J700" s="30">
        <v>200</v>
      </c>
      <c r="K700" s="30"/>
      <c r="L700" s="30"/>
      <c r="M700" s="44" t="b">
        <v>1</v>
      </c>
      <c r="N700" s="3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spans="1:30" ht="13.5" customHeight="1" x14ac:dyDescent="0.25">
      <c r="A701" s="30"/>
      <c r="B701" s="30"/>
      <c r="C701" s="30"/>
      <c r="D701" s="30">
        <v>6141</v>
      </c>
      <c r="E701" s="30" t="str">
        <f>INDEX([1]道具配置表!$D:$D,MATCH(D701,[1]道具配置表!$A:$A,0))</f>
        <v>5分钟科技加速</v>
      </c>
      <c r="F701" s="30">
        <v>1</v>
      </c>
      <c r="G701" s="30"/>
      <c r="H701" s="30"/>
      <c r="I701" s="30"/>
      <c r="J701" s="30">
        <v>200</v>
      </c>
      <c r="K701" s="30"/>
      <c r="L701" s="30"/>
      <c r="M701" s="44" t="b">
        <v>1</v>
      </c>
      <c r="N701" s="3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spans="1:30" ht="13.5" customHeight="1" x14ac:dyDescent="0.25">
      <c r="A702" s="30"/>
      <c r="B702" s="30"/>
      <c r="C702" s="30"/>
      <c r="D702" s="30">
        <v>6161</v>
      </c>
      <c r="E702" s="30" t="str">
        <f>INDEX([1]道具配置表!$D:$D,MATCH(D702,[1]道具配置表!$A:$A,0))</f>
        <v>5分钟训练加速</v>
      </c>
      <c r="F702" s="30">
        <v>1</v>
      </c>
      <c r="G702" s="30"/>
      <c r="H702" s="30"/>
      <c r="I702" s="30"/>
      <c r="J702" s="30">
        <v>200</v>
      </c>
      <c r="K702" s="30"/>
      <c r="L702" s="30"/>
      <c r="M702" s="44" t="b">
        <v>1</v>
      </c>
      <c r="N702" s="3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spans="1:30" ht="13.5" customHeight="1" x14ac:dyDescent="0.25">
      <c r="A703" s="30"/>
      <c r="B703" s="30"/>
      <c r="C703" s="30"/>
      <c r="D703" s="30">
        <v>6181</v>
      </c>
      <c r="E703" s="30" t="str">
        <f>INDEX([1]道具配置表!$D:$D,MATCH(D703,[1]道具配置表!$A:$A,0))</f>
        <v>5分钟治疗加速</v>
      </c>
      <c r="F703" s="30">
        <v>1</v>
      </c>
      <c r="G703" s="30"/>
      <c r="H703" s="30"/>
      <c r="I703" s="30"/>
      <c r="J703" s="30">
        <v>200</v>
      </c>
      <c r="K703" s="30"/>
      <c r="L703" s="30"/>
      <c r="M703" s="44" t="b">
        <v>1</v>
      </c>
      <c r="N703" s="3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spans="1:30" ht="13.5" customHeight="1" x14ac:dyDescent="0.25">
      <c r="A704" s="44"/>
      <c r="B704" s="44"/>
      <c r="C704" s="44"/>
      <c r="D704" s="44">
        <v>2068</v>
      </c>
      <c r="E704" s="44" t="str">
        <f>INDEX([1]道具配置表!$D:$D,MATCH(D704,[1]道具配置表!$A:$A,0))</f>
        <v>庇佑蓝图</v>
      </c>
      <c r="F704" s="44">
        <v>4</v>
      </c>
      <c r="G704" s="44"/>
      <c r="H704" s="44"/>
      <c r="I704" s="44"/>
      <c r="J704" s="44"/>
      <c r="K704" s="44">
        <v>0.2</v>
      </c>
      <c r="L704" s="44"/>
      <c r="M704" s="44" t="b">
        <v>1</v>
      </c>
      <c r="N704" s="44"/>
      <c r="V704" s="20"/>
      <c r="W704" s="20"/>
      <c r="X704" s="20"/>
      <c r="Y704" s="20"/>
      <c r="Z704" s="20"/>
      <c r="AA704" s="20"/>
      <c r="AB704" s="20"/>
      <c r="AC704" s="20"/>
      <c r="AD704" s="20"/>
    </row>
    <row r="705" spans="1:30" ht="13.5" customHeight="1" x14ac:dyDescent="0.25">
      <c r="A705" s="26">
        <v>6605122</v>
      </c>
      <c r="B705" s="25" t="s">
        <v>289</v>
      </c>
      <c r="C705" s="26" t="s">
        <v>119</v>
      </c>
      <c r="D705" s="27">
        <v>222</v>
      </c>
      <c r="E705" s="27" t="str">
        <f>INDEX([1]道具配置表!$D:$D,MATCH(D705,[1]道具配置表!$A:$A,0))</f>
        <v>1千食物</v>
      </c>
      <c r="F705" s="30">
        <v>12</v>
      </c>
      <c r="G705" s="30">
        <v>1</v>
      </c>
      <c r="H705" s="30">
        <v>1</v>
      </c>
      <c r="I705" s="31" t="s">
        <v>368</v>
      </c>
      <c r="J705" s="30"/>
      <c r="K705" s="30">
        <v>1</v>
      </c>
      <c r="L705" s="25"/>
      <c r="M705" s="44" t="b">
        <v>1</v>
      </c>
      <c r="N705" s="25"/>
      <c r="V705" s="20"/>
      <c r="W705" s="20"/>
      <c r="X705" s="20"/>
      <c r="Y705" s="20"/>
      <c r="Z705" s="20"/>
      <c r="AA705" s="20"/>
      <c r="AB705" s="20"/>
      <c r="AC705" s="20"/>
      <c r="AD705" s="20"/>
    </row>
    <row r="706" spans="1:30" ht="13.5" customHeight="1" x14ac:dyDescent="0.25">
      <c r="A706" s="26"/>
      <c r="B706" s="25"/>
      <c r="C706" s="26" t="s">
        <v>119</v>
      </c>
      <c r="D706" s="27">
        <v>221</v>
      </c>
      <c r="E706" s="27" t="str">
        <f>INDEX([1]道具配置表!$D:$D,MATCH(D706,[1]道具配置表!$A:$A,0))</f>
        <v>1千木材</v>
      </c>
      <c r="F706" s="30">
        <v>12</v>
      </c>
      <c r="G706" s="30"/>
      <c r="H706" s="30"/>
      <c r="I706" s="30"/>
      <c r="J706" s="30"/>
      <c r="K706" s="30">
        <v>1</v>
      </c>
      <c r="L706" s="25"/>
      <c r="M706" s="44" t="b">
        <v>1</v>
      </c>
      <c r="N706" s="25"/>
      <c r="V706" s="20"/>
      <c r="W706" s="20"/>
      <c r="X706" s="20"/>
      <c r="Y706" s="20"/>
      <c r="Z706" s="20"/>
      <c r="AA706" s="20"/>
      <c r="AB706" s="20"/>
      <c r="AC706" s="20"/>
      <c r="AD706" s="20"/>
    </row>
    <row r="707" spans="1:30" ht="13.5" customHeight="1" x14ac:dyDescent="0.25">
      <c r="A707" s="26"/>
      <c r="B707" s="25"/>
      <c r="C707" s="26" t="s">
        <v>119</v>
      </c>
      <c r="D707" s="27">
        <v>223</v>
      </c>
      <c r="E707" s="27" t="str">
        <f>INDEX([1]道具配置表!$D:$D,MATCH(D707,[1]道具配置表!$A:$A,0))</f>
        <v>1千石头</v>
      </c>
      <c r="F707" s="30">
        <v>12</v>
      </c>
      <c r="G707" s="30"/>
      <c r="H707" s="30"/>
      <c r="I707" s="30"/>
      <c r="J707" s="30"/>
      <c r="K707" s="30">
        <v>1</v>
      </c>
      <c r="L707" s="25"/>
      <c r="M707" s="44" t="b">
        <v>1</v>
      </c>
      <c r="N707" s="25"/>
      <c r="V707" s="20"/>
      <c r="W707" s="20"/>
      <c r="X707" s="20"/>
      <c r="Y707" s="20"/>
      <c r="Z707" s="20"/>
      <c r="AA707" s="20"/>
      <c r="AB707" s="20"/>
      <c r="AC707" s="20"/>
      <c r="AD707" s="20"/>
    </row>
    <row r="708" spans="1:30" ht="13.5" customHeight="1" x14ac:dyDescent="0.25">
      <c r="A708" s="26"/>
      <c r="B708" s="25"/>
      <c r="C708" s="26" t="s">
        <v>119</v>
      </c>
      <c r="D708" s="27">
        <v>224</v>
      </c>
      <c r="E708" s="27" t="str">
        <f>INDEX([1]道具配置表!$D:$D,MATCH(D708,[1]道具配置表!$A:$A,0))</f>
        <v>1千黄金</v>
      </c>
      <c r="F708" s="30">
        <v>12</v>
      </c>
      <c r="G708" s="30"/>
      <c r="H708" s="30"/>
      <c r="I708" s="30"/>
      <c r="J708" s="30"/>
      <c r="K708" s="30">
        <v>1</v>
      </c>
      <c r="L708" s="25"/>
      <c r="M708" s="44" t="b">
        <v>1</v>
      </c>
      <c r="N708" s="25"/>
      <c r="V708" s="20"/>
      <c r="W708" s="20"/>
      <c r="X708" s="20"/>
      <c r="Y708" s="20"/>
      <c r="Z708" s="20"/>
      <c r="AA708" s="20"/>
      <c r="AB708" s="20"/>
      <c r="AC708" s="20"/>
      <c r="AD708" s="20"/>
    </row>
    <row r="709" spans="1:30" ht="13.5" customHeight="1" x14ac:dyDescent="0.25">
      <c r="A709" s="26"/>
      <c r="B709" s="25"/>
      <c r="C709" s="26" t="s">
        <v>119</v>
      </c>
      <c r="D709" s="25">
        <v>7227</v>
      </c>
      <c r="E709" s="27" t="str">
        <f>INDEX([1]道具配置表!$D:$D,MATCH(D709,[1]道具配置表!$A:$A,0))</f>
        <v>经验书*1000</v>
      </c>
      <c r="F709" s="30">
        <v>22</v>
      </c>
      <c r="G709" s="30"/>
      <c r="H709" s="30"/>
      <c r="I709" s="30"/>
      <c r="J709" s="30"/>
      <c r="K709" s="30">
        <v>1</v>
      </c>
      <c r="L709" s="25"/>
      <c r="M709" s="44" t="b">
        <v>1</v>
      </c>
      <c r="N709" s="25"/>
      <c r="V709" s="20"/>
      <c r="W709" s="20"/>
      <c r="X709" s="20"/>
      <c r="Y709" s="20"/>
      <c r="Z709" s="20"/>
      <c r="AA709" s="20"/>
      <c r="AB709" s="20"/>
      <c r="AC709" s="20"/>
      <c r="AD709" s="20"/>
    </row>
    <row r="710" spans="1:30" ht="13.5" customHeight="1" x14ac:dyDescent="0.25">
      <c r="A710" s="26"/>
      <c r="B710" s="25"/>
      <c r="C710" s="26" t="s">
        <v>119</v>
      </c>
      <c r="D710" s="25">
        <v>20000</v>
      </c>
      <c r="E710" s="27" t="str">
        <f>INDEX([1]道具配置表!$D:$D,MATCH(D710,[1]道具配置表!$A:$A,0))</f>
        <v>技能点1</v>
      </c>
      <c r="F710" s="30">
        <v>88</v>
      </c>
      <c r="G710" s="30"/>
      <c r="H710" s="30"/>
      <c r="I710" s="30"/>
      <c r="J710" s="30"/>
      <c r="K710" s="30">
        <v>1</v>
      </c>
      <c r="L710" s="25"/>
      <c r="M710" s="44" t="b">
        <v>1</v>
      </c>
      <c r="N710" s="25"/>
      <c r="V710" s="20"/>
      <c r="W710" s="20"/>
      <c r="X710" s="20"/>
      <c r="Y710" s="20"/>
      <c r="Z710" s="20"/>
      <c r="AA710" s="20"/>
      <c r="AB710" s="20"/>
      <c r="AC710" s="20"/>
      <c r="AD710" s="20"/>
    </row>
    <row r="711" spans="1:30" ht="13.5" customHeight="1" x14ac:dyDescent="0.25">
      <c r="A711" s="26"/>
      <c r="B711" s="25"/>
      <c r="C711" s="26" t="s">
        <v>119</v>
      </c>
      <c r="D711" s="30">
        <v>6101</v>
      </c>
      <c r="E711" s="30" t="str">
        <f>INDEX([1]道具配置表!$D:$D,MATCH(D711,[1]道具配置表!$A:$A,0))</f>
        <v>5分钟通用加速</v>
      </c>
      <c r="F711" s="30">
        <v>1</v>
      </c>
      <c r="G711" s="30"/>
      <c r="H711" s="30"/>
      <c r="I711" s="30"/>
      <c r="J711" s="30">
        <v>200</v>
      </c>
      <c r="K711" s="30"/>
      <c r="L711" s="25"/>
      <c r="M711" s="44" t="b">
        <v>1</v>
      </c>
      <c r="N711" s="25"/>
      <c r="V711" s="20"/>
      <c r="W711" s="20"/>
      <c r="X711" s="20"/>
      <c r="Y711" s="20"/>
      <c r="Z711" s="20"/>
      <c r="AA711" s="20"/>
      <c r="AB711" s="20"/>
      <c r="AC711" s="20"/>
      <c r="AD711" s="20"/>
    </row>
    <row r="712" spans="1:30" ht="13.5" customHeight="1" x14ac:dyDescent="0.25">
      <c r="A712" s="30"/>
      <c r="B712" s="30"/>
      <c r="C712" s="30"/>
      <c r="D712" s="30">
        <v>6121</v>
      </c>
      <c r="E712" s="30" t="str">
        <f>INDEX([1]道具配置表!$D:$D,MATCH(D712,[1]道具配置表!$A:$A,0))</f>
        <v>5分钟建造加速</v>
      </c>
      <c r="F712" s="30">
        <v>1</v>
      </c>
      <c r="G712" s="30"/>
      <c r="H712" s="30"/>
      <c r="I712" s="30"/>
      <c r="J712" s="30">
        <v>200</v>
      </c>
      <c r="K712" s="30"/>
      <c r="L712" s="30"/>
      <c r="M712" s="44" t="b">
        <v>1</v>
      </c>
      <c r="N712" s="3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spans="1:30" ht="13.5" customHeight="1" x14ac:dyDescent="0.25">
      <c r="A713" s="30"/>
      <c r="B713" s="30"/>
      <c r="C713" s="30"/>
      <c r="D713" s="30">
        <v>6141</v>
      </c>
      <c r="E713" s="30" t="str">
        <f>INDEX([1]道具配置表!$D:$D,MATCH(D713,[1]道具配置表!$A:$A,0))</f>
        <v>5分钟科技加速</v>
      </c>
      <c r="F713" s="30">
        <v>1</v>
      </c>
      <c r="G713" s="30"/>
      <c r="H713" s="30"/>
      <c r="I713" s="30"/>
      <c r="J713" s="30">
        <v>200</v>
      </c>
      <c r="K713" s="30"/>
      <c r="L713" s="30"/>
      <c r="M713" s="44" t="b">
        <v>1</v>
      </c>
      <c r="N713" s="3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spans="1:30" ht="13.5" customHeight="1" x14ac:dyDescent="0.25">
      <c r="A714" s="30"/>
      <c r="B714" s="30"/>
      <c r="C714" s="30"/>
      <c r="D714" s="30">
        <v>6161</v>
      </c>
      <c r="E714" s="30" t="str">
        <f>INDEX([1]道具配置表!$D:$D,MATCH(D714,[1]道具配置表!$A:$A,0))</f>
        <v>5分钟训练加速</v>
      </c>
      <c r="F714" s="30">
        <v>1</v>
      </c>
      <c r="G714" s="30"/>
      <c r="H714" s="30"/>
      <c r="I714" s="30"/>
      <c r="J714" s="30">
        <v>200</v>
      </c>
      <c r="K714" s="30"/>
      <c r="L714" s="30"/>
      <c r="M714" s="44" t="b">
        <v>1</v>
      </c>
      <c r="N714" s="3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spans="1:30" ht="13.5" customHeight="1" x14ac:dyDescent="0.25">
      <c r="A715" s="30"/>
      <c r="B715" s="30"/>
      <c r="C715" s="30"/>
      <c r="D715" s="30">
        <v>6181</v>
      </c>
      <c r="E715" s="30" t="str">
        <f>INDEX([1]道具配置表!$D:$D,MATCH(D715,[1]道具配置表!$A:$A,0))</f>
        <v>5分钟治疗加速</v>
      </c>
      <c r="F715" s="30">
        <v>1</v>
      </c>
      <c r="G715" s="30"/>
      <c r="H715" s="30"/>
      <c r="I715" s="30"/>
      <c r="J715" s="30">
        <v>200</v>
      </c>
      <c r="K715" s="30"/>
      <c r="L715" s="30"/>
      <c r="M715" s="44" t="b">
        <v>1</v>
      </c>
      <c r="N715" s="3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spans="1:30" ht="13.5" customHeight="1" x14ac:dyDescent="0.25">
      <c r="A716" s="44"/>
      <c r="B716" s="44"/>
      <c r="C716" s="44"/>
      <c r="D716" s="44">
        <v>2068</v>
      </c>
      <c r="E716" s="44" t="str">
        <f>INDEX([1]道具配置表!$D:$D,MATCH(D716,[1]道具配置表!$A:$A,0))</f>
        <v>庇佑蓝图</v>
      </c>
      <c r="F716" s="44">
        <v>4</v>
      </c>
      <c r="G716" s="44"/>
      <c r="H716" s="44"/>
      <c r="I716" s="44"/>
      <c r="J716" s="44"/>
      <c r="K716" s="44">
        <v>0.2</v>
      </c>
      <c r="L716" s="44"/>
      <c r="M716" s="44" t="b">
        <v>1</v>
      </c>
      <c r="N716" s="44"/>
      <c r="V716" s="20"/>
      <c r="W716" s="20"/>
      <c r="X716" s="20"/>
      <c r="Y716" s="20"/>
      <c r="Z716" s="20"/>
      <c r="AA716" s="20"/>
      <c r="AB716" s="20"/>
      <c r="AC716" s="20"/>
      <c r="AD716" s="20"/>
    </row>
    <row r="717" spans="1:30" ht="13.5" customHeight="1" x14ac:dyDescent="0.25">
      <c r="A717" s="26">
        <v>6605123</v>
      </c>
      <c r="B717" s="25" t="s">
        <v>290</v>
      </c>
      <c r="C717" s="26" t="s">
        <v>119</v>
      </c>
      <c r="D717" s="27">
        <v>222</v>
      </c>
      <c r="E717" s="27" t="str">
        <f>INDEX([1]道具配置表!$D:$D,MATCH(D717,[1]道具配置表!$A:$A,0))</f>
        <v>1千食物</v>
      </c>
      <c r="F717" s="30">
        <v>13</v>
      </c>
      <c r="G717" s="30">
        <v>1</v>
      </c>
      <c r="H717" s="30">
        <v>1</v>
      </c>
      <c r="I717" s="31" t="s">
        <v>368</v>
      </c>
      <c r="J717" s="30"/>
      <c r="K717" s="30">
        <v>1</v>
      </c>
      <c r="L717" s="25"/>
      <c r="M717" s="44" t="b">
        <v>1</v>
      </c>
      <c r="N717" s="25"/>
      <c r="V717" s="20"/>
      <c r="W717" s="20"/>
      <c r="X717" s="20"/>
      <c r="Y717" s="20"/>
      <c r="Z717" s="20"/>
      <c r="AA717" s="20"/>
      <c r="AB717" s="20"/>
      <c r="AC717" s="20"/>
      <c r="AD717" s="20"/>
    </row>
    <row r="718" spans="1:30" ht="13.5" customHeight="1" x14ac:dyDescent="0.25">
      <c r="A718" s="26"/>
      <c r="B718" s="25"/>
      <c r="C718" s="26" t="s">
        <v>119</v>
      </c>
      <c r="D718" s="27">
        <v>221</v>
      </c>
      <c r="E718" s="27" t="str">
        <f>INDEX([1]道具配置表!$D:$D,MATCH(D718,[1]道具配置表!$A:$A,0))</f>
        <v>1千木材</v>
      </c>
      <c r="F718" s="30">
        <v>13</v>
      </c>
      <c r="G718" s="30"/>
      <c r="H718" s="30"/>
      <c r="I718" s="30"/>
      <c r="J718" s="30"/>
      <c r="K718" s="30">
        <v>1</v>
      </c>
      <c r="L718" s="25"/>
      <c r="M718" s="44" t="b">
        <v>1</v>
      </c>
      <c r="N718" s="25"/>
      <c r="V718" s="20"/>
      <c r="W718" s="20"/>
      <c r="X718" s="20"/>
      <c r="Y718" s="20"/>
      <c r="Z718" s="20"/>
      <c r="AA718" s="20"/>
      <c r="AB718" s="20"/>
      <c r="AC718" s="20"/>
      <c r="AD718" s="20"/>
    </row>
    <row r="719" spans="1:30" ht="13.5" customHeight="1" x14ac:dyDescent="0.25">
      <c r="A719" s="26"/>
      <c r="B719" s="25"/>
      <c r="C719" s="26" t="s">
        <v>119</v>
      </c>
      <c r="D719" s="27">
        <v>223</v>
      </c>
      <c r="E719" s="27" t="str">
        <f>INDEX([1]道具配置表!$D:$D,MATCH(D719,[1]道具配置表!$A:$A,0))</f>
        <v>1千石头</v>
      </c>
      <c r="F719" s="30">
        <v>13</v>
      </c>
      <c r="G719" s="30"/>
      <c r="H719" s="30"/>
      <c r="I719" s="30"/>
      <c r="J719" s="30"/>
      <c r="K719" s="30">
        <v>1</v>
      </c>
      <c r="L719" s="25"/>
      <c r="M719" s="44" t="b">
        <v>1</v>
      </c>
      <c r="N719" s="25"/>
      <c r="V719" s="20"/>
      <c r="W719" s="20"/>
      <c r="X719" s="20"/>
      <c r="Y719" s="20"/>
      <c r="Z719" s="20"/>
      <c r="AA719" s="20"/>
      <c r="AB719" s="20"/>
      <c r="AC719" s="20"/>
      <c r="AD719" s="20"/>
    </row>
    <row r="720" spans="1:30" ht="13.5" customHeight="1" x14ac:dyDescent="0.25">
      <c r="A720" s="26"/>
      <c r="B720" s="25"/>
      <c r="C720" s="26" t="s">
        <v>119</v>
      </c>
      <c r="D720" s="27">
        <v>224</v>
      </c>
      <c r="E720" s="27" t="str">
        <f>INDEX([1]道具配置表!$D:$D,MATCH(D720,[1]道具配置表!$A:$A,0))</f>
        <v>1千黄金</v>
      </c>
      <c r="F720" s="30">
        <v>13</v>
      </c>
      <c r="G720" s="30"/>
      <c r="H720" s="30"/>
      <c r="I720" s="30"/>
      <c r="J720" s="30"/>
      <c r="K720" s="30">
        <v>1</v>
      </c>
      <c r="L720" s="25"/>
      <c r="M720" s="44" t="b">
        <v>1</v>
      </c>
      <c r="N720" s="25"/>
      <c r="V720" s="20"/>
      <c r="W720" s="20"/>
      <c r="X720" s="20"/>
      <c r="Y720" s="20"/>
      <c r="Z720" s="20"/>
      <c r="AA720" s="20"/>
      <c r="AB720" s="20"/>
      <c r="AC720" s="20"/>
      <c r="AD720" s="20"/>
    </row>
    <row r="721" spans="1:30" ht="13.5" customHeight="1" x14ac:dyDescent="0.25">
      <c r="A721" s="26"/>
      <c r="B721" s="25"/>
      <c r="C721" s="26" t="s">
        <v>119</v>
      </c>
      <c r="D721" s="25">
        <v>7227</v>
      </c>
      <c r="E721" s="27" t="str">
        <f>INDEX([1]道具配置表!$D:$D,MATCH(D721,[1]道具配置表!$A:$A,0))</f>
        <v>经验书*1000</v>
      </c>
      <c r="F721" s="30">
        <v>23</v>
      </c>
      <c r="G721" s="30"/>
      <c r="H721" s="30"/>
      <c r="I721" s="30"/>
      <c r="J721" s="30"/>
      <c r="K721" s="30">
        <v>1</v>
      </c>
      <c r="L721" s="25"/>
      <c r="M721" s="44" t="b">
        <v>1</v>
      </c>
      <c r="N721" s="25"/>
      <c r="V721" s="20"/>
      <c r="W721" s="20"/>
      <c r="X721" s="20"/>
      <c r="Y721" s="20"/>
      <c r="Z721" s="20"/>
      <c r="AA721" s="20"/>
      <c r="AB721" s="20"/>
      <c r="AC721" s="20"/>
      <c r="AD721" s="20"/>
    </row>
    <row r="722" spans="1:30" ht="13.5" customHeight="1" x14ac:dyDescent="0.25">
      <c r="A722" s="26"/>
      <c r="B722" s="25"/>
      <c r="C722" s="26" t="s">
        <v>119</v>
      </c>
      <c r="D722" s="25">
        <v>20000</v>
      </c>
      <c r="E722" s="27" t="str">
        <f>INDEX([1]道具配置表!$D:$D,MATCH(D722,[1]道具配置表!$A:$A,0))</f>
        <v>技能点1</v>
      </c>
      <c r="F722" s="30">
        <v>92</v>
      </c>
      <c r="G722" s="30"/>
      <c r="H722" s="30"/>
      <c r="I722" s="30"/>
      <c r="J722" s="30"/>
      <c r="K722" s="30">
        <v>1</v>
      </c>
      <c r="L722" s="25"/>
      <c r="M722" s="44" t="b">
        <v>1</v>
      </c>
      <c r="N722" s="25"/>
      <c r="V722" s="20"/>
      <c r="W722" s="20"/>
      <c r="X722" s="20"/>
      <c r="Y722" s="20"/>
      <c r="Z722" s="20"/>
      <c r="AA722" s="20"/>
      <c r="AB722" s="20"/>
      <c r="AC722" s="20"/>
      <c r="AD722" s="20"/>
    </row>
    <row r="723" spans="1:30" ht="13.5" customHeight="1" x14ac:dyDescent="0.25">
      <c r="A723" s="26"/>
      <c r="B723" s="25"/>
      <c r="C723" s="26" t="s">
        <v>119</v>
      </c>
      <c r="D723" s="30">
        <v>6101</v>
      </c>
      <c r="E723" s="30" t="str">
        <f>INDEX([1]道具配置表!$D:$D,MATCH(D723,[1]道具配置表!$A:$A,0))</f>
        <v>5分钟通用加速</v>
      </c>
      <c r="F723" s="30">
        <v>1</v>
      </c>
      <c r="G723" s="30"/>
      <c r="H723" s="30"/>
      <c r="I723" s="30"/>
      <c r="J723" s="30">
        <v>200</v>
      </c>
      <c r="K723" s="30"/>
      <c r="L723" s="25"/>
      <c r="M723" s="44" t="b">
        <v>1</v>
      </c>
      <c r="N723" s="25"/>
      <c r="V723" s="20"/>
      <c r="W723" s="20"/>
      <c r="X723" s="20"/>
      <c r="Y723" s="20"/>
      <c r="Z723" s="20"/>
      <c r="AA723" s="20"/>
      <c r="AB723" s="20"/>
      <c r="AC723" s="20"/>
      <c r="AD723" s="20"/>
    </row>
    <row r="724" spans="1:30" ht="13.5" customHeight="1" x14ac:dyDescent="0.25">
      <c r="A724" s="30"/>
      <c r="B724" s="30"/>
      <c r="C724" s="30"/>
      <c r="D724" s="30">
        <v>6121</v>
      </c>
      <c r="E724" s="30" t="str">
        <f>INDEX([1]道具配置表!$D:$D,MATCH(D724,[1]道具配置表!$A:$A,0))</f>
        <v>5分钟建造加速</v>
      </c>
      <c r="F724" s="30">
        <v>1</v>
      </c>
      <c r="G724" s="30"/>
      <c r="H724" s="30"/>
      <c r="I724" s="30"/>
      <c r="J724" s="30">
        <v>200</v>
      </c>
      <c r="K724" s="30"/>
      <c r="L724" s="30"/>
      <c r="M724" s="44" t="b">
        <v>1</v>
      </c>
      <c r="N724" s="3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spans="1:30" ht="13.5" customHeight="1" x14ac:dyDescent="0.25">
      <c r="A725" s="30"/>
      <c r="B725" s="30"/>
      <c r="C725" s="30"/>
      <c r="D725" s="30">
        <v>6141</v>
      </c>
      <c r="E725" s="30" t="str">
        <f>INDEX([1]道具配置表!$D:$D,MATCH(D725,[1]道具配置表!$A:$A,0))</f>
        <v>5分钟科技加速</v>
      </c>
      <c r="F725" s="30">
        <v>1</v>
      </c>
      <c r="G725" s="30"/>
      <c r="H725" s="30"/>
      <c r="I725" s="30"/>
      <c r="J725" s="30">
        <v>200</v>
      </c>
      <c r="K725" s="30"/>
      <c r="L725" s="30"/>
      <c r="M725" s="44" t="b">
        <v>1</v>
      </c>
      <c r="N725" s="3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spans="1:30" ht="13.5" customHeight="1" x14ac:dyDescent="0.25">
      <c r="A726" s="30"/>
      <c r="B726" s="30"/>
      <c r="C726" s="30"/>
      <c r="D726" s="30">
        <v>6161</v>
      </c>
      <c r="E726" s="30" t="str">
        <f>INDEX([1]道具配置表!$D:$D,MATCH(D726,[1]道具配置表!$A:$A,0))</f>
        <v>5分钟训练加速</v>
      </c>
      <c r="F726" s="30">
        <v>1</v>
      </c>
      <c r="G726" s="30"/>
      <c r="H726" s="30"/>
      <c r="I726" s="30"/>
      <c r="J726" s="30">
        <v>200</v>
      </c>
      <c r="K726" s="30"/>
      <c r="L726" s="30"/>
      <c r="M726" s="44" t="b">
        <v>1</v>
      </c>
      <c r="N726" s="3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spans="1:30" ht="13.5" customHeight="1" x14ac:dyDescent="0.25">
      <c r="A727" s="30"/>
      <c r="B727" s="30"/>
      <c r="C727" s="30"/>
      <c r="D727" s="30">
        <v>6181</v>
      </c>
      <c r="E727" s="30" t="str">
        <f>INDEX([1]道具配置表!$D:$D,MATCH(D727,[1]道具配置表!$A:$A,0))</f>
        <v>5分钟治疗加速</v>
      </c>
      <c r="F727" s="30">
        <v>1</v>
      </c>
      <c r="G727" s="30"/>
      <c r="H727" s="30"/>
      <c r="I727" s="30"/>
      <c r="J727" s="30">
        <v>200</v>
      </c>
      <c r="K727" s="30"/>
      <c r="L727" s="30"/>
      <c r="M727" s="44" t="b">
        <v>1</v>
      </c>
      <c r="N727" s="3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spans="1:30" ht="13.5" customHeight="1" x14ac:dyDescent="0.25">
      <c r="A728" s="44"/>
      <c r="B728" s="44"/>
      <c r="C728" s="44"/>
      <c r="D728" s="44">
        <v>2068</v>
      </c>
      <c r="E728" s="44" t="str">
        <f>INDEX([1]道具配置表!$D:$D,MATCH(D728,[1]道具配置表!$A:$A,0))</f>
        <v>庇佑蓝图</v>
      </c>
      <c r="F728" s="44">
        <v>4</v>
      </c>
      <c r="G728" s="44"/>
      <c r="H728" s="44"/>
      <c r="I728" s="44"/>
      <c r="J728" s="44"/>
      <c r="K728" s="44">
        <v>0.2</v>
      </c>
      <c r="L728" s="44"/>
      <c r="M728" s="44" t="b">
        <v>1</v>
      </c>
      <c r="N728" s="44"/>
      <c r="V728" s="20"/>
      <c r="W728" s="20"/>
      <c r="X728" s="20"/>
      <c r="Y728" s="20"/>
      <c r="Z728" s="20"/>
      <c r="AA728" s="20"/>
      <c r="AB728" s="20"/>
      <c r="AC728" s="20"/>
      <c r="AD728" s="20"/>
    </row>
    <row r="729" spans="1:30" ht="13.5" customHeight="1" x14ac:dyDescent="0.25">
      <c r="A729" s="26">
        <v>6605124</v>
      </c>
      <c r="B729" s="25" t="s">
        <v>291</v>
      </c>
      <c r="C729" s="26" t="s">
        <v>119</v>
      </c>
      <c r="D729" s="27">
        <v>222</v>
      </c>
      <c r="E729" s="27" t="str">
        <f>INDEX([1]道具配置表!$D:$D,MATCH(D729,[1]道具配置表!$A:$A,0))</f>
        <v>1千食物</v>
      </c>
      <c r="F729" s="30">
        <v>13</v>
      </c>
      <c r="G729" s="30">
        <v>1</v>
      </c>
      <c r="H729" s="30">
        <v>1</v>
      </c>
      <c r="I729" s="31" t="s">
        <v>368</v>
      </c>
      <c r="J729" s="30"/>
      <c r="K729" s="30">
        <v>1</v>
      </c>
      <c r="L729" s="25"/>
      <c r="M729" s="44" t="b">
        <v>1</v>
      </c>
      <c r="N729" s="25"/>
      <c r="V729" s="20"/>
      <c r="W729" s="20"/>
      <c r="X729" s="20"/>
      <c r="Y729" s="20"/>
      <c r="Z729" s="20"/>
      <c r="AA729" s="20"/>
      <c r="AB729" s="20"/>
      <c r="AC729" s="20"/>
      <c r="AD729" s="20"/>
    </row>
    <row r="730" spans="1:30" ht="13.5" customHeight="1" x14ac:dyDescent="0.25">
      <c r="A730" s="26"/>
      <c r="B730" s="25"/>
      <c r="C730" s="26" t="s">
        <v>119</v>
      </c>
      <c r="D730" s="27">
        <v>221</v>
      </c>
      <c r="E730" s="27" t="str">
        <f>INDEX([1]道具配置表!$D:$D,MATCH(D730,[1]道具配置表!$A:$A,0))</f>
        <v>1千木材</v>
      </c>
      <c r="F730" s="30">
        <v>13</v>
      </c>
      <c r="G730" s="30"/>
      <c r="H730" s="30"/>
      <c r="I730" s="30"/>
      <c r="J730" s="30"/>
      <c r="K730" s="30">
        <v>1</v>
      </c>
      <c r="L730" s="25"/>
      <c r="M730" s="44" t="b">
        <v>1</v>
      </c>
      <c r="N730" s="25"/>
      <c r="V730" s="20"/>
      <c r="W730" s="20"/>
      <c r="X730" s="20"/>
      <c r="Y730" s="20"/>
      <c r="Z730" s="20"/>
      <c r="AA730" s="20"/>
      <c r="AB730" s="20"/>
      <c r="AC730" s="20"/>
      <c r="AD730" s="20"/>
    </row>
    <row r="731" spans="1:30" ht="13.5" customHeight="1" x14ac:dyDescent="0.25">
      <c r="A731" s="26"/>
      <c r="B731" s="25"/>
      <c r="C731" s="26" t="s">
        <v>119</v>
      </c>
      <c r="D731" s="27">
        <v>223</v>
      </c>
      <c r="E731" s="27" t="str">
        <f>INDEX([1]道具配置表!$D:$D,MATCH(D731,[1]道具配置表!$A:$A,0))</f>
        <v>1千石头</v>
      </c>
      <c r="F731" s="30">
        <v>13</v>
      </c>
      <c r="G731" s="30"/>
      <c r="H731" s="30"/>
      <c r="I731" s="30"/>
      <c r="J731" s="30"/>
      <c r="K731" s="30">
        <v>1</v>
      </c>
      <c r="L731" s="25"/>
      <c r="M731" s="44" t="b">
        <v>1</v>
      </c>
      <c r="N731" s="25"/>
      <c r="V731" s="20"/>
      <c r="W731" s="20"/>
      <c r="X731" s="20"/>
      <c r="Y731" s="20"/>
      <c r="Z731" s="20"/>
      <c r="AA731" s="20"/>
      <c r="AB731" s="20"/>
      <c r="AC731" s="20"/>
      <c r="AD731" s="20"/>
    </row>
    <row r="732" spans="1:30" ht="13.5" customHeight="1" x14ac:dyDescent="0.25">
      <c r="A732" s="26"/>
      <c r="B732" s="25"/>
      <c r="C732" s="26" t="s">
        <v>119</v>
      </c>
      <c r="D732" s="27">
        <v>224</v>
      </c>
      <c r="E732" s="27" t="str">
        <f>INDEX([1]道具配置表!$D:$D,MATCH(D732,[1]道具配置表!$A:$A,0))</f>
        <v>1千黄金</v>
      </c>
      <c r="F732" s="30">
        <v>13</v>
      </c>
      <c r="G732" s="30"/>
      <c r="H732" s="30"/>
      <c r="I732" s="30"/>
      <c r="J732" s="30"/>
      <c r="K732" s="30">
        <v>1</v>
      </c>
      <c r="L732" s="25"/>
      <c r="M732" s="44" t="b">
        <v>1</v>
      </c>
      <c r="N732" s="25"/>
      <c r="V732" s="20"/>
      <c r="W732" s="20"/>
      <c r="X732" s="20"/>
      <c r="Y732" s="20"/>
      <c r="Z732" s="20"/>
      <c r="AA732" s="20"/>
      <c r="AB732" s="20"/>
      <c r="AC732" s="20"/>
      <c r="AD732" s="20"/>
    </row>
    <row r="733" spans="1:30" ht="13.5" customHeight="1" x14ac:dyDescent="0.25">
      <c r="A733" s="26"/>
      <c r="B733" s="25"/>
      <c r="C733" s="26" t="s">
        <v>119</v>
      </c>
      <c r="D733" s="25">
        <v>7227</v>
      </c>
      <c r="E733" s="27" t="str">
        <f>INDEX([1]道具配置表!$D:$D,MATCH(D733,[1]道具配置表!$A:$A,0))</f>
        <v>经验书*1000</v>
      </c>
      <c r="F733" s="30">
        <v>24</v>
      </c>
      <c r="G733" s="30"/>
      <c r="H733" s="30"/>
      <c r="I733" s="30"/>
      <c r="J733" s="30"/>
      <c r="K733" s="30">
        <v>1</v>
      </c>
      <c r="L733" s="25"/>
      <c r="M733" s="44" t="b">
        <v>1</v>
      </c>
      <c r="N733" s="25"/>
      <c r="V733" s="20"/>
      <c r="W733" s="20"/>
      <c r="X733" s="20"/>
      <c r="Y733" s="20"/>
      <c r="Z733" s="20"/>
      <c r="AA733" s="20"/>
      <c r="AB733" s="20"/>
      <c r="AC733" s="20"/>
      <c r="AD733" s="20"/>
    </row>
    <row r="734" spans="1:30" ht="13.5" customHeight="1" x14ac:dyDescent="0.25">
      <c r="A734" s="26"/>
      <c r="B734" s="25"/>
      <c r="C734" s="26" t="s">
        <v>119</v>
      </c>
      <c r="D734" s="25">
        <v>20000</v>
      </c>
      <c r="E734" s="27" t="str">
        <f>INDEX([1]道具配置表!$D:$D,MATCH(D734,[1]道具配置表!$A:$A,0))</f>
        <v>技能点1</v>
      </c>
      <c r="F734" s="30">
        <v>96</v>
      </c>
      <c r="G734" s="30"/>
      <c r="H734" s="30"/>
      <c r="I734" s="30"/>
      <c r="J734" s="30"/>
      <c r="K734" s="30">
        <v>1</v>
      </c>
      <c r="L734" s="25"/>
      <c r="M734" s="44" t="b">
        <v>1</v>
      </c>
      <c r="N734" s="25"/>
      <c r="V734" s="20"/>
      <c r="W734" s="20"/>
      <c r="X734" s="20"/>
      <c r="Y734" s="20"/>
      <c r="Z734" s="20"/>
      <c r="AA734" s="20"/>
      <c r="AB734" s="20"/>
      <c r="AC734" s="20"/>
      <c r="AD734" s="20"/>
    </row>
    <row r="735" spans="1:30" ht="13.5" customHeight="1" x14ac:dyDescent="0.25">
      <c r="A735" s="26"/>
      <c r="B735" s="25"/>
      <c r="C735" s="26" t="s">
        <v>119</v>
      </c>
      <c r="D735" s="30">
        <v>6101</v>
      </c>
      <c r="E735" s="30" t="str">
        <f>INDEX([1]道具配置表!$D:$D,MATCH(D735,[1]道具配置表!$A:$A,0))</f>
        <v>5分钟通用加速</v>
      </c>
      <c r="F735" s="30">
        <v>1</v>
      </c>
      <c r="G735" s="30"/>
      <c r="H735" s="30"/>
      <c r="I735" s="30"/>
      <c r="J735" s="30">
        <v>200</v>
      </c>
      <c r="K735" s="30"/>
      <c r="L735" s="25"/>
      <c r="M735" s="44" t="b">
        <v>1</v>
      </c>
      <c r="N735" s="25"/>
      <c r="V735" s="20"/>
      <c r="W735" s="20"/>
      <c r="X735" s="20"/>
      <c r="Y735" s="20"/>
      <c r="Z735" s="20"/>
      <c r="AA735" s="20"/>
      <c r="AB735" s="20"/>
      <c r="AC735" s="20"/>
      <c r="AD735" s="20"/>
    </row>
    <row r="736" spans="1:30" ht="13.5" customHeight="1" x14ac:dyDescent="0.25">
      <c r="A736" s="30"/>
      <c r="B736" s="30"/>
      <c r="C736" s="30"/>
      <c r="D736" s="30">
        <v>6121</v>
      </c>
      <c r="E736" s="30" t="str">
        <f>INDEX([1]道具配置表!$D:$D,MATCH(D736,[1]道具配置表!$A:$A,0))</f>
        <v>5分钟建造加速</v>
      </c>
      <c r="F736" s="30">
        <v>1</v>
      </c>
      <c r="G736" s="30"/>
      <c r="H736" s="30"/>
      <c r="I736" s="30"/>
      <c r="J736" s="30">
        <v>200</v>
      </c>
      <c r="K736" s="30"/>
      <c r="L736" s="30"/>
      <c r="M736" s="44" t="b">
        <v>1</v>
      </c>
      <c r="N736" s="3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spans="1:30" ht="13.5" customHeight="1" x14ac:dyDescent="0.25">
      <c r="A737" s="30"/>
      <c r="B737" s="30"/>
      <c r="C737" s="30"/>
      <c r="D737" s="30">
        <v>6141</v>
      </c>
      <c r="E737" s="30" t="str">
        <f>INDEX([1]道具配置表!$D:$D,MATCH(D737,[1]道具配置表!$A:$A,0))</f>
        <v>5分钟科技加速</v>
      </c>
      <c r="F737" s="30">
        <v>1</v>
      </c>
      <c r="G737" s="30"/>
      <c r="H737" s="30"/>
      <c r="I737" s="30"/>
      <c r="J737" s="30">
        <v>200</v>
      </c>
      <c r="K737" s="30"/>
      <c r="L737" s="30"/>
      <c r="M737" s="44" t="b">
        <v>1</v>
      </c>
      <c r="N737" s="3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spans="1:30" ht="13.5" customHeight="1" x14ac:dyDescent="0.25">
      <c r="A738" s="30"/>
      <c r="B738" s="30"/>
      <c r="C738" s="30"/>
      <c r="D738" s="30">
        <v>6161</v>
      </c>
      <c r="E738" s="30" t="str">
        <f>INDEX([1]道具配置表!$D:$D,MATCH(D738,[1]道具配置表!$A:$A,0))</f>
        <v>5分钟训练加速</v>
      </c>
      <c r="F738" s="30">
        <v>1</v>
      </c>
      <c r="G738" s="30"/>
      <c r="H738" s="30"/>
      <c r="I738" s="30"/>
      <c r="J738" s="30">
        <v>200</v>
      </c>
      <c r="K738" s="30"/>
      <c r="L738" s="30"/>
      <c r="M738" s="44" t="b">
        <v>1</v>
      </c>
      <c r="N738" s="3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spans="1:30" ht="13.5" customHeight="1" x14ac:dyDescent="0.25">
      <c r="A739" s="30"/>
      <c r="B739" s="30"/>
      <c r="C739" s="30"/>
      <c r="D739" s="30">
        <v>6181</v>
      </c>
      <c r="E739" s="30" t="str">
        <f>INDEX([1]道具配置表!$D:$D,MATCH(D739,[1]道具配置表!$A:$A,0))</f>
        <v>5分钟治疗加速</v>
      </c>
      <c r="F739" s="30">
        <v>1</v>
      </c>
      <c r="G739" s="30"/>
      <c r="H739" s="30"/>
      <c r="I739" s="30"/>
      <c r="J739" s="30">
        <v>200</v>
      </c>
      <c r="K739" s="30"/>
      <c r="L739" s="30"/>
      <c r="M739" s="44" t="b">
        <v>1</v>
      </c>
      <c r="N739" s="3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spans="1:30" ht="13.5" customHeight="1" x14ac:dyDescent="0.25">
      <c r="A740" s="44"/>
      <c r="B740" s="44"/>
      <c r="C740" s="44"/>
      <c r="D740" s="44">
        <v>2068</v>
      </c>
      <c r="E740" s="44" t="str">
        <f>INDEX([1]道具配置表!$D:$D,MATCH(D740,[1]道具配置表!$A:$A,0))</f>
        <v>庇佑蓝图</v>
      </c>
      <c r="F740" s="44">
        <v>4</v>
      </c>
      <c r="G740" s="44"/>
      <c r="H740" s="44"/>
      <c r="I740" s="44"/>
      <c r="J740" s="44"/>
      <c r="K740" s="44">
        <v>0.2</v>
      </c>
      <c r="L740" s="44"/>
      <c r="M740" s="44" t="b">
        <v>1</v>
      </c>
      <c r="N740" s="44"/>
      <c r="V740" s="20"/>
      <c r="W740" s="20"/>
      <c r="X740" s="20"/>
      <c r="Y740" s="20"/>
      <c r="Z740" s="20"/>
      <c r="AA740" s="20"/>
      <c r="AB740" s="20"/>
      <c r="AC740" s="20"/>
      <c r="AD740" s="20"/>
    </row>
    <row r="741" spans="1:30" ht="13.5" customHeight="1" x14ac:dyDescent="0.25">
      <c r="A741" s="26">
        <v>6605125</v>
      </c>
      <c r="B741" s="25" t="s">
        <v>292</v>
      </c>
      <c r="C741" s="26" t="s">
        <v>119</v>
      </c>
      <c r="D741" s="27">
        <v>222</v>
      </c>
      <c r="E741" s="27" t="str">
        <f>INDEX([1]道具配置表!$D:$D,MATCH(D741,[1]道具配置表!$A:$A,0))</f>
        <v>1千食物</v>
      </c>
      <c r="F741" s="30">
        <v>14</v>
      </c>
      <c r="G741" s="30">
        <v>1</v>
      </c>
      <c r="H741" s="30">
        <v>1</v>
      </c>
      <c r="I741" s="31" t="s">
        <v>368</v>
      </c>
      <c r="J741" s="30"/>
      <c r="K741" s="30">
        <v>1</v>
      </c>
      <c r="L741" s="25"/>
      <c r="M741" s="44" t="b">
        <v>1</v>
      </c>
      <c r="N741" s="25"/>
      <c r="V741" s="20"/>
      <c r="W741" s="20"/>
      <c r="X741" s="20"/>
      <c r="Y741" s="20"/>
      <c r="Z741" s="20"/>
      <c r="AA741" s="20"/>
      <c r="AB741" s="20"/>
      <c r="AC741" s="20"/>
      <c r="AD741" s="20"/>
    </row>
    <row r="742" spans="1:30" ht="13.5" customHeight="1" x14ac:dyDescent="0.25">
      <c r="A742" s="26"/>
      <c r="B742" s="25"/>
      <c r="C742" s="26" t="s">
        <v>119</v>
      </c>
      <c r="D742" s="27">
        <v>221</v>
      </c>
      <c r="E742" s="27" t="str">
        <f>INDEX([1]道具配置表!$D:$D,MATCH(D742,[1]道具配置表!$A:$A,0))</f>
        <v>1千木材</v>
      </c>
      <c r="F742" s="30">
        <v>14</v>
      </c>
      <c r="G742" s="30"/>
      <c r="H742" s="30"/>
      <c r="I742" s="30"/>
      <c r="J742" s="30"/>
      <c r="K742" s="30">
        <v>1</v>
      </c>
      <c r="L742" s="25"/>
      <c r="M742" s="44" t="b">
        <v>1</v>
      </c>
      <c r="N742" s="25"/>
      <c r="V742" s="20"/>
      <c r="W742" s="20"/>
      <c r="X742" s="20"/>
      <c r="Y742" s="20"/>
      <c r="Z742" s="20"/>
      <c r="AA742" s="20"/>
      <c r="AB742" s="20"/>
      <c r="AC742" s="20"/>
      <c r="AD742" s="20"/>
    </row>
    <row r="743" spans="1:30" ht="13.5" customHeight="1" x14ac:dyDescent="0.25">
      <c r="A743" s="26"/>
      <c r="B743" s="25"/>
      <c r="C743" s="26" t="s">
        <v>119</v>
      </c>
      <c r="D743" s="27">
        <v>223</v>
      </c>
      <c r="E743" s="27" t="str">
        <f>INDEX([1]道具配置表!$D:$D,MATCH(D743,[1]道具配置表!$A:$A,0))</f>
        <v>1千石头</v>
      </c>
      <c r="F743" s="30">
        <v>14</v>
      </c>
      <c r="G743" s="30"/>
      <c r="H743" s="30"/>
      <c r="I743" s="30"/>
      <c r="J743" s="30"/>
      <c r="K743" s="30">
        <v>1</v>
      </c>
      <c r="L743" s="25"/>
      <c r="M743" s="44" t="b">
        <v>1</v>
      </c>
      <c r="N743" s="25"/>
      <c r="V743" s="20"/>
      <c r="W743" s="20"/>
      <c r="X743" s="20"/>
      <c r="Y743" s="20"/>
      <c r="Z743" s="20"/>
      <c r="AA743" s="20"/>
      <c r="AB743" s="20"/>
      <c r="AC743" s="20"/>
      <c r="AD743" s="20"/>
    </row>
    <row r="744" spans="1:30" ht="13.5" customHeight="1" x14ac:dyDescent="0.25">
      <c r="A744" s="26"/>
      <c r="B744" s="25"/>
      <c r="C744" s="26" t="s">
        <v>119</v>
      </c>
      <c r="D744" s="27">
        <v>224</v>
      </c>
      <c r="E744" s="27" t="str">
        <f>INDEX([1]道具配置表!$D:$D,MATCH(D744,[1]道具配置表!$A:$A,0))</f>
        <v>1千黄金</v>
      </c>
      <c r="F744" s="30">
        <v>14</v>
      </c>
      <c r="G744" s="30"/>
      <c r="H744" s="30"/>
      <c r="I744" s="30"/>
      <c r="J744" s="30"/>
      <c r="K744" s="30">
        <v>1</v>
      </c>
      <c r="L744" s="25"/>
      <c r="M744" s="44" t="b">
        <v>1</v>
      </c>
      <c r="N744" s="25"/>
      <c r="V744" s="20"/>
      <c r="W744" s="20"/>
      <c r="X744" s="20"/>
      <c r="Y744" s="20"/>
      <c r="Z744" s="20"/>
      <c r="AA744" s="20"/>
      <c r="AB744" s="20"/>
      <c r="AC744" s="20"/>
      <c r="AD744" s="20"/>
    </row>
    <row r="745" spans="1:30" ht="13.5" customHeight="1" x14ac:dyDescent="0.25">
      <c r="A745" s="26"/>
      <c r="B745" s="25"/>
      <c r="C745" s="26" t="s">
        <v>119</v>
      </c>
      <c r="D745" s="25">
        <v>7227</v>
      </c>
      <c r="E745" s="27" t="str">
        <f>INDEX([1]道具配置表!$D:$D,MATCH(D745,[1]道具配置表!$A:$A,0))</f>
        <v>经验书*1000</v>
      </c>
      <c r="F745" s="30">
        <v>25</v>
      </c>
      <c r="G745" s="30"/>
      <c r="H745" s="30"/>
      <c r="I745" s="30"/>
      <c r="J745" s="30"/>
      <c r="K745" s="30">
        <v>1</v>
      </c>
      <c r="L745" s="25"/>
      <c r="M745" s="44" t="b">
        <v>1</v>
      </c>
      <c r="N745" s="25"/>
      <c r="V745" s="20"/>
      <c r="W745" s="20"/>
      <c r="X745" s="20"/>
      <c r="Y745" s="20"/>
      <c r="Z745" s="20"/>
      <c r="AA745" s="20"/>
      <c r="AB745" s="20"/>
      <c r="AC745" s="20"/>
      <c r="AD745" s="20"/>
    </row>
    <row r="746" spans="1:30" ht="13.5" customHeight="1" x14ac:dyDescent="0.25">
      <c r="A746" s="26"/>
      <c r="B746" s="25"/>
      <c r="C746" s="26" t="s">
        <v>119</v>
      </c>
      <c r="D746" s="25">
        <v>20000</v>
      </c>
      <c r="E746" s="27" t="str">
        <f>INDEX([1]道具配置表!$D:$D,MATCH(D746,[1]道具配置表!$A:$A,0))</f>
        <v>技能点1</v>
      </c>
      <c r="F746" s="30">
        <v>100</v>
      </c>
      <c r="G746" s="30"/>
      <c r="H746" s="30"/>
      <c r="I746" s="30"/>
      <c r="J746" s="30"/>
      <c r="K746" s="30">
        <v>1</v>
      </c>
      <c r="L746" s="25"/>
      <c r="M746" s="44" t="b">
        <v>1</v>
      </c>
      <c r="N746" s="25"/>
      <c r="V746" s="20"/>
      <c r="W746" s="20"/>
      <c r="X746" s="20"/>
      <c r="Y746" s="20"/>
      <c r="Z746" s="20"/>
      <c r="AA746" s="20"/>
      <c r="AB746" s="20"/>
      <c r="AC746" s="20"/>
      <c r="AD746" s="20"/>
    </row>
    <row r="747" spans="1:30" ht="13.5" customHeight="1" x14ac:dyDescent="0.25">
      <c r="A747" s="26"/>
      <c r="B747" s="25"/>
      <c r="C747" s="26" t="s">
        <v>119</v>
      </c>
      <c r="D747" s="30">
        <v>6101</v>
      </c>
      <c r="E747" s="30" t="str">
        <f>INDEX([1]道具配置表!$D:$D,MATCH(D747,[1]道具配置表!$A:$A,0))</f>
        <v>5分钟通用加速</v>
      </c>
      <c r="F747" s="30">
        <v>1</v>
      </c>
      <c r="G747" s="30"/>
      <c r="H747" s="30"/>
      <c r="I747" s="30"/>
      <c r="J747" s="30">
        <v>200</v>
      </c>
      <c r="K747" s="30"/>
      <c r="L747" s="25"/>
      <c r="M747" s="44" t="b">
        <v>1</v>
      </c>
      <c r="N747" s="25"/>
      <c r="V747" s="20"/>
      <c r="W747" s="20"/>
      <c r="X747" s="20"/>
      <c r="Y747" s="20"/>
      <c r="Z747" s="20"/>
      <c r="AA747" s="20"/>
      <c r="AB747" s="20"/>
      <c r="AC747" s="20"/>
      <c r="AD747" s="20"/>
    </row>
    <row r="748" spans="1:30" ht="13.5" customHeight="1" x14ac:dyDescent="0.25">
      <c r="A748" s="30"/>
      <c r="B748" s="30"/>
      <c r="C748" s="30"/>
      <c r="D748" s="30">
        <v>6121</v>
      </c>
      <c r="E748" s="30" t="str">
        <f>INDEX([1]道具配置表!$D:$D,MATCH(D748,[1]道具配置表!$A:$A,0))</f>
        <v>5分钟建造加速</v>
      </c>
      <c r="F748" s="30">
        <v>1</v>
      </c>
      <c r="G748" s="30"/>
      <c r="H748" s="30"/>
      <c r="I748" s="30"/>
      <c r="J748" s="30">
        <v>200</v>
      </c>
      <c r="K748" s="30"/>
      <c r="L748" s="30"/>
      <c r="M748" s="44" t="b">
        <v>1</v>
      </c>
      <c r="N748" s="3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spans="1:30" ht="13.5" customHeight="1" x14ac:dyDescent="0.25">
      <c r="A749" s="30"/>
      <c r="B749" s="30"/>
      <c r="C749" s="30"/>
      <c r="D749" s="30">
        <v>6141</v>
      </c>
      <c r="E749" s="30" t="str">
        <f>INDEX([1]道具配置表!$D:$D,MATCH(D749,[1]道具配置表!$A:$A,0))</f>
        <v>5分钟科技加速</v>
      </c>
      <c r="F749" s="30">
        <v>1</v>
      </c>
      <c r="G749" s="30"/>
      <c r="H749" s="30"/>
      <c r="I749" s="30"/>
      <c r="J749" s="30">
        <v>200</v>
      </c>
      <c r="K749" s="30"/>
      <c r="L749" s="30"/>
      <c r="M749" s="44" t="b">
        <v>1</v>
      </c>
      <c r="N749" s="3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spans="1:30" ht="13.5" customHeight="1" x14ac:dyDescent="0.25">
      <c r="A750" s="30"/>
      <c r="B750" s="30"/>
      <c r="C750" s="30"/>
      <c r="D750" s="30">
        <v>6161</v>
      </c>
      <c r="E750" s="30" t="str">
        <f>INDEX([1]道具配置表!$D:$D,MATCH(D750,[1]道具配置表!$A:$A,0))</f>
        <v>5分钟训练加速</v>
      </c>
      <c r="F750" s="30">
        <v>1</v>
      </c>
      <c r="G750" s="30"/>
      <c r="H750" s="30"/>
      <c r="I750" s="30"/>
      <c r="J750" s="30">
        <v>200</v>
      </c>
      <c r="K750" s="30"/>
      <c r="L750" s="30"/>
      <c r="M750" s="44" t="b">
        <v>1</v>
      </c>
      <c r="N750" s="3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spans="1:30" ht="13.5" customHeight="1" x14ac:dyDescent="0.25">
      <c r="A751" s="30"/>
      <c r="B751" s="30"/>
      <c r="C751" s="30"/>
      <c r="D751" s="30">
        <v>6181</v>
      </c>
      <c r="E751" s="30" t="str">
        <f>INDEX([1]道具配置表!$D:$D,MATCH(D751,[1]道具配置表!$A:$A,0))</f>
        <v>5分钟治疗加速</v>
      </c>
      <c r="F751" s="30">
        <v>1</v>
      </c>
      <c r="G751" s="30"/>
      <c r="H751" s="30"/>
      <c r="I751" s="30"/>
      <c r="J751" s="30">
        <v>200</v>
      </c>
      <c r="K751" s="30"/>
      <c r="L751" s="30"/>
      <c r="M751" s="44" t="b">
        <v>1</v>
      </c>
      <c r="N751" s="3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spans="1:30" ht="13.5" customHeight="1" x14ac:dyDescent="0.25">
      <c r="A752" s="44"/>
      <c r="B752" s="44"/>
      <c r="C752" s="44"/>
      <c r="D752" s="44">
        <v>2068</v>
      </c>
      <c r="E752" s="44" t="str">
        <f>INDEX([1]道具配置表!$D:$D,MATCH(D752,[1]道具配置表!$A:$A,0))</f>
        <v>庇佑蓝图</v>
      </c>
      <c r="F752" s="44">
        <v>5</v>
      </c>
      <c r="G752" s="44"/>
      <c r="H752" s="44"/>
      <c r="I752" s="44"/>
      <c r="J752" s="44"/>
      <c r="K752" s="44">
        <v>0.2</v>
      </c>
      <c r="L752" s="44"/>
      <c r="M752" s="44" t="b">
        <v>1</v>
      </c>
      <c r="N752" s="44"/>
      <c r="V752" s="20"/>
      <c r="W752" s="20"/>
      <c r="X752" s="20"/>
      <c r="Y752" s="20"/>
      <c r="Z752" s="20"/>
      <c r="AA752" s="20"/>
      <c r="AB752" s="20"/>
      <c r="AC752" s="20"/>
      <c r="AD752" s="20"/>
    </row>
    <row r="753" spans="1:30" ht="13.5" customHeight="1" x14ac:dyDescent="0.25">
      <c r="A753" s="26">
        <v>6605126</v>
      </c>
      <c r="B753" s="25" t="s">
        <v>293</v>
      </c>
      <c r="C753" s="26" t="s">
        <v>119</v>
      </c>
      <c r="D753" s="27">
        <v>222</v>
      </c>
      <c r="E753" s="27" t="str">
        <f>INDEX([1]道具配置表!$D:$D,MATCH(D753,[1]道具配置表!$A:$A,0))</f>
        <v>1千食物</v>
      </c>
      <c r="F753" s="30">
        <v>14</v>
      </c>
      <c r="G753" s="30">
        <v>1</v>
      </c>
      <c r="H753" s="30">
        <v>1</v>
      </c>
      <c r="I753" s="31" t="s">
        <v>368</v>
      </c>
      <c r="J753" s="30"/>
      <c r="K753" s="30">
        <v>1</v>
      </c>
      <c r="L753" s="25"/>
      <c r="M753" s="44" t="b">
        <v>1</v>
      </c>
      <c r="N753" s="25"/>
      <c r="V753" s="20"/>
      <c r="W753" s="20"/>
      <c r="X753" s="20"/>
      <c r="Y753" s="20"/>
      <c r="Z753" s="20"/>
      <c r="AA753" s="20"/>
      <c r="AB753" s="20"/>
      <c r="AC753" s="20"/>
      <c r="AD753" s="20"/>
    </row>
    <row r="754" spans="1:30" ht="13.5" customHeight="1" x14ac:dyDescent="0.25">
      <c r="A754" s="26"/>
      <c r="B754" s="25"/>
      <c r="C754" s="26" t="s">
        <v>119</v>
      </c>
      <c r="D754" s="27">
        <v>221</v>
      </c>
      <c r="E754" s="27" t="str">
        <f>INDEX([1]道具配置表!$D:$D,MATCH(D754,[1]道具配置表!$A:$A,0))</f>
        <v>1千木材</v>
      </c>
      <c r="F754" s="30">
        <v>14</v>
      </c>
      <c r="G754" s="30"/>
      <c r="H754" s="30"/>
      <c r="I754" s="30"/>
      <c r="J754" s="30"/>
      <c r="K754" s="30">
        <v>1</v>
      </c>
      <c r="L754" s="25"/>
      <c r="M754" s="44" t="b">
        <v>1</v>
      </c>
      <c r="N754" s="25"/>
      <c r="V754" s="20"/>
      <c r="W754" s="20"/>
      <c r="X754" s="20"/>
      <c r="Y754" s="20"/>
      <c r="Z754" s="20"/>
      <c r="AA754" s="20"/>
      <c r="AB754" s="20"/>
      <c r="AC754" s="20"/>
      <c r="AD754" s="20"/>
    </row>
    <row r="755" spans="1:30" ht="13.5" customHeight="1" x14ac:dyDescent="0.25">
      <c r="A755" s="26"/>
      <c r="B755" s="25"/>
      <c r="C755" s="26" t="s">
        <v>119</v>
      </c>
      <c r="D755" s="27">
        <v>223</v>
      </c>
      <c r="E755" s="27" t="str">
        <f>INDEX([1]道具配置表!$D:$D,MATCH(D755,[1]道具配置表!$A:$A,0))</f>
        <v>1千石头</v>
      </c>
      <c r="F755" s="30">
        <v>14</v>
      </c>
      <c r="G755" s="30"/>
      <c r="H755" s="30"/>
      <c r="I755" s="30"/>
      <c r="J755" s="30"/>
      <c r="K755" s="30">
        <v>1</v>
      </c>
      <c r="L755" s="25"/>
      <c r="M755" s="44" t="b">
        <v>1</v>
      </c>
      <c r="N755" s="25"/>
      <c r="V755" s="20"/>
      <c r="W755" s="20"/>
      <c r="X755" s="20"/>
      <c r="Y755" s="20"/>
      <c r="Z755" s="20"/>
      <c r="AA755" s="20"/>
      <c r="AB755" s="20"/>
      <c r="AC755" s="20"/>
      <c r="AD755" s="20"/>
    </row>
    <row r="756" spans="1:30" ht="13.5" customHeight="1" x14ac:dyDescent="0.25">
      <c r="A756" s="26"/>
      <c r="B756" s="25"/>
      <c r="C756" s="26" t="s">
        <v>119</v>
      </c>
      <c r="D756" s="27">
        <v>224</v>
      </c>
      <c r="E756" s="27" t="str">
        <f>INDEX([1]道具配置表!$D:$D,MATCH(D756,[1]道具配置表!$A:$A,0))</f>
        <v>1千黄金</v>
      </c>
      <c r="F756" s="30">
        <v>14</v>
      </c>
      <c r="G756" s="30"/>
      <c r="H756" s="30"/>
      <c r="I756" s="30"/>
      <c r="J756" s="30"/>
      <c r="K756" s="30">
        <v>1</v>
      </c>
      <c r="L756" s="25"/>
      <c r="M756" s="44" t="b">
        <v>1</v>
      </c>
      <c r="N756" s="25"/>
      <c r="V756" s="20"/>
      <c r="W756" s="20"/>
      <c r="X756" s="20"/>
      <c r="Y756" s="20"/>
      <c r="Z756" s="20"/>
      <c r="AA756" s="20"/>
      <c r="AB756" s="20"/>
      <c r="AC756" s="20"/>
      <c r="AD756" s="20"/>
    </row>
    <row r="757" spans="1:30" ht="13.5" customHeight="1" x14ac:dyDescent="0.25">
      <c r="A757" s="26"/>
      <c r="B757" s="25"/>
      <c r="C757" s="26" t="s">
        <v>119</v>
      </c>
      <c r="D757" s="25">
        <v>7227</v>
      </c>
      <c r="E757" s="27" t="str">
        <f>INDEX([1]道具配置表!$D:$D,MATCH(D757,[1]道具配置表!$A:$A,0))</f>
        <v>经验书*1000</v>
      </c>
      <c r="F757" s="30">
        <v>26</v>
      </c>
      <c r="G757" s="30"/>
      <c r="H757" s="30"/>
      <c r="I757" s="30"/>
      <c r="J757" s="30"/>
      <c r="K757" s="30">
        <v>1</v>
      </c>
      <c r="L757" s="25"/>
      <c r="M757" s="44" t="b">
        <v>1</v>
      </c>
      <c r="N757" s="25"/>
      <c r="V757" s="20"/>
      <c r="W757" s="20"/>
      <c r="X757" s="20"/>
      <c r="Y757" s="20"/>
      <c r="Z757" s="20"/>
      <c r="AA757" s="20"/>
      <c r="AB757" s="20"/>
      <c r="AC757" s="20"/>
      <c r="AD757" s="20"/>
    </row>
    <row r="758" spans="1:30" ht="13.5" customHeight="1" x14ac:dyDescent="0.25">
      <c r="A758" s="26"/>
      <c r="B758" s="25"/>
      <c r="C758" s="26" t="s">
        <v>119</v>
      </c>
      <c r="D758" s="25">
        <v>20000</v>
      </c>
      <c r="E758" s="27" t="str">
        <f>INDEX([1]道具配置表!$D:$D,MATCH(D758,[1]道具配置表!$A:$A,0))</f>
        <v>技能点1</v>
      </c>
      <c r="F758" s="30">
        <v>104</v>
      </c>
      <c r="G758" s="30"/>
      <c r="H758" s="30"/>
      <c r="I758" s="30"/>
      <c r="J758" s="30"/>
      <c r="K758" s="30">
        <v>1</v>
      </c>
      <c r="L758" s="25"/>
      <c r="M758" s="44" t="b">
        <v>1</v>
      </c>
      <c r="N758" s="25"/>
      <c r="V758" s="20"/>
      <c r="W758" s="20"/>
      <c r="X758" s="20"/>
      <c r="Y758" s="20"/>
      <c r="Z758" s="20"/>
      <c r="AA758" s="20"/>
      <c r="AB758" s="20"/>
      <c r="AC758" s="20"/>
      <c r="AD758" s="20"/>
    </row>
    <row r="759" spans="1:30" ht="13.5" customHeight="1" x14ac:dyDescent="0.25">
      <c r="A759" s="26"/>
      <c r="B759" s="25"/>
      <c r="C759" s="26" t="s">
        <v>119</v>
      </c>
      <c r="D759" s="30">
        <v>6101</v>
      </c>
      <c r="E759" s="30" t="str">
        <f>INDEX([1]道具配置表!$D:$D,MATCH(D759,[1]道具配置表!$A:$A,0))</f>
        <v>5分钟通用加速</v>
      </c>
      <c r="F759" s="30">
        <v>1</v>
      </c>
      <c r="G759" s="30"/>
      <c r="H759" s="30"/>
      <c r="I759" s="30"/>
      <c r="J759" s="30">
        <v>200</v>
      </c>
      <c r="K759" s="30"/>
      <c r="L759" s="25"/>
      <c r="M759" s="44" t="b">
        <v>1</v>
      </c>
      <c r="N759" s="25"/>
      <c r="V759" s="20"/>
      <c r="W759" s="20"/>
      <c r="X759" s="20"/>
      <c r="Y759" s="20"/>
      <c r="Z759" s="20"/>
      <c r="AA759" s="20"/>
      <c r="AB759" s="20"/>
      <c r="AC759" s="20"/>
      <c r="AD759" s="20"/>
    </row>
    <row r="760" spans="1:30" ht="13.5" customHeight="1" x14ac:dyDescent="0.25">
      <c r="A760" s="30"/>
      <c r="B760" s="30"/>
      <c r="C760" s="30"/>
      <c r="D760" s="30">
        <v>6121</v>
      </c>
      <c r="E760" s="30" t="str">
        <f>INDEX([1]道具配置表!$D:$D,MATCH(D760,[1]道具配置表!$A:$A,0))</f>
        <v>5分钟建造加速</v>
      </c>
      <c r="F760" s="30">
        <v>1</v>
      </c>
      <c r="G760" s="30"/>
      <c r="H760" s="30"/>
      <c r="I760" s="30"/>
      <c r="J760" s="30">
        <v>200</v>
      </c>
      <c r="K760" s="30"/>
      <c r="L760" s="30"/>
      <c r="M760" s="44" t="b">
        <v>1</v>
      </c>
      <c r="N760" s="3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spans="1:30" ht="13.5" customHeight="1" x14ac:dyDescent="0.25">
      <c r="A761" s="30"/>
      <c r="B761" s="30"/>
      <c r="C761" s="30"/>
      <c r="D761" s="30">
        <v>6141</v>
      </c>
      <c r="E761" s="30" t="str">
        <f>INDEX([1]道具配置表!$D:$D,MATCH(D761,[1]道具配置表!$A:$A,0))</f>
        <v>5分钟科技加速</v>
      </c>
      <c r="F761" s="30">
        <v>1</v>
      </c>
      <c r="G761" s="30"/>
      <c r="H761" s="30"/>
      <c r="I761" s="30"/>
      <c r="J761" s="30">
        <v>200</v>
      </c>
      <c r="K761" s="30"/>
      <c r="L761" s="30"/>
      <c r="M761" s="44" t="b">
        <v>1</v>
      </c>
      <c r="N761" s="3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spans="1:30" ht="13.5" customHeight="1" x14ac:dyDescent="0.25">
      <c r="A762" s="30"/>
      <c r="B762" s="30"/>
      <c r="C762" s="30"/>
      <c r="D762" s="30">
        <v>6161</v>
      </c>
      <c r="E762" s="30" t="str">
        <f>INDEX([1]道具配置表!$D:$D,MATCH(D762,[1]道具配置表!$A:$A,0))</f>
        <v>5分钟训练加速</v>
      </c>
      <c r="F762" s="30">
        <v>1</v>
      </c>
      <c r="G762" s="30"/>
      <c r="H762" s="30"/>
      <c r="I762" s="30"/>
      <c r="J762" s="30">
        <v>200</v>
      </c>
      <c r="K762" s="30"/>
      <c r="L762" s="30"/>
      <c r="M762" s="44" t="b">
        <v>1</v>
      </c>
      <c r="N762" s="3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spans="1:30" ht="13.5" customHeight="1" x14ac:dyDescent="0.25">
      <c r="A763" s="30"/>
      <c r="B763" s="30"/>
      <c r="C763" s="30"/>
      <c r="D763" s="30">
        <v>6181</v>
      </c>
      <c r="E763" s="30" t="str">
        <f>INDEX([1]道具配置表!$D:$D,MATCH(D763,[1]道具配置表!$A:$A,0))</f>
        <v>5分钟治疗加速</v>
      </c>
      <c r="F763" s="30">
        <v>1</v>
      </c>
      <c r="G763" s="30"/>
      <c r="H763" s="30"/>
      <c r="I763" s="30"/>
      <c r="J763" s="30">
        <v>200</v>
      </c>
      <c r="K763" s="30"/>
      <c r="L763" s="30"/>
      <c r="M763" s="44" t="b">
        <v>1</v>
      </c>
      <c r="N763" s="3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spans="1:30" ht="13.5" customHeight="1" x14ac:dyDescent="0.25">
      <c r="A764" s="44"/>
      <c r="B764" s="44"/>
      <c r="C764" s="44"/>
      <c r="D764" s="44">
        <v>2068</v>
      </c>
      <c r="E764" s="44" t="str">
        <f>INDEX([1]道具配置表!$D:$D,MATCH(D764,[1]道具配置表!$A:$A,0))</f>
        <v>庇佑蓝图</v>
      </c>
      <c r="F764" s="44">
        <v>5</v>
      </c>
      <c r="G764" s="44"/>
      <c r="H764" s="44"/>
      <c r="I764" s="44"/>
      <c r="J764" s="44"/>
      <c r="K764" s="44">
        <v>0.2</v>
      </c>
      <c r="L764" s="44"/>
      <c r="M764" s="44" t="b">
        <v>1</v>
      </c>
      <c r="N764" s="44"/>
      <c r="V764" s="20"/>
      <c r="W764" s="20"/>
      <c r="X764" s="20"/>
      <c r="Y764" s="20"/>
      <c r="Z764" s="20"/>
      <c r="AA764" s="20"/>
      <c r="AB764" s="20"/>
      <c r="AC764" s="20"/>
      <c r="AD764" s="20"/>
    </row>
    <row r="765" spans="1:30" ht="13.5" customHeight="1" x14ac:dyDescent="0.25">
      <c r="A765" s="26">
        <v>6605127</v>
      </c>
      <c r="B765" s="25" t="s">
        <v>294</v>
      </c>
      <c r="C765" s="26" t="s">
        <v>119</v>
      </c>
      <c r="D765" s="27">
        <v>222</v>
      </c>
      <c r="E765" s="27" t="str">
        <f>INDEX([1]道具配置表!$D:$D,MATCH(D765,[1]道具配置表!$A:$A,0))</f>
        <v>1千食物</v>
      </c>
      <c r="F765" s="30">
        <v>15</v>
      </c>
      <c r="G765" s="30">
        <v>1</v>
      </c>
      <c r="H765" s="30">
        <v>1</v>
      </c>
      <c r="I765" s="31" t="s">
        <v>368</v>
      </c>
      <c r="J765" s="30"/>
      <c r="K765" s="30">
        <v>1</v>
      </c>
      <c r="L765" s="25"/>
      <c r="M765" s="44" t="b">
        <v>1</v>
      </c>
      <c r="N765" s="25"/>
      <c r="V765" s="20"/>
      <c r="W765" s="20"/>
      <c r="X765" s="20"/>
      <c r="Y765" s="20"/>
      <c r="Z765" s="20"/>
      <c r="AA765" s="20"/>
      <c r="AB765" s="20"/>
      <c r="AC765" s="20"/>
      <c r="AD765" s="20"/>
    </row>
    <row r="766" spans="1:30" ht="13.5" customHeight="1" x14ac:dyDescent="0.25">
      <c r="A766" s="26"/>
      <c r="B766" s="25"/>
      <c r="C766" s="26" t="s">
        <v>119</v>
      </c>
      <c r="D766" s="27">
        <v>221</v>
      </c>
      <c r="E766" s="27" t="str">
        <f>INDEX([1]道具配置表!$D:$D,MATCH(D766,[1]道具配置表!$A:$A,0))</f>
        <v>1千木材</v>
      </c>
      <c r="F766" s="30">
        <v>15</v>
      </c>
      <c r="G766" s="30"/>
      <c r="H766" s="30"/>
      <c r="I766" s="30"/>
      <c r="J766" s="30"/>
      <c r="K766" s="30">
        <v>1</v>
      </c>
      <c r="L766" s="25"/>
      <c r="M766" s="44" t="b">
        <v>1</v>
      </c>
      <c r="N766" s="25"/>
      <c r="V766" s="20"/>
      <c r="W766" s="20"/>
      <c r="X766" s="20"/>
      <c r="Y766" s="20"/>
      <c r="Z766" s="20"/>
      <c r="AA766" s="20"/>
      <c r="AB766" s="20"/>
      <c r="AC766" s="20"/>
      <c r="AD766" s="20"/>
    </row>
    <row r="767" spans="1:30" ht="13.5" customHeight="1" x14ac:dyDescent="0.25">
      <c r="A767" s="26"/>
      <c r="B767" s="25"/>
      <c r="C767" s="26" t="s">
        <v>119</v>
      </c>
      <c r="D767" s="27">
        <v>223</v>
      </c>
      <c r="E767" s="27" t="str">
        <f>INDEX([1]道具配置表!$D:$D,MATCH(D767,[1]道具配置表!$A:$A,0))</f>
        <v>1千石头</v>
      </c>
      <c r="F767" s="30">
        <v>15</v>
      </c>
      <c r="G767" s="30"/>
      <c r="H767" s="30"/>
      <c r="I767" s="30"/>
      <c r="J767" s="30"/>
      <c r="K767" s="30">
        <v>1</v>
      </c>
      <c r="L767" s="25"/>
      <c r="M767" s="44" t="b">
        <v>1</v>
      </c>
      <c r="N767" s="25"/>
      <c r="V767" s="20"/>
      <c r="W767" s="20"/>
      <c r="X767" s="20"/>
      <c r="Y767" s="20"/>
      <c r="Z767" s="20"/>
      <c r="AA767" s="20"/>
      <c r="AB767" s="20"/>
      <c r="AC767" s="20"/>
      <c r="AD767" s="20"/>
    </row>
    <row r="768" spans="1:30" ht="13.5" customHeight="1" x14ac:dyDescent="0.25">
      <c r="A768" s="26"/>
      <c r="B768" s="25"/>
      <c r="C768" s="26" t="s">
        <v>119</v>
      </c>
      <c r="D768" s="27">
        <v>224</v>
      </c>
      <c r="E768" s="27" t="str">
        <f>INDEX([1]道具配置表!$D:$D,MATCH(D768,[1]道具配置表!$A:$A,0))</f>
        <v>1千黄金</v>
      </c>
      <c r="F768" s="30">
        <v>15</v>
      </c>
      <c r="G768" s="30"/>
      <c r="H768" s="30"/>
      <c r="I768" s="30"/>
      <c r="J768" s="30"/>
      <c r="K768" s="30">
        <v>1</v>
      </c>
      <c r="L768" s="25"/>
      <c r="M768" s="44" t="b">
        <v>1</v>
      </c>
      <c r="N768" s="25"/>
      <c r="V768" s="20"/>
      <c r="W768" s="20"/>
      <c r="X768" s="20"/>
      <c r="Y768" s="20"/>
      <c r="Z768" s="20"/>
      <c r="AA768" s="20"/>
      <c r="AB768" s="20"/>
      <c r="AC768" s="20"/>
      <c r="AD768" s="20"/>
    </row>
    <row r="769" spans="1:30" ht="13.5" customHeight="1" x14ac:dyDescent="0.25">
      <c r="A769" s="26"/>
      <c r="B769" s="25"/>
      <c r="C769" s="26" t="s">
        <v>119</v>
      </c>
      <c r="D769" s="25">
        <v>7227</v>
      </c>
      <c r="E769" s="27" t="str">
        <f>INDEX([1]道具配置表!$D:$D,MATCH(D769,[1]道具配置表!$A:$A,0))</f>
        <v>经验书*1000</v>
      </c>
      <c r="F769" s="30">
        <v>27</v>
      </c>
      <c r="G769" s="30"/>
      <c r="H769" s="30"/>
      <c r="I769" s="30"/>
      <c r="J769" s="30"/>
      <c r="K769" s="30">
        <v>1</v>
      </c>
      <c r="L769" s="25"/>
      <c r="M769" s="44" t="b">
        <v>1</v>
      </c>
      <c r="N769" s="25"/>
      <c r="V769" s="20"/>
      <c r="W769" s="20"/>
      <c r="X769" s="20"/>
      <c r="Y769" s="20"/>
      <c r="Z769" s="20"/>
      <c r="AA769" s="20"/>
      <c r="AB769" s="20"/>
      <c r="AC769" s="20"/>
      <c r="AD769" s="20"/>
    </row>
    <row r="770" spans="1:30" ht="13.5" customHeight="1" x14ac:dyDescent="0.25">
      <c r="A770" s="26"/>
      <c r="B770" s="25"/>
      <c r="C770" s="26" t="s">
        <v>119</v>
      </c>
      <c r="D770" s="25">
        <v>20000</v>
      </c>
      <c r="E770" s="27" t="str">
        <f>INDEX([1]道具配置表!$D:$D,MATCH(D770,[1]道具配置表!$A:$A,0))</f>
        <v>技能点1</v>
      </c>
      <c r="F770" s="30">
        <v>108</v>
      </c>
      <c r="G770" s="30"/>
      <c r="H770" s="30"/>
      <c r="I770" s="30"/>
      <c r="J770" s="30"/>
      <c r="K770" s="30">
        <v>1</v>
      </c>
      <c r="L770" s="25"/>
      <c r="M770" s="44" t="b">
        <v>1</v>
      </c>
      <c r="N770" s="25"/>
      <c r="V770" s="20"/>
      <c r="W770" s="20"/>
      <c r="X770" s="20"/>
      <c r="Y770" s="20"/>
      <c r="Z770" s="20"/>
      <c r="AA770" s="20"/>
      <c r="AB770" s="20"/>
      <c r="AC770" s="20"/>
      <c r="AD770" s="20"/>
    </row>
    <row r="771" spans="1:30" ht="13.5" customHeight="1" x14ac:dyDescent="0.25">
      <c r="A771" s="26"/>
      <c r="B771" s="25"/>
      <c r="C771" s="26" t="s">
        <v>119</v>
      </c>
      <c r="D771" s="30">
        <v>6101</v>
      </c>
      <c r="E771" s="30" t="str">
        <f>INDEX([1]道具配置表!$D:$D,MATCH(D771,[1]道具配置表!$A:$A,0))</f>
        <v>5分钟通用加速</v>
      </c>
      <c r="F771" s="30">
        <v>1</v>
      </c>
      <c r="G771" s="30"/>
      <c r="H771" s="30"/>
      <c r="I771" s="30"/>
      <c r="J771" s="30">
        <v>200</v>
      </c>
      <c r="K771" s="30"/>
      <c r="L771" s="25"/>
      <c r="M771" s="44" t="b">
        <v>1</v>
      </c>
      <c r="N771" s="25"/>
      <c r="V771" s="20"/>
      <c r="W771" s="20"/>
      <c r="X771" s="20"/>
      <c r="Y771" s="20"/>
      <c r="Z771" s="20"/>
      <c r="AA771" s="20"/>
      <c r="AB771" s="20"/>
      <c r="AC771" s="20"/>
      <c r="AD771" s="20"/>
    </row>
    <row r="772" spans="1:30" ht="13.5" customHeight="1" x14ac:dyDescent="0.25">
      <c r="A772" s="30"/>
      <c r="B772" s="30"/>
      <c r="C772" s="30"/>
      <c r="D772" s="30">
        <v>6121</v>
      </c>
      <c r="E772" s="30" t="str">
        <f>INDEX([1]道具配置表!$D:$D,MATCH(D772,[1]道具配置表!$A:$A,0))</f>
        <v>5分钟建造加速</v>
      </c>
      <c r="F772" s="30">
        <v>1</v>
      </c>
      <c r="G772" s="30"/>
      <c r="H772" s="30"/>
      <c r="I772" s="30"/>
      <c r="J772" s="30">
        <v>200</v>
      </c>
      <c r="K772" s="30"/>
      <c r="L772" s="30"/>
      <c r="M772" s="44" t="b">
        <v>1</v>
      </c>
      <c r="N772" s="3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spans="1:30" ht="13.5" customHeight="1" x14ac:dyDescent="0.25">
      <c r="A773" s="30"/>
      <c r="B773" s="30"/>
      <c r="C773" s="30"/>
      <c r="D773" s="30">
        <v>6141</v>
      </c>
      <c r="E773" s="30" t="str">
        <f>INDEX([1]道具配置表!$D:$D,MATCH(D773,[1]道具配置表!$A:$A,0))</f>
        <v>5分钟科技加速</v>
      </c>
      <c r="F773" s="30">
        <v>1</v>
      </c>
      <c r="G773" s="30"/>
      <c r="H773" s="30"/>
      <c r="I773" s="30"/>
      <c r="J773" s="30">
        <v>200</v>
      </c>
      <c r="K773" s="30"/>
      <c r="L773" s="30"/>
      <c r="M773" s="44" t="b">
        <v>1</v>
      </c>
      <c r="N773" s="3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spans="1:30" ht="13.5" customHeight="1" x14ac:dyDescent="0.25">
      <c r="A774" s="30"/>
      <c r="B774" s="30"/>
      <c r="C774" s="30"/>
      <c r="D774" s="30">
        <v>6161</v>
      </c>
      <c r="E774" s="30" t="str">
        <f>INDEX([1]道具配置表!$D:$D,MATCH(D774,[1]道具配置表!$A:$A,0))</f>
        <v>5分钟训练加速</v>
      </c>
      <c r="F774" s="30">
        <v>1</v>
      </c>
      <c r="G774" s="30"/>
      <c r="H774" s="30"/>
      <c r="I774" s="30"/>
      <c r="J774" s="30">
        <v>200</v>
      </c>
      <c r="K774" s="30"/>
      <c r="L774" s="30"/>
      <c r="M774" s="44" t="b">
        <v>1</v>
      </c>
      <c r="N774" s="3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spans="1:30" ht="13.5" customHeight="1" x14ac:dyDescent="0.25">
      <c r="A775" s="30"/>
      <c r="B775" s="30"/>
      <c r="C775" s="30"/>
      <c r="D775" s="30">
        <v>6181</v>
      </c>
      <c r="E775" s="30" t="str">
        <f>INDEX([1]道具配置表!$D:$D,MATCH(D775,[1]道具配置表!$A:$A,0))</f>
        <v>5分钟治疗加速</v>
      </c>
      <c r="F775" s="30">
        <v>1</v>
      </c>
      <c r="G775" s="30"/>
      <c r="H775" s="30"/>
      <c r="I775" s="30"/>
      <c r="J775" s="30">
        <v>200</v>
      </c>
      <c r="K775" s="30"/>
      <c r="L775" s="30"/>
      <c r="M775" s="44" t="b">
        <v>1</v>
      </c>
      <c r="N775" s="3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spans="1:30" ht="13.5" customHeight="1" x14ac:dyDescent="0.25">
      <c r="A776" s="44"/>
      <c r="B776" s="44"/>
      <c r="C776" s="44"/>
      <c r="D776" s="44">
        <v>2068</v>
      </c>
      <c r="E776" s="44" t="str">
        <f>INDEX([1]道具配置表!$D:$D,MATCH(D776,[1]道具配置表!$A:$A,0))</f>
        <v>庇佑蓝图</v>
      </c>
      <c r="F776" s="44">
        <v>5</v>
      </c>
      <c r="G776" s="44"/>
      <c r="H776" s="44"/>
      <c r="I776" s="44"/>
      <c r="J776" s="44"/>
      <c r="K776" s="44">
        <v>0.2</v>
      </c>
      <c r="L776" s="44"/>
      <c r="M776" s="44" t="b">
        <v>1</v>
      </c>
      <c r="N776" s="44"/>
      <c r="V776" s="20"/>
      <c r="W776" s="20"/>
      <c r="X776" s="20"/>
      <c r="Y776" s="20"/>
      <c r="Z776" s="20"/>
      <c r="AA776" s="20"/>
      <c r="AB776" s="20"/>
      <c r="AC776" s="20"/>
      <c r="AD776" s="20"/>
    </row>
    <row r="777" spans="1:30" ht="13.5" customHeight="1" x14ac:dyDescent="0.25">
      <c r="A777" s="26">
        <v>6605128</v>
      </c>
      <c r="B777" s="25" t="s">
        <v>295</v>
      </c>
      <c r="C777" s="26" t="s">
        <v>119</v>
      </c>
      <c r="D777" s="27">
        <v>222</v>
      </c>
      <c r="E777" s="27" t="str">
        <f>INDEX([1]道具配置表!$D:$D,MATCH(D777,[1]道具配置表!$A:$A,0))</f>
        <v>1千食物</v>
      </c>
      <c r="F777" s="30">
        <v>15</v>
      </c>
      <c r="G777" s="30">
        <v>1</v>
      </c>
      <c r="H777" s="30">
        <v>1</v>
      </c>
      <c r="I777" s="31" t="s">
        <v>368</v>
      </c>
      <c r="J777" s="30"/>
      <c r="K777" s="30">
        <v>1</v>
      </c>
      <c r="L777" s="25"/>
      <c r="M777" s="44" t="b">
        <v>1</v>
      </c>
      <c r="N777" s="25"/>
      <c r="V777" s="20"/>
      <c r="W777" s="20"/>
      <c r="X777" s="20"/>
      <c r="Y777" s="20"/>
      <c r="Z777" s="20"/>
      <c r="AA777" s="20"/>
      <c r="AB777" s="20"/>
      <c r="AC777" s="20"/>
      <c r="AD777" s="20"/>
    </row>
    <row r="778" spans="1:30" ht="13.5" customHeight="1" x14ac:dyDescent="0.25">
      <c r="A778" s="26"/>
      <c r="B778" s="25"/>
      <c r="C778" s="26" t="s">
        <v>119</v>
      </c>
      <c r="D778" s="27">
        <v>221</v>
      </c>
      <c r="E778" s="27" t="str">
        <f>INDEX([1]道具配置表!$D:$D,MATCH(D778,[1]道具配置表!$A:$A,0))</f>
        <v>1千木材</v>
      </c>
      <c r="F778" s="30">
        <v>15</v>
      </c>
      <c r="G778" s="30"/>
      <c r="H778" s="30"/>
      <c r="I778" s="30"/>
      <c r="J778" s="30"/>
      <c r="K778" s="30">
        <v>1</v>
      </c>
      <c r="L778" s="25"/>
      <c r="M778" s="44" t="b">
        <v>1</v>
      </c>
      <c r="N778" s="25"/>
      <c r="V778" s="20"/>
      <c r="W778" s="20"/>
      <c r="X778" s="20"/>
      <c r="Y778" s="20"/>
      <c r="Z778" s="20"/>
      <c r="AA778" s="20"/>
      <c r="AB778" s="20"/>
      <c r="AC778" s="20"/>
      <c r="AD778" s="20"/>
    </row>
    <row r="779" spans="1:30" ht="13.5" customHeight="1" x14ac:dyDescent="0.25">
      <c r="A779" s="26"/>
      <c r="B779" s="25"/>
      <c r="C779" s="26" t="s">
        <v>119</v>
      </c>
      <c r="D779" s="27">
        <v>223</v>
      </c>
      <c r="E779" s="27" t="str">
        <f>INDEX([1]道具配置表!$D:$D,MATCH(D779,[1]道具配置表!$A:$A,0))</f>
        <v>1千石头</v>
      </c>
      <c r="F779" s="30">
        <v>15</v>
      </c>
      <c r="G779" s="30"/>
      <c r="H779" s="30"/>
      <c r="I779" s="30"/>
      <c r="J779" s="30"/>
      <c r="K779" s="30">
        <v>1</v>
      </c>
      <c r="L779" s="25"/>
      <c r="M779" s="44" t="b">
        <v>1</v>
      </c>
      <c r="N779" s="25"/>
      <c r="V779" s="20"/>
      <c r="W779" s="20"/>
      <c r="X779" s="20"/>
      <c r="Y779" s="20"/>
      <c r="Z779" s="20"/>
      <c r="AA779" s="20"/>
      <c r="AB779" s="20"/>
      <c r="AC779" s="20"/>
      <c r="AD779" s="20"/>
    </row>
    <row r="780" spans="1:30" ht="13.5" customHeight="1" x14ac:dyDescent="0.25">
      <c r="A780" s="26"/>
      <c r="B780" s="25"/>
      <c r="C780" s="26" t="s">
        <v>119</v>
      </c>
      <c r="D780" s="27">
        <v>224</v>
      </c>
      <c r="E780" s="27" t="str">
        <f>INDEX([1]道具配置表!$D:$D,MATCH(D780,[1]道具配置表!$A:$A,0))</f>
        <v>1千黄金</v>
      </c>
      <c r="F780" s="30">
        <v>15</v>
      </c>
      <c r="G780" s="30"/>
      <c r="H780" s="30"/>
      <c r="I780" s="30"/>
      <c r="J780" s="30"/>
      <c r="K780" s="30">
        <v>1</v>
      </c>
      <c r="L780" s="25"/>
      <c r="M780" s="44" t="b">
        <v>1</v>
      </c>
      <c r="N780" s="25"/>
      <c r="V780" s="20"/>
      <c r="W780" s="20"/>
      <c r="X780" s="20"/>
      <c r="Y780" s="20"/>
      <c r="Z780" s="20"/>
      <c r="AA780" s="20"/>
      <c r="AB780" s="20"/>
      <c r="AC780" s="20"/>
      <c r="AD780" s="20"/>
    </row>
    <row r="781" spans="1:30" ht="13.5" customHeight="1" x14ac:dyDescent="0.25">
      <c r="A781" s="26"/>
      <c r="B781" s="25"/>
      <c r="C781" s="26" t="s">
        <v>119</v>
      </c>
      <c r="D781" s="25">
        <v>7227</v>
      </c>
      <c r="E781" s="27" t="str">
        <f>INDEX([1]道具配置表!$D:$D,MATCH(D781,[1]道具配置表!$A:$A,0))</f>
        <v>经验书*1000</v>
      </c>
      <c r="F781" s="30">
        <v>28</v>
      </c>
      <c r="G781" s="30"/>
      <c r="H781" s="30"/>
      <c r="I781" s="30"/>
      <c r="J781" s="30"/>
      <c r="K781" s="30">
        <v>1</v>
      </c>
      <c r="L781" s="25"/>
      <c r="M781" s="44" t="b">
        <v>1</v>
      </c>
      <c r="N781" s="25"/>
      <c r="V781" s="20"/>
      <c r="W781" s="20"/>
      <c r="X781" s="20"/>
      <c r="Y781" s="20"/>
      <c r="Z781" s="20"/>
      <c r="AA781" s="20"/>
      <c r="AB781" s="20"/>
      <c r="AC781" s="20"/>
      <c r="AD781" s="20"/>
    </row>
    <row r="782" spans="1:30" ht="13.5" customHeight="1" x14ac:dyDescent="0.25">
      <c r="A782" s="26"/>
      <c r="B782" s="25"/>
      <c r="C782" s="26" t="s">
        <v>119</v>
      </c>
      <c r="D782" s="25">
        <v>20000</v>
      </c>
      <c r="E782" s="27" t="str">
        <f>INDEX([1]道具配置表!$D:$D,MATCH(D782,[1]道具配置表!$A:$A,0))</f>
        <v>技能点1</v>
      </c>
      <c r="F782" s="30">
        <v>112</v>
      </c>
      <c r="G782" s="30"/>
      <c r="H782" s="30"/>
      <c r="I782" s="30"/>
      <c r="J782" s="30"/>
      <c r="K782" s="30">
        <v>1</v>
      </c>
      <c r="L782" s="25"/>
      <c r="M782" s="44" t="b">
        <v>1</v>
      </c>
      <c r="N782" s="25"/>
      <c r="V782" s="20"/>
      <c r="W782" s="20"/>
      <c r="X782" s="20"/>
      <c r="Y782" s="20"/>
      <c r="Z782" s="20"/>
      <c r="AA782" s="20"/>
      <c r="AB782" s="20"/>
      <c r="AC782" s="20"/>
      <c r="AD782" s="20"/>
    </row>
    <row r="783" spans="1:30" ht="13.5" customHeight="1" x14ac:dyDescent="0.25">
      <c r="A783" s="26"/>
      <c r="B783" s="25"/>
      <c r="C783" s="26" t="s">
        <v>119</v>
      </c>
      <c r="D783" s="30">
        <v>6101</v>
      </c>
      <c r="E783" s="30" t="str">
        <f>INDEX([1]道具配置表!$D:$D,MATCH(D783,[1]道具配置表!$A:$A,0))</f>
        <v>5分钟通用加速</v>
      </c>
      <c r="F783" s="30">
        <v>1</v>
      </c>
      <c r="G783" s="30"/>
      <c r="H783" s="30"/>
      <c r="I783" s="30"/>
      <c r="J783" s="30">
        <v>200</v>
      </c>
      <c r="K783" s="30"/>
      <c r="L783" s="25"/>
      <c r="M783" s="44" t="b">
        <v>1</v>
      </c>
      <c r="N783" s="25"/>
      <c r="V783" s="20"/>
      <c r="W783" s="20"/>
      <c r="X783" s="20"/>
      <c r="Y783" s="20"/>
      <c r="Z783" s="20"/>
      <c r="AA783" s="20"/>
      <c r="AB783" s="20"/>
      <c r="AC783" s="20"/>
      <c r="AD783" s="20"/>
    </row>
    <row r="784" spans="1:30" ht="13.5" customHeight="1" x14ac:dyDescent="0.25">
      <c r="A784" s="30"/>
      <c r="B784" s="30"/>
      <c r="C784" s="30"/>
      <c r="D784" s="30">
        <v>6121</v>
      </c>
      <c r="E784" s="30" t="str">
        <f>INDEX([1]道具配置表!$D:$D,MATCH(D784,[1]道具配置表!$A:$A,0))</f>
        <v>5分钟建造加速</v>
      </c>
      <c r="F784" s="30">
        <v>1</v>
      </c>
      <c r="G784" s="30"/>
      <c r="H784" s="30"/>
      <c r="I784" s="30"/>
      <c r="J784" s="30">
        <v>200</v>
      </c>
      <c r="K784" s="30"/>
      <c r="L784" s="30"/>
      <c r="M784" s="44" t="b">
        <v>1</v>
      </c>
      <c r="N784" s="3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spans="1:30" ht="13.5" customHeight="1" x14ac:dyDescent="0.25">
      <c r="A785" s="30"/>
      <c r="B785" s="30"/>
      <c r="C785" s="30"/>
      <c r="D785" s="30">
        <v>6141</v>
      </c>
      <c r="E785" s="30" t="str">
        <f>INDEX([1]道具配置表!$D:$D,MATCH(D785,[1]道具配置表!$A:$A,0))</f>
        <v>5分钟科技加速</v>
      </c>
      <c r="F785" s="30">
        <v>1</v>
      </c>
      <c r="G785" s="30"/>
      <c r="H785" s="30"/>
      <c r="I785" s="30"/>
      <c r="J785" s="30">
        <v>200</v>
      </c>
      <c r="K785" s="30"/>
      <c r="L785" s="30"/>
      <c r="M785" s="44" t="b">
        <v>1</v>
      </c>
      <c r="N785" s="3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spans="1:30" ht="13.5" customHeight="1" x14ac:dyDescent="0.25">
      <c r="A786" s="30"/>
      <c r="B786" s="30"/>
      <c r="C786" s="30"/>
      <c r="D786" s="30">
        <v>6161</v>
      </c>
      <c r="E786" s="30" t="str">
        <f>INDEX([1]道具配置表!$D:$D,MATCH(D786,[1]道具配置表!$A:$A,0))</f>
        <v>5分钟训练加速</v>
      </c>
      <c r="F786" s="30">
        <v>1</v>
      </c>
      <c r="G786" s="30"/>
      <c r="H786" s="30"/>
      <c r="I786" s="30"/>
      <c r="J786" s="30">
        <v>200</v>
      </c>
      <c r="K786" s="30"/>
      <c r="L786" s="30"/>
      <c r="M786" s="44" t="b">
        <v>1</v>
      </c>
      <c r="N786" s="3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spans="1:30" ht="13.5" customHeight="1" x14ac:dyDescent="0.25">
      <c r="A787" s="30"/>
      <c r="B787" s="30"/>
      <c r="C787" s="30"/>
      <c r="D787" s="30">
        <v>6181</v>
      </c>
      <c r="E787" s="30" t="str">
        <f>INDEX([1]道具配置表!$D:$D,MATCH(D787,[1]道具配置表!$A:$A,0))</f>
        <v>5分钟治疗加速</v>
      </c>
      <c r="F787" s="30">
        <v>1</v>
      </c>
      <c r="G787" s="30"/>
      <c r="H787" s="30"/>
      <c r="I787" s="30"/>
      <c r="J787" s="30">
        <v>200</v>
      </c>
      <c r="K787" s="30"/>
      <c r="L787" s="30"/>
      <c r="M787" s="44" t="b">
        <v>1</v>
      </c>
      <c r="N787" s="3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spans="1:30" ht="13.5" customHeight="1" x14ac:dyDescent="0.25">
      <c r="A788" s="44"/>
      <c r="B788" s="44"/>
      <c r="C788" s="44"/>
      <c r="D788" s="44">
        <v>2068</v>
      </c>
      <c r="E788" s="44" t="str">
        <f>INDEX([1]道具配置表!$D:$D,MATCH(D788,[1]道具配置表!$A:$A,0))</f>
        <v>庇佑蓝图</v>
      </c>
      <c r="F788" s="44">
        <v>5</v>
      </c>
      <c r="G788" s="44"/>
      <c r="H788" s="44"/>
      <c r="I788" s="44"/>
      <c r="J788" s="44"/>
      <c r="K788" s="44">
        <v>0.2</v>
      </c>
      <c r="L788" s="44"/>
      <c r="M788" s="44" t="b">
        <v>1</v>
      </c>
      <c r="N788" s="44"/>
      <c r="V788" s="20"/>
      <c r="W788" s="20"/>
      <c r="X788" s="20"/>
      <c r="Y788" s="20"/>
      <c r="Z788" s="20"/>
      <c r="AA788" s="20"/>
      <c r="AB788" s="20"/>
      <c r="AC788" s="20"/>
      <c r="AD788" s="20"/>
    </row>
    <row r="789" spans="1:30" ht="13.5" customHeight="1" x14ac:dyDescent="0.25">
      <c r="A789" s="26">
        <v>6605129</v>
      </c>
      <c r="B789" s="25" t="s">
        <v>296</v>
      </c>
      <c r="C789" s="26" t="s">
        <v>119</v>
      </c>
      <c r="D789" s="27">
        <v>222</v>
      </c>
      <c r="E789" s="27" t="str">
        <f>INDEX([1]道具配置表!$D:$D,MATCH(D789,[1]道具配置表!$A:$A,0))</f>
        <v>1千食物</v>
      </c>
      <c r="F789" s="30">
        <v>16</v>
      </c>
      <c r="G789" s="30">
        <v>1</v>
      </c>
      <c r="H789" s="30">
        <v>1</v>
      </c>
      <c r="I789" s="31" t="s">
        <v>368</v>
      </c>
      <c r="J789" s="30"/>
      <c r="K789" s="30">
        <v>1</v>
      </c>
      <c r="L789" s="25"/>
      <c r="M789" s="44" t="b">
        <v>1</v>
      </c>
      <c r="N789" s="25"/>
      <c r="V789" s="20"/>
      <c r="W789" s="20"/>
      <c r="X789" s="20"/>
      <c r="Y789" s="20"/>
      <c r="Z789" s="20"/>
      <c r="AA789" s="20"/>
      <c r="AB789" s="20"/>
      <c r="AC789" s="20"/>
      <c r="AD789" s="20"/>
    </row>
    <row r="790" spans="1:30" ht="13.5" customHeight="1" x14ac:dyDescent="0.25">
      <c r="A790" s="26"/>
      <c r="B790" s="25"/>
      <c r="C790" s="26" t="s">
        <v>119</v>
      </c>
      <c r="D790" s="27">
        <v>221</v>
      </c>
      <c r="E790" s="27" t="str">
        <f>INDEX([1]道具配置表!$D:$D,MATCH(D790,[1]道具配置表!$A:$A,0))</f>
        <v>1千木材</v>
      </c>
      <c r="F790" s="30">
        <v>16</v>
      </c>
      <c r="G790" s="30"/>
      <c r="H790" s="30"/>
      <c r="I790" s="30"/>
      <c r="J790" s="30"/>
      <c r="K790" s="30">
        <v>1</v>
      </c>
      <c r="L790" s="25"/>
      <c r="M790" s="44" t="b">
        <v>1</v>
      </c>
      <c r="N790" s="25"/>
      <c r="V790" s="20"/>
      <c r="W790" s="20"/>
      <c r="X790" s="20"/>
      <c r="Y790" s="20"/>
      <c r="Z790" s="20"/>
      <c r="AA790" s="20"/>
      <c r="AB790" s="20"/>
      <c r="AC790" s="20"/>
      <c r="AD790" s="20"/>
    </row>
    <row r="791" spans="1:30" ht="13.5" customHeight="1" x14ac:dyDescent="0.25">
      <c r="A791" s="26"/>
      <c r="B791" s="25"/>
      <c r="C791" s="26" t="s">
        <v>119</v>
      </c>
      <c r="D791" s="27">
        <v>223</v>
      </c>
      <c r="E791" s="27" t="str">
        <f>INDEX([1]道具配置表!$D:$D,MATCH(D791,[1]道具配置表!$A:$A,0))</f>
        <v>1千石头</v>
      </c>
      <c r="F791" s="30">
        <v>16</v>
      </c>
      <c r="G791" s="30"/>
      <c r="H791" s="30"/>
      <c r="I791" s="30"/>
      <c r="J791" s="30"/>
      <c r="K791" s="30">
        <v>1</v>
      </c>
      <c r="L791" s="25"/>
      <c r="M791" s="44" t="b">
        <v>1</v>
      </c>
      <c r="N791" s="25"/>
      <c r="V791" s="20"/>
      <c r="W791" s="20"/>
      <c r="X791" s="20"/>
      <c r="Y791" s="20"/>
      <c r="Z791" s="20"/>
      <c r="AA791" s="20"/>
      <c r="AB791" s="20"/>
      <c r="AC791" s="20"/>
      <c r="AD791" s="20"/>
    </row>
    <row r="792" spans="1:30" ht="13.5" customHeight="1" x14ac:dyDescent="0.25">
      <c r="A792" s="26"/>
      <c r="B792" s="25"/>
      <c r="C792" s="26" t="s">
        <v>119</v>
      </c>
      <c r="D792" s="27">
        <v>224</v>
      </c>
      <c r="E792" s="27" t="str">
        <f>INDEX([1]道具配置表!$D:$D,MATCH(D792,[1]道具配置表!$A:$A,0))</f>
        <v>1千黄金</v>
      </c>
      <c r="F792" s="30">
        <v>16</v>
      </c>
      <c r="G792" s="30"/>
      <c r="H792" s="30"/>
      <c r="I792" s="30"/>
      <c r="J792" s="30"/>
      <c r="K792" s="30">
        <v>1</v>
      </c>
      <c r="L792" s="25"/>
      <c r="M792" s="44" t="b">
        <v>1</v>
      </c>
      <c r="N792" s="25"/>
      <c r="V792" s="20"/>
      <c r="W792" s="20"/>
      <c r="X792" s="20"/>
      <c r="Y792" s="20"/>
      <c r="Z792" s="20"/>
      <c r="AA792" s="20"/>
      <c r="AB792" s="20"/>
      <c r="AC792" s="20"/>
      <c r="AD792" s="20"/>
    </row>
    <row r="793" spans="1:30" ht="13.5" customHeight="1" x14ac:dyDescent="0.25">
      <c r="A793" s="26"/>
      <c r="B793" s="25"/>
      <c r="C793" s="26" t="s">
        <v>119</v>
      </c>
      <c r="D793" s="25">
        <v>7227</v>
      </c>
      <c r="E793" s="27" t="str">
        <f>INDEX([1]道具配置表!$D:$D,MATCH(D793,[1]道具配置表!$A:$A,0))</f>
        <v>经验书*1000</v>
      </c>
      <c r="F793" s="30">
        <v>29</v>
      </c>
      <c r="G793" s="30"/>
      <c r="H793" s="30"/>
      <c r="I793" s="30"/>
      <c r="J793" s="30"/>
      <c r="K793" s="30">
        <v>1</v>
      </c>
      <c r="L793" s="25"/>
      <c r="M793" s="44" t="b">
        <v>1</v>
      </c>
      <c r="N793" s="25"/>
      <c r="V793" s="20"/>
      <c r="W793" s="20"/>
      <c r="X793" s="20"/>
      <c r="Y793" s="20"/>
      <c r="Z793" s="20"/>
      <c r="AA793" s="20"/>
      <c r="AB793" s="20"/>
      <c r="AC793" s="20"/>
      <c r="AD793" s="20"/>
    </row>
    <row r="794" spans="1:30" ht="13.5" customHeight="1" x14ac:dyDescent="0.25">
      <c r="A794" s="26"/>
      <c r="B794" s="25"/>
      <c r="C794" s="26" t="s">
        <v>119</v>
      </c>
      <c r="D794" s="25">
        <v>20000</v>
      </c>
      <c r="E794" s="27" t="str">
        <f>INDEX([1]道具配置表!$D:$D,MATCH(D794,[1]道具配置表!$A:$A,0))</f>
        <v>技能点1</v>
      </c>
      <c r="F794" s="30">
        <v>116</v>
      </c>
      <c r="G794" s="30"/>
      <c r="H794" s="30"/>
      <c r="I794" s="30"/>
      <c r="J794" s="30"/>
      <c r="K794" s="30">
        <v>1</v>
      </c>
      <c r="L794" s="25"/>
      <c r="M794" s="44" t="b">
        <v>1</v>
      </c>
      <c r="N794" s="25"/>
      <c r="V794" s="20"/>
      <c r="W794" s="20"/>
      <c r="X794" s="20"/>
      <c r="Y794" s="20"/>
      <c r="Z794" s="20"/>
      <c r="AA794" s="20"/>
      <c r="AB794" s="20"/>
      <c r="AC794" s="20"/>
      <c r="AD794" s="20"/>
    </row>
    <row r="795" spans="1:30" ht="13.5" customHeight="1" x14ac:dyDescent="0.25">
      <c r="A795" s="26"/>
      <c r="B795" s="25"/>
      <c r="C795" s="26" t="s">
        <v>119</v>
      </c>
      <c r="D795" s="30">
        <v>6101</v>
      </c>
      <c r="E795" s="30" t="str">
        <f>INDEX([1]道具配置表!$D:$D,MATCH(D795,[1]道具配置表!$A:$A,0))</f>
        <v>5分钟通用加速</v>
      </c>
      <c r="F795" s="30">
        <v>1</v>
      </c>
      <c r="G795" s="30"/>
      <c r="H795" s="30"/>
      <c r="I795" s="30"/>
      <c r="J795" s="30">
        <v>200</v>
      </c>
      <c r="K795" s="30"/>
      <c r="L795" s="25"/>
      <c r="M795" s="44" t="b">
        <v>1</v>
      </c>
      <c r="N795" s="25"/>
      <c r="V795" s="20"/>
      <c r="W795" s="20"/>
      <c r="X795" s="20"/>
      <c r="Y795" s="20"/>
      <c r="Z795" s="20"/>
      <c r="AA795" s="20"/>
      <c r="AB795" s="20"/>
      <c r="AC795" s="20"/>
      <c r="AD795" s="20"/>
    </row>
    <row r="796" spans="1:30" ht="13.5" customHeight="1" x14ac:dyDescent="0.25">
      <c r="A796" s="30"/>
      <c r="B796" s="30"/>
      <c r="C796" s="30"/>
      <c r="D796" s="30">
        <v>6121</v>
      </c>
      <c r="E796" s="30" t="str">
        <f>INDEX([1]道具配置表!$D:$D,MATCH(D796,[1]道具配置表!$A:$A,0))</f>
        <v>5分钟建造加速</v>
      </c>
      <c r="F796" s="30">
        <v>1</v>
      </c>
      <c r="G796" s="30"/>
      <c r="H796" s="30"/>
      <c r="I796" s="30"/>
      <c r="J796" s="30">
        <v>200</v>
      </c>
      <c r="K796" s="30"/>
      <c r="L796" s="30"/>
      <c r="M796" s="44" t="b">
        <v>1</v>
      </c>
      <c r="N796" s="3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spans="1:30" ht="13.5" customHeight="1" x14ac:dyDescent="0.25">
      <c r="A797" s="30"/>
      <c r="B797" s="30"/>
      <c r="C797" s="30"/>
      <c r="D797" s="30">
        <v>6141</v>
      </c>
      <c r="E797" s="30" t="str">
        <f>INDEX([1]道具配置表!$D:$D,MATCH(D797,[1]道具配置表!$A:$A,0))</f>
        <v>5分钟科技加速</v>
      </c>
      <c r="F797" s="30">
        <v>1</v>
      </c>
      <c r="G797" s="30"/>
      <c r="H797" s="30"/>
      <c r="I797" s="30"/>
      <c r="J797" s="30">
        <v>200</v>
      </c>
      <c r="K797" s="30"/>
      <c r="L797" s="30"/>
      <c r="M797" s="44" t="b">
        <v>1</v>
      </c>
      <c r="N797" s="3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spans="1:30" ht="13.5" customHeight="1" x14ac:dyDescent="0.25">
      <c r="A798" s="30"/>
      <c r="B798" s="30"/>
      <c r="C798" s="30"/>
      <c r="D798" s="30">
        <v>6161</v>
      </c>
      <c r="E798" s="30" t="str">
        <f>INDEX([1]道具配置表!$D:$D,MATCH(D798,[1]道具配置表!$A:$A,0))</f>
        <v>5分钟训练加速</v>
      </c>
      <c r="F798" s="30">
        <v>1</v>
      </c>
      <c r="G798" s="30"/>
      <c r="H798" s="30"/>
      <c r="I798" s="30"/>
      <c r="J798" s="30">
        <v>200</v>
      </c>
      <c r="K798" s="30"/>
      <c r="L798" s="30"/>
      <c r="M798" s="44" t="b">
        <v>1</v>
      </c>
      <c r="N798" s="3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spans="1:30" ht="13.5" customHeight="1" x14ac:dyDescent="0.25">
      <c r="A799" s="30"/>
      <c r="B799" s="30"/>
      <c r="C799" s="30"/>
      <c r="D799" s="30">
        <v>6181</v>
      </c>
      <c r="E799" s="30" t="str">
        <f>INDEX([1]道具配置表!$D:$D,MATCH(D799,[1]道具配置表!$A:$A,0))</f>
        <v>5分钟治疗加速</v>
      </c>
      <c r="F799" s="30">
        <v>1</v>
      </c>
      <c r="G799" s="30"/>
      <c r="H799" s="30"/>
      <c r="I799" s="30"/>
      <c r="J799" s="30">
        <v>200</v>
      </c>
      <c r="K799" s="30"/>
      <c r="L799" s="30"/>
      <c r="M799" s="44" t="b">
        <v>1</v>
      </c>
      <c r="N799" s="3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spans="1:30" ht="13.5" customHeight="1" x14ac:dyDescent="0.25">
      <c r="A800" s="44"/>
      <c r="B800" s="44"/>
      <c r="C800" s="44"/>
      <c r="D800" s="44">
        <v>2068</v>
      </c>
      <c r="E800" s="44" t="str">
        <f>INDEX([1]道具配置表!$D:$D,MATCH(D800,[1]道具配置表!$A:$A,0))</f>
        <v>庇佑蓝图</v>
      </c>
      <c r="F800" s="44">
        <v>5</v>
      </c>
      <c r="G800" s="44"/>
      <c r="H800" s="44"/>
      <c r="I800" s="44"/>
      <c r="J800" s="44"/>
      <c r="K800" s="44">
        <v>0.2</v>
      </c>
      <c r="L800" s="44"/>
      <c r="M800" s="44" t="b">
        <v>1</v>
      </c>
      <c r="N800" s="44"/>
      <c r="V800" s="20"/>
      <c r="W800" s="20"/>
      <c r="X800" s="20"/>
      <c r="Y800" s="20"/>
      <c r="Z800" s="20"/>
      <c r="AA800" s="20"/>
      <c r="AB800" s="20"/>
      <c r="AC800" s="20"/>
      <c r="AD800" s="20"/>
    </row>
    <row r="801" spans="1:30" ht="13.5" customHeight="1" x14ac:dyDescent="0.25">
      <c r="A801" s="26">
        <v>6605130</v>
      </c>
      <c r="B801" s="25" t="s">
        <v>297</v>
      </c>
      <c r="C801" s="26" t="s">
        <v>119</v>
      </c>
      <c r="D801" s="27">
        <v>222</v>
      </c>
      <c r="E801" s="27" t="str">
        <f>INDEX([1]道具配置表!$D:$D,MATCH(D801,[1]道具配置表!$A:$A,0))</f>
        <v>1千食物</v>
      </c>
      <c r="F801" s="30">
        <v>16</v>
      </c>
      <c r="G801" s="30">
        <v>1</v>
      </c>
      <c r="H801" s="30">
        <v>1</v>
      </c>
      <c r="I801" s="31" t="s">
        <v>368</v>
      </c>
      <c r="J801" s="30"/>
      <c r="K801" s="30">
        <v>1</v>
      </c>
      <c r="L801" s="25"/>
      <c r="M801" s="44" t="b">
        <v>1</v>
      </c>
      <c r="N801" s="25"/>
      <c r="V801" s="20"/>
      <c r="W801" s="20"/>
      <c r="X801" s="20"/>
      <c r="Y801" s="20"/>
      <c r="Z801" s="20"/>
      <c r="AA801" s="20"/>
      <c r="AB801" s="20"/>
      <c r="AC801" s="20"/>
      <c r="AD801" s="20"/>
    </row>
    <row r="802" spans="1:30" ht="13.5" customHeight="1" x14ac:dyDescent="0.25">
      <c r="A802" s="26"/>
      <c r="B802" s="25"/>
      <c r="C802" s="26" t="s">
        <v>119</v>
      </c>
      <c r="D802" s="27">
        <v>221</v>
      </c>
      <c r="E802" s="27" t="str">
        <f>INDEX([1]道具配置表!$D:$D,MATCH(D802,[1]道具配置表!$A:$A,0))</f>
        <v>1千木材</v>
      </c>
      <c r="F802" s="30">
        <v>16</v>
      </c>
      <c r="G802" s="30"/>
      <c r="H802" s="30"/>
      <c r="I802" s="30"/>
      <c r="J802" s="30"/>
      <c r="K802" s="30">
        <v>1</v>
      </c>
      <c r="L802" s="25"/>
      <c r="M802" s="44" t="b">
        <v>1</v>
      </c>
      <c r="N802" s="25"/>
      <c r="V802" s="20"/>
      <c r="W802" s="20"/>
      <c r="X802" s="20"/>
      <c r="Y802" s="20"/>
      <c r="Z802" s="20"/>
      <c r="AA802" s="20"/>
      <c r="AB802" s="20"/>
      <c r="AC802" s="20"/>
      <c r="AD802" s="20"/>
    </row>
    <row r="803" spans="1:30" ht="13.5" customHeight="1" x14ac:dyDescent="0.25">
      <c r="A803" s="26"/>
      <c r="B803" s="25"/>
      <c r="C803" s="26" t="s">
        <v>119</v>
      </c>
      <c r="D803" s="27">
        <v>223</v>
      </c>
      <c r="E803" s="27" t="str">
        <f>INDEX([1]道具配置表!$D:$D,MATCH(D803,[1]道具配置表!$A:$A,0))</f>
        <v>1千石头</v>
      </c>
      <c r="F803" s="30">
        <v>16</v>
      </c>
      <c r="G803" s="30"/>
      <c r="H803" s="30"/>
      <c r="I803" s="30"/>
      <c r="J803" s="30"/>
      <c r="K803" s="30">
        <v>1</v>
      </c>
      <c r="L803" s="25"/>
      <c r="M803" s="44" t="b">
        <v>1</v>
      </c>
      <c r="N803" s="25"/>
      <c r="V803" s="20"/>
      <c r="W803" s="20"/>
      <c r="X803" s="20"/>
      <c r="Y803" s="20"/>
      <c r="Z803" s="20"/>
      <c r="AA803" s="20"/>
      <c r="AB803" s="20"/>
      <c r="AC803" s="20"/>
      <c r="AD803" s="20"/>
    </row>
    <row r="804" spans="1:30" ht="13.5" customHeight="1" x14ac:dyDescent="0.25">
      <c r="A804" s="26"/>
      <c r="B804" s="25"/>
      <c r="C804" s="26" t="s">
        <v>119</v>
      </c>
      <c r="D804" s="27">
        <v>224</v>
      </c>
      <c r="E804" s="27" t="str">
        <f>INDEX([1]道具配置表!$D:$D,MATCH(D804,[1]道具配置表!$A:$A,0))</f>
        <v>1千黄金</v>
      </c>
      <c r="F804" s="30">
        <v>16</v>
      </c>
      <c r="G804" s="30"/>
      <c r="H804" s="30"/>
      <c r="I804" s="30"/>
      <c r="J804" s="30"/>
      <c r="K804" s="30">
        <v>1</v>
      </c>
      <c r="L804" s="25"/>
      <c r="M804" s="44" t="b">
        <v>1</v>
      </c>
      <c r="N804" s="25"/>
      <c r="V804" s="20"/>
      <c r="W804" s="20"/>
      <c r="X804" s="20"/>
      <c r="Y804" s="20"/>
      <c r="Z804" s="20"/>
      <c r="AA804" s="20"/>
      <c r="AB804" s="20"/>
      <c r="AC804" s="20"/>
      <c r="AD804" s="20"/>
    </row>
    <row r="805" spans="1:30" ht="13.5" customHeight="1" x14ac:dyDescent="0.25">
      <c r="A805" s="26"/>
      <c r="B805" s="25"/>
      <c r="C805" s="26" t="s">
        <v>119</v>
      </c>
      <c r="D805" s="25">
        <v>7227</v>
      </c>
      <c r="E805" s="27" t="str">
        <f>INDEX([1]道具配置表!$D:$D,MATCH(D805,[1]道具配置表!$A:$A,0))</f>
        <v>经验书*1000</v>
      </c>
      <c r="F805" s="30">
        <v>30</v>
      </c>
      <c r="G805" s="30"/>
      <c r="H805" s="30"/>
      <c r="I805" s="30"/>
      <c r="J805" s="30"/>
      <c r="K805" s="30">
        <v>1</v>
      </c>
      <c r="L805" s="25"/>
      <c r="M805" s="44" t="b">
        <v>1</v>
      </c>
      <c r="N805" s="25"/>
      <c r="V805" s="20"/>
      <c r="W805" s="20"/>
      <c r="X805" s="20"/>
      <c r="Y805" s="20"/>
      <c r="Z805" s="20"/>
      <c r="AA805" s="20"/>
      <c r="AB805" s="20"/>
      <c r="AC805" s="20"/>
      <c r="AD805" s="20"/>
    </row>
    <row r="806" spans="1:30" ht="13.5" customHeight="1" x14ac:dyDescent="0.25">
      <c r="A806" s="26"/>
      <c r="B806" s="25"/>
      <c r="C806" s="26" t="s">
        <v>119</v>
      </c>
      <c r="D806" s="25">
        <v>20000</v>
      </c>
      <c r="E806" s="27" t="str">
        <f>INDEX([1]道具配置表!$D:$D,MATCH(D806,[1]道具配置表!$A:$A,0))</f>
        <v>技能点1</v>
      </c>
      <c r="F806" s="30">
        <v>120</v>
      </c>
      <c r="G806" s="30"/>
      <c r="H806" s="30"/>
      <c r="I806" s="30"/>
      <c r="J806" s="30"/>
      <c r="K806" s="30">
        <v>1</v>
      </c>
      <c r="L806" s="25"/>
      <c r="M806" s="44" t="b">
        <v>1</v>
      </c>
      <c r="N806" s="25"/>
      <c r="V806" s="20"/>
      <c r="W806" s="20"/>
      <c r="X806" s="20"/>
      <c r="Y806" s="20"/>
      <c r="Z806" s="20"/>
      <c r="AA806" s="20"/>
      <c r="AB806" s="20"/>
      <c r="AC806" s="20"/>
      <c r="AD806" s="20"/>
    </row>
    <row r="807" spans="1:30" ht="13.5" customHeight="1" x14ac:dyDescent="0.25">
      <c r="A807" s="26"/>
      <c r="B807" s="25"/>
      <c r="C807" s="26" t="s">
        <v>119</v>
      </c>
      <c r="D807" s="30">
        <v>6101</v>
      </c>
      <c r="E807" s="30" t="str">
        <f>INDEX([1]道具配置表!$D:$D,MATCH(D807,[1]道具配置表!$A:$A,0))</f>
        <v>5分钟通用加速</v>
      </c>
      <c r="F807" s="30">
        <v>1</v>
      </c>
      <c r="G807" s="30"/>
      <c r="H807" s="30"/>
      <c r="I807" s="30"/>
      <c r="J807" s="30">
        <v>200</v>
      </c>
      <c r="K807" s="30"/>
      <c r="L807" s="25"/>
      <c r="M807" s="44" t="b">
        <v>1</v>
      </c>
      <c r="N807" s="25"/>
      <c r="V807" s="20"/>
      <c r="W807" s="20"/>
      <c r="X807" s="20"/>
      <c r="Y807" s="20"/>
      <c r="Z807" s="20"/>
      <c r="AA807" s="20"/>
      <c r="AB807" s="20"/>
      <c r="AC807" s="20"/>
      <c r="AD807" s="20"/>
    </row>
    <row r="808" spans="1:30" ht="13.5" customHeight="1" x14ac:dyDescent="0.25">
      <c r="A808" s="30"/>
      <c r="B808" s="30"/>
      <c r="C808" s="30"/>
      <c r="D808" s="30">
        <v>6121</v>
      </c>
      <c r="E808" s="30" t="str">
        <f>INDEX([1]道具配置表!$D:$D,MATCH(D808,[1]道具配置表!$A:$A,0))</f>
        <v>5分钟建造加速</v>
      </c>
      <c r="F808" s="30">
        <v>1</v>
      </c>
      <c r="G808" s="30"/>
      <c r="H808" s="30"/>
      <c r="I808" s="30"/>
      <c r="J808" s="30">
        <v>200</v>
      </c>
      <c r="K808" s="30"/>
      <c r="L808" s="30"/>
      <c r="M808" s="44" t="b">
        <v>1</v>
      </c>
      <c r="N808" s="3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spans="1:30" ht="13.5" customHeight="1" x14ac:dyDescent="0.25">
      <c r="A809" s="30"/>
      <c r="B809" s="30"/>
      <c r="C809" s="30"/>
      <c r="D809" s="30">
        <v>6141</v>
      </c>
      <c r="E809" s="30" t="str">
        <f>INDEX([1]道具配置表!$D:$D,MATCH(D809,[1]道具配置表!$A:$A,0))</f>
        <v>5分钟科技加速</v>
      </c>
      <c r="F809" s="30">
        <v>1</v>
      </c>
      <c r="G809" s="30"/>
      <c r="H809" s="30"/>
      <c r="I809" s="30"/>
      <c r="J809" s="30">
        <v>200</v>
      </c>
      <c r="K809" s="30"/>
      <c r="L809" s="30"/>
      <c r="M809" s="44" t="b">
        <v>1</v>
      </c>
      <c r="N809" s="3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spans="1:30" ht="13.5" customHeight="1" x14ac:dyDescent="0.25">
      <c r="A810" s="30"/>
      <c r="B810" s="30"/>
      <c r="C810" s="30"/>
      <c r="D810" s="30">
        <v>6161</v>
      </c>
      <c r="E810" s="30" t="str">
        <f>INDEX([1]道具配置表!$D:$D,MATCH(D810,[1]道具配置表!$A:$A,0))</f>
        <v>5分钟训练加速</v>
      </c>
      <c r="F810" s="30">
        <v>1</v>
      </c>
      <c r="G810" s="30"/>
      <c r="H810" s="30"/>
      <c r="I810" s="30"/>
      <c r="J810" s="30">
        <v>200</v>
      </c>
      <c r="K810" s="30"/>
      <c r="L810" s="30"/>
      <c r="M810" s="44" t="b">
        <v>1</v>
      </c>
      <c r="N810" s="3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spans="1:30" ht="13.5" customHeight="1" x14ac:dyDescent="0.25">
      <c r="A811" s="30"/>
      <c r="B811" s="30"/>
      <c r="C811" s="30"/>
      <c r="D811" s="30">
        <v>6181</v>
      </c>
      <c r="E811" s="30" t="str">
        <f>INDEX([1]道具配置表!$D:$D,MATCH(D811,[1]道具配置表!$A:$A,0))</f>
        <v>5分钟治疗加速</v>
      </c>
      <c r="F811" s="30">
        <v>1</v>
      </c>
      <c r="G811" s="30"/>
      <c r="H811" s="30"/>
      <c r="I811" s="30"/>
      <c r="J811" s="30">
        <v>200</v>
      </c>
      <c r="K811" s="30"/>
      <c r="L811" s="30"/>
      <c r="M811" s="44" t="b">
        <v>1</v>
      </c>
      <c r="N811" s="3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spans="1:30" ht="13.5" customHeight="1" x14ac:dyDescent="0.25">
      <c r="A812" s="44"/>
      <c r="B812" s="44"/>
      <c r="C812" s="44"/>
      <c r="D812" s="44">
        <v>2068</v>
      </c>
      <c r="E812" s="44" t="str">
        <f>INDEX([1]道具配置表!$D:$D,MATCH(D812,[1]道具配置表!$A:$A,0))</f>
        <v>庇佑蓝图</v>
      </c>
      <c r="F812" s="44">
        <v>5</v>
      </c>
      <c r="G812" s="44"/>
      <c r="H812" s="44"/>
      <c r="I812" s="44"/>
      <c r="J812" s="44"/>
      <c r="K812" s="44">
        <v>0.2</v>
      </c>
      <c r="L812" s="44"/>
      <c r="M812" s="44" t="b">
        <v>1</v>
      </c>
      <c r="N812" s="44"/>
      <c r="V812" s="20"/>
      <c r="W812" s="20"/>
      <c r="X812" s="20"/>
      <c r="Y812" s="20"/>
      <c r="Z812" s="20"/>
      <c r="AA812" s="20"/>
      <c r="AB812" s="20"/>
      <c r="AC812" s="20"/>
      <c r="AD812" s="20"/>
    </row>
    <row r="813" spans="1:30" ht="13.5" customHeight="1" x14ac:dyDescent="0.25">
      <c r="A813" s="25">
        <v>6605201</v>
      </c>
      <c r="B813" s="25" t="s">
        <v>298</v>
      </c>
      <c r="C813" s="26" t="s">
        <v>119</v>
      </c>
      <c r="D813" s="27">
        <v>222</v>
      </c>
      <c r="E813" s="27" t="str">
        <f>INDEX([1]道具配置表!$D:$D,MATCH(D813,[1]道具配置表!$A:$A,0))</f>
        <v>1千食物</v>
      </c>
      <c r="F813" s="25">
        <v>10</v>
      </c>
      <c r="G813" s="25"/>
      <c r="H813" s="25"/>
      <c r="I813" s="25"/>
      <c r="J813" s="25"/>
      <c r="K813" s="25">
        <v>1</v>
      </c>
      <c r="L813" s="25"/>
      <c r="M813" s="25" t="b">
        <v>1</v>
      </c>
      <c r="N813" s="25"/>
      <c r="V813" s="20"/>
      <c r="W813" s="20"/>
      <c r="X813" s="20"/>
      <c r="Y813" s="20"/>
      <c r="Z813" s="20"/>
      <c r="AA813" s="20"/>
      <c r="AB813" s="20"/>
      <c r="AC813" s="20"/>
      <c r="AD813" s="20"/>
    </row>
    <row r="814" spans="1:30" ht="13.5" customHeight="1" x14ac:dyDescent="0.25">
      <c r="A814" s="25"/>
      <c r="B814" s="25"/>
      <c r="C814" s="26" t="s">
        <v>119</v>
      </c>
      <c r="D814" s="27">
        <v>221</v>
      </c>
      <c r="E814" s="27" t="str">
        <f>INDEX([1]道具配置表!$D:$D,MATCH(D814,[1]道具配置表!$A:$A,0))</f>
        <v>1千木材</v>
      </c>
      <c r="F814" s="25">
        <v>10</v>
      </c>
      <c r="G814" s="25"/>
      <c r="H814" s="25"/>
      <c r="I814" s="25"/>
      <c r="J814" s="25"/>
      <c r="K814" s="25">
        <v>1</v>
      </c>
      <c r="L814" s="25"/>
      <c r="M814" s="25" t="b">
        <v>1</v>
      </c>
      <c r="N814" s="25"/>
      <c r="V814" s="20"/>
      <c r="W814" s="20"/>
      <c r="X814" s="20"/>
      <c r="Y814" s="20"/>
      <c r="Z814" s="20"/>
      <c r="AA814" s="20"/>
      <c r="AB814" s="20"/>
      <c r="AC814" s="20"/>
      <c r="AD814" s="20"/>
    </row>
    <row r="815" spans="1:30" ht="13.5" customHeight="1" x14ac:dyDescent="0.25">
      <c r="A815" s="25"/>
      <c r="B815" s="25"/>
      <c r="C815" s="26" t="s">
        <v>119</v>
      </c>
      <c r="D815" s="25">
        <v>7003</v>
      </c>
      <c r="E815" s="27" t="str">
        <f>INDEX([1]道具配置表!$D:$D,MATCH(D815,[1]道具配置表!$A:$A,0))</f>
        <v>1银币（立即使用，不进背包）</v>
      </c>
      <c r="F815" s="25">
        <v>110</v>
      </c>
      <c r="G815" s="25"/>
      <c r="H815" s="25"/>
      <c r="I815" s="25"/>
      <c r="J815" s="25"/>
      <c r="K815" s="25">
        <v>1</v>
      </c>
      <c r="L815" s="25"/>
      <c r="M815" s="25" t="b">
        <v>1</v>
      </c>
      <c r="N815" s="25"/>
      <c r="V815" s="20"/>
      <c r="W815" s="20"/>
      <c r="X815" s="20"/>
      <c r="Y815" s="20"/>
      <c r="Z815" s="20"/>
      <c r="AA815" s="20"/>
      <c r="AB815" s="20"/>
      <c r="AC815" s="20"/>
      <c r="AD815" s="20"/>
    </row>
    <row r="816" spans="1:30" ht="13.5" customHeight="1" x14ac:dyDescent="0.25">
      <c r="A816" s="25"/>
      <c r="B816" s="25"/>
      <c r="C816" s="26" t="s">
        <v>119</v>
      </c>
      <c r="D816" s="25">
        <v>6105</v>
      </c>
      <c r="E816" s="27" t="str">
        <f>INDEX([1]道具配置表!$D:$D,MATCH(D816,[1]道具配置表!$A:$A,0))</f>
        <v>60分钟通用加速</v>
      </c>
      <c r="F816" s="25">
        <v>1</v>
      </c>
      <c r="G816" s="25"/>
      <c r="H816" s="25"/>
      <c r="I816" s="25"/>
      <c r="J816" s="25"/>
      <c r="K816" s="25">
        <v>1</v>
      </c>
      <c r="L816" s="25"/>
      <c r="M816" s="25" t="b">
        <v>1</v>
      </c>
      <c r="N816" s="25"/>
      <c r="V816" s="20"/>
      <c r="W816" s="20"/>
      <c r="X816" s="20"/>
      <c r="Y816" s="20"/>
      <c r="Z816" s="20"/>
      <c r="AA816" s="20"/>
      <c r="AB816" s="20"/>
      <c r="AC816" s="20"/>
      <c r="AD816" s="20"/>
    </row>
    <row r="817" spans="1:30" ht="13.5" customHeight="1" x14ac:dyDescent="0.25">
      <c r="A817" s="25">
        <v>6605202</v>
      </c>
      <c r="B817" s="25" t="s">
        <v>299</v>
      </c>
      <c r="C817" s="26" t="s">
        <v>119</v>
      </c>
      <c r="D817" s="27">
        <v>222</v>
      </c>
      <c r="E817" s="27" t="str">
        <f>INDEX([1]道具配置表!$D:$D,MATCH(D817,[1]道具配置表!$A:$A,0))</f>
        <v>1千食物</v>
      </c>
      <c r="F817" s="27">
        <v>10</v>
      </c>
      <c r="G817" s="25"/>
      <c r="H817" s="25"/>
      <c r="I817" s="25"/>
      <c r="J817" s="25"/>
      <c r="K817" s="25">
        <v>1</v>
      </c>
      <c r="L817" s="25"/>
      <c r="M817" s="25" t="b">
        <v>1</v>
      </c>
      <c r="N817" s="25"/>
      <c r="V817" s="20"/>
      <c r="W817" s="20"/>
      <c r="X817" s="20"/>
      <c r="Y817" s="20"/>
      <c r="Z817" s="20"/>
      <c r="AA817" s="20"/>
      <c r="AB817" s="20"/>
      <c r="AC817" s="20"/>
      <c r="AD817" s="20"/>
    </row>
    <row r="818" spans="1:30" ht="13.5" customHeight="1" x14ac:dyDescent="0.25">
      <c r="A818" s="25"/>
      <c r="B818" s="25"/>
      <c r="C818" s="26" t="s">
        <v>119</v>
      </c>
      <c r="D818" s="27">
        <v>221</v>
      </c>
      <c r="E818" s="27" t="str">
        <f>INDEX([1]道具配置表!$D:$D,MATCH(D818,[1]道具配置表!$A:$A,0))</f>
        <v>1千木材</v>
      </c>
      <c r="F818" s="27">
        <v>10</v>
      </c>
      <c r="G818" s="25"/>
      <c r="H818" s="25"/>
      <c r="I818" s="25"/>
      <c r="J818" s="25"/>
      <c r="K818" s="25">
        <v>1</v>
      </c>
      <c r="L818" s="25"/>
      <c r="M818" s="25" t="b">
        <v>1</v>
      </c>
      <c r="N818" s="25"/>
      <c r="V818" s="20"/>
      <c r="W818" s="20"/>
      <c r="X818" s="20"/>
      <c r="Y818" s="20"/>
      <c r="Z818" s="20"/>
      <c r="AA818" s="20"/>
      <c r="AB818" s="20"/>
      <c r="AC818" s="20"/>
      <c r="AD818" s="20"/>
    </row>
    <row r="819" spans="1:30" ht="13.5" customHeight="1" x14ac:dyDescent="0.25">
      <c r="A819" s="25"/>
      <c r="B819" s="25"/>
      <c r="C819" s="26" t="s">
        <v>119</v>
      </c>
      <c r="D819" s="25">
        <v>7003</v>
      </c>
      <c r="E819" s="27" t="str">
        <f>INDEX([1]道具配置表!$D:$D,MATCH(D819,[1]道具配置表!$A:$A,0))</f>
        <v>1银币（立即使用，不进背包）</v>
      </c>
      <c r="F819" s="25">
        <v>120</v>
      </c>
      <c r="G819" s="25"/>
      <c r="H819" s="25"/>
      <c r="I819" s="25"/>
      <c r="J819" s="25"/>
      <c r="K819" s="25">
        <v>1</v>
      </c>
      <c r="L819" s="25"/>
      <c r="M819" s="25" t="b">
        <v>1</v>
      </c>
      <c r="N819" s="25"/>
      <c r="V819" s="20"/>
      <c r="W819" s="20"/>
      <c r="X819" s="20"/>
      <c r="Y819" s="20"/>
      <c r="Z819" s="20"/>
      <c r="AA819" s="20"/>
      <c r="AB819" s="20"/>
      <c r="AC819" s="20"/>
      <c r="AD819" s="20"/>
    </row>
    <row r="820" spans="1:30" ht="13.5" customHeight="1" x14ac:dyDescent="0.25">
      <c r="A820" s="25"/>
      <c r="B820" s="25"/>
      <c r="C820" s="26" t="s">
        <v>119</v>
      </c>
      <c r="D820" s="25">
        <v>6105</v>
      </c>
      <c r="E820" s="27" t="str">
        <f>INDEX([1]道具配置表!$D:$D,MATCH(D820,[1]道具配置表!$A:$A,0))</f>
        <v>60分钟通用加速</v>
      </c>
      <c r="F820" s="25">
        <v>1</v>
      </c>
      <c r="G820" s="25"/>
      <c r="H820" s="25"/>
      <c r="I820" s="25"/>
      <c r="J820" s="25"/>
      <c r="K820" s="25">
        <v>1</v>
      </c>
      <c r="L820" s="25"/>
      <c r="M820" s="25" t="b">
        <v>1</v>
      </c>
      <c r="N820" s="25"/>
      <c r="V820" s="20"/>
      <c r="W820" s="20"/>
      <c r="X820" s="20"/>
      <c r="Y820" s="20"/>
      <c r="Z820" s="20"/>
      <c r="AA820" s="20"/>
      <c r="AB820" s="20"/>
      <c r="AC820" s="20"/>
      <c r="AD820" s="20"/>
    </row>
    <row r="821" spans="1:30" ht="13.5" customHeight="1" x14ac:dyDescent="0.25">
      <c r="A821" s="25">
        <v>6605203</v>
      </c>
      <c r="B821" s="25" t="s">
        <v>300</v>
      </c>
      <c r="C821" s="26" t="s">
        <v>119</v>
      </c>
      <c r="D821" s="27">
        <v>222</v>
      </c>
      <c r="E821" s="27" t="str">
        <f>INDEX([1]道具配置表!$D:$D,MATCH(D821,[1]道具配置表!$A:$A,0))</f>
        <v>1千食物</v>
      </c>
      <c r="F821" s="27">
        <v>15</v>
      </c>
      <c r="G821" s="25"/>
      <c r="H821" s="25"/>
      <c r="I821" s="25"/>
      <c r="J821" s="25"/>
      <c r="K821" s="25">
        <v>1</v>
      </c>
      <c r="L821" s="25"/>
      <c r="M821" s="25" t="b">
        <v>1</v>
      </c>
      <c r="N821" s="25"/>
      <c r="V821" s="20"/>
      <c r="W821" s="20"/>
      <c r="X821" s="20"/>
      <c r="Y821" s="20"/>
      <c r="Z821" s="20"/>
      <c r="AA821" s="20"/>
      <c r="AB821" s="20"/>
      <c r="AC821" s="20"/>
      <c r="AD821" s="20"/>
    </row>
    <row r="822" spans="1:30" ht="13.5" customHeight="1" x14ac:dyDescent="0.25">
      <c r="A822" s="25"/>
      <c r="B822" s="25"/>
      <c r="C822" s="26" t="s">
        <v>119</v>
      </c>
      <c r="D822" s="27">
        <v>221</v>
      </c>
      <c r="E822" s="27" t="str">
        <f>INDEX([1]道具配置表!$D:$D,MATCH(D822,[1]道具配置表!$A:$A,0))</f>
        <v>1千木材</v>
      </c>
      <c r="F822" s="27">
        <v>15</v>
      </c>
      <c r="G822" s="25"/>
      <c r="H822" s="25"/>
      <c r="I822" s="25"/>
      <c r="J822" s="25"/>
      <c r="K822" s="25">
        <v>1</v>
      </c>
      <c r="L822" s="25"/>
      <c r="M822" s="25" t="b">
        <v>1</v>
      </c>
      <c r="N822" s="25"/>
      <c r="V822" s="20"/>
      <c r="W822" s="20"/>
      <c r="X822" s="20"/>
      <c r="Y822" s="20"/>
      <c r="Z822" s="20"/>
      <c r="AA822" s="20"/>
      <c r="AB822" s="20"/>
      <c r="AC822" s="20"/>
      <c r="AD822" s="20"/>
    </row>
    <row r="823" spans="1:30" ht="13.5" customHeight="1" x14ac:dyDescent="0.25">
      <c r="A823" s="25"/>
      <c r="B823" s="25"/>
      <c r="C823" s="26" t="s">
        <v>119</v>
      </c>
      <c r="D823" s="26">
        <v>7003</v>
      </c>
      <c r="E823" s="27" t="str">
        <f>INDEX([1]道具配置表!$D:$D,MATCH(D823,[1]道具配置表!$A:$A,0))</f>
        <v>1银币（立即使用，不进背包）</v>
      </c>
      <c r="F823" s="26">
        <v>130</v>
      </c>
      <c r="G823" s="25"/>
      <c r="H823" s="25"/>
      <c r="I823" s="25"/>
      <c r="J823" s="25"/>
      <c r="K823" s="25">
        <v>1</v>
      </c>
      <c r="L823" s="25"/>
      <c r="M823" s="25" t="b">
        <v>1</v>
      </c>
      <c r="N823" s="25"/>
      <c r="V823" s="20"/>
      <c r="W823" s="20"/>
      <c r="X823" s="20"/>
      <c r="Y823" s="20"/>
      <c r="Z823" s="20"/>
      <c r="AA823" s="20"/>
      <c r="AB823" s="20"/>
      <c r="AC823" s="20"/>
      <c r="AD823" s="20"/>
    </row>
    <row r="824" spans="1:30" ht="13.5" customHeight="1" x14ac:dyDescent="0.25">
      <c r="A824" s="25"/>
      <c r="B824" s="25"/>
      <c r="C824" s="26" t="s">
        <v>119</v>
      </c>
      <c r="D824" s="26">
        <v>6105</v>
      </c>
      <c r="E824" s="27" t="str">
        <f>INDEX([1]道具配置表!$D:$D,MATCH(D824,[1]道具配置表!$A:$A,0))</f>
        <v>60分钟通用加速</v>
      </c>
      <c r="F824" s="26">
        <v>1</v>
      </c>
      <c r="G824" s="25"/>
      <c r="H824" s="25"/>
      <c r="I824" s="25"/>
      <c r="J824" s="25"/>
      <c r="K824" s="25">
        <v>1</v>
      </c>
      <c r="L824" s="25"/>
      <c r="M824" s="25" t="b">
        <v>1</v>
      </c>
      <c r="N824" s="25"/>
      <c r="V824" s="20"/>
      <c r="W824" s="20"/>
      <c r="X824" s="20"/>
      <c r="Y824" s="20"/>
      <c r="Z824" s="20"/>
      <c r="AA824" s="20"/>
      <c r="AB824" s="20"/>
      <c r="AC824" s="20"/>
      <c r="AD824" s="20"/>
    </row>
    <row r="825" spans="1:30" ht="13.5" customHeight="1" x14ac:dyDescent="0.25">
      <c r="A825" s="25">
        <v>6605204</v>
      </c>
      <c r="B825" s="25" t="s">
        <v>301</v>
      </c>
      <c r="C825" s="26" t="s">
        <v>119</v>
      </c>
      <c r="D825" s="27">
        <v>222</v>
      </c>
      <c r="E825" s="27" t="str">
        <f>INDEX([1]道具配置表!$D:$D,MATCH(D825,[1]道具配置表!$A:$A,0))</f>
        <v>1千食物</v>
      </c>
      <c r="F825" s="27">
        <v>15</v>
      </c>
      <c r="G825" s="25"/>
      <c r="H825" s="25"/>
      <c r="I825" s="25"/>
      <c r="J825" s="25"/>
      <c r="K825" s="25">
        <v>1</v>
      </c>
      <c r="L825" s="25"/>
      <c r="M825" s="25" t="b">
        <v>1</v>
      </c>
      <c r="N825" s="25"/>
      <c r="V825" s="20"/>
      <c r="W825" s="20"/>
      <c r="X825" s="20"/>
      <c r="Y825" s="20"/>
      <c r="Z825" s="20"/>
      <c r="AA825" s="20"/>
      <c r="AB825" s="20"/>
      <c r="AC825" s="20"/>
      <c r="AD825" s="20"/>
    </row>
    <row r="826" spans="1:30" ht="13.5" customHeight="1" x14ac:dyDescent="0.25">
      <c r="A826" s="25"/>
      <c r="B826" s="25"/>
      <c r="C826" s="26" t="s">
        <v>119</v>
      </c>
      <c r="D826" s="27">
        <v>221</v>
      </c>
      <c r="E826" s="27" t="str">
        <f>INDEX([1]道具配置表!$D:$D,MATCH(D826,[1]道具配置表!$A:$A,0))</f>
        <v>1千木材</v>
      </c>
      <c r="F826" s="27">
        <v>15</v>
      </c>
      <c r="G826" s="25"/>
      <c r="H826" s="25"/>
      <c r="I826" s="25"/>
      <c r="J826" s="25"/>
      <c r="K826" s="25">
        <v>1</v>
      </c>
      <c r="L826" s="25"/>
      <c r="M826" s="25" t="b">
        <v>1</v>
      </c>
      <c r="N826" s="25"/>
      <c r="V826" s="20"/>
      <c r="W826" s="20"/>
      <c r="X826" s="20"/>
      <c r="Y826" s="20"/>
      <c r="Z826" s="20"/>
      <c r="AA826" s="20"/>
      <c r="AB826" s="20"/>
      <c r="AC826" s="20"/>
      <c r="AD826" s="20"/>
    </row>
    <row r="827" spans="1:30" ht="13.5" customHeight="1" x14ac:dyDescent="0.25">
      <c r="A827" s="25"/>
      <c r="B827" s="25"/>
      <c r="C827" s="26" t="s">
        <v>119</v>
      </c>
      <c r="D827" s="26">
        <v>7003</v>
      </c>
      <c r="E827" s="27" t="str">
        <f>INDEX([1]道具配置表!$D:$D,MATCH(D827,[1]道具配置表!$A:$A,0))</f>
        <v>1银币（立即使用，不进背包）</v>
      </c>
      <c r="F827" s="26">
        <v>140</v>
      </c>
      <c r="G827" s="25"/>
      <c r="H827" s="25"/>
      <c r="I827" s="25"/>
      <c r="J827" s="25"/>
      <c r="K827" s="25">
        <v>1</v>
      </c>
      <c r="L827" s="25"/>
      <c r="M827" s="25" t="b">
        <v>1</v>
      </c>
      <c r="N827" s="25"/>
      <c r="V827" s="20"/>
      <c r="W827" s="20"/>
      <c r="X827" s="20"/>
      <c r="Y827" s="20"/>
      <c r="Z827" s="20"/>
      <c r="AA827" s="20"/>
      <c r="AB827" s="20"/>
      <c r="AC827" s="20"/>
      <c r="AD827" s="20"/>
    </row>
    <row r="828" spans="1:30" ht="13.5" customHeight="1" x14ac:dyDescent="0.25">
      <c r="A828" s="25"/>
      <c r="B828" s="25"/>
      <c r="C828" s="26" t="s">
        <v>119</v>
      </c>
      <c r="D828" s="26">
        <v>6105</v>
      </c>
      <c r="E828" s="27" t="str">
        <f>INDEX([1]道具配置表!$D:$D,MATCH(D828,[1]道具配置表!$A:$A,0))</f>
        <v>60分钟通用加速</v>
      </c>
      <c r="F828" s="26">
        <v>1</v>
      </c>
      <c r="G828" s="25"/>
      <c r="H828" s="25"/>
      <c r="I828" s="25"/>
      <c r="J828" s="25"/>
      <c r="K828" s="25">
        <v>1</v>
      </c>
      <c r="L828" s="25"/>
      <c r="M828" s="25" t="b">
        <v>1</v>
      </c>
      <c r="N828" s="25"/>
      <c r="V828" s="20"/>
      <c r="W828" s="20"/>
      <c r="X828" s="20"/>
      <c r="Y828" s="20"/>
      <c r="Z828" s="20"/>
      <c r="AA828" s="20"/>
      <c r="AB828" s="20"/>
      <c r="AC828" s="20"/>
      <c r="AD828" s="20"/>
    </row>
    <row r="829" spans="1:30" ht="13.5" customHeight="1" x14ac:dyDescent="0.25">
      <c r="A829" s="25">
        <v>6605205</v>
      </c>
      <c r="B829" s="25" t="s">
        <v>302</v>
      </c>
      <c r="C829" s="26" t="s">
        <v>119</v>
      </c>
      <c r="D829" s="27">
        <v>222</v>
      </c>
      <c r="E829" s="27" t="str">
        <f>INDEX([1]道具配置表!$D:$D,MATCH(D829,[1]道具配置表!$A:$A,0))</f>
        <v>1千食物</v>
      </c>
      <c r="F829" s="27">
        <v>20</v>
      </c>
      <c r="G829" s="25"/>
      <c r="H829" s="25"/>
      <c r="I829" s="25"/>
      <c r="J829" s="25"/>
      <c r="K829" s="25">
        <v>1</v>
      </c>
      <c r="L829" s="25"/>
      <c r="M829" s="25" t="b">
        <v>1</v>
      </c>
      <c r="N829" s="25"/>
      <c r="V829" s="20"/>
      <c r="W829" s="20"/>
      <c r="X829" s="20"/>
      <c r="Y829" s="20"/>
      <c r="Z829" s="20"/>
      <c r="AA829" s="20"/>
      <c r="AB829" s="20"/>
      <c r="AC829" s="20"/>
      <c r="AD829" s="20"/>
    </row>
    <row r="830" spans="1:30" ht="13.5" customHeight="1" x14ac:dyDescent="0.25">
      <c r="A830" s="25"/>
      <c r="B830" s="25"/>
      <c r="C830" s="26" t="s">
        <v>119</v>
      </c>
      <c r="D830" s="27">
        <v>221</v>
      </c>
      <c r="E830" s="27" t="str">
        <f>INDEX([1]道具配置表!$D:$D,MATCH(D830,[1]道具配置表!$A:$A,0))</f>
        <v>1千木材</v>
      </c>
      <c r="F830" s="27">
        <v>20</v>
      </c>
      <c r="G830" s="25"/>
      <c r="H830" s="25"/>
      <c r="I830" s="25"/>
      <c r="J830" s="25"/>
      <c r="K830" s="25">
        <v>1</v>
      </c>
      <c r="L830" s="25"/>
      <c r="M830" s="25" t="b">
        <v>1</v>
      </c>
      <c r="N830" s="25"/>
      <c r="V830" s="20"/>
      <c r="W830" s="20"/>
      <c r="X830" s="20"/>
      <c r="Y830" s="20"/>
      <c r="Z830" s="20"/>
      <c r="AA830" s="20"/>
      <c r="AB830" s="20"/>
      <c r="AC830" s="20"/>
      <c r="AD830" s="20"/>
    </row>
    <row r="831" spans="1:30" ht="13.5" customHeight="1" x14ac:dyDescent="0.25">
      <c r="A831" s="25"/>
      <c r="B831" s="25"/>
      <c r="C831" s="26" t="s">
        <v>119</v>
      </c>
      <c r="D831" s="26">
        <v>223</v>
      </c>
      <c r="E831" s="27" t="str">
        <f>INDEX([1]道具配置表!$D:$D,MATCH(D831,[1]道具配置表!$A:$A,0))</f>
        <v>1千石头</v>
      </c>
      <c r="F831" s="26">
        <v>20</v>
      </c>
      <c r="G831" s="25"/>
      <c r="H831" s="25"/>
      <c r="I831" s="25"/>
      <c r="J831" s="25"/>
      <c r="K831" s="25">
        <v>1</v>
      </c>
      <c r="L831" s="25"/>
      <c r="M831" s="25" t="b">
        <v>1</v>
      </c>
      <c r="N831" s="25"/>
      <c r="V831" s="20"/>
      <c r="W831" s="20"/>
      <c r="X831" s="20"/>
      <c r="Y831" s="20"/>
      <c r="Z831" s="20"/>
      <c r="AA831" s="20"/>
      <c r="AB831" s="20"/>
      <c r="AC831" s="20"/>
      <c r="AD831" s="20"/>
    </row>
    <row r="832" spans="1:30" ht="13.5" customHeight="1" x14ac:dyDescent="0.25">
      <c r="A832" s="25"/>
      <c r="B832" s="25"/>
      <c r="C832" s="26" t="s">
        <v>119</v>
      </c>
      <c r="D832" s="26">
        <v>7003</v>
      </c>
      <c r="E832" s="27" t="str">
        <f>INDEX([1]道具配置表!$D:$D,MATCH(D832,[1]道具配置表!$A:$A,0))</f>
        <v>1银币（立即使用，不进背包）</v>
      </c>
      <c r="F832" s="26">
        <v>150</v>
      </c>
      <c r="G832" s="25"/>
      <c r="H832" s="25"/>
      <c r="I832" s="25"/>
      <c r="J832" s="25"/>
      <c r="K832" s="25">
        <v>1</v>
      </c>
      <c r="L832" s="25"/>
      <c r="M832" s="25" t="b">
        <v>1</v>
      </c>
      <c r="N832" s="25"/>
      <c r="V832" s="20"/>
      <c r="W832" s="20"/>
      <c r="X832" s="20"/>
      <c r="Y832" s="20"/>
      <c r="Z832" s="20"/>
      <c r="AA832" s="20"/>
      <c r="AB832" s="20"/>
      <c r="AC832" s="20"/>
      <c r="AD832" s="20"/>
    </row>
    <row r="833" spans="1:30" ht="13.5" customHeight="1" x14ac:dyDescent="0.25">
      <c r="A833" s="25"/>
      <c r="B833" s="25"/>
      <c r="C833" s="26" t="s">
        <v>119</v>
      </c>
      <c r="D833" s="26">
        <v>6105</v>
      </c>
      <c r="E833" s="27" t="str">
        <f>INDEX([1]道具配置表!$D:$D,MATCH(D833,[1]道具配置表!$A:$A,0))</f>
        <v>60分钟通用加速</v>
      </c>
      <c r="F833" s="26">
        <v>1</v>
      </c>
      <c r="G833" s="25"/>
      <c r="H833" s="25"/>
      <c r="I833" s="25"/>
      <c r="J833" s="25"/>
      <c r="K833" s="25">
        <v>1</v>
      </c>
      <c r="L833" s="25"/>
      <c r="M833" s="25" t="b">
        <v>1</v>
      </c>
      <c r="N833" s="25"/>
      <c r="V833" s="20"/>
      <c r="W833" s="20"/>
      <c r="X833" s="20"/>
      <c r="Y833" s="20"/>
      <c r="Z833" s="20"/>
      <c r="AA833" s="20"/>
      <c r="AB833" s="20"/>
      <c r="AC833" s="20"/>
      <c r="AD833" s="20"/>
    </row>
    <row r="834" spans="1:30" ht="13.5" customHeight="1" x14ac:dyDescent="0.25">
      <c r="A834" s="25">
        <v>6605206</v>
      </c>
      <c r="B834" s="25" t="s">
        <v>303</v>
      </c>
      <c r="C834" s="26" t="s">
        <v>119</v>
      </c>
      <c r="D834" s="27">
        <v>222</v>
      </c>
      <c r="E834" s="27" t="str">
        <f>INDEX([1]道具配置表!$D:$D,MATCH(D834,[1]道具配置表!$A:$A,0))</f>
        <v>1千食物</v>
      </c>
      <c r="F834" s="27">
        <v>20</v>
      </c>
      <c r="G834" s="25"/>
      <c r="H834" s="25"/>
      <c r="I834" s="25"/>
      <c r="J834" s="25"/>
      <c r="K834" s="25">
        <v>1</v>
      </c>
      <c r="L834" s="25"/>
      <c r="M834" s="25" t="b">
        <v>1</v>
      </c>
      <c r="N834" s="25"/>
      <c r="V834" s="20"/>
      <c r="W834" s="20"/>
      <c r="X834" s="20"/>
      <c r="Y834" s="20"/>
      <c r="Z834" s="20"/>
      <c r="AA834" s="20"/>
      <c r="AB834" s="20"/>
      <c r="AC834" s="20"/>
      <c r="AD834" s="20"/>
    </row>
    <row r="835" spans="1:30" ht="13.5" customHeight="1" x14ac:dyDescent="0.25">
      <c r="A835" s="25"/>
      <c r="B835" s="25"/>
      <c r="C835" s="26" t="s">
        <v>119</v>
      </c>
      <c r="D835" s="27">
        <v>221</v>
      </c>
      <c r="E835" s="27" t="str">
        <f>INDEX([1]道具配置表!$D:$D,MATCH(D835,[1]道具配置表!$A:$A,0))</f>
        <v>1千木材</v>
      </c>
      <c r="F835" s="27">
        <v>20</v>
      </c>
      <c r="G835" s="25"/>
      <c r="H835" s="25"/>
      <c r="I835" s="25"/>
      <c r="J835" s="25"/>
      <c r="K835" s="25">
        <v>1</v>
      </c>
      <c r="L835" s="25"/>
      <c r="M835" s="25" t="b">
        <v>1</v>
      </c>
      <c r="N835" s="25"/>
      <c r="V835" s="20"/>
      <c r="W835" s="20"/>
      <c r="X835" s="20"/>
      <c r="Y835" s="20"/>
      <c r="Z835" s="20"/>
      <c r="AA835" s="20"/>
      <c r="AB835" s="20"/>
      <c r="AC835" s="20"/>
      <c r="AD835" s="20"/>
    </row>
    <row r="836" spans="1:30" ht="13.5" customHeight="1" x14ac:dyDescent="0.25">
      <c r="A836" s="25"/>
      <c r="B836" s="25"/>
      <c r="C836" s="26" t="s">
        <v>119</v>
      </c>
      <c r="D836" s="27">
        <v>223</v>
      </c>
      <c r="E836" s="27" t="str">
        <f>INDEX([1]道具配置表!$D:$D,MATCH(D836,[1]道具配置表!$A:$A,0))</f>
        <v>1千石头</v>
      </c>
      <c r="F836" s="27">
        <v>20</v>
      </c>
      <c r="G836" s="25"/>
      <c r="H836" s="25"/>
      <c r="I836" s="25"/>
      <c r="J836" s="25"/>
      <c r="K836" s="25">
        <v>1</v>
      </c>
      <c r="L836" s="25"/>
      <c r="M836" s="25" t="b">
        <v>1</v>
      </c>
      <c r="N836" s="25"/>
      <c r="V836" s="20"/>
      <c r="W836" s="20"/>
      <c r="X836" s="20"/>
      <c r="Y836" s="20"/>
      <c r="Z836" s="20"/>
      <c r="AA836" s="20"/>
      <c r="AB836" s="20"/>
      <c r="AC836" s="20"/>
      <c r="AD836" s="20"/>
    </row>
    <row r="837" spans="1:30" ht="13.5" customHeight="1" x14ac:dyDescent="0.25">
      <c r="A837" s="25"/>
      <c r="B837" s="25"/>
      <c r="C837" s="26" t="s">
        <v>119</v>
      </c>
      <c r="D837" s="26">
        <v>7003</v>
      </c>
      <c r="E837" s="27" t="str">
        <f>INDEX([1]道具配置表!$D:$D,MATCH(D837,[1]道具配置表!$A:$A,0))</f>
        <v>1银币（立即使用，不进背包）</v>
      </c>
      <c r="F837" s="26">
        <v>160</v>
      </c>
      <c r="G837" s="25"/>
      <c r="H837" s="25"/>
      <c r="I837" s="25"/>
      <c r="J837" s="25"/>
      <c r="K837" s="25">
        <v>1</v>
      </c>
      <c r="L837" s="25"/>
      <c r="M837" s="25" t="b">
        <v>1</v>
      </c>
      <c r="N837" s="25"/>
      <c r="V837" s="20"/>
      <c r="W837" s="20"/>
      <c r="X837" s="20"/>
      <c r="Y837" s="20"/>
      <c r="Z837" s="20"/>
      <c r="AA837" s="20"/>
      <c r="AB837" s="20"/>
      <c r="AC837" s="20"/>
      <c r="AD837" s="20"/>
    </row>
    <row r="838" spans="1:30" ht="13.5" customHeight="1" x14ac:dyDescent="0.25">
      <c r="A838" s="25"/>
      <c r="B838" s="25"/>
      <c r="C838" s="26" t="s">
        <v>119</v>
      </c>
      <c r="D838" s="26">
        <v>6105</v>
      </c>
      <c r="E838" s="27" t="str">
        <f>INDEX([1]道具配置表!$D:$D,MATCH(D838,[1]道具配置表!$A:$A,0))</f>
        <v>60分钟通用加速</v>
      </c>
      <c r="F838" s="26">
        <v>1</v>
      </c>
      <c r="G838" s="25"/>
      <c r="H838" s="25"/>
      <c r="I838" s="25"/>
      <c r="J838" s="25"/>
      <c r="K838" s="25">
        <v>1</v>
      </c>
      <c r="L838" s="25"/>
      <c r="M838" s="25" t="b">
        <v>1</v>
      </c>
      <c r="N838" s="25"/>
      <c r="V838" s="20"/>
      <c r="W838" s="20"/>
      <c r="X838" s="20"/>
      <c r="Y838" s="20"/>
      <c r="Z838" s="20"/>
      <c r="AA838" s="20"/>
      <c r="AB838" s="20"/>
      <c r="AC838" s="20"/>
      <c r="AD838" s="20"/>
    </row>
    <row r="839" spans="1:30" ht="13.5" customHeight="1" x14ac:dyDescent="0.25">
      <c r="A839" s="25">
        <v>6605207</v>
      </c>
      <c r="B839" s="25" t="s">
        <v>304</v>
      </c>
      <c r="C839" s="26" t="s">
        <v>119</v>
      </c>
      <c r="D839" s="27">
        <v>222</v>
      </c>
      <c r="E839" s="27" t="str">
        <f>INDEX([1]道具配置表!$D:$D,MATCH(D839,[1]道具配置表!$A:$A,0))</f>
        <v>1千食物</v>
      </c>
      <c r="F839" s="27">
        <v>25</v>
      </c>
      <c r="G839" s="25"/>
      <c r="H839" s="25"/>
      <c r="I839" s="25"/>
      <c r="J839" s="25"/>
      <c r="K839" s="25">
        <v>1</v>
      </c>
      <c r="L839" s="25"/>
      <c r="M839" s="25" t="b">
        <v>1</v>
      </c>
      <c r="N839" s="25"/>
      <c r="V839" s="20"/>
      <c r="W839" s="20"/>
      <c r="X839" s="20"/>
      <c r="Y839" s="20"/>
      <c r="Z839" s="20"/>
      <c r="AA839" s="20"/>
      <c r="AB839" s="20"/>
      <c r="AC839" s="20"/>
      <c r="AD839" s="20"/>
    </row>
    <row r="840" spans="1:30" ht="13.5" customHeight="1" x14ac:dyDescent="0.25">
      <c r="A840" s="25"/>
      <c r="B840" s="25"/>
      <c r="C840" s="26" t="s">
        <v>119</v>
      </c>
      <c r="D840" s="27">
        <v>221</v>
      </c>
      <c r="E840" s="27" t="str">
        <f>INDEX([1]道具配置表!$D:$D,MATCH(D840,[1]道具配置表!$A:$A,0))</f>
        <v>1千木材</v>
      </c>
      <c r="F840" s="27">
        <v>25</v>
      </c>
      <c r="G840" s="25"/>
      <c r="H840" s="25"/>
      <c r="I840" s="25"/>
      <c r="J840" s="25"/>
      <c r="K840" s="25">
        <v>1</v>
      </c>
      <c r="L840" s="25"/>
      <c r="M840" s="25" t="b">
        <v>1</v>
      </c>
      <c r="N840" s="25"/>
      <c r="V840" s="20"/>
      <c r="W840" s="20"/>
      <c r="X840" s="20"/>
      <c r="Y840" s="20"/>
      <c r="Z840" s="20"/>
      <c r="AA840" s="20"/>
      <c r="AB840" s="20"/>
      <c r="AC840" s="20"/>
      <c r="AD840" s="20"/>
    </row>
    <row r="841" spans="1:30" ht="13.5" customHeight="1" x14ac:dyDescent="0.25">
      <c r="A841" s="25"/>
      <c r="B841" s="25"/>
      <c r="C841" s="26" t="s">
        <v>119</v>
      </c>
      <c r="D841" s="27">
        <v>223</v>
      </c>
      <c r="E841" s="27" t="str">
        <f>INDEX([1]道具配置表!$D:$D,MATCH(D841,[1]道具配置表!$A:$A,0))</f>
        <v>1千石头</v>
      </c>
      <c r="F841" s="27">
        <v>25</v>
      </c>
      <c r="G841" s="25"/>
      <c r="H841" s="25"/>
      <c r="I841" s="25"/>
      <c r="J841" s="25"/>
      <c r="K841" s="25">
        <v>1</v>
      </c>
      <c r="L841" s="25"/>
      <c r="M841" s="25" t="b">
        <v>1</v>
      </c>
      <c r="N841" s="25"/>
      <c r="V841" s="20"/>
      <c r="W841" s="20"/>
      <c r="X841" s="20"/>
      <c r="Y841" s="20"/>
      <c r="Z841" s="20"/>
      <c r="AA841" s="20"/>
      <c r="AB841" s="20"/>
      <c r="AC841" s="20"/>
      <c r="AD841" s="20"/>
    </row>
    <row r="842" spans="1:30" ht="13.5" customHeight="1" x14ac:dyDescent="0.25">
      <c r="A842" s="25"/>
      <c r="B842" s="25"/>
      <c r="C842" s="26" t="s">
        <v>119</v>
      </c>
      <c r="D842" s="26">
        <v>7003</v>
      </c>
      <c r="E842" s="27" t="str">
        <f>INDEX([1]道具配置表!$D:$D,MATCH(D842,[1]道具配置表!$A:$A,0))</f>
        <v>1银币（立即使用，不进背包）</v>
      </c>
      <c r="F842" s="26">
        <v>170</v>
      </c>
      <c r="G842" s="25"/>
      <c r="H842" s="25"/>
      <c r="I842" s="25"/>
      <c r="J842" s="25"/>
      <c r="K842" s="25">
        <v>1</v>
      </c>
      <c r="L842" s="25"/>
      <c r="M842" s="25" t="b">
        <v>1</v>
      </c>
      <c r="N842" s="25"/>
      <c r="V842" s="20"/>
      <c r="W842" s="20"/>
      <c r="X842" s="20"/>
      <c r="Y842" s="20"/>
      <c r="Z842" s="20"/>
      <c r="AA842" s="20"/>
      <c r="AB842" s="20"/>
      <c r="AC842" s="20"/>
      <c r="AD842" s="20"/>
    </row>
    <row r="843" spans="1:30" ht="13.5" customHeight="1" x14ac:dyDescent="0.25">
      <c r="A843" s="25"/>
      <c r="B843" s="25"/>
      <c r="C843" s="26" t="s">
        <v>119</v>
      </c>
      <c r="D843" s="26">
        <v>6105</v>
      </c>
      <c r="E843" s="27" t="str">
        <f>INDEX([1]道具配置表!$D:$D,MATCH(D843,[1]道具配置表!$A:$A,0))</f>
        <v>60分钟通用加速</v>
      </c>
      <c r="F843" s="26">
        <v>1</v>
      </c>
      <c r="G843" s="25"/>
      <c r="H843" s="25"/>
      <c r="I843" s="25"/>
      <c r="J843" s="25"/>
      <c r="K843" s="25">
        <v>1</v>
      </c>
      <c r="L843" s="25"/>
      <c r="M843" s="25" t="b">
        <v>1</v>
      </c>
      <c r="N843" s="25"/>
      <c r="V843" s="20"/>
      <c r="W843" s="20"/>
      <c r="X843" s="20"/>
      <c r="Y843" s="20"/>
      <c r="Z843" s="20"/>
      <c r="AA843" s="20"/>
      <c r="AB843" s="20"/>
      <c r="AC843" s="20"/>
      <c r="AD843" s="20"/>
    </row>
    <row r="844" spans="1:30" ht="13.5" customHeight="1" x14ac:dyDescent="0.25">
      <c r="A844" s="25">
        <v>6605208</v>
      </c>
      <c r="B844" s="25" t="s">
        <v>305</v>
      </c>
      <c r="C844" s="26" t="s">
        <v>119</v>
      </c>
      <c r="D844" s="27">
        <v>222</v>
      </c>
      <c r="E844" s="27" t="str">
        <f>INDEX([1]道具配置表!$D:$D,MATCH(D844,[1]道具配置表!$A:$A,0))</f>
        <v>1千食物</v>
      </c>
      <c r="F844" s="27">
        <v>25</v>
      </c>
      <c r="G844" s="25"/>
      <c r="H844" s="25"/>
      <c r="I844" s="25"/>
      <c r="J844" s="25"/>
      <c r="K844" s="25">
        <v>1</v>
      </c>
      <c r="L844" s="25"/>
      <c r="M844" s="25" t="b">
        <v>1</v>
      </c>
      <c r="N844" s="25"/>
      <c r="V844" s="20"/>
      <c r="W844" s="20"/>
      <c r="X844" s="20"/>
      <c r="Y844" s="20"/>
      <c r="Z844" s="20"/>
      <c r="AA844" s="20"/>
      <c r="AB844" s="20"/>
      <c r="AC844" s="20"/>
      <c r="AD844" s="20"/>
    </row>
    <row r="845" spans="1:30" ht="13.5" customHeight="1" x14ac:dyDescent="0.25">
      <c r="A845" s="25"/>
      <c r="B845" s="25"/>
      <c r="C845" s="26" t="s">
        <v>119</v>
      </c>
      <c r="D845" s="27">
        <v>221</v>
      </c>
      <c r="E845" s="27" t="str">
        <f>INDEX([1]道具配置表!$D:$D,MATCH(D845,[1]道具配置表!$A:$A,0))</f>
        <v>1千木材</v>
      </c>
      <c r="F845" s="27">
        <v>25</v>
      </c>
      <c r="G845" s="25"/>
      <c r="H845" s="25"/>
      <c r="I845" s="25"/>
      <c r="J845" s="25"/>
      <c r="K845" s="25">
        <v>1</v>
      </c>
      <c r="L845" s="25"/>
      <c r="M845" s="25" t="b">
        <v>1</v>
      </c>
      <c r="N845" s="25"/>
      <c r="V845" s="20"/>
      <c r="W845" s="20"/>
      <c r="X845" s="20"/>
      <c r="Y845" s="20"/>
      <c r="Z845" s="20"/>
      <c r="AA845" s="20"/>
      <c r="AB845" s="20"/>
      <c r="AC845" s="20"/>
      <c r="AD845" s="20"/>
    </row>
    <row r="846" spans="1:30" ht="13.5" customHeight="1" x14ac:dyDescent="0.25">
      <c r="A846" s="25"/>
      <c r="B846" s="25"/>
      <c r="C846" s="26" t="s">
        <v>119</v>
      </c>
      <c r="D846" s="27">
        <v>223</v>
      </c>
      <c r="E846" s="27" t="str">
        <f>INDEX([1]道具配置表!$D:$D,MATCH(D846,[1]道具配置表!$A:$A,0))</f>
        <v>1千石头</v>
      </c>
      <c r="F846" s="27">
        <v>25</v>
      </c>
      <c r="G846" s="25"/>
      <c r="H846" s="25"/>
      <c r="I846" s="25"/>
      <c r="J846" s="25"/>
      <c r="K846" s="25">
        <v>1</v>
      </c>
      <c r="L846" s="25"/>
      <c r="M846" s="25" t="b">
        <v>1</v>
      </c>
      <c r="N846" s="25"/>
      <c r="V846" s="20"/>
      <c r="W846" s="20"/>
      <c r="X846" s="20"/>
      <c r="Y846" s="20"/>
      <c r="Z846" s="20"/>
      <c r="AA846" s="20"/>
      <c r="AB846" s="20"/>
      <c r="AC846" s="20"/>
      <c r="AD846" s="20"/>
    </row>
    <row r="847" spans="1:30" ht="13.5" customHeight="1" x14ac:dyDescent="0.25">
      <c r="A847" s="25"/>
      <c r="B847" s="25"/>
      <c r="C847" s="26" t="s">
        <v>119</v>
      </c>
      <c r="D847" s="26">
        <v>7003</v>
      </c>
      <c r="E847" s="27" t="str">
        <f>INDEX([1]道具配置表!$D:$D,MATCH(D847,[1]道具配置表!$A:$A,0))</f>
        <v>1银币（立即使用，不进背包）</v>
      </c>
      <c r="F847" s="26">
        <v>180</v>
      </c>
      <c r="G847" s="25"/>
      <c r="H847" s="25"/>
      <c r="I847" s="25"/>
      <c r="J847" s="25"/>
      <c r="K847" s="25">
        <v>1</v>
      </c>
      <c r="L847" s="25"/>
      <c r="M847" s="25" t="b">
        <v>1</v>
      </c>
      <c r="N847" s="25"/>
      <c r="V847" s="20"/>
      <c r="W847" s="20"/>
      <c r="X847" s="20"/>
      <c r="Y847" s="20"/>
      <c r="Z847" s="20"/>
      <c r="AA847" s="20"/>
      <c r="AB847" s="20"/>
      <c r="AC847" s="20"/>
      <c r="AD847" s="20"/>
    </row>
    <row r="848" spans="1:30" ht="13.5" customHeight="1" x14ac:dyDescent="0.25">
      <c r="A848" s="25"/>
      <c r="B848" s="25"/>
      <c r="C848" s="26" t="s">
        <v>119</v>
      </c>
      <c r="D848" s="26">
        <v>6105</v>
      </c>
      <c r="E848" s="27" t="str">
        <f>INDEX([1]道具配置表!$D:$D,MATCH(D848,[1]道具配置表!$A:$A,0))</f>
        <v>60分钟通用加速</v>
      </c>
      <c r="F848" s="26">
        <v>1</v>
      </c>
      <c r="G848" s="25"/>
      <c r="H848" s="25"/>
      <c r="I848" s="25"/>
      <c r="J848" s="25"/>
      <c r="K848" s="25">
        <v>1</v>
      </c>
      <c r="L848" s="25"/>
      <c r="M848" s="25" t="b">
        <v>1</v>
      </c>
      <c r="N848" s="25"/>
      <c r="V848" s="20"/>
      <c r="W848" s="20"/>
      <c r="X848" s="20"/>
      <c r="Y848" s="20"/>
      <c r="Z848" s="20"/>
      <c r="AA848" s="20"/>
      <c r="AB848" s="20"/>
      <c r="AC848" s="20"/>
      <c r="AD848" s="20"/>
    </row>
    <row r="849" spans="1:30" ht="13.5" customHeight="1" x14ac:dyDescent="0.25">
      <c r="A849" s="25">
        <v>6605209</v>
      </c>
      <c r="B849" s="25" t="s">
        <v>306</v>
      </c>
      <c r="C849" s="26" t="s">
        <v>119</v>
      </c>
      <c r="D849" s="27">
        <v>222</v>
      </c>
      <c r="E849" s="27" t="str">
        <f>INDEX([1]道具配置表!$D:$D,MATCH(D849,[1]道具配置表!$A:$A,0))</f>
        <v>1千食物</v>
      </c>
      <c r="F849" s="27">
        <v>30</v>
      </c>
      <c r="G849" s="25"/>
      <c r="H849" s="25"/>
      <c r="I849" s="25"/>
      <c r="J849" s="25"/>
      <c r="K849" s="25">
        <v>1</v>
      </c>
      <c r="L849" s="25"/>
      <c r="M849" s="25" t="b">
        <v>1</v>
      </c>
      <c r="N849" s="25"/>
      <c r="V849" s="20"/>
      <c r="W849" s="20"/>
      <c r="X849" s="20"/>
      <c r="Y849" s="20"/>
      <c r="Z849" s="20"/>
      <c r="AA849" s="20"/>
      <c r="AB849" s="20"/>
      <c r="AC849" s="20"/>
      <c r="AD849" s="20"/>
    </row>
    <row r="850" spans="1:30" ht="13.5" customHeight="1" x14ac:dyDescent="0.25">
      <c r="A850" s="25"/>
      <c r="B850" s="25"/>
      <c r="C850" s="26" t="s">
        <v>119</v>
      </c>
      <c r="D850" s="27">
        <v>221</v>
      </c>
      <c r="E850" s="27" t="str">
        <f>INDEX([1]道具配置表!$D:$D,MATCH(D850,[1]道具配置表!$A:$A,0))</f>
        <v>1千木材</v>
      </c>
      <c r="F850" s="27">
        <v>30</v>
      </c>
      <c r="G850" s="25"/>
      <c r="H850" s="25"/>
      <c r="I850" s="25"/>
      <c r="J850" s="25"/>
      <c r="K850" s="25">
        <v>1</v>
      </c>
      <c r="L850" s="25"/>
      <c r="M850" s="25" t="b">
        <v>1</v>
      </c>
      <c r="N850" s="25"/>
      <c r="V850" s="20"/>
      <c r="W850" s="20"/>
      <c r="X850" s="20"/>
      <c r="Y850" s="20"/>
      <c r="Z850" s="20"/>
      <c r="AA850" s="20"/>
      <c r="AB850" s="20"/>
      <c r="AC850" s="20"/>
      <c r="AD850" s="20"/>
    </row>
    <row r="851" spans="1:30" ht="13.5" customHeight="1" x14ac:dyDescent="0.25">
      <c r="A851" s="25"/>
      <c r="B851" s="25"/>
      <c r="C851" s="26" t="s">
        <v>119</v>
      </c>
      <c r="D851" s="27">
        <v>223</v>
      </c>
      <c r="E851" s="27" t="str">
        <f>INDEX([1]道具配置表!$D:$D,MATCH(D851,[1]道具配置表!$A:$A,0))</f>
        <v>1千石头</v>
      </c>
      <c r="F851" s="27">
        <v>30</v>
      </c>
      <c r="G851" s="25"/>
      <c r="H851" s="25"/>
      <c r="I851" s="25"/>
      <c r="J851" s="25"/>
      <c r="K851" s="25">
        <v>1</v>
      </c>
      <c r="L851" s="25"/>
      <c r="M851" s="25" t="b">
        <v>1</v>
      </c>
      <c r="N851" s="25"/>
      <c r="V851" s="20"/>
      <c r="W851" s="20"/>
      <c r="X851" s="20"/>
      <c r="Y851" s="20"/>
      <c r="Z851" s="20"/>
      <c r="AA851" s="20"/>
      <c r="AB851" s="20"/>
      <c r="AC851" s="20"/>
      <c r="AD851" s="20"/>
    </row>
    <row r="852" spans="1:30" ht="13.5" customHeight="1" x14ac:dyDescent="0.25">
      <c r="A852" s="25"/>
      <c r="B852" s="25"/>
      <c r="C852" s="26" t="s">
        <v>119</v>
      </c>
      <c r="D852" s="26">
        <v>7003</v>
      </c>
      <c r="E852" s="27" t="str">
        <f>INDEX([1]道具配置表!$D:$D,MATCH(D852,[1]道具配置表!$A:$A,0))</f>
        <v>1银币（立即使用，不进背包）</v>
      </c>
      <c r="F852" s="26">
        <v>190</v>
      </c>
      <c r="G852" s="25"/>
      <c r="H852" s="25"/>
      <c r="I852" s="25"/>
      <c r="J852" s="25"/>
      <c r="K852" s="25">
        <v>1</v>
      </c>
      <c r="L852" s="25"/>
      <c r="M852" s="25" t="b">
        <v>1</v>
      </c>
      <c r="N852" s="25"/>
      <c r="V852" s="20"/>
      <c r="W852" s="20"/>
      <c r="X852" s="20"/>
      <c r="Y852" s="20"/>
      <c r="Z852" s="20"/>
      <c r="AA852" s="20"/>
      <c r="AB852" s="20"/>
      <c r="AC852" s="20"/>
      <c r="AD852" s="20"/>
    </row>
    <row r="853" spans="1:30" ht="13.5" customHeight="1" x14ac:dyDescent="0.25">
      <c r="A853" s="25"/>
      <c r="B853" s="25"/>
      <c r="C853" s="26" t="s">
        <v>119</v>
      </c>
      <c r="D853" s="26">
        <v>6105</v>
      </c>
      <c r="E853" s="27" t="str">
        <f>INDEX([1]道具配置表!$D:$D,MATCH(D853,[1]道具配置表!$A:$A,0))</f>
        <v>60分钟通用加速</v>
      </c>
      <c r="F853" s="26">
        <v>1</v>
      </c>
      <c r="G853" s="25"/>
      <c r="H853" s="25"/>
      <c r="I853" s="25"/>
      <c r="J853" s="25"/>
      <c r="K853" s="25">
        <v>1</v>
      </c>
      <c r="L853" s="25"/>
      <c r="M853" s="25" t="b">
        <v>1</v>
      </c>
      <c r="N853" s="25"/>
      <c r="V853" s="20"/>
      <c r="W853" s="20"/>
      <c r="X853" s="20"/>
      <c r="Y853" s="20"/>
      <c r="Z853" s="20"/>
      <c r="AA853" s="20"/>
      <c r="AB853" s="20"/>
      <c r="AC853" s="20"/>
      <c r="AD853" s="20"/>
    </row>
    <row r="854" spans="1:30" ht="13.5" customHeight="1" x14ac:dyDescent="0.25">
      <c r="A854" s="25">
        <v>6605210</v>
      </c>
      <c r="B854" s="25" t="s">
        <v>307</v>
      </c>
      <c r="C854" s="26" t="s">
        <v>119</v>
      </c>
      <c r="D854" s="27">
        <v>222</v>
      </c>
      <c r="E854" s="27" t="str">
        <f>INDEX([1]道具配置表!$D:$D,MATCH(D854,[1]道具配置表!$A:$A,0))</f>
        <v>1千食物</v>
      </c>
      <c r="F854" s="27">
        <v>30</v>
      </c>
      <c r="G854" s="25"/>
      <c r="H854" s="25"/>
      <c r="I854" s="25"/>
      <c r="J854" s="25"/>
      <c r="K854" s="25">
        <v>1</v>
      </c>
      <c r="L854" s="25"/>
      <c r="M854" s="25" t="b">
        <v>1</v>
      </c>
      <c r="N854" s="25"/>
      <c r="V854" s="20"/>
      <c r="W854" s="20"/>
      <c r="X854" s="20"/>
      <c r="Y854" s="20"/>
      <c r="Z854" s="20"/>
      <c r="AA854" s="20"/>
      <c r="AB854" s="20"/>
      <c r="AC854" s="20"/>
      <c r="AD854" s="20"/>
    </row>
    <row r="855" spans="1:30" ht="13.5" customHeight="1" x14ac:dyDescent="0.25">
      <c r="A855" s="25"/>
      <c r="B855" s="25"/>
      <c r="C855" s="26" t="s">
        <v>119</v>
      </c>
      <c r="D855" s="27">
        <v>221</v>
      </c>
      <c r="E855" s="27" t="str">
        <f>INDEX([1]道具配置表!$D:$D,MATCH(D855,[1]道具配置表!$A:$A,0))</f>
        <v>1千木材</v>
      </c>
      <c r="F855" s="27">
        <v>30</v>
      </c>
      <c r="G855" s="25"/>
      <c r="H855" s="25"/>
      <c r="I855" s="25"/>
      <c r="J855" s="25"/>
      <c r="K855" s="25">
        <v>1</v>
      </c>
      <c r="L855" s="25"/>
      <c r="M855" s="25" t="b">
        <v>1</v>
      </c>
      <c r="N855" s="25"/>
      <c r="V855" s="20"/>
      <c r="W855" s="20"/>
      <c r="X855" s="20"/>
      <c r="Y855" s="20"/>
      <c r="Z855" s="20"/>
      <c r="AA855" s="20"/>
      <c r="AB855" s="20"/>
      <c r="AC855" s="20"/>
      <c r="AD855" s="20"/>
    </row>
    <row r="856" spans="1:30" ht="13.5" customHeight="1" x14ac:dyDescent="0.25">
      <c r="A856" s="25"/>
      <c r="B856" s="25"/>
      <c r="C856" s="26" t="s">
        <v>119</v>
      </c>
      <c r="D856" s="27">
        <v>223</v>
      </c>
      <c r="E856" s="27" t="str">
        <f>INDEX([1]道具配置表!$D:$D,MATCH(D856,[1]道具配置表!$A:$A,0))</f>
        <v>1千石头</v>
      </c>
      <c r="F856" s="27">
        <v>30</v>
      </c>
      <c r="G856" s="25"/>
      <c r="H856" s="25"/>
      <c r="I856" s="25"/>
      <c r="J856" s="25"/>
      <c r="K856" s="25">
        <v>1</v>
      </c>
      <c r="L856" s="25"/>
      <c r="M856" s="25" t="b">
        <v>1</v>
      </c>
      <c r="N856" s="25"/>
      <c r="V856" s="20"/>
      <c r="W856" s="20"/>
      <c r="X856" s="20"/>
      <c r="Y856" s="20"/>
      <c r="Z856" s="20"/>
      <c r="AA856" s="20"/>
      <c r="AB856" s="20"/>
      <c r="AC856" s="20"/>
      <c r="AD856" s="20"/>
    </row>
    <row r="857" spans="1:30" ht="13.5" customHeight="1" x14ac:dyDescent="0.25">
      <c r="A857" s="25"/>
      <c r="B857" s="25"/>
      <c r="C857" s="26" t="s">
        <v>119</v>
      </c>
      <c r="D857" s="26">
        <v>7003</v>
      </c>
      <c r="E857" s="27" t="str">
        <f>INDEX([1]道具配置表!$D:$D,MATCH(D857,[1]道具配置表!$A:$A,0))</f>
        <v>1银币（立即使用，不进背包）</v>
      </c>
      <c r="F857" s="26">
        <v>200</v>
      </c>
      <c r="G857" s="25"/>
      <c r="H857" s="25"/>
      <c r="I857" s="25"/>
      <c r="J857" s="25"/>
      <c r="K857" s="25">
        <v>1</v>
      </c>
      <c r="L857" s="25"/>
      <c r="M857" s="25" t="b">
        <v>1</v>
      </c>
      <c r="N857" s="25"/>
      <c r="V857" s="20"/>
      <c r="W857" s="20"/>
      <c r="X857" s="20"/>
      <c r="Y857" s="20"/>
      <c r="Z857" s="20"/>
      <c r="AA857" s="20"/>
      <c r="AB857" s="20"/>
      <c r="AC857" s="20"/>
      <c r="AD857" s="20"/>
    </row>
    <row r="858" spans="1:30" ht="13.5" customHeight="1" x14ac:dyDescent="0.25">
      <c r="A858" s="25"/>
      <c r="B858" s="25"/>
      <c r="C858" s="26" t="s">
        <v>119</v>
      </c>
      <c r="D858" s="26">
        <v>6105</v>
      </c>
      <c r="E858" s="27" t="str">
        <f>INDEX([1]道具配置表!$D:$D,MATCH(D858,[1]道具配置表!$A:$A,0))</f>
        <v>60分钟通用加速</v>
      </c>
      <c r="F858" s="26">
        <v>1</v>
      </c>
      <c r="G858" s="25"/>
      <c r="H858" s="25"/>
      <c r="I858" s="25"/>
      <c r="J858" s="25"/>
      <c r="K858" s="25">
        <v>1</v>
      </c>
      <c r="L858" s="25"/>
      <c r="M858" s="25" t="b">
        <v>1</v>
      </c>
      <c r="N858" s="25"/>
      <c r="V858" s="20"/>
      <c r="W858" s="20"/>
      <c r="X858" s="20"/>
      <c r="Y858" s="20"/>
      <c r="Z858" s="20"/>
      <c r="AA858" s="20"/>
      <c r="AB858" s="20"/>
      <c r="AC858" s="20"/>
      <c r="AD858" s="20"/>
    </row>
    <row r="859" spans="1:30" ht="13.5" customHeight="1" x14ac:dyDescent="0.25">
      <c r="A859" s="25">
        <v>6605211</v>
      </c>
      <c r="B859" s="25" t="s">
        <v>308</v>
      </c>
      <c r="C859" s="26" t="s">
        <v>119</v>
      </c>
      <c r="D859" s="27">
        <v>222</v>
      </c>
      <c r="E859" s="27" t="str">
        <f>INDEX([1]道具配置表!$D:$D,MATCH(D859,[1]道具配置表!$A:$A,0))</f>
        <v>1千食物</v>
      </c>
      <c r="F859" s="27">
        <v>35</v>
      </c>
      <c r="G859" s="25"/>
      <c r="H859" s="25"/>
      <c r="I859" s="25"/>
      <c r="J859" s="25"/>
      <c r="K859" s="25">
        <v>1</v>
      </c>
      <c r="L859" s="25"/>
      <c r="M859" s="25" t="b">
        <v>1</v>
      </c>
      <c r="N859" s="25"/>
      <c r="V859" s="20"/>
      <c r="W859" s="20"/>
      <c r="X859" s="20"/>
      <c r="Y859" s="20"/>
      <c r="Z859" s="20"/>
      <c r="AA859" s="20"/>
      <c r="AB859" s="20"/>
      <c r="AC859" s="20"/>
      <c r="AD859" s="20"/>
    </row>
    <row r="860" spans="1:30" ht="13.5" customHeight="1" x14ac:dyDescent="0.25">
      <c r="A860" s="25"/>
      <c r="B860" s="25"/>
      <c r="C860" s="26" t="s">
        <v>119</v>
      </c>
      <c r="D860" s="27">
        <v>221</v>
      </c>
      <c r="E860" s="27" t="str">
        <f>INDEX([1]道具配置表!$D:$D,MATCH(D860,[1]道具配置表!$A:$A,0))</f>
        <v>1千木材</v>
      </c>
      <c r="F860" s="27">
        <v>35</v>
      </c>
      <c r="G860" s="25"/>
      <c r="H860" s="25"/>
      <c r="I860" s="25"/>
      <c r="J860" s="25"/>
      <c r="K860" s="25">
        <v>1</v>
      </c>
      <c r="L860" s="25"/>
      <c r="M860" s="25" t="b">
        <v>1</v>
      </c>
      <c r="N860" s="25"/>
      <c r="V860" s="20"/>
      <c r="W860" s="20"/>
      <c r="X860" s="20"/>
      <c r="Y860" s="20"/>
      <c r="Z860" s="20"/>
      <c r="AA860" s="20"/>
      <c r="AB860" s="20"/>
      <c r="AC860" s="20"/>
      <c r="AD860" s="20"/>
    </row>
    <row r="861" spans="1:30" ht="13.5" customHeight="1" x14ac:dyDescent="0.25">
      <c r="A861" s="25"/>
      <c r="B861" s="25"/>
      <c r="C861" s="26" t="s">
        <v>119</v>
      </c>
      <c r="D861" s="27">
        <v>223</v>
      </c>
      <c r="E861" s="27" t="str">
        <f>INDEX([1]道具配置表!$D:$D,MATCH(D861,[1]道具配置表!$A:$A,0))</f>
        <v>1千石头</v>
      </c>
      <c r="F861" s="27">
        <v>35</v>
      </c>
      <c r="G861" s="25"/>
      <c r="H861" s="25"/>
      <c r="I861" s="25"/>
      <c r="J861" s="25"/>
      <c r="K861" s="25">
        <v>1</v>
      </c>
      <c r="L861" s="25"/>
      <c r="M861" s="25" t="b">
        <v>1</v>
      </c>
      <c r="N861" s="25"/>
      <c r="V861" s="20"/>
      <c r="W861" s="20"/>
      <c r="X861" s="20"/>
      <c r="Y861" s="20"/>
      <c r="Z861" s="20"/>
      <c r="AA861" s="20"/>
      <c r="AB861" s="20"/>
      <c r="AC861" s="20"/>
      <c r="AD861" s="20"/>
    </row>
    <row r="862" spans="1:30" ht="13.5" customHeight="1" x14ac:dyDescent="0.25">
      <c r="A862" s="25"/>
      <c r="B862" s="25"/>
      <c r="C862" s="26" t="s">
        <v>119</v>
      </c>
      <c r="D862" s="26">
        <v>224</v>
      </c>
      <c r="E862" s="27" t="str">
        <f>INDEX([1]道具配置表!$D:$D,MATCH(D862,[1]道具配置表!$A:$A,0))</f>
        <v>1千黄金</v>
      </c>
      <c r="F862" s="26">
        <v>35</v>
      </c>
      <c r="G862" s="25"/>
      <c r="H862" s="25"/>
      <c r="I862" s="25"/>
      <c r="J862" s="25"/>
      <c r="K862" s="25">
        <v>1</v>
      </c>
      <c r="L862" s="25"/>
      <c r="M862" s="25" t="b">
        <v>1</v>
      </c>
      <c r="N862" s="25"/>
      <c r="V862" s="20"/>
      <c r="W862" s="20"/>
      <c r="X862" s="20"/>
      <c r="Y862" s="20"/>
      <c r="Z862" s="20"/>
      <c r="AA862" s="20"/>
      <c r="AB862" s="20"/>
      <c r="AC862" s="20"/>
      <c r="AD862" s="20"/>
    </row>
    <row r="863" spans="1:30" ht="13.5" customHeight="1" x14ac:dyDescent="0.25">
      <c r="A863" s="25"/>
      <c r="B863" s="25"/>
      <c r="C863" s="26" t="s">
        <v>119</v>
      </c>
      <c r="D863" s="26">
        <v>7003</v>
      </c>
      <c r="E863" s="27" t="str">
        <f>INDEX([1]道具配置表!$D:$D,MATCH(D863,[1]道具配置表!$A:$A,0))</f>
        <v>1银币（立即使用，不进背包）</v>
      </c>
      <c r="F863" s="26">
        <v>210</v>
      </c>
      <c r="G863" s="25"/>
      <c r="H863" s="25"/>
      <c r="I863" s="25"/>
      <c r="J863" s="25"/>
      <c r="K863" s="25">
        <v>1</v>
      </c>
      <c r="L863" s="25"/>
      <c r="M863" s="25" t="b">
        <v>1</v>
      </c>
      <c r="N863" s="25"/>
      <c r="V863" s="20"/>
      <c r="W863" s="20"/>
      <c r="X863" s="20"/>
      <c r="Y863" s="20"/>
      <c r="Z863" s="20"/>
      <c r="AA863" s="20"/>
      <c r="AB863" s="20"/>
      <c r="AC863" s="20"/>
      <c r="AD863" s="20"/>
    </row>
    <row r="864" spans="1:30" ht="13.5" customHeight="1" x14ac:dyDescent="0.25">
      <c r="A864" s="25"/>
      <c r="B864" s="25"/>
      <c r="C864" s="26" t="s">
        <v>119</v>
      </c>
      <c r="D864" s="26">
        <v>6105</v>
      </c>
      <c r="E864" s="27" t="str">
        <f>INDEX([1]道具配置表!$D:$D,MATCH(D864,[1]道具配置表!$A:$A,0))</f>
        <v>60分钟通用加速</v>
      </c>
      <c r="F864" s="26">
        <v>1</v>
      </c>
      <c r="G864" s="25"/>
      <c r="H864" s="25"/>
      <c r="I864" s="25"/>
      <c r="J864" s="25"/>
      <c r="K864" s="25">
        <v>1</v>
      </c>
      <c r="L864" s="25"/>
      <c r="M864" s="25" t="b">
        <v>1</v>
      </c>
      <c r="N864" s="25"/>
      <c r="V864" s="20"/>
      <c r="W864" s="20"/>
      <c r="X864" s="20"/>
      <c r="Y864" s="20"/>
      <c r="Z864" s="20"/>
      <c r="AA864" s="20"/>
      <c r="AB864" s="20"/>
      <c r="AC864" s="20"/>
      <c r="AD864" s="20"/>
    </row>
    <row r="865" spans="1:30" ht="13.5" customHeight="1" x14ac:dyDescent="0.25">
      <c r="A865" s="25">
        <v>6605212</v>
      </c>
      <c r="B865" s="25" t="s">
        <v>309</v>
      </c>
      <c r="C865" s="26" t="s">
        <v>119</v>
      </c>
      <c r="D865" s="27">
        <v>222</v>
      </c>
      <c r="E865" s="27" t="str">
        <f>INDEX([1]道具配置表!$D:$D,MATCH(D865,[1]道具配置表!$A:$A,0))</f>
        <v>1千食物</v>
      </c>
      <c r="F865" s="27">
        <v>35</v>
      </c>
      <c r="G865" s="25"/>
      <c r="H865" s="25"/>
      <c r="I865" s="25"/>
      <c r="J865" s="25"/>
      <c r="K865" s="25">
        <v>1</v>
      </c>
      <c r="L865" s="25"/>
      <c r="M865" s="25" t="b">
        <v>1</v>
      </c>
      <c r="N865" s="25"/>
      <c r="V865" s="20"/>
      <c r="W865" s="20"/>
      <c r="X865" s="20"/>
      <c r="Y865" s="20"/>
      <c r="Z865" s="20"/>
      <c r="AA865" s="20"/>
      <c r="AB865" s="20"/>
      <c r="AC865" s="20"/>
      <c r="AD865" s="20"/>
    </row>
    <row r="866" spans="1:30" ht="13.5" customHeight="1" x14ac:dyDescent="0.25">
      <c r="A866" s="25"/>
      <c r="B866" s="25"/>
      <c r="C866" s="26" t="s">
        <v>119</v>
      </c>
      <c r="D866" s="27">
        <v>221</v>
      </c>
      <c r="E866" s="27" t="str">
        <f>INDEX([1]道具配置表!$D:$D,MATCH(D866,[1]道具配置表!$A:$A,0))</f>
        <v>1千木材</v>
      </c>
      <c r="F866" s="27">
        <v>35</v>
      </c>
      <c r="G866" s="25"/>
      <c r="H866" s="25"/>
      <c r="I866" s="25"/>
      <c r="J866" s="25"/>
      <c r="K866" s="25">
        <v>1</v>
      </c>
      <c r="L866" s="25"/>
      <c r="M866" s="25" t="b">
        <v>1</v>
      </c>
      <c r="N866" s="25"/>
      <c r="V866" s="20"/>
      <c r="W866" s="20"/>
      <c r="X866" s="20"/>
      <c r="Y866" s="20"/>
      <c r="Z866" s="20"/>
      <c r="AA866" s="20"/>
      <c r="AB866" s="20"/>
      <c r="AC866" s="20"/>
      <c r="AD866" s="20"/>
    </row>
    <row r="867" spans="1:30" ht="13.5" customHeight="1" x14ac:dyDescent="0.25">
      <c r="A867" s="25"/>
      <c r="B867" s="25"/>
      <c r="C867" s="26" t="s">
        <v>119</v>
      </c>
      <c r="D867" s="27">
        <v>223</v>
      </c>
      <c r="E867" s="27" t="str">
        <f>INDEX([1]道具配置表!$D:$D,MATCH(D867,[1]道具配置表!$A:$A,0))</f>
        <v>1千石头</v>
      </c>
      <c r="F867" s="27">
        <v>35</v>
      </c>
      <c r="G867" s="25"/>
      <c r="H867" s="25"/>
      <c r="I867" s="25"/>
      <c r="J867" s="25"/>
      <c r="K867" s="25">
        <v>1</v>
      </c>
      <c r="L867" s="25"/>
      <c r="M867" s="25" t="b">
        <v>1</v>
      </c>
      <c r="N867" s="25"/>
      <c r="V867" s="20"/>
      <c r="W867" s="20"/>
      <c r="X867" s="20"/>
      <c r="Y867" s="20"/>
      <c r="Z867" s="20"/>
      <c r="AA867" s="20"/>
      <c r="AB867" s="20"/>
      <c r="AC867" s="20"/>
      <c r="AD867" s="20"/>
    </row>
    <row r="868" spans="1:30" ht="13.5" customHeight="1" x14ac:dyDescent="0.25">
      <c r="A868" s="25"/>
      <c r="B868" s="25"/>
      <c r="C868" s="26" t="s">
        <v>119</v>
      </c>
      <c r="D868" s="27">
        <v>224</v>
      </c>
      <c r="E868" s="27" t="str">
        <f>INDEX([1]道具配置表!$D:$D,MATCH(D868,[1]道具配置表!$A:$A,0))</f>
        <v>1千黄金</v>
      </c>
      <c r="F868" s="27">
        <v>35</v>
      </c>
      <c r="G868" s="25"/>
      <c r="H868" s="25"/>
      <c r="I868" s="25"/>
      <c r="J868" s="25"/>
      <c r="K868" s="25">
        <v>1</v>
      </c>
      <c r="L868" s="25"/>
      <c r="M868" s="25" t="b">
        <v>1</v>
      </c>
      <c r="N868" s="25"/>
      <c r="V868" s="20"/>
      <c r="W868" s="20"/>
      <c r="X868" s="20"/>
      <c r="Y868" s="20"/>
      <c r="Z868" s="20"/>
      <c r="AA868" s="20"/>
      <c r="AB868" s="20"/>
      <c r="AC868" s="20"/>
      <c r="AD868" s="20"/>
    </row>
    <row r="869" spans="1:30" ht="13.5" customHeight="1" x14ac:dyDescent="0.25">
      <c r="A869" s="25"/>
      <c r="B869" s="25"/>
      <c r="C869" s="26" t="s">
        <v>119</v>
      </c>
      <c r="D869" s="26">
        <v>7003</v>
      </c>
      <c r="E869" s="27" t="str">
        <f>INDEX([1]道具配置表!$D:$D,MATCH(D869,[1]道具配置表!$A:$A,0))</f>
        <v>1银币（立即使用，不进背包）</v>
      </c>
      <c r="F869" s="26">
        <v>220</v>
      </c>
      <c r="G869" s="25"/>
      <c r="H869" s="25"/>
      <c r="I869" s="25"/>
      <c r="J869" s="25"/>
      <c r="K869" s="25">
        <v>1</v>
      </c>
      <c r="L869" s="25"/>
      <c r="M869" s="25" t="b">
        <v>1</v>
      </c>
      <c r="N869" s="25"/>
      <c r="V869" s="20"/>
      <c r="W869" s="20"/>
      <c r="X869" s="20"/>
      <c r="Y869" s="20"/>
      <c r="Z869" s="20"/>
      <c r="AA869" s="20"/>
      <c r="AB869" s="20"/>
      <c r="AC869" s="20"/>
      <c r="AD869" s="20"/>
    </row>
    <row r="870" spans="1:30" ht="13.5" customHeight="1" x14ac:dyDescent="0.25">
      <c r="A870" s="25"/>
      <c r="B870" s="25"/>
      <c r="C870" s="26" t="s">
        <v>119</v>
      </c>
      <c r="D870" s="26">
        <v>6105</v>
      </c>
      <c r="E870" s="27" t="str">
        <f>INDEX([1]道具配置表!$D:$D,MATCH(D870,[1]道具配置表!$A:$A,0))</f>
        <v>60分钟通用加速</v>
      </c>
      <c r="F870" s="26">
        <v>1</v>
      </c>
      <c r="G870" s="25"/>
      <c r="H870" s="25"/>
      <c r="I870" s="25"/>
      <c r="J870" s="25"/>
      <c r="K870" s="25">
        <v>1</v>
      </c>
      <c r="L870" s="25"/>
      <c r="M870" s="25" t="b">
        <v>1</v>
      </c>
      <c r="N870" s="25"/>
      <c r="V870" s="20"/>
      <c r="W870" s="20"/>
      <c r="X870" s="20"/>
      <c r="Y870" s="20"/>
      <c r="Z870" s="20"/>
      <c r="AA870" s="20"/>
      <c r="AB870" s="20"/>
      <c r="AC870" s="20"/>
      <c r="AD870" s="20"/>
    </row>
    <row r="871" spans="1:30" ht="13.5" customHeight="1" x14ac:dyDescent="0.25">
      <c r="A871" s="25">
        <v>6605213</v>
      </c>
      <c r="B871" s="25" t="s">
        <v>310</v>
      </c>
      <c r="C871" s="26" t="s">
        <v>119</v>
      </c>
      <c r="D871" s="27">
        <v>222</v>
      </c>
      <c r="E871" s="27" t="str">
        <f>INDEX([1]道具配置表!$D:$D,MATCH(D871,[1]道具配置表!$A:$A,0))</f>
        <v>1千食物</v>
      </c>
      <c r="F871" s="27">
        <v>40</v>
      </c>
      <c r="G871" s="25"/>
      <c r="H871" s="25"/>
      <c r="I871" s="25"/>
      <c r="J871" s="25"/>
      <c r="K871" s="25">
        <v>1</v>
      </c>
      <c r="L871" s="25"/>
      <c r="M871" s="25" t="b">
        <v>1</v>
      </c>
      <c r="N871" s="25"/>
      <c r="V871" s="20"/>
      <c r="W871" s="20"/>
      <c r="X871" s="20"/>
      <c r="Y871" s="20"/>
      <c r="Z871" s="20"/>
      <c r="AA871" s="20"/>
      <c r="AB871" s="20"/>
      <c r="AC871" s="20"/>
      <c r="AD871" s="20"/>
    </row>
    <row r="872" spans="1:30" ht="13.5" customHeight="1" x14ac:dyDescent="0.25">
      <c r="A872" s="25"/>
      <c r="B872" s="25"/>
      <c r="C872" s="26" t="s">
        <v>119</v>
      </c>
      <c r="D872" s="27">
        <v>221</v>
      </c>
      <c r="E872" s="27" t="str">
        <f>INDEX([1]道具配置表!$D:$D,MATCH(D872,[1]道具配置表!$A:$A,0))</f>
        <v>1千木材</v>
      </c>
      <c r="F872" s="27">
        <v>40</v>
      </c>
      <c r="G872" s="25"/>
      <c r="H872" s="25"/>
      <c r="I872" s="25"/>
      <c r="J872" s="25"/>
      <c r="K872" s="25">
        <v>1</v>
      </c>
      <c r="L872" s="25"/>
      <c r="M872" s="25" t="b">
        <v>1</v>
      </c>
      <c r="N872" s="25"/>
      <c r="V872" s="20"/>
      <c r="W872" s="20"/>
      <c r="X872" s="20"/>
      <c r="Y872" s="20"/>
      <c r="Z872" s="20"/>
      <c r="AA872" s="20"/>
      <c r="AB872" s="20"/>
      <c r="AC872" s="20"/>
      <c r="AD872" s="20"/>
    </row>
    <row r="873" spans="1:30" ht="13.5" customHeight="1" x14ac:dyDescent="0.25">
      <c r="A873" s="25"/>
      <c r="B873" s="25"/>
      <c r="C873" s="26" t="s">
        <v>119</v>
      </c>
      <c r="D873" s="27">
        <v>223</v>
      </c>
      <c r="E873" s="27" t="str">
        <f>INDEX([1]道具配置表!$D:$D,MATCH(D873,[1]道具配置表!$A:$A,0))</f>
        <v>1千石头</v>
      </c>
      <c r="F873" s="27">
        <v>40</v>
      </c>
      <c r="G873" s="25"/>
      <c r="H873" s="25"/>
      <c r="I873" s="25"/>
      <c r="J873" s="25"/>
      <c r="K873" s="25">
        <v>1</v>
      </c>
      <c r="L873" s="25"/>
      <c r="M873" s="25" t="b">
        <v>1</v>
      </c>
      <c r="N873" s="25"/>
      <c r="V873" s="20"/>
      <c r="W873" s="20"/>
      <c r="X873" s="20"/>
      <c r="Y873" s="20"/>
      <c r="Z873" s="20"/>
      <c r="AA873" s="20"/>
      <c r="AB873" s="20"/>
      <c r="AC873" s="20"/>
      <c r="AD873" s="20"/>
    </row>
    <row r="874" spans="1:30" ht="13.5" customHeight="1" x14ac:dyDescent="0.25">
      <c r="A874" s="25"/>
      <c r="B874" s="25"/>
      <c r="C874" s="26" t="s">
        <v>119</v>
      </c>
      <c r="D874" s="27">
        <v>224</v>
      </c>
      <c r="E874" s="27" t="str">
        <f>INDEX([1]道具配置表!$D:$D,MATCH(D874,[1]道具配置表!$A:$A,0))</f>
        <v>1千黄金</v>
      </c>
      <c r="F874" s="27">
        <v>40</v>
      </c>
      <c r="G874" s="25"/>
      <c r="H874" s="25"/>
      <c r="I874" s="25"/>
      <c r="J874" s="25"/>
      <c r="K874" s="25">
        <v>1</v>
      </c>
      <c r="L874" s="25"/>
      <c r="M874" s="25" t="b">
        <v>1</v>
      </c>
      <c r="N874" s="25"/>
      <c r="V874" s="20"/>
      <c r="W874" s="20"/>
      <c r="X874" s="20"/>
      <c r="Y874" s="20"/>
      <c r="Z874" s="20"/>
      <c r="AA874" s="20"/>
      <c r="AB874" s="20"/>
      <c r="AC874" s="20"/>
      <c r="AD874" s="20"/>
    </row>
    <row r="875" spans="1:30" ht="13.5" customHeight="1" x14ac:dyDescent="0.25">
      <c r="A875" s="25"/>
      <c r="B875" s="25"/>
      <c r="C875" s="26" t="s">
        <v>119</v>
      </c>
      <c r="D875" s="26">
        <v>7003</v>
      </c>
      <c r="E875" s="27" t="str">
        <f>INDEX([1]道具配置表!$D:$D,MATCH(D875,[1]道具配置表!$A:$A,0))</f>
        <v>1银币（立即使用，不进背包）</v>
      </c>
      <c r="F875" s="26">
        <v>230</v>
      </c>
      <c r="G875" s="25"/>
      <c r="H875" s="25"/>
      <c r="I875" s="25"/>
      <c r="J875" s="25"/>
      <c r="K875" s="25">
        <v>1</v>
      </c>
      <c r="L875" s="25"/>
      <c r="M875" s="25" t="b">
        <v>1</v>
      </c>
      <c r="N875" s="25"/>
      <c r="V875" s="20"/>
      <c r="W875" s="20"/>
      <c r="X875" s="20"/>
      <c r="Y875" s="20"/>
      <c r="Z875" s="20"/>
      <c r="AA875" s="20"/>
      <c r="AB875" s="20"/>
      <c r="AC875" s="20"/>
      <c r="AD875" s="20"/>
    </row>
    <row r="876" spans="1:30" ht="13.5" customHeight="1" x14ac:dyDescent="0.25">
      <c r="A876" s="25"/>
      <c r="B876" s="25"/>
      <c r="C876" s="26" t="s">
        <v>119</v>
      </c>
      <c r="D876" s="26">
        <v>6105</v>
      </c>
      <c r="E876" s="27" t="str">
        <f>INDEX([1]道具配置表!$D:$D,MATCH(D876,[1]道具配置表!$A:$A,0))</f>
        <v>60分钟通用加速</v>
      </c>
      <c r="F876" s="26">
        <v>1</v>
      </c>
      <c r="G876" s="25"/>
      <c r="H876" s="25"/>
      <c r="I876" s="25"/>
      <c r="J876" s="25"/>
      <c r="K876" s="25">
        <v>1</v>
      </c>
      <c r="L876" s="25"/>
      <c r="M876" s="25" t="b">
        <v>1</v>
      </c>
      <c r="N876" s="25"/>
      <c r="V876" s="20"/>
      <c r="W876" s="20"/>
      <c r="X876" s="20"/>
      <c r="Y876" s="20"/>
      <c r="Z876" s="20"/>
      <c r="AA876" s="20"/>
      <c r="AB876" s="20"/>
      <c r="AC876" s="20"/>
      <c r="AD876" s="20"/>
    </row>
    <row r="877" spans="1:30" ht="13.5" customHeight="1" x14ac:dyDescent="0.25">
      <c r="A877" s="25">
        <v>6605214</v>
      </c>
      <c r="B877" s="25" t="s">
        <v>311</v>
      </c>
      <c r="C877" s="26" t="s">
        <v>119</v>
      </c>
      <c r="D877" s="27">
        <v>222</v>
      </c>
      <c r="E877" s="27" t="str">
        <f>INDEX([1]道具配置表!$D:$D,MATCH(D877,[1]道具配置表!$A:$A,0))</f>
        <v>1千食物</v>
      </c>
      <c r="F877" s="27">
        <v>40</v>
      </c>
      <c r="G877" s="25"/>
      <c r="H877" s="25"/>
      <c r="I877" s="25"/>
      <c r="J877" s="25"/>
      <c r="K877" s="25">
        <v>1</v>
      </c>
      <c r="L877" s="25"/>
      <c r="M877" s="25" t="b">
        <v>1</v>
      </c>
      <c r="N877" s="25"/>
      <c r="V877" s="20"/>
      <c r="W877" s="20"/>
      <c r="X877" s="20"/>
      <c r="Y877" s="20"/>
      <c r="Z877" s="20"/>
      <c r="AA877" s="20"/>
      <c r="AB877" s="20"/>
      <c r="AC877" s="20"/>
      <c r="AD877" s="20"/>
    </row>
    <row r="878" spans="1:30" ht="13.5" customHeight="1" x14ac:dyDescent="0.25">
      <c r="A878" s="25"/>
      <c r="B878" s="25"/>
      <c r="C878" s="26" t="s">
        <v>119</v>
      </c>
      <c r="D878" s="27">
        <v>221</v>
      </c>
      <c r="E878" s="27" t="str">
        <f>INDEX([1]道具配置表!$D:$D,MATCH(D878,[1]道具配置表!$A:$A,0))</f>
        <v>1千木材</v>
      </c>
      <c r="F878" s="27">
        <v>40</v>
      </c>
      <c r="G878" s="25"/>
      <c r="H878" s="25"/>
      <c r="I878" s="25"/>
      <c r="J878" s="25"/>
      <c r="K878" s="25">
        <v>1</v>
      </c>
      <c r="L878" s="25"/>
      <c r="M878" s="25" t="b">
        <v>1</v>
      </c>
      <c r="N878" s="25"/>
      <c r="V878" s="20"/>
      <c r="W878" s="20"/>
      <c r="X878" s="20"/>
      <c r="Y878" s="20"/>
      <c r="Z878" s="20"/>
      <c r="AA878" s="20"/>
      <c r="AB878" s="20"/>
      <c r="AC878" s="20"/>
      <c r="AD878" s="20"/>
    </row>
    <row r="879" spans="1:30" ht="13.5" customHeight="1" x14ac:dyDescent="0.25">
      <c r="A879" s="25"/>
      <c r="B879" s="25"/>
      <c r="C879" s="26" t="s">
        <v>119</v>
      </c>
      <c r="D879" s="27">
        <v>223</v>
      </c>
      <c r="E879" s="27" t="str">
        <f>INDEX([1]道具配置表!$D:$D,MATCH(D879,[1]道具配置表!$A:$A,0))</f>
        <v>1千石头</v>
      </c>
      <c r="F879" s="27">
        <v>40</v>
      </c>
      <c r="G879" s="25"/>
      <c r="H879" s="25"/>
      <c r="I879" s="25"/>
      <c r="J879" s="25"/>
      <c r="K879" s="25">
        <v>1</v>
      </c>
      <c r="L879" s="25"/>
      <c r="M879" s="25" t="b">
        <v>1</v>
      </c>
      <c r="N879" s="25"/>
      <c r="V879" s="20"/>
      <c r="W879" s="20"/>
      <c r="X879" s="20"/>
      <c r="Y879" s="20"/>
      <c r="Z879" s="20"/>
      <c r="AA879" s="20"/>
      <c r="AB879" s="20"/>
      <c r="AC879" s="20"/>
      <c r="AD879" s="20"/>
    </row>
    <row r="880" spans="1:30" ht="13.5" customHeight="1" x14ac:dyDescent="0.25">
      <c r="A880" s="25"/>
      <c r="B880" s="25"/>
      <c r="C880" s="26" t="s">
        <v>119</v>
      </c>
      <c r="D880" s="27">
        <v>224</v>
      </c>
      <c r="E880" s="27" t="str">
        <f>INDEX([1]道具配置表!$D:$D,MATCH(D880,[1]道具配置表!$A:$A,0))</f>
        <v>1千黄金</v>
      </c>
      <c r="F880" s="27">
        <v>40</v>
      </c>
      <c r="G880" s="25"/>
      <c r="H880" s="25"/>
      <c r="I880" s="25"/>
      <c r="J880" s="25"/>
      <c r="K880" s="25">
        <v>1</v>
      </c>
      <c r="L880" s="25"/>
      <c r="M880" s="25" t="b">
        <v>1</v>
      </c>
      <c r="N880" s="25"/>
      <c r="V880" s="20"/>
      <c r="W880" s="20"/>
      <c r="X880" s="20"/>
      <c r="Y880" s="20"/>
      <c r="Z880" s="20"/>
      <c r="AA880" s="20"/>
      <c r="AB880" s="20"/>
      <c r="AC880" s="20"/>
      <c r="AD880" s="20"/>
    </row>
    <row r="881" spans="1:30" ht="13.5" customHeight="1" x14ac:dyDescent="0.25">
      <c r="A881" s="25"/>
      <c r="B881" s="25"/>
      <c r="C881" s="26" t="s">
        <v>119</v>
      </c>
      <c r="D881" s="26">
        <v>7003</v>
      </c>
      <c r="E881" s="27" t="str">
        <f>INDEX([1]道具配置表!$D:$D,MATCH(D881,[1]道具配置表!$A:$A,0))</f>
        <v>1银币（立即使用，不进背包）</v>
      </c>
      <c r="F881" s="26">
        <v>240</v>
      </c>
      <c r="G881" s="25"/>
      <c r="H881" s="25"/>
      <c r="I881" s="25"/>
      <c r="J881" s="25"/>
      <c r="K881" s="25">
        <v>1</v>
      </c>
      <c r="L881" s="25"/>
      <c r="M881" s="25" t="b">
        <v>1</v>
      </c>
      <c r="N881" s="25"/>
      <c r="V881" s="20"/>
      <c r="W881" s="20"/>
      <c r="X881" s="20"/>
      <c r="Y881" s="20"/>
      <c r="Z881" s="20"/>
      <c r="AA881" s="20"/>
      <c r="AB881" s="20"/>
      <c r="AC881" s="20"/>
      <c r="AD881" s="20"/>
    </row>
    <row r="882" spans="1:30" ht="13.5" customHeight="1" x14ac:dyDescent="0.25">
      <c r="A882" s="25"/>
      <c r="B882" s="25"/>
      <c r="C882" s="26" t="s">
        <v>119</v>
      </c>
      <c r="D882" s="26">
        <v>6105</v>
      </c>
      <c r="E882" s="27" t="str">
        <f>INDEX([1]道具配置表!$D:$D,MATCH(D882,[1]道具配置表!$A:$A,0))</f>
        <v>60分钟通用加速</v>
      </c>
      <c r="F882" s="26">
        <v>1</v>
      </c>
      <c r="G882" s="25"/>
      <c r="H882" s="25"/>
      <c r="I882" s="25"/>
      <c r="J882" s="25"/>
      <c r="K882" s="25">
        <v>1</v>
      </c>
      <c r="L882" s="25"/>
      <c r="M882" s="25" t="b">
        <v>1</v>
      </c>
      <c r="N882" s="25"/>
      <c r="V882" s="20"/>
      <c r="W882" s="20"/>
      <c r="X882" s="20"/>
      <c r="Y882" s="20"/>
      <c r="Z882" s="20"/>
      <c r="AA882" s="20"/>
      <c r="AB882" s="20"/>
      <c r="AC882" s="20"/>
      <c r="AD882" s="20"/>
    </row>
    <row r="883" spans="1:30" ht="13.5" customHeight="1" x14ac:dyDescent="0.25">
      <c r="A883" s="25">
        <v>6605215</v>
      </c>
      <c r="B883" s="25" t="s">
        <v>312</v>
      </c>
      <c r="C883" s="26" t="s">
        <v>119</v>
      </c>
      <c r="D883" s="27">
        <v>222</v>
      </c>
      <c r="E883" s="27" t="str">
        <f>INDEX([1]道具配置表!$D:$D,MATCH(D883,[1]道具配置表!$A:$A,0))</f>
        <v>1千食物</v>
      </c>
      <c r="F883" s="27">
        <v>45</v>
      </c>
      <c r="G883" s="25"/>
      <c r="H883" s="25"/>
      <c r="I883" s="25"/>
      <c r="J883" s="25"/>
      <c r="K883" s="25">
        <v>1</v>
      </c>
      <c r="L883" s="25"/>
      <c r="M883" s="25" t="b">
        <v>1</v>
      </c>
      <c r="N883" s="25"/>
      <c r="V883" s="20"/>
      <c r="W883" s="20"/>
      <c r="X883" s="20"/>
      <c r="Y883" s="20"/>
      <c r="Z883" s="20"/>
      <c r="AA883" s="20"/>
      <c r="AB883" s="20"/>
      <c r="AC883" s="20"/>
      <c r="AD883" s="20"/>
    </row>
    <row r="884" spans="1:30" ht="13.5" customHeight="1" x14ac:dyDescent="0.25">
      <c r="A884" s="25"/>
      <c r="B884" s="25"/>
      <c r="C884" s="26" t="s">
        <v>119</v>
      </c>
      <c r="D884" s="27">
        <v>221</v>
      </c>
      <c r="E884" s="27" t="str">
        <f>INDEX([1]道具配置表!$D:$D,MATCH(D884,[1]道具配置表!$A:$A,0))</f>
        <v>1千木材</v>
      </c>
      <c r="F884" s="27">
        <v>45</v>
      </c>
      <c r="G884" s="25"/>
      <c r="H884" s="25"/>
      <c r="I884" s="25"/>
      <c r="J884" s="25"/>
      <c r="K884" s="25">
        <v>1</v>
      </c>
      <c r="L884" s="25"/>
      <c r="M884" s="25" t="b">
        <v>1</v>
      </c>
      <c r="N884" s="25"/>
      <c r="V884" s="20"/>
      <c r="W884" s="20"/>
      <c r="X884" s="20"/>
      <c r="Y884" s="20"/>
      <c r="Z884" s="20"/>
      <c r="AA884" s="20"/>
      <c r="AB884" s="20"/>
      <c r="AC884" s="20"/>
      <c r="AD884" s="20"/>
    </row>
    <row r="885" spans="1:30" ht="13.5" customHeight="1" x14ac:dyDescent="0.25">
      <c r="A885" s="25"/>
      <c r="B885" s="25"/>
      <c r="C885" s="26" t="s">
        <v>119</v>
      </c>
      <c r="D885" s="27">
        <v>223</v>
      </c>
      <c r="E885" s="27" t="str">
        <f>INDEX([1]道具配置表!$D:$D,MATCH(D885,[1]道具配置表!$A:$A,0))</f>
        <v>1千石头</v>
      </c>
      <c r="F885" s="27">
        <v>45</v>
      </c>
      <c r="G885" s="25"/>
      <c r="H885" s="25"/>
      <c r="I885" s="25"/>
      <c r="J885" s="25"/>
      <c r="K885" s="25">
        <v>1</v>
      </c>
      <c r="L885" s="25"/>
      <c r="M885" s="25" t="b">
        <v>1</v>
      </c>
      <c r="N885" s="25"/>
      <c r="V885" s="20"/>
      <c r="W885" s="20"/>
      <c r="X885" s="20"/>
      <c r="Y885" s="20"/>
      <c r="Z885" s="20"/>
      <c r="AA885" s="20"/>
      <c r="AB885" s="20"/>
      <c r="AC885" s="20"/>
      <c r="AD885" s="20"/>
    </row>
    <row r="886" spans="1:30" ht="13.5" customHeight="1" x14ac:dyDescent="0.25">
      <c r="A886" s="25"/>
      <c r="B886" s="25"/>
      <c r="C886" s="26" t="s">
        <v>119</v>
      </c>
      <c r="D886" s="27">
        <v>224</v>
      </c>
      <c r="E886" s="27" t="str">
        <f>INDEX([1]道具配置表!$D:$D,MATCH(D886,[1]道具配置表!$A:$A,0))</f>
        <v>1千黄金</v>
      </c>
      <c r="F886" s="27">
        <v>45</v>
      </c>
      <c r="G886" s="25"/>
      <c r="H886" s="25"/>
      <c r="I886" s="25"/>
      <c r="J886" s="25"/>
      <c r="K886" s="25">
        <v>1</v>
      </c>
      <c r="L886" s="25"/>
      <c r="M886" s="25" t="b">
        <v>1</v>
      </c>
      <c r="N886" s="25"/>
      <c r="V886" s="20"/>
      <c r="W886" s="20"/>
      <c r="X886" s="20"/>
      <c r="Y886" s="20"/>
      <c r="Z886" s="20"/>
      <c r="AA886" s="20"/>
      <c r="AB886" s="20"/>
      <c r="AC886" s="20"/>
      <c r="AD886" s="20"/>
    </row>
    <row r="887" spans="1:30" ht="13.5" customHeight="1" x14ac:dyDescent="0.25">
      <c r="A887" s="25"/>
      <c r="B887" s="25"/>
      <c r="C887" s="26" t="s">
        <v>119</v>
      </c>
      <c r="D887" s="26">
        <v>7003</v>
      </c>
      <c r="E887" s="27" t="str">
        <f>INDEX([1]道具配置表!$D:$D,MATCH(D887,[1]道具配置表!$A:$A,0))</f>
        <v>1银币（立即使用，不进背包）</v>
      </c>
      <c r="F887" s="26">
        <v>250</v>
      </c>
      <c r="G887" s="25"/>
      <c r="H887" s="25"/>
      <c r="I887" s="25"/>
      <c r="J887" s="25"/>
      <c r="K887" s="25">
        <v>1</v>
      </c>
      <c r="L887" s="25"/>
      <c r="M887" s="25" t="b">
        <v>1</v>
      </c>
      <c r="N887" s="25"/>
      <c r="V887" s="20"/>
      <c r="W887" s="20"/>
      <c r="X887" s="20"/>
      <c r="Y887" s="20"/>
      <c r="Z887" s="20"/>
      <c r="AA887" s="20"/>
      <c r="AB887" s="20"/>
      <c r="AC887" s="20"/>
      <c r="AD887" s="20"/>
    </row>
    <row r="888" spans="1:30" ht="13.5" customHeight="1" x14ac:dyDescent="0.25">
      <c r="A888" s="25"/>
      <c r="B888" s="25"/>
      <c r="C888" s="26" t="s">
        <v>119</v>
      </c>
      <c r="D888" s="26">
        <v>6105</v>
      </c>
      <c r="E888" s="27" t="str">
        <f>INDEX([1]道具配置表!$D:$D,MATCH(D888,[1]道具配置表!$A:$A,0))</f>
        <v>60分钟通用加速</v>
      </c>
      <c r="F888" s="26">
        <v>1</v>
      </c>
      <c r="G888" s="25"/>
      <c r="H888" s="25"/>
      <c r="I888" s="25"/>
      <c r="J888" s="25"/>
      <c r="K888" s="25">
        <v>1</v>
      </c>
      <c r="L888" s="25"/>
      <c r="M888" s="25" t="b">
        <v>1</v>
      </c>
      <c r="N888" s="25"/>
      <c r="V888" s="20"/>
      <c r="W888" s="20"/>
      <c r="X888" s="20"/>
      <c r="Y888" s="20"/>
      <c r="Z888" s="20"/>
      <c r="AA888" s="20"/>
      <c r="AB888" s="20"/>
      <c r="AC888" s="20"/>
      <c r="AD888" s="20"/>
    </row>
    <row r="889" spans="1:30" ht="13.5" customHeight="1" x14ac:dyDescent="0.25">
      <c r="A889" s="25">
        <v>6605216</v>
      </c>
      <c r="B889" s="25" t="s">
        <v>313</v>
      </c>
      <c r="C889" s="26" t="s">
        <v>119</v>
      </c>
      <c r="D889" s="27">
        <v>222</v>
      </c>
      <c r="E889" s="27" t="str">
        <f>INDEX([1]道具配置表!$D:$D,MATCH(D889,[1]道具配置表!$A:$A,0))</f>
        <v>1千食物</v>
      </c>
      <c r="F889" s="27">
        <v>45</v>
      </c>
      <c r="G889" s="25"/>
      <c r="H889" s="25"/>
      <c r="I889" s="25"/>
      <c r="J889" s="25"/>
      <c r="K889" s="25">
        <v>1</v>
      </c>
      <c r="L889" s="25"/>
      <c r="M889" s="25" t="b">
        <v>1</v>
      </c>
      <c r="N889" s="25"/>
      <c r="V889" s="20"/>
      <c r="W889" s="20"/>
      <c r="X889" s="20"/>
      <c r="Y889" s="20"/>
      <c r="Z889" s="20"/>
      <c r="AA889" s="20"/>
      <c r="AB889" s="20"/>
      <c r="AC889" s="20"/>
      <c r="AD889" s="20"/>
    </row>
    <row r="890" spans="1:30" ht="13.5" customHeight="1" x14ac:dyDescent="0.25">
      <c r="A890" s="25"/>
      <c r="B890" s="25"/>
      <c r="C890" s="26" t="s">
        <v>119</v>
      </c>
      <c r="D890" s="27">
        <v>221</v>
      </c>
      <c r="E890" s="27" t="str">
        <f>INDEX([1]道具配置表!$D:$D,MATCH(D890,[1]道具配置表!$A:$A,0))</f>
        <v>1千木材</v>
      </c>
      <c r="F890" s="27">
        <v>45</v>
      </c>
      <c r="G890" s="25"/>
      <c r="H890" s="25"/>
      <c r="I890" s="25"/>
      <c r="J890" s="25"/>
      <c r="K890" s="25">
        <v>1</v>
      </c>
      <c r="L890" s="25"/>
      <c r="M890" s="25" t="b">
        <v>1</v>
      </c>
      <c r="N890" s="25"/>
      <c r="V890" s="20"/>
      <c r="W890" s="20"/>
      <c r="X890" s="20"/>
      <c r="Y890" s="20"/>
      <c r="Z890" s="20"/>
      <c r="AA890" s="20"/>
      <c r="AB890" s="20"/>
      <c r="AC890" s="20"/>
      <c r="AD890" s="20"/>
    </row>
    <row r="891" spans="1:30" ht="13.5" customHeight="1" x14ac:dyDescent="0.25">
      <c r="A891" s="25"/>
      <c r="B891" s="25"/>
      <c r="C891" s="26" t="s">
        <v>119</v>
      </c>
      <c r="D891" s="27">
        <v>223</v>
      </c>
      <c r="E891" s="27" t="str">
        <f>INDEX([1]道具配置表!$D:$D,MATCH(D891,[1]道具配置表!$A:$A,0))</f>
        <v>1千石头</v>
      </c>
      <c r="F891" s="27">
        <v>45</v>
      </c>
      <c r="G891" s="25"/>
      <c r="H891" s="25"/>
      <c r="I891" s="25"/>
      <c r="J891" s="25"/>
      <c r="K891" s="25">
        <v>1</v>
      </c>
      <c r="L891" s="25"/>
      <c r="M891" s="25" t="b">
        <v>1</v>
      </c>
      <c r="N891" s="25"/>
      <c r="V891" s="20"/>
      <c r="W891" s="20"/>
      <c r="X891" s="20"/>
      <c r="Y891" s="20"/>
      <c r="Z891" s="20"/>
      <c r="AA891" s="20"/>
      <c r="AB891" s="20"/>
      <c r="AC891" s="20"/>
      <c r="AD891" s="20"/>
    </row>
    <row r="892" spans="1:30" ht="13.5" customHeight="1" x14ac:dyDescent="0.25">
      <c r="A892" s="25"/>
      <c r="B892" s="25"/>
      <c r="C892" s="26" t="s">
        <v>119</v>
      </c>
      <c r="D892" s="27">
        <v>224</v>
      </c>
      <c r="E892" s="27" t="str">
        <f>INDEX([1]道具配置表!$D:$D,MATCH(D892,[1]道具配置表!$A:$A,0))</f>
        <v>1千黄金</v>
      </c>
      <c r="F892" s="27">
        <v>45</v>
      </c>
      <c r="G892" s="25"/>
      <c r="H892" s="25"/>
      <c r="I892" s="25"/>
      <c r="J892" s="25"/>
      <c r="K892" s="25">
        <v>1</v>
      </c>
      <c r="L892" s="25"/>
      <c r="M892" s="25" t="b">
        <v>1</v>
      </c>
      <c r="N892" s="25"/>
      <c r="V892" s="20"/>
      <c r="W892" s="20"/>
      <c r="X892" s="20"/>
      <c r="Y892" s="20"/>
      <c r="Z892" s="20"/>
      <c r="AA892" s="20"/>
      <c r="AB892" s="20"/>
      <c r="AC892" s="20"/>
      <c r="AD892" s="20"/>
    </row>
    <row r="893" spans="1:30" ht="13.5" customHeight="1" x14ac:dyDescent="0.25">
      <c r="A893" s="25"/>
      <c r="B893" s="25"/>
      <c r="C893" s="26" t="s">
        <v>119</v>
      </c>
      <c r="D893" s="26">
        <v>7003</v>
      </c>
      <c r="E893" s="27" t="str">
        <f>INDEX([1]道具配置表!$D:$D,MATCH(D893,[1]道具配置表!$A:$A,0))</f>
        <v>1银币（立即使用，不进背包）</v>
      </c>
      <c r="F893" s="26">
        <v>260</v>
      </c>
      <c r="G893" s="25"/>
      <c r="H893" s="25"/>
      <c r="I893" s="25"/>
      <c r="J893" s="25"/>
      <c r="K893" s="25">
        <v>1</v>
      </c>
      <c r="L893" s="25"/>
      <c r="M893" s="25" t="b">
        <v>1</v>
      </c>
      <c r="N893" s="25"/>
      <c r="V893" s="20"/>
      <c r="W893" s="20"/>
      <c r="X893" s="20"/>
      <c r="Y893" s="20"/>
      <c r="Z893" s="20"/>
      <c r="AA893" s="20"/>
      <c r="AB893" s="20"/>
      <c r="AC893" s="20"/>
      <c r="AD893" s="20"/>
    </row>
    <row r="894" spans="1:30" ht="13.5" customHeight="1" x14ac:dyDescent="0.25">
      <c r="A894" s="25"/>
      <c r="B894" s="25"/>
      <c r="C894" s="26" t="s">
        <v>119</v>
      </c>
      <c r="D894" s="26">
        <v>6105</v>
      </c>
      <c r="E894" s="27" t="str">
        <f>INDEX([1]道具配置表!$D:$D,MATCH(D894,[1]道具配置表!$A:$A,0))</f>
        <v>60分钟通用加速</v>
      </c>
      <c r="F894" s="26">
        <v>1</v>
      </c>
      <c r="G894" s="25"/>
      <c r="H894" s="25"/>
      <c r="I894" s="25"/>
      <c r="J894" s="25"/>
      <c r="K894" s="25">
        <v>1</v>
      </c>
      <c r="L894" s="25"/>
      <c r="M894" s="25" t="b">
        <v>1</v>
      </c>
      <c r="N894" s="25"/>
      <c r="V894" s="20"/>
      <c r="W894" s="20"/>
      <c r="X894" s="20"/>
      <c r="Y894" s="20"/>
      <c r="Z894" s="20"/>
      <c r="AA894" s="20"/>
      <c r="AB894" s="20"/>
      <c r="AC894" s="20"/>
      <c r="AD894" s="20"/>
    </row>
    <row r="895" spans="1:30" ht="13.5" customHeight="1" x14ac:dyDescent="0.25">
      <c r="A895" s="25">
        <v>6605217</v>
      </c>
      <c r="B895" s="25" t="s">
        <v>314</v>
      </c>
      <c r="C895" s="26" t="s">
        <v>119</v>
      </c>
      <c r="D895" s="27">
        <v>222</v>
      </c>
      <c r="E895" s="27" t="str">
        <f>INDEX([1]道具配置表!$D:$D,MATCH(D895,[1]道具配置表!$A:$A,0))</f>
        <v>1千食物</v>
      </c>
      <c r="F895" s="27">
        <v>50</v>
      </c>
      <c r="G895" s="25"/>
      <c r="H895" s="25"/>
      <c r="I895" s="25"/>
      <c r="J895" s="25"/>
      <c r="K895" s="25">
        <v>1</v>
      </c>
      <c r="L895" s="25"/>
      <c r="M895" s="25" t="b">
        <v>1</v>
      </c>
      <c r="N895" s="25"/>
      <c r="V895" s="20"/>
      <c r="W895" s="20"/>
      <c r="X895" s="20"/>
      <c r="Y895" s="20"/>
      <c r="Z895" s="20"/>
      <c r="AA895" s="20"/>
      <c r="AB895" s="20"/>
      <c r="AC895" s="20"/>
      <c r="AD895" s="20"/>
    </row>
    <row r="896" spans="1:30" ht="13.5" customHeight="1" x14ac:dyDescent="0.25">
      <c r="A896" s="25"/>
      <c r="B896" s="25"/>
      <c r="C896" s="26" t="s">
        <v>119</v>
      </c>
      <c r="D896" s="27">
        <v>221</v>
      </c>
      <c r="E896" s="27" t="str">
        <f>INDEX([1]道具配置表!$D:$D,MATCH(D896,[1]道具配置表!$A:$A,0))</f>
        <v>1千木材</v>
      </c>
      <c r="F896" s="27">
        <v>50</v>
      </c>
      <c r="G896" s="25"/>
      <c r="H896" s="25"/>
      <c r="I896" s="25"/>
      <c r="J896" s="25"/>
      <c r="K896" s="25">
        <v>1</v>
      </c>
      <c r="L896" s="25"/>
      <c r="M896" s="25" t="b">
        <v>1</v>
      </c>
      <c r="N896" s="25"/>
      <c r="V896" s="20"/>
      <c r="W896" s="20"/>
      <c r="X896" s="20"/>
      <c r="Y896" s="20"/>
      <c r="Z896" s="20"/>
      <c r="AA896" s="20"/>
      <c r="AB896" s="20"/>
      <c r="AC896" s="20"/>
      <c r="AD896" s="20"/>
    </row>
    <row r="897" spans="1:30" ht="13.5" customHeight="1" x14ac:dyDescent="0.25">
      <c r="A897" s="25"/>
      <c r="B897" s="25"/>
      <c r="C897" s="26" t="s">
        <v>119</v>
      </c>
      <c r="D897" s="27">
        <v>223</v>
      </c>
      <c r="E897" s="27" t="str">
        <f>INDEX([1]道具配置表!$D:$D,MATCH(D897,[1]道具配置表!$A:$A,0))</f>
        <v>1千石头</v>
      </c>
      <c r="F897" s="27">
        <v>50</v>
      </c>
      <c r="G897" s="25"/>
      <c r="H897" s="25"/>
      <c r="I897" s="25"/>
      <c r="J897" s="25"/>
      <c r="K897" s="25">
        <v>1</v>
      </c>
      <c r="L897" s="25"/>
      <c r="M897" s="25" t="b">
        <v>1</v>
      </c>
      <c r="N897" s="25"/>
      <c r="V897" s="20"/>
      <c r="W897" s="20"/>
      <c r="X897" s="20"/>
      <c r="Y897" s="20"/>
      <c r="Z897" s="20"/>
      <c r="AA897" s="20"/>
      <c r="AB897" s="20"/>
      <c r="AC897" s="20"/>
      <c r="AD897" s="20"/>
    </row>
    <row r="898" spans="1:30" ht="13.5" customHeight="1" x14ac:dyDescent="0.25">
      <c r="A898" s="25"/>
      <c r="B898" s="25"/>
      <c r="C898" s="26" t="s">
        <v>119</v>
      </c>
      <c r="D898" s="27">
        <v>224</v>
      </c>
      <c r="E898" s="27" t="str">
        <f>INDEX([1]道具配置表!$D:$D,MATCH(D898,[1]道具配置表!$A:$A,0))</f>
        <v>1千黄金</v>
      </c>
      <c r="F898" s="27">
        <v>50</v>
      </c>
      <c r="G898" s="25"/>
      <c r="H898" s="25"/>
      <c r="I898" s="25"/>
      <c r="J898" s="25"/>
      <c r="K898" s="25">
        <v>1</v>
      </c>
      <c r="L898" s="25"/>
      <c r="M898" s="25" t="b">
        <v>1</v>
      </c>
      <c r="N898" s="25"/>
      <c r="V898" s="20"/>
      <c r="W898" s="20"/>
      <c r="X898" s="20"/>
      <c r="Y898" s="20"/>
      <c r="Z898" s="20"/>
      <c r="AA898" s="20"/>
      <c r="AB898" s="20"/>
      <c r="AC898" s="20"/>
      <c r="AD898" s="20"/>
    </row>
    <row r="899" spans="1:30" ht="13.5" customHeight="1" x14ac:dyDescent="0.25">
      <c r="A899" s="25"/>
      <c r="B899" s="25"/>
      <c r="C899" s="26" t="s">
        <v>119</v>
      </c>
      <c r="D899" s="26">
        <v>7003</v>
      </c>
      <c r="E899" s="27" t="str">
        <f>INDEX([1]道具配置表!$D:$D,MATCH(D899,[1]道具配置表!$A:$A,0))</f>
        <v>1银币（立即使用，不进背包）</v>
      </c>
      <c r="F899" s="26">
        <v>270</v>
      </c>
      <c r="G899" s="25"/>
      <c r="H899" s="25"/>
      <c r="I899" s="25"/>
      <c r="J899" s="25"/>
      <c r="K899" s="25">
        <v>1</v>
      </c>
      <c r="L899" s="25"/>
      <c r="M899" s="25" t="b">
        <v>1</v>
      </c>
      <c r="N899" s="25"/>
      <c r="V899" s="20"/>
      <c r="W899" s="20"/>
      <c r="X899" s="20"/>
      <c r="Y899" s="20"/>
      <c r="Z899" s="20"/>
      <c r="AA899" s="20"/>
      <c r="AB899" s="20"/>
      <c r="AC899" s="20"/>
      <c r="AD899" s="20"/>
    </row>
    <row r="900" spans="1:30" ht="13.5" customHeight="1" x14ac:dyDescent="0.25">
      <c r="A900" s="25"/>
      <c r="B900" s="25"/>
      <c r="C900" s="26" t="s">
        <v>119</v>
      </c>
      <c r="D900" s="26">
        <v>6105</v>
      </c>
      <c r="E900" s="27" t="str">
        <f>INDEX([1]道具配置表!$D:$D,MATCH(D900,[1]道具配置表!$A:$A,0))</f>
        <v>60分钟通用加速</v>
      </c>
      <c r="F900" s="26">
        <v>1</v>
      </c>
      <c r="G900" s="25"/>
      <c r="H900" s="25"/>
      <c r="I900" s="25"/>
      <c r="J900" s="25"/>
      <c r="K900" s="25">
        <v>1</v>
      </c>
      <c r="L900" s="25"/>
      <c r="M900" s="25" t="b">
        <v>1</v>
      </c>
      <c r="N900" s="25"/>
      <c r="V900" s="20"/>
      <c r="W900" s="20"/>
      <c r="X900" s="20"/>
      <c r="Y900" s="20"/>
      <c r="Z900" s="20"/>
      <c r="AA900" s="20"/>
      <c r="AB900" s="20"/>
      <c r="AC900" s="20"/>
      <c r="AD900" s="20"/>
    </row>
    <row r="901" spans="1:30" ht="13.5" customHeight="1" x14ac:dyDescent="0.25">
      <c r="A901" s="25">
        <v>6605218</v>
      </c>
      <c r="B901" s="25" t="s">
        <v>315</v>
      </c>
      <c r="C901" s="26" t="s">
        <v>119</v>
      </c>
      <c r="D901" s="27">
        <v>222</v>
      </c>
      <c r="E901" s="27" t="str">
        <f>INDEX([1]道具配置表!$D:$D,MATCH(D901,[1]道具配置表!$A:$A,0))</f>
        <v>1千食物</v>
      </c>
      <c r="F901" s="27">
        <v>50</v>
      </c>
      <c r="G901" s="25"/>
      <c r="H901" s="25"/>
      <c r="I901" s="25"/>
      <c r="J901" s="25"/>
      <c r="K901" s="25">
        <v>1</v>
      </c>
      <c r="L901" s="25"/>
      <c r="M901" s="25" t="b">
        <v>1</v>
      </c>
      <c r="N901" s="25"/>
      <c r="V901" s="20"/>
      <c r="W901" s="20"/>
      <c r="X901" s="20"/>
      <c r="Y901" s="20"/>
      <c r="Z901" s="20"/>
      <c r="AA901" s="20"/>
      <c r="AB901" s="20"/>
      <c r="AC901" s="20"/>
      <c r="AD901" s="20"/>
    </row>
    <row r="902" spans="1:30" ht="13.5" customHeight="1" x14ac:dyDescent="0.25">
      <c r="A902" s="25"/>
      <c r="B902" s="25"/>
      <c r="C902" s="26" t="s">
        <v>119</v>
      </c>
      <c r="D902" s="27">
        <v>221</v>
      </c>
      <c r="E902" s="27" t="str">
        <f>INDEX([1]道具配置表!$D:$D,MATCH(D902,[1]道具配置表!$A:$A,0))</f>
        <v>1千木材</v>
      </c>
      <c r="F902" s="27">
        <v>50</v>
      </c>
      <c r="G902" s="25"/>
      <c r="H902" s="25"/>
      <c r="I902" s="25"/>
      <c r="J902" s="25"/>
      <c r="K902" s="25">
        <v>1</v>
      </c>
      <c r="L902" s="25"/>
      <c r="M902" s="25" t="b">
        <v>1</v>
      </c>
      <c r="N902" s="25"/>
      <c r="V902" s="20"/>
      <c r="W902" s="20"/>
      <c r="X902" s="20"/>
      <c r="Y902" s="20"/>
      <c r="Z902" s="20"/>
      <c r="AA902" s="20"/>
      <c r="AB902" s="20"/>
      <c r="AC902" s="20"/>
      <c r="AD902" s="20"/>
    </row>
    <row r="903" spans="1:30" ht="13.5" customHeight="1" x14ac:dyDescent="0.25">
      <c r="A903" s="25"/>
      <c r="B903" s="25"/>
      <c r="C903" s="26" t="s">
        <v>119</v>
      </c>
      <c r="D903" s="27">
        <v>223</v>
      </c>
      <c r="E903" s="27" t="str">
        <f>INDEX([1]道具配置表!$D:$D,MATCH(D903,[1]道具配置表!$A:$A,0))</f>
        <v>1千石头</v>
      </c>
      <c r="F903" s="27">
        <v>50</v>
      </c>
      <c r="G903" s="25"/>
      <c r="H903" s="25"/>
      <c r="I903" s="25"/>
      <c r="J903" s="25"/>
      <c r="K903" s="25">
        <v>1</v>
      </c>
      <c r="L903" s="25"/>
      <c r="M903" s="25" t="b">
        <v>1</v>
      </c>
      <c r="N903" s="25"/>
      <c r="V903" s="20"/>
      <c r="W903" s="20"/>
      <c r="X903" s="20"/>
      <c r="Y903" s="20"/>
      <c r="Z903" s="20"/>
      <c r="AA903" s="20"/>
      <c r="AB903" s="20"/>
      <c r="AC903" s="20"/>
      <c r="AD903" s="20"/>
    </row>
    <row r="904" spans="1:30" ht="13.5" customHeight="1" x14ac:dyDescent="0.25">
      <c r="A904" s="25"/>
      <c r="B904" s="25"/>
      <c r="C904" s="26" t="s">
        <v>119</v>
      </c>
      <c r="D904" s="27">
        <v>224</v>
      </c>
      <c r="E904" s="27" t="str">
        <f>INDEX([1]道具配置表!$D:$D,MATCH(D904,[1]道具配置表!$A:$A,0))</f>
        <v>1千黄金</v>
      </c>
      <c r="F904" s="27">
        <v>50</v>
      </c>
      <c r="G904" s="25"/>
      <c r="H904" s="25"/>
      <c r="I904" s="25"/>
      <c r="J904" s="25"/>
      <c r="K904" s="25">
        <v>1</v>
      </c>
      <c r="L904" s="25"/>
      <c r="M904" s="25" t="b">
        <v>1</v>
      </c>
      <c r="N904" s="25"/>
      <c r="V904" s="20"/>
      <c r="W904" s="20"/>
      <c r="X904" s="20"/>
      <c r="Y904" s="20"/>
      <c r="Z904" s="20"/>
      <c r="AA904" s="20"/>
      <c r="AB904" s="20"/>
      <c r="AC904" s="20"/>
      <c r="AD904" s="20"/>
    </row>
    <row r="905" spans="1:30" ht="13.5" customHeight="1" x14ac:dyDescent="0.25">
      <c r="A905" s="25"/>
      <c r="B905" s="25"/>
      <c r="C905" s="26" t="s">
        <v>119</v>
      </c>
      <c r="D905" s="26">
        <v>7003</v>
      </c>
      <c r="E905" s="27" t="str">
        <f>INDEX([1]道具配置表!$D:$D,MATCH(D905,[1]道具配置表!$A:$A,0))</f>
        <v>1银币（立即使用，不进背包）</v>
      </c>
      <c r="F905" s="26">
        <v>280</v>
      </c>
      <c r="G905" s="25"/>
      <c r="H905" s="25"/>
      <c r="I905" s="25"/>
      <c r="J905" s="25"/>
      <c r="K905" s="25">
        <v>1</v>
      </c>
      <c r="L905" s="25"/>
      <c r="M905" s="25" t="b">
        <v>1</v>
      </c>
      <c r="N905" s="25"/>
      <c r="V905" s="20"/>
      <c r="W905" s="20"/>
      <c r="X905" s="20"/>
      <c r="Y905" s="20"/>
      <c r="Z905" s="20"/>
      <c r="AA905" s="20"/>
      <c r="AB905" s="20"/>
      <c r="AC905" s="20"/>
      <c r="AD905" s="20"/>
    </row>
    <row r="906" spans="1:30" ht="13.5" customHeight="1" x14ac:dyDescent="0.25">
      <c r="A906" s="25"/>
      <c r="B906" s="25"/>
      <c r="C906" s="26" t="s">
        <v>119</v>
      </c>
      <c r="D906" s="26">
        <v>6105</v>
      </c>
      <c r="E906" s="27" t="str">
        <f>INDEX([1]道具配置表!$D:$D,MATCH(D906,[1]道具配置表!$A:$A,0))</f>
        <v>60分钟通用加速</v>
      </c>
      <c r="F906" s="26">
        <v>1</v>
      </c>
      <c r="G906" s="25"/>
      <c r="H906" s="25"/>
      <c r="I906" s="25"/>
      <c r="J906" s="25"/>
      <c r="K906" s="25">
        <v>1</v>
      </c>
      <c r="L906" s="25"/>
      <c r="M906" s="25" t="b">
        <v>1</v>
      </c>
      <c r="N906" s="25"/>
      <c r="V906" s="20"/>
      <c r="W906" s="20"/>
      <c r="X906" s="20"/>
      <c r="Y906" s="20"/>
      <c r="Z906" s="20"/>
      <c r="AA906" s="20"/>
      <c r="AB906" s="20"/>
      <c r="AC906" s="20"/>
      <c r="AD906" s="20"/>
    </row>
    <row r="907" spans="1:30" ht="13.5" customHeight="1" x14ac:dyDescent="0.25">
      <c r="A907" s="25">
        <v>6605219</v>
      </c>
      <c r="B907" s="25" t="s">
        <v>316</v>
      </c>
      <c r="C907" s="26" t="s">
        <v>119</v>
      </c>
      <c r="D907" s="27">
        <v>222</v>
      </c>
      <c r="E907" s="27" t="str">
        <f>INDEX([1]道具配置表!$D:$D,MATCH(D907,[1]道具配置表!$A:$A,0))</f>
        <v>1千食物</v>
      </c>
      <c r="F907" s="27">
        <v>55</v>
      </c>
      <c r="G907" s="25"/>
      <c r="H907" s="25"/>
      <c r="I907" s="25"/>
      <c r="J907" s="25"/>
      <c r="K907" s="25">
        <v>1</v>
      </c>
      <c r="L907" s="25"/>
      <c r="M907" s="25" t="b">
        <v>1</v>
      </c>
      <c r="N907" s="25"/>
      <c r="V907" s="20"/>
      <c r="W907" s="20"/>
      <c r="X907" s="20"/>
      <c r="Y907" s="20"/>
      <c r="Z907" s="20"/>
      <c r="AA907" s="20"/>
      <c r="AB907" s="20"/>
      <c r="AC907" s="20"/>
      <c r="AD907" s="20"/>
    </row>
    <row r="908" spans="1:30" ht="13.5" customHeight="1" x14ac:dyDescent="0.25">
      <c r="A908" s="25"/>
      <c r="B908" s="25"/>
      <c r="C908" s="26" t="s">
        <v>119</v>
      </c>
      <c r="D908" s="27">
        <v>221</v>
      </c>
      <c r="E908" s="27" t="str">
        <f>INDEX([1]道具配置表!$D:$D,MATCH(D908,[1]道具配置表!$A:$A,0))</f>
        <v>1千木材</v>
      </c>
      <c r="F908" s="27">
        <v>55</v>
      </c>
      <c r="G908" s="25"/>
      <c r="H908" s="25"/>
      <c r="I908" s="25"/>
      <c r="J908" s="25"/>
      <c r="K908" s="25">
        <v>1</v>
      </c>
      <c r="L908" s="25"/>
      <c r="M908" s="25" t="b">
        <v>1</v>
      </c>
      <c r="N908" s="25"/>
      <c r="V908" s="20"/>
      <c r="W908" s="20"/>
      <c r="X908" s="20"/>
      <c r="Y908" s="20"/>
      <c r="Z908" s="20"/>
      <c r="AA908" s="20"/>
      <c r="AB908" s="20"/>
      <c r="AC908" s="20"/>
      <c r="AD908" s="20"/>
    </row>
    <row r="909" spans="1:30" ht="13.5" customHeight="1" x14ac:dyDescent="0.25">
      <c r="A909" s="25"/>
      <c r="B909" s="25"/>
      <c r="C909" s="26" t="s">
        <v>119</v>
      </c>
      <c r="D909" s="27">
        <v>223</v>
      </c>
      <c r="E909" s="27" t="str">
        <f>INDEX([1]道具配置表!$D:$D,MATCH(D909,[1]道具配置表!$A:$A,0))</f>
        <v>1千石头</v>
      </c>
      <c r="F909" s="27">
        <v>55</v>
      </c>
      <c r="G909" s="25"/>
      <c r="H909" s="25"/>
      <c r="I909" s="25"/>
      <c r="J909" s="25"/>
      <c r="K909" s="25">
        <v>1</v>
      </c>
      <c r="L909" s="25"/>
      <c r="M909" s="25" t="b">
        <v>1</v>
      </c>
      <c r="N909" s="25"/>
      <c r="V909" s="20"/>
      <c r="W909" s="20"/>
      <c r="X909" s="20"/>
      <c r="Y909" s="20"/>
      <c r="Z909" s="20"/>
      <c r="AA909" s="20"/>
      <c r="AB909" s="20"/>
      <c r="AC909" s="20"/>
      <c r="AD909" s="20"/>
    </row>
    <row r="910" spans="1:30" ht="13.5" customHeight="1" x14ac:dyDescent="0.25">
      <c r="A910" s="25"/>
      <c r="B910" s="25"/>
      <c r="C910" s="26" t="s">
        <v>119</v>
      </c>
      <c r="D910" s="27">
        <v>224</v>
      </c>
      <c r="E910" s="27" t="str">
        <f>INDEX([1]道具配置表!$D:$D,MATCH(D910,[1]道具配置表!$A:$A,0))</f>
        <v>1千黄金</v>
      </c>
      <c r="F910" s="27">
        <v>55</v>
      </c>
      <c r="G910" s="25"/>
      <c r="H910" s="25"/>
      <c r="I910" s="25"/>
      <c r="J910" s="25"/>
      <c r="K910" s="25">
        <v>1</v>
      </c>
      <c r="L910" s="25"/>
      <c r="M910" s="25" t="b">
        <v>1</v>
      </c>
      <c r="N910" s="25"/>
      <c r="V910" s="20"/>
      <c r="W910" s="20"/>
      <c r="X910" s="20"/>
      <c r="Y910" s="20"/>
      <c r="Z910" s="20"/>
      <c r="AA910" s="20"/>
      <c r="AB910" s="20"/>
      <c r="AC910" s="20"/>
      <c r="AD910" s="20"/>
    </row>
    <row r="911" spans="1:30" ht="13.5" customHeight="1" x14ac:dyDescent="0.25">
      <c r="A911" s="25"/>
      <c r="B911" s="25"/>
      <c r="C911" s="26" t="s">
        <v>119</v>
      </c>
      <c r="D911" s="26">
        <v>7003</v>
      </c>
      <c r="E911" s="27" t="str">
        <f>INDEX([1]道具配置表!$D:$D,MATCH(D911,[1]道具配置表!$A:$A,0))</f>
        <v>1银币（立即使用，不进背包）</v>
      </c>
      <c r="F911" s="26">
        <v>290</v>
      </c>
      <c r="G911" s="25"/>
      <c r="H911" s="25"/>
      <c r="I911" s="25"/>
      <c r="J911" s="25"/>
      <c r="K911" s="25">
        <v>1</v>
      </c>
      <c r="L911" s="25"/>
      <c r="M911" s="25" t="b">
        <v>1</v>
      </c>
      <c r="N911" s="25"/>
      <c r="V911" s="20"/>
      <c r="W911" s="20"/>
      <c r="X911" s="20"/>
      <c r="Y911" s="20"/>
      <c r="Z911" s="20"/>
      <c r="AA911" s="20"/>
      <c r="AB911" s="20"/>
      <c r="AC911" s="20"/>
      <c r="AD911" s="20"/>
    </row>
    <row r="912" spans="1:30" ht="13.5" customHeight="1" x14ac:dyDescent="0.25">
      <c r="A912" s="25"/>
      <c r="B912" s="25"/>
      <c r="C912" s="26" t="s">
        <v>119</v>
      </c>
      <c r="D912" s="26">
        <v>6105</v>
      </c>
      <c r="E912" s="27" t="str">
        <f>INDEX([1]道具配置表!$D:$D,MATCH(D912,[1]道具配置表!$A:$A,0))</f>
        <v>60分钟通用加速</v>
      </c>
      <c r="F912" s="26">
        <v>1</v>
      </c>
      <c r="G912" s="25"/>
      <c r="H912" s="25"/>
      <c r="I912" s="25"/>
      <c r="J912" s="25"/>
      <c r="K912" s="25">
        <v>1</v>
      </c>
      <c r="L912" s="25"/>
      <c r="M912" s="25" t="b">
        <v>1</v>
      </c>
      <c r="N912" s="25"/>
      <c r="V912" s="20"/>
      <c r="W912" s="20"/>
      <c r="X912" s="20"/>
      <c r="Y912" s="20"/>
      <c r="Z912" s="20"/>
      <c r="AA912" s="20"/>
      <c r="AB912" s="20"/>
      <c r="AC912" s="20"/>
      <c r="AD912" s="20"/>
    </row>
    <row r="913" spans="1:30" ht="13.5" customHeight="1" x14ac:dyDescent="0.25">
      <c r="A913" s="25">
        <v>6605220</v>
      </c>
      <c r="B913" s="25" t="s">
        <v>317</v>
      </c>
      <c r="C913" s="26" t="s">
        <v>119</v>
      </c>
      <c r="D913" s="27">
        <v>222</v>
      </c>
      <c r="E913" s="27" t="str">
        <f>INDEX([1]道具配置表!$D:$D,MATCH(D913,[1]道具配置表!$A:$A,0))</f>
        <v>1千食物</v>
      </c>
      <c r="F913" s="27">
        <v>55</v>
      </c>
      <c r="G913" s="25"/>
      <c r="H913" s="25"/>
      <c r="I913" s="25"/>
      <c r="J913" s="25"/>
      <c r="K913" s="25">
        <v>1</v>
      </c>
      <c r="L913" s="25"/>
      <c r="M913" s="25" t="b">
        <v>1</v>
      </c>
      <c r="N913" s="25"/>
      <c r="V913" s="20"/>
      <c r="W913" s="20"/>
      <c r="X913" s="20"/>
      <c r="Y913" s="20"/>
      <c r="Z913" s="20"/>
      <c r="AA913" s="20"/>
      <c r="AB913" s="20"/>
      <c r="AC913" s="20"/>
      <c r="AD913" s="20"/>
    </row>
    <row r="914" spans="1:30" ht="13.5" customHeight="1" x14ac:dyDescent="0.25">
      <c r="A914" s="25"/>
      <c r="B914" s="25"/>
      <c r="C914" s="26" t="s">
        <v>119</v>
      </c>
      <c r="D914" s="27">
        <v>221</v>
      </c>
      <c r="E914" s="27" t="str">
        <f>INDEX([1]道具配置表!$D:$D,MATCH(D914,[1]道具配置表!$A:$A,0))</f>
        <v>1千木材</v>
      </c>
      <c r="F914" s="27">
        <v>55</v>
      </c>
      <c r="G914" s="25"/>
      <c r="H914" s="25"/>
      <c r="I914" s="25"/>
      <c r="J914" s="25"/>
      <c r="K914" s="25">
        <v>1</v>
      </c>
      <c r="L914" s="25"/>
      <c r="M914" s="25" t="b">
        <v>1</v>
      </c>
      <c r="N914" s="25"/>
      <c r="V914" s="20"/>
      <c r="W914" s="20"/>
      <c r="X914" s="20"/>
      <c r="Y914" s="20"/>
      <c r="Z914" s="20"/>
      <c r="AA914" s="20"/>
      <c r="AB914" s="20"/>
      <c r="AC914" s="20"/>
      <c r="AD914" s="20"/>
    </row>
    <row r="915" spans="1:30" ht="13.5" customHeight="1" x14ac:dyDescent="0.25">
      <c r="A915" s="25"/>
      <c r="B915" s="25"/>
      <c r="C915" s="26" t="s">
        <v>119</v>
      </c>
      <c r="D915" s="27">
        <v>223</v>
      </c>
      <c r="E915" s="27" t="str">
        <f>INDEX([1]道具配置表!$D:$D,MATCH(D915,[1]道具配置表!$A:$A,0))</f>
        <v>1千石头</v>
      </c>
      <c r="F915" s="27">
        <v>55</v>
      </c>
      <c r="G915" s="25"/>
      <c r="H915" s="25"/>
      <c r="I915" s="25"/>
      <c r="J915" s="25"/>
      <c r="K915" s="25">
        <v>1</v>
      </c>
      <c r="L915" s="25"/>
      <c r="M915" s="25" t="b">
        <v>1</v>
      </c>
      <c r="N915" s="25"/>
      <c r="V915" s="20"/>
      <c r="W915" s="20"/>
      <c r="X915" s="20"/>
      <c r="Y915" s="20"/>
      <c r="Z915" s="20"/>
      <c r="AA915" s="20"/>
      <c r="AB915" s="20"/>
      <c r="AC915" s="20"/>
      <c r="AD915" s="20"/>
    </row>
    <row r="916" spans="1:30" ht="13.5" customHeight="1" x14ac:dyDescent="0.25">
      <c r="A916" s="25"/>
      <c r="B916" s="25"/>
      <c r="C916" s="26" t="s">
        <v>119</v>
      </c>
      <c r="D916" s="27">
        <v>224</v>
      </c>
      <c r="E916" s="27" t="str">
        <f>INDEX([1]道具配置表!$D:$D,MATCH(D916,[1]道具配置表!$A:$A,0))</f>
        <v>1千黄金</v>
      </c>
      <c r="F916" s="27">
        <v>55</v>
      </c>
      <c r="G916" s="25"/>
      <c r="H916" s="25"/>
      <c r="I916" s="25"/>
      <c r="J916" s="25"/>
      <c r="K916" s="25">
        <v>1</v>
      </c>
      <c r="L916" s="25"/>
      <c r="M916" s="25" t="b">
        <v>1</v>
      </c>
      <c r="N916" s="25"/>
      <c r="V916" s="20"/>
      <c r="W916" s="20"/>
      <c r="X916" s="20"/>
      <c r="Y916" s="20"/>
      <c r="Z916" s="20"/>
      <c r="AA916" s="20"/>
      <c r="AB916" s="20"/>
      <c r="AC916" s="20"/>
      <c r="AD916" s="20"/>
    </row>
    <row r="917" spans="1:30" ht="13.5" customHeight="1" x14ac:dyDescent="0.25">
      <c r="A917" s="25"/>
      <c r="B917" s="25"/>
      <c r="C917" s="26" t="s">
        <v>119</v>
      </c>
      <c r="D917" s="26">
        <v>7003</v>
      </c>
      <c r="E917" s="27" t="str">
        <f>INDEX([1]道具配置表!$D:$D,MATCH(D917,[1]道具配置表!$A:$A,0))</f>
        <v>1银币（立即使用，不进背包）</v>
      </c>
      <c r="F917" s="26">
        <v>300</v>
      </c>
      <c r="G917" s="25"/>
      <c r="H917" s="25"/>
      <c r="I917" s="25"/>
      <c r="J917" s="25"/>
      <c r="K917" s="25">
        <v>1</v>
      </c>
      <c r="L917" s="25"/>
      <c r="M917" s="25" t="b">
        <v>1</v>
      </c>
      <c r="N917" s="25"/>
      <c r="V917" s="20"/>
      <c r="W917" s="20"/>
      <c r="X917" s="20"/>
      <c r="Y917" s="20"/>
      <c r="Z917" s="20"/>
      <c r="AA917" s="20"/>
      <c r="AB917" s="20"/>
      <c r="AC917" s="20"/>
      <c r="AD917" s="20"/>
    </row>
    <row r="918" spans="1:30" ht="13.5" customHeight="1" x14ac:dyDescent="0.25">
      <c r="A918" s="25"/>
      <c r="B918" s="25"/>
      <c r="C918" s="26" t="s">
        <v>119</v>
      </c>
      <c r="D918" s="26">
        <v>6105</v>
      </c>
      <c r="E918" s="27" t="str">
        <f>INDEX([1]道具配置表!$D:$D,MATCH(D918,[1]道具配置表!$A:$A,0))</f>
        <v>60分钟通用加速</v>
      </c>
      <c r="F918" s="26">
        <v>1</v>
      </c>
      <c r="G918" s="25"/>
      <c r="H918" s="25"/>
      <c r="I918" s="25"/>
      <c r="J918" s="25"/>
      <c r="K918" s="25">
        <v>1</v>
      </c>
      <c r="L918" s="25"/>
      <c r="M918" s="25" t="b">
        <v>1</v>
      </c>
      <c r="N918" s="25"/>
      <c r="V918" s="20"/>
      <c r="W918" s="20"/>
      <c r="X918" s="20"/>
      <c r="Y918" s="20"/>
      <c r="Z918" s="20"/>
      <c r="AA918" s="20"/>
      <c r="AB918" s="20"/>
      <c r="AC918" s="20"/>
      <c r="AD918" s="20"/>
    </row>
    <row r="919" spans="1:30" ht="13.5" customHeight="1" x14ac:dyDescent="0.25">
      <c r="A919" s="25">
        <v>6605221</v>
      </c>
      <c r="B919" s="25" t="s">
        <v>318</v>
      </c>
      <c r="C919" s="26" t="s">
        <v>119</v>
      </c>
      <c r="D919" s="27">
        <v>222</v>
      </c>
      <c r="E919" s="27" t="str">
        <f>INDEX([1]道具配置表!$D:$D,MATCH(D919,[1]道具配置表!$A:$A,0))</f>
        <v>1千食物</v>
      </c>
      <c r="F919" s="27">
        <v>60</v>
      </c>
      <c r="G919" s="25"/>
      <c r="H919" s="25"/>
      <c r="I919" s="25"/>
      <c r="J919" s="25"/>
      <c r="K919" s="25">
        <v>1</v>
      </c>
      <c r="L919" s="25"/>
      <c r="M919" s="25" t="b">
        <v>1</v>
      </c>
      <c r="N919" s="25"/>
      <c r="V919" s="20"/>
      <c r="W919" s="20"/>
      <c r="X919" s="20"/>
      <c r="Y919" s="20"/>
      <c r="Z919" s="20"/>
      <c r="AA919" s="20"/>
      <c r="AB919" s="20"/>
      <c r="AC919" s="20"/>
      <c r="AD919" s="20"/>
    </row>
    <row r="920" spans="1:30" ht="13.5" customHeight="1" x14ac:dyDescent="0.25">
      <c r="A920" s="25"/>
      <c r="B920" s="25"/>
      <c r="C920" s="26" t="s">
        <v>119</v>
      </c>
      <c r="D920" s="27">
        <v>221</v>
      </c>
      <c r="E920" s="27" t="str">
        <f>INDEX([1]道具配置表!$D:$D,MATCH(D920,[1]道具配置表!$A:$A,0))</f>
        <v>1千木材</v>
      </c>
      <c r="F920" s="27">
        <v>60</v>
      </c>
      <c r="G920" s="25"/>
      <c r="H920" s="25"/>
      <c r="I920" s="25"/>
      <c r="J920" s="25"/>
      <c r="K920" s="25">
        <v>1</v>
      </c>
      <c r="L920" s="25"/>
      <c r="M920" s="25" t="b">
        <v>1</v>
      </c>
      <c r="N920" s="25"/>
      <c r="V920" s="20"/>
      <c r="W920" s="20"/>
      <c r="X920" s="20"/>
      <c r="Y920" s="20"/>
      <c r="Z920" s="20"/>
      <c r="AA920" s="20"/>
      <c r="AB920" s="20"/>
      <c r="AC920" s="20"/>
      <c r="AD920" s="20"/>
    </row>
    <row r="921" spans="1:30" ht="13.5" customHeight="1" x14ac:dyDescent="0.25">
      <c r="A921" s="25"/>
      <c r="B921" s="25"/>
      <c r="C921" s="26" t="s">
        <v>119</v>
      </c>
      <c r="D921" s="27">
        <v>223</v>
      </c>
      <c r="E921" s="27" t="str">
        <f>INDEX([1]道具配置表!$D:$D,MATCH(D921,[1]道具配置表!$A:$A,0))</f>
        <v>1千石头</v>
      </c>
      <c r="F921" s="27">
        <v>60</v>
      </c>
      <c r="G921" s="25"/>
      <c r="H921" s="25"/>
      <c r="I921" s="25"/>
      <c r="J921" s="25"/>
      <c r="K921" s="25">
        <v>1</v>
      </c>
      <c r="L921" s="25"/>
      <c r="M921" s="25" t="b">
        <v>1</v>
      </c>
      <c r="N921" s="25"/>
      <c r="V921" s="20"/>
      <c r="W921" s="20"/>
      <c r="X921" s="20"/>
      <c r="Y921" s="20"/>
      <c r="Z921" s="20"/>
      <c r="AA921" s="20"/>
      <c r="AB921" s="20"/>
      <c r="AC921" s="20"/>
      <c r="AD921" s="20"/>
    </row>
    <row r="922" spans="1:30" ht="13.5" customHeight="1" x14ac:dyDescent="0.25">
      <c r="A922" s="25"/>
      <c r="B922" s="25"/>
      <c r="C922" s="26" t="s">
        <v>119</v>
      </c>
      <c r="D922" s="27">
        <v>224</v>
      </c>
      <c r="E922" s="27" t="str">
        <f>INDEX([1]道具配置表!$D:$D,MATCH(D922,[1]道具配置表!$A:$A,0))</f>
        <v>1千黄金</v>
      </c>
      <c r="F922" s="27">
        <v>60</v>
      </c>
      <c r="G922" s="25"/>
      <c r="H922" s="25"/>
      <c r="I922" s="25"/>
      <c r="J922" s="25"/>
      <c r="K922" s="25">
        <v>1</v>
      </c>
      <c r="L922" s="25"/>
      <c r="M922" s="25" t="b">
        <v>1</v>
      </c>
      <c r="N922" s="25"/>
      <c r="V922" s="20"/>
      <c r="W922" s="20"/>
      <c r="X922" s="20"/>
      <c r="Y922" s="20"/>
      <c r="Z922" s="20"/>
      <c r="AA922" s="20"/>
      <c r="AB922" s="20"/>
      <c r="AC922" s="20"/>
      <c r="AD922" s="20"/>
    </row>
    <row r="923" spans="1:30" ht="13.5" customHeight="1" x14ac:dyDescent="0.25">
      <c r="A923" s="25"/>
      <c r="B923" s="25"/>
      <c r="C923" s="26" t="s">
        <v>119</v>
      </c>
      <c r="D923" s="26">
        <v>7003</v>
      </c>
      <c r="E923" s="27" t="str">
        <f>INDEX([1]道具配置表!$D:$D,MATCH(D923,[1]道具配置表!$A:$A,0))</f>
        <v>1银币（立即使用，不进背包）</v>
      </c>
      <c r="F923" s="26">
        <v>310</v>
      </c>
      <c r="G923" s="25"/>
      <c r="H923" s="25"/>
      <c r="I923" s="25"/>
      <c r="J923" s="25"/>
      <c r="K923" s="25">
        <v>1</v>
      </c>
      <c r="L923" s="25"/>
      <c r="M923" s="25" t="b">
        <v>1</v>
      </c>
      <c r="N923" s="25"/>
      <c r="V923" s="20"/>
      <c r="W923" s="20"/>
      <c r="X923" s="20"/>
      <c r="Y923" s="20"/>
      <c r="Z923" s="20"/>
      <c r="AA923" s="20"/>
      <c r="AB923" s="20"/>
      <c r="AC923" s="20"/>
      <c r="AD923" s="20"/>
    </row>
    <row r="924" spans="1:30" ht="13.5" customHeight="1" x14ac:dyDescent="0.25">
      <c r="A924" s="25"/>
      <c r="B924" s="25"/>
      <c r="C924" s="26" t="s">
        <v>119</v>
      </c>
      <c r="D924" s="26">
        <v>6105</v>
      </c>
      <c r="E924" s="27" t="str">
        <f>INDEX([1]道具配置表!$D:$D,MATCH(D924,[1]道具配置表!$A:$A,0))</f>
        <v>60分钟通用加速</v>
      </c>
      <c r="F924" s="26">
        <v>1</v>
      </c>
      <c r="G924" s="25"/>
      <c r="H924" s="25"/>
      <c r="I924" s="25"/>
      <c r="J924" s="25"/>
      <c r="K924" s="25">
        <v>1</v>
      </c>
      <c r="L924" s="25"/>
      <c r="M924" s="25" t="b">
        <v>1</v>
      </c>
      <c r="N924" s="25"/>
      <c r="V924" s="20"/>
      <c r="W924" s="20"/>
      <c r="X924" s="20"/>
      <c r="Y924" s="20"/>
      <c r="Z924" s="20"/>
      <c r="AA924" s="20"/>
      <c r="AB924" s="20"/>
      <c r="AC924" s="20"/>
      <c r="AD924" s="20"/>
    </row>
    <row r="925" spans="1:30" ht="13.5" customHeight="1" x14ac:dyDescent="0.25">
      <c r="A925" s="25">
        <v>6605222</v>
      </c>
      <c r="B925" s="25" t="s">
        <v>319</v>
      </c>
      <c r="C925" s="26" t="s">
        <v>119</v>
      </c>
      <c r="D925" s="27">
        <v>222</v>
      </c>
      <c r="E925" s="27" t="str">
        <f>INDEX([1]道具配置表!$D:$D,MATCH(D925,[1]道具配置表!$A:$A,0))</f>
        <v>1千食物</v>
      </c>
      <c r="F925" s="27">
        <v>60</v>
      </c>
      <c r="G925" s="25"/>
      <c r="H925" s="25"/>
      <c r="I925" s="25"/>
      <c r="J925" s="25"/>
      <c r="K925" s="25">
        <v>1</v>
      </c>
      <c r="L925" s="25"/>
      <c r="M925" s="25" t="b">
        <v>1</v>
      </c>
      <c r="N925" s="25"/>
      <c r="V925" s="20"/>
      <c r="W925" s="20"/>
      <c r="X925" s="20"/>
      <c r="Y925" s="20"/>
      <c r="Z925" s="20"/>
      <c r="AA925" s="20"/>
      <c r="AB925" s="20"/>
      <c r="AC925" s="20"/>
      <c r="AD925" s="20"/>
    </row>
    <row r="926" spans="1:30" ht="13.5" customHeight="1" x14ac:dyDescent="0.25">
      <c r="A926" s="25"/>
      <c r="B926" s="25"/>
      <c r="C926" s="26" t="s">
        <v>119</v>
      </c>
      <c r="D926" s="27">
        <v>221</v>
      </c>
      <c r="E926" s="27" t="str">
        <f>INDEX([1]道具配置表!$D:$D,MATCH(D926,[1]道具配置表!$A:$A,0))</f>
        <v>1千木材</v>
      </c>
      <c r="F926" s="27">
        <v>60</v>
      </c>
      <c r="G926" s="25"/>
      <c r="H926" s="25"/>
      <c r="I926" s="25"/>
      <c r="J926" s="25"/>
      <c r="K926" s="25">
        <v>1</v>
      </c>
      <c r="L926" s="25"/>
      <c r="M926" s="25" t="b">
        <v>1</v>
      </c>
      <c r="N926" s="25"/>
      <c r="V926" s="20"/>
      <c r="W926" s="20"/>
      <c r="X926" s="20"/>
      <c r="Y926" s="20"/>
      <c r="Z926" s="20"/>
      <c r="AA926" s="20"/>
      <c r="AB926" s="20"/>
      <c r="AC926" s="20"/>
      <c r="AD926" s="20"/>
    </row>
    <row r="927" spans="1:30" ht="13.5" customHeight="1" x14ac:dyDescent="0.25">
      <c r="A927" s="25"/>
      <c r="B927" s="25"/>
      <c r="C927" s="26" t="s">
        <v>119</v>
      </c>
      <c r="D927" s="27">
        <v>223</v>
      </c>
      <c r="E927" s="27" t="str">
        <f>INDEX([1]道具配置表!$D:$D,MATCH(D927,[1]道具配置表!$A:$A,0))</f>
        <v>1千石头</v>
      </c>
      <c r="F927" s="27">
        <v>60</v>
      </c>
      <c r="G927" s="25"/>
      <c r="H927" s="25"/>
      <c r="I927" s="25"/>
      <c r="J927" s="25"/>
      <c r="K927" s="25">
        <v>1</v>
      </c>
      <c r="L927" s="25"/>
      <c r="M927" s="25" t="b">
        <v>1</v>
      </c>
      <c r="N927" s="25"/>
      <c r="V927" s="20"/>
      <c r="W927" s="20"/>
      <c r="X927" s="20"/>
      <c r="Y927" s="20"/>
      <c r="Z927" s="20"/>
      <c r="AA927" s="20"/>
      <c r="AB927" s="20"/>
      <c r="AC927" s="20"/>
      <c r="AD927" s="20"/>
    </row>
    <row r="928" spans="1:30" ht="13.5" customHeight="1" x14ac:dyDescent="0.25">
      <c r="A928" s="25"/>
      <c r="B928" s="25"/>
      <c r="C928" s="26" t="s">
        <v>119</v>
      </c>
      <c r="D928" s="27">
        <v>224</v>
      </c>
      <c r="E928" s="27" t="str">
        <f>INDEX([1]道具配置表!$D:$D,MATCH(D928,[1]道具配置表!$A:$A,0))</f>
        <v>1千黄金</v>
      </c>
      <c r="F928" s="27">
        <v>60</v>
      </c>
      <c r="G928" s="25"/>
      <c r="H928" s="25"/>
      <c r="I928" s="25"/>
      <c r="J928" s="25"/>
      <c r="K928" s="25">
        <v>1</v>
      </c>
      <c r="L928" s="25"/>
      <c r="M928" s="25" t="b">
        <v>1</v>
      </c>
      <c r="N928" s="25"/>
      <c r="V928" s="20"/>
      <c r="W928" s="20"/>
      <c r="X928" s="20"/>
      <c r="Y928" s="20"/>
      <c r="Z928" s="20"/>
      <c r="AA928" s="20"/>
      <c r="AB928" s="20"/>
      <c r="AC928" s="20"/>
      <c r="AD928" s="20"/>
    </row>
    <row r="929" spans="1:30" ht="13.5" customHeight="1" x14ac:dyDescent="0.25">
      <c r="A929" s="25"/>
      <c r="B929" s="25"/>
      <c r="C929" s="26" t="s">
        <v>119</v>
      </c>
      <c r="D929" s="26">
        <v>7003</v>
      </c>
      <c r="E929" s="27" t="str">
        <f>INDEX([1]道具配置表!$D:$D,MATCH(D929,[1]道具配置表!$A:$A,0))</f>
        <v>1银币（立即使用，不进背包）</v>
      </c>
      <c r="F929" s="26">
        <v>320</v>
      </c>
      <c r="G929" s="25"/>
      <c r="H929" s="25"/>
      <c r="I929" s="25"/>
      <c r="J929" s="25"/>
      <c r="K929" s="25">
        <v>1</v>
      </c>
      <c r="L929" s="25"/>
      <c r="M929" s="25" t="b">
        <v>1</v>
      </c>
      <c r="N929" s="25"/>
      <c r="V929" s="20"/>
      <c r="W929" s="20"/>
      <c r="X929" s="20"/>
      <c r="Y929" s="20"/>
      <c r="Z929" s="20"/>
      <c r="AA929" s="20"/>
      <c r="AB929" s="20"/>
      <c r="AC929" s="20"/>
      <c r="AD929" s="20"/>
    </row>
    <row r="930" spans="1:30" ht="13.5" customHeight="1" x14ac:dyDescent="0.25">
      <c r="A930" s="25"/>
      <c r="B930" s="25"/>
      <c r="C930" s="26" t="s">
        <v>119</v>
      </c>
      <c r="D930" s="26">
        <v>6105</v>
      </c>
      <c r="E930" s="27" t="str">
        <f>INDEX([1]道具配置表!$D:$D,MATCH(D930,[1]道具配置表!$A:$A,0))</f>
        <v>60分钟通用加速</v>
      </c>
      <c r="F930" s="26">
        <v>1</v>
      </c>
      <c r="G930" s="25"/>
      <c r="H930" s="25"/>
      <c r="I930" s="25"/>
      <c r="J930" s="25"/>
      <c r="K930" s="25">
        <v>1</v>
      </c>
      <c r="L930" s="25"/>
      <c r="M930" s="25" t="b">
        <v>1</v>
      </c>
      <c r="N930" s="25"/>
      <c r="V930" s="20"/>
      <c r="W930" s="20"/>
      <c r="X930" s="20"/>
      <c r="Y930" s="20"/>
      <c r="Z930" s="20"/>
      <c r="AA930" s="20"/>
      <c r="AB930" s="20"/>
      <c r="AC930" s="20"/>
      <c r="AD930" s="20"/>
    </row>
    <row r="931" spans="1:30" ht="13.5" customHeight="1" x14ac:dyDescent="0.25">
      <c r="A931" s="25">
        <v>6605223</v>
      </c>
      <c r="B931" s="25" t="s">
        <v>320</v>
      </c>
      <c r="C931" s="26" t="s">
        <v>119</v>
      </c>
      <c r="D931" s="27">
        <v>222</v>
      </c>
      <c r="E931" s="27" t="str">
        <f>INDEX([1]道具配置表!$D:$D,MATCH(D931,[1]道具配置表!$A:$A,0))</f>
        <v>1千食物</v>
      </c>
      <c r="F931" s="27">
        <v>65</v>
      </c>
      <c r="G931" s="25"/>
      <c r="H931" s="25"/>
      <c r="I931" s="25"/>
      <c r="J931" s="25"/>
      <c r="K931" s="25">
        <v>1</v>
      </c>
      <c r="L931" s="25"/>
      <c r="M931" s="25" t="b">
        <v>1</v>
      </c>
      <c r="N931" s="25"/>
      <c r="V931" s="20"/>
      <c r="W931" s="20"/>
      <c r="X931" s="20"/>
      <c r="Y931" s="20"/>
      <c r="Z931" s="20"/>
      <c r="AA931" s="20"/>
      <c r="AB931" s="20"/>
      <c r="AC931" s="20"/>
      <c r="AD931" s="20"/>
    </row>
    <row r="932" spans="1:30" ht="13.5" customHeight="1" x14ac:dyDescent="0.25">
      <c r="A932" s="25"/>
      <c r="B932" s="25"/>
      <c r="C932" s="26" t="s">
        <v>119</v>
      </c>
      <c r="D932" s="27">
        <v>221</v>
      </c>
      <c r="E932" s="27" t="str">
        <f>INDEX([1]道具配置表!$D:$D,MATCH(D932,[1]道具配置表!$A:$A,0))</f>
        <v>1千木材</v>
      </c>
      <c r="F932" s="27">
        <v>65</v>
      </c>
      <c r="G932" s="25"/>
      <c r="H932" s="25"/>
      <c r="I932" s="25"/>
      <c r="J932" s="25"/>
      <c r="K932" s="25">
        <v>1</v>
      </c>
      <c r="L932" s="25"/>
      <c r="M932" s="25" t="b">
        <v>1</v>
      </c>
      <c r="N932" s="25"/>
      <c r="V932" s="20"/>
      <c r="W932" s="20"/>
      <c r="X932" s="20"/>
      <c r="Y932" s="20"/>
      <c r="Z932" s="20"/>
      <c r="AA932" s="20"/>
      <c r="AB932" s="20"/>
      <c r="AC932" s="20"/>
      <c r="AD932" s="20"/>
    </row>
    <row r="933" spans="1:30" ht="13.5" customHeight="1" x14ac:dyDescent="0.25">
      <c r="A933" s="25"/>
      <c r="B933" s="25"/>
      <c r="C933" s="26" t="s">
        <v>119</v>
      </c>
      <c r="D933" s="27">
        <v>223</v>
      </c>
      <c r="E933" s="27" t="str">
        <f>INDEX([1]道具配置表!$D:$D,MATCH(D933,[1]道具配置表!$A:$A,0))</f>
        <v>1千石头</v>
      </c>
      <c r="F933" s="27">
        <v>65</v>
      </c>
      <c r="G933" s="25"/>
      <c r="H933" s="25"/>
      <c r="I933" s="25"/>
      <c r="J933" s="25"/>
      <c r="K933" s="25">
        <v>1</v>
      </c>
      <c r="L933" s="25"/>
      <c r="M933" s="25" t="b">
        <v>1</v>
      </c>
      <c r="N933" s="25"/>
      <c r="V933" s="20"/>
      <c r="W933" s="20"/>
      <c r="X933" s="20"/>
      <c r="Y933" s="20"/>
      <c r="Z933" s="20"/>
      <c r="AA933" s="20"/>
      <c r="AB933" s="20"/>
      <c r="AC933" s="20"/>
      <c r="AD933" s="20"/>
    </row>
    <row r="934" spans="1:30" ht="13.5" customHeight="1" x14ac:dyDescent="0.25">
      <c r="A934" s="25"/>
      <c r="B934" s="25"/>
      <c r="C934" s="26" t="s">
        <v>119</v>
      </c>
      <c r="D934" s="27">
        <v>224</v>
      </c>
      <c r="E934" s="27" t="str">
        <f>INDEX([1]道具配置表!$D:$D,MATCH(D934,[1]道具配置表!$A:$A,0))</f>
        <v>1千黄金</v>
      </c>
      <c r="F934" s="27">
        <v>65</v>
      </c>
      <c r="G934" s="25"/>
      <c r="H934" s="25"/>
      <c r="I934" s="25"/>
      <c r="J934" s="25"/>
      <c r="K934" s="25">
        <v>1</v>
      </c>
      <c r="L934" s="25"/>
      <c r="M934" s="25" t="b">
        <v>1</v>
      </c>
      <c r="N934" s="25"/>
      <c r="V934" s="20"/>
      <c r="W934" s="20"/>
      <c r="X934" s="20"/>
      <c r="Y934" s="20"/>
      <c r="Z934" s="20"/>
      <c r="AA934" s="20"/>
      <c r="AB934" s="20"/>
      <c r="AC934" s="20"/>
      <c r="AD934" s="20"/>
    </row>
    <row r="935" spans="1:30" ht="13.5" customHeight="1" x14ac:dyDescent="0.25">
      <c r="A935" s="25"/>
      <c r="B935" s="25"/>
      <c r="C935" s="26" t="s">
        <v>119</v>
      </c>
      <c r="D935" s="26">
        <v>7003</v>
      </c>
      <c r="E935" s="27" t="str">
        <f>INDEX([1]道具配置表!$D:$D,MATCH(D935,[1]道具配置表!$A:$A,0))</f>
        <v>1银币（立即使用，不进背包）</v>
      </c>
      <c r="F935" s="26">
        <v>330</v>
      </c>
      <c r="G935" s="25"/>
      <c r="H935" s="25"/>
      <c r="I935" s="25"/>
      <c r="J935" s="25"/>
      <c r="K935" s="25">
        <v>1</v>
      </c>
      <c r="L935" s="25"/>
      <c r="M935" s="25" t="b">
        <v>1</v>
      </c>
      <c r="N935" s="25"/>
      <c r="V935" s="20"/>
      <c r="W935" s="20"/>
      <c r="X935" s="20"/>
      <c r="Y935" s="20"/>
      <c r="Z935" s="20"/>
      <c r="AA935" s="20"/>
      <c r="AB935" s="20"/>
      <c r="AC935" s="20"/>
      <c r="AD935" s="20"/>
    </row>
    <row r="936" spans="1:30" ht="13.5" customHeight="1" x14ac:dyDescent="0.25">
      <c r="A936" s="25"/>
      <c r="B936" s="25"/>
      <c r="C936" s="26" t="s">
        <v>119</v>
      </c>
      <c r="D936" s="26">
        <v>6105</v>
      </c>
      <c r="E936" s="27" t="str">
        <f>INDEX([1]道具配置表!$D:$D,MATCH(D936,[1]道具配置表!$A:$A,0))</f>
        <v>60分钟通用加速</v>
      </c>
      <c r="F936" s="26">
        <v>1</v>
      </c>
      <c r="G936" s="25"/>
      <c r="H936" s="25"/>
      <c r="I936" s="25"/>
      <c r="J936" s="25"/>
      <c r="K936" s="25">
        <v>1</v>
      </c>
      <c r="L936" s="25"/>
      <c r="M936" s="25" t="b">
        <v>1</v>
      </c>
      <c r="N936" s="25"/>
      <c r="V936" s="20"/>
      <c r="W936" s="20"/>
      <c r="X936" s="20"/>
      <c r="Y936" s="20"/>
      <c r="Z936" s="20"/>
      <c r="AA936" s="20"/>
      <c r="AB936" s="20"/>
      <c r="AC936" s="20"/>
      <c r="AD936" s="20"/>
    </row>
    <row r="937" spans="1:30" ht="13.5" customHeight="1" x14ac:dyDescent="0.25">
      <c r="A937" s="25">
        <v>6605224</v>
      </c>
      <c r="B937" s="25" t="s">
        <v>321</v>
      </c>
      <c r="C937" s="26" t="s">
        <v>119</v>
      </c>
      <c r="D937" s="27">
        <v>222</v>
      </c>
      <c r="E937" s="27" t="str">
        <f>INDEX([1]道具配置表!$D:$D,MATCH(D937,[1]道具配置表!$A:$A,0))</f>
        <v>1千食物</v>
      </c>
      <c r="F937" s="27">
        <v>65</v>
      </c>
      <c r="G937" s="25"/>
      <c r="H937" s="25"/>
      <c r="I937" s="25"/>
      <c r="J937" s="25"/>
      <c r="K937" s="25">
        <v>1</v>
      </c>
      <c r="L937" s="25"/>
      <c r="M937" s="25" t="b">
        <v>1</v>
      </c>
      <c r="N937" s="25"/>
      <c r="V937" s="20"/>
      <c r="W937" s="20"/>
      <c r="X937" s="20"/>
      <c r="Y937" s="20"/>
      <c r="Z937" s="20"/>
      <c r="AA937" s="20"/>
      <c r="AB937" s="20"/>
      <c r="AC937" s="20"/>
      <c r="AD937" s="20"/>
    </row>
    <row r="938" spans="1:30" ht="13.5" customHeight="1" x14ac:dyDescent="0.25">
      <c r="A938" s="25"/>
      <c r="B938" s="25"/>
      <c r="C938" s="26" t="s">
        <v>119</v>
      </c>
      <c r="D938" s="27">
        <v>221</v>
      </c>
      <c r="E938" s="27" t="str">
        <f>INDEX([1]道具配置表!$D:$D,MATCH(D938,[1]道具配置表!$A:$A,0))</f>
        <v>1千木材</v>
      </c>
      <c r="F938" s="27">
        <v>65</v>
      </c>
      <c r="G938" s="25"/>
      <c r="H938" s="25"/>
      <c r="I938" s="25"/>
      <c r="J938" s="25"/>
      <c r="K938" s="25">
        <v>1</v>
      </c>
      <c r="L938" s="25"/>
      <c r="M938" s="25" t="b">
        <v>1</v>
      </c>
      <c r="N938" s="25"/>
      <c r="V938" s="20"/>
      <c r="W938" s="20"/>
      <c r="X938" s="20"/>
      <c r="Y938" s="20"/>
      <c r="Z938" s="20"/>
      <c r="AA938" s="20"/>
      <c r="AB938" s="20"/>
      <c r="AC938" s="20"/>
      <c r="AD938" s="20"/>
    </row>
    <row r="939" spans="1:30" ht="13.5" customHeight="1" x14ac:dyDescent="0.25">
      <c r="A939" s="25"/>
      <c r="B939" s="25"/>
      <c r="C939" s="26" t="s">
        <v>119</v>
      </c>
      <c r="D939" s="27">
        <v>223</v>
      </c>
      <c r="E939" s="27" t="str">
        <f>INDEX([1]道具配置表!$D:$D,MATCH(D939,[1]道具配置表!$A:$A,0))</f>
        <v>1千石头</v>
      </c>
      <c r="F939" s="27">
        <v>65</v>
      </c>
      <c r="G939" s="25"/>
      <c r="H939" s="25"/>
      <c r="I939" s="25"/>
      <c r="J939" s="25"/>
      <c r="K939" s="25">
        <v>1</v>
      </c>
      <c r="L939" s="25"/>
      <c r="M939" s="25" t="b">
        <v>1</v>
      </c>
      <c r="N939" s="25"/>
      <c r="V939" s="20"/>
      <c r="W939" s="20"/>
      <c r="X939" s="20"/>
      <c r="Y939" s="20"/>
      <c r="Z939" s="20"/>
      <c r="AA939" s="20"/>
      <c r="AB939" s="20"/>
      <c r="AC939" s="20"/>
      <c r="AD939" s="20"/>
    </row>
    <row r="940" spans="1:30" ht="13.5" customHeight="1" x14ac:dyDescent="0.25">
      <c r="A940" s="25"/>
      <c r="B940" s="25"/>
      <c r="C940" s="26" t="s">
        <v>119</v>
      </c>
      <c r="D940" s="27">
        <v>224</v>
      </c>
      <c r="E940" s="27" t="str">
        <f>INDEX([1]道具配置表!$D:$D,MATCH(D940,[1]道具配置表!$A:$A,0))</f>
        <v>1千黄金</v>
      </c>
      <c r="F940" s="27">
        <v>65</v>
      </c>
      <c r="G940" s="25"/>
      <c r="H940" s="25"/>
      <c r="I940" s="25"/>
      <c r="J940" s="25"/>
      <c r="K940" s="25">
        <v>1</v>
      </c>
      <c r="L940" s="25"/>
      <c r="M940" s="25" t="b">
        <v>1</v>
      </c>
      <c r="N940" s="25"/>
      <c r="V940" s="20"/>
      <c r="W940" s="20"/>
      <c r="X940" s="20"/>
      <c r="Y940" s="20"/>
      <c r="Z940" s="20"/>
      <c r="AA940" s="20"/>
      <c r="AB940" s="20"/>
      <c r="AC940" s="20"/>
      <c r="AD940" s="20"/>
    </row>
    <row r="941" spans="1:30" ht="13.5" customHeight="1" x14ac:dyDescent="0.25">
      <c r="A941" s="25"/>
      <c r="B941" s="25"/>
      <c r="C941" s="26" t="s">
        <v>119</v>
      </c>
      <c r="D941" s="26">
        <v>7003</v>
      </c>
      <c r="E941" s="27" t="str">
        <f>INDEX([1]道具配置表!$D:$D,MATCH(D941,[1]道具配置表!$A:$A,0))</f>
        <v>1银币（立即使用，不进背包）</v>
      </c>
      <c r="F941" s="26">
        <v>340</v>
      </c>
      <c r="G941" s="25"/>
      <c r="H941" s="25"/>
      <c r="I941" s="25"/>
      <c r="J941" s="25"/>
      <c r="K941" s="25">
        <v>1</v>
      </c>
      <c r="L941" s="25"/>
      <c r="M941" s="25" t="b">
        <v>1</v>
      </c>
      <c r="N941" s="25"/>
      <c r="V941" s="20"/>
      <c r="W941" s="20"/>
      <c r="X941" s="20"/>
      <c r="Y941" s="20"/>
      <c r="Z941" s="20"/>
      <c r="AA941" s="20"/>
      <c r="AB941" s="20"/>
      <c r="AC941" s="20"/>
      <c r="AD941" s="20"/>
    </row>
    <row r="942" spans="1:30" ht="13.5" customHeight="1" x14ac:dyDescent="0.25">
      <c r="A942" s="25"/>
      <c r="B942" s="25"/>
      <c r="C942" s="26" t="s">
        <v>119</v>
      </c>
      <c r="D942" s="26">
        <v>6105</v>
      </c>
      <c r="E942" s="27" t="str">
        <f>INDEX([1]道具配置表!$D:$D,MATCH(D942,[1]道具配置表!$A:$A,0))</f>
        <v>60分钟通用加速</v>
      </c>
      <c r="F942" s="26">
        <v>1</v>
      </c>
      <c r="G942" s="25"/>
      <c r="H942" s="25"/>
      <c r="I942" s="25"/>
      <c r="J942" s="25"/>
      <c r="K942" s="25">
        <v>1</v>
      </c>
      <c r="L942" s="25"/>
      <c r="M942" s="25" t="b">
        <v>1</v>
      </c>
      <c r="N942" s="25"/>
      <c r="V942" s="20"/>
      <c r="W942" s="20"/>
      <c r="X942" s="20"/>
      <c r="Y942" s="20"/>
      <c r="Z942" s="20"/>
      <c r="AA942" s="20"/>
      <c r="AB942" s="20"/>
      <c r="AC942" s="20"/>
      <c r="AD942" s="20"/>
    </row>
    <row r="943" spans="1:30" ht="13.5" customHeight="1" x14ac:dyDescent="0.25">
      <c r="A943" s="25">
        <v>6605225</v>
      </c>
      <c r="B943" s="25" t="s">
        <v>322</v>
      </c>
      <c r="C943" s="26" t="s">
        <v>119</v>
      </c>
      <c r="D943" s="27">
        <v>222</v>
      </c>
      <c r="E943" s="27" t="str">
        <f>INDEX([1]道具配置表!$D:$D,MATCH(D943,[1]道具配置表!$A:$A,0))</f>
        <v>1千食物</v>
      </c>
      <c r="F943" s="27">
        <v>70</v>
      </c>
      <c r="G943" s="25"/>
      <c r="H943" s="25"/>
      <c r="I943" s="25"/>
      <c r="J943" s="25"/>
      <c r="K943" s="25">
        <v>1</v>
      </c>
      <c r="L943" s="25"/>
      <c r="M943" s="25" t="b">
        <v>1</v>
      </c>
      <c r="N943" s="25"/>
      <c r="V943" s="20"/>
      <c r="W943" s="20"/>
      <c r="X943" s="20"/>
      <c r="Y943" s="20"/>
      <c r="Z943" s="20"/>
      <c r="AA943" s="20"/>
      <c r="AB943" s="20"/>
      <c r="AC943" s="20"/>
      <c r="AD943" s="20"/>
    </row>
    <row r="944" spans="1:30" ht="13.5" customHeight="1" x14ac:dyDescent="0.25">
      <c r="A944" s="25"/>
      <c r="B944" s="25"/>
      <c r="C944" s="26" t="s">
        <v>119</v>
      </c>
      <c r="D944" s="27">
        <v>221</v>
      </c>
      <c r="E944" s="27" t="str">
        <f>INDEX([1]道具配置表!$D:$D,MATCH(D944,[1]道具配置表!$A:$A,0))</f>
        <v>1千木材</v>
      </c>
      <c r="F944" s="27">
        <v>70</v>
      </c>
      <c r="G944" s="25"/>
      <c r="H944" s="25"/>
      <c r="I944" s="25"/>
      <c r="J944" s="25"/>
      <c r="K944" s="25">
        <v>1</v>
      </c>
      <c r="L944" s="25"/>
      <c r="M944" s="25" t="b">
        <v>1</v>
      </c>
      <c r="N944" s="25"/>
      <c r="V944" s="20"/>
      <c r="W944" s="20"/>
      <c r="X944" s="20"/>
      <c r="Y944" s="20"/>
      <c r="Z944" s="20"/>
      <c r="AA944" s="20"/>
      <c r="AB944" s="20"/>
      <c r="AC944" s="20"/>
      <c r="AD944" s="20"/>
    </row>
    <row r="945" spans="1:30" ht="13.5" customHeight="1" x14ac:dyDescent="0.25">
      <c r="A945" s="25"/>
      <c r="B945" s="25"/>
      <c r="C945" s="26" t="s">
        <v>119</v>
      </c>
      <c r="D945" s="27">
        <v>223</v>
      </c>
      <c r="E945" s="27" t="str">
        <f>INDEX([1]道具配置表!$D:$D,MATCH(D945,[1]道具配置表!$A:$A,0))</f>
        <v>1千石头</v>
      </c>
      <c r="F945" s="27">
        <v>70</v>
      </c>
      <c r="G945" s="25"/>
      <c r="H945" s="25"/>
      <c r="I945" s="25"/>
      <c r="J945" s="25"/>
      <c r="K945" s="25">
        <v>1</v>
      </c>
      <c r="L945" s="25"/>
      <c r="M945" s="25" t="b">
        <v>1</v>
      </c>
      <c r="N945" s="25"/>
      <c r="V945" s="20"/>
      <c r="W945" s="20"/>
      <c r="X945" s="20"/>
      <c r="Y945" s="20"/>
      <c r="Z945" s="20"/>
      <c r="AA945" s="20"/>
      <c r="AB945" s="20"/>
      <c r="AC945" s="20"/>
      <c r="AD945" s="20"/>
    </row>
    <row r="946" spans="1:30" ht="13.5" customHeight="1" x14ac:dyDescent="0.25">
      <c r="A946" s="25"/>
      <c r="B946" s="25"/>
      <c r="C946" s="26" t="s">
        <v>119</v>
      </c>
      <c r="D946" s="27">
        <v>224</v>
      </c>
      <c r="E946" s="27" t="str">
        <f>INDEX([1]道具配置表!$D:$D,MATCH(D946,[1]道具配置表!$A:$A,0))</f>
        <v>1千黄金</v>
      </c>
      <c r="F946" s="27">
        <v>70</v>
      </c>
      <c r="G946" s="25"/>
      <c r="H946" s="25"/>
      <c r="I946" s="25"/>
      <c r="J946" s="25"/>
      <c r="K946" s="25">
        <v>1</v>
      </c>
      <c r="L946" s="25"/>
      <c r="M946" s="25" t="b">
        <v>1</v>
      </c>
      <c r="N946" s="25"/>
      <c r="V946" s="20"/>
      <c r="W946" s="20"/>
      <c r="X946" s="20"/>
      <c r="Y946" s="20"/>
      <c r="Z946" s="20"/>
      <c r="AA946" s="20"/>
      <c r="AB946" s="20"/>
      <c r="AC946" s="20"/>
      <c r="AD946" s="20"/>
    </row>
    <row r="947" spans="1:30" ht="13.5" customHeight="1" x14ac:dyDescent="0.25">
      <c r="A947" s="25"/>
      <c r="B947" s="25"/>
      <c r="C947" s="26" t="s">
        <v>119</v>
      </c>
      <c r="D947" s="26">
        <v>7003</v>
      </c>
      <c r="E947" s="27" t="str">
        <f>INDEX([1]道具配置表!$D:$D,MATCH(D947,[1]道具配置表!$A:$A,0))</f>
        <v>1银币（立即使用，不进背包）</v>
      </c>
      <c r="F947" s="26">
        <v>350</v>
      </c>
      <c r="G947" s="25"/>
      <c r="H947" s="25"/>
      <c r="I947" s="25"/>
      <c r="J947" s="25"/>
      <c r="K947" s="25">
        <v>1</v>
      </c>
      <c r="L947" s="25"/>
      <c r="M947" s="25" t="b">
        <v>1</v>
      </c>
      <c r="N947" s="25"/>
      <c r="V947" s="20"/>
      <c r="W947" s="20"/>
      <c r="X947" s="20"/>
      <c r="Y947" s="20"/>
      <c r="Z947" s="20"/>
      <c r="AA947" s="20"/>
      <c r="AB947" s="20"/>
      <c r="AC947" s="20"/>
      <c r="AD947" s="20"/>
    </row>
    <row r="948" spans="1:30" ht="13.5" customHeight="1" x14ac:dyDescent="0.25">
      <c r="A948" s="25"/>
      <c r="B948" s="25"/>
      <c r="C948" s="26" t="s">
        <v>119</v>
      </c>
      <c r="D948" s="26">
        <v>6105</v>
      </c>
      <c r="E948" s="27" t="str">
        <f>INDEX([1]道具配置表!$D:$D,MATCH(D948,[1]道具配置表!$A:$A,0))</f>
        <v>60分钟通用加速</v>
      </c>
      <c r="F948" s="26">
        <v>1</v>
      </c>
      <c r="G948" s="25"/>
      <c r="H948" s="25"/>
      <c r="I948" s="25"/>
      <c r="J948" s="25"/>
      <c r="K948" s="25">
        <v>1</v>
      </c>
      <c r="L948" s="25"/>
      <c r="M948" s="25" t="b">
        <v>1</v>
      </c>
      <c r="N948" s="25"/>
      <c r="V948" s="20"/>
      <c r="W948" s="20"/>
      <c r="X948" s="20"/>
      <c r="Y948" s="20"/>
      <c r="Z948" s="20"/>
      <c r="AA948" s="20"/>
      <c r="AB948" s="20"/>
      <c r="AC948" s="20"/>
      <c r="AD948" s="20"/>
    </row>
    <row r="949" spans="1:30" ht="13.5" customHeight="1" x14ac:dyDescent="0.25">
      <c r="A949" s="25">
        <v>6605226</v>
      </c>
      <c r="B949" s="25" t="s">
        <v>323</v>
      </c>
      <c r="C949" s="26" t="s">
        <v>119</v>
      </c>
      <c r="D949" s="27">
        <v>222</v>
      </c>
      <c r="E949" s="27" t="str">
        <f>INDEX([1]道具配置表!$D:$D,MATCH(D949,[1]道具配置表!$A:$A,0))</f>
        <v>1千食物</v>
      </c>
      <c r="F949" s="27">
        <v>70</v>
      </c>
      <c r="G949" s="25"/>
      <c r="H949" s="25"/>
      <c r="I949" s="25"/>
      <c r="J949" s="25"/>
      <c r="K949" s="25">
        <v>1</v>
      </c>
      <c r="L949" s="25"/>
      <c r="M949" s="25" t="b">
        <v>1</v>
      </c>
      <c r="N949" s="25"/>
      <c r="V949" s="20"/>
      <c r="W949" s="20"/>
      <c r="X949" s="20"/>
      <c r="Y949" s="20"/>
      <c r="Z949" s="20"/>
      <c r="AA949" s="20"/>
      <c r="AB949" s="20"/>
      <c r="AC949" s="20"/>
      <c r="AD949" s="20"/>
    </row>
    <row r="950" spans="1:30" ht="13.5" customHeight="1" x14ac:dyDescent="0.25">
      <c r="A950" s="25"/>
      <c r="B950" s="25"/>
      <c r="C950" s="26" t="s">
        <v>119</v>
      </c>
      <c r="D950" s="27">
        <v>221</v>
      </c>
      <c r="E950" s="27" t="str">
        <f>INDEX([1]道具配置表!$D:$D,MATCH(D950,[1]道具配置表!$A:$A,0))</f>
        <v>1千木材</v>
      </c>
      <c r="F950" s="27">
        <v>70</v>
      </c>
      <c r="G950" s="25"/>
      <c r="H950" s="25"/>
      <c r="I950" s="25"/>
      <c r="J950" s="25"/>
      <c r="K950" s="25">
        <v>1</v>
      </c>
      <c r="L950" s="25"/>
      <c r="M950" s="25" t="b">
        <v>1</v>
      </c>
      <c r="N950" s="25"/>
      <c r="V950" s="20"/>
      <c r="W950" s="20"/>
      <c r="X950" s="20"/>
      <c r="Y950" s="20"/>
      <c r="Z950" s="20"/>
      <c r="AA950" s="20"/>
      <c r="AB950" s="20"/>
      <c r="AC950" s="20"/>
      <c r="AD950" s="20"/>
    </row>
    <row r="951" spans="1:30" ht="13.5" customHeight="1" x14ac:dyDescent="0.25">
      <c r="A951" s="25"/>
      <c r="B951" s="25"/>
      <c r="C951" s="26" t="s">
        <v>119</v>
      </c>
      <c r="D951" s="27">
        <v>223</v>
      </c>
      <c r="E951" s="27" t="str">
        <f>INDEX([1]道具配置表!$D:$D,MATCH(D951,[1]道具配置表!$A:$A,0))</f>
        <v>1千石头</v>
      </c>
      <c r="F951" s="27">
        <v>70</v>
      </c>
      <c r="G951" s="25"/>
      <c r="H951" s="25"/>
      <c r="I951" s="25"/>
      <c r="J951" s="25"/>
      <c r="K951" s="25">
        <v>1</v>
      </c>
      <c r="L951" s="25"/>
      <c r="M951" s="25" t="b">
        <v>1</v>
      </c>
      <c r="N951" s="25"/>
      <c r="V951" s="20"/>
      <c r="W951" s="20"/>
      <c r="X951" s="20"/>
      <c r="Y951" s="20"/>
      <c r="Z951" s="20"/>
      <c r="AA951" s="20"/>
      <c r="AB951" s="20"/>
      <c r="AC951" s="20"/>
      <c r="AD951" s="20"/>
    </row>
    <row r="952" spans="1:30" ht="13.5" customHeight="1" x14ac:dyDescent="0.25">
      <c r="A952" s="25"/>
      <c r="B952" s="25"/>
      <c r="C952" s="26" t="s">
        <v>119</v>
      </c>
      <c r="D952" s="27">
        <v>224</v>
      </c>
      <c r="E952" s="27" t="str">
        <f>INDEX([1]道具配置表!$D:$D,MATCH(D952,[1]道具配置表!$A:$A,0))</f>
        <v>1千黄金</v>
      </c>
      <c r="F952" s="27">
        <v>70</v>
      </c>
      <c r="G952" s="25"/>
      <c r="H952" s="25"/>
      <c r="I952" s="25"/>
      <c r="J952" s="25"/>
      <c r="K952" s="25">
        <v>1</v>
      </c>
      <c r="L952" s="25"/>
      <c r="M952" s="25" t="b">
        <v>1</v>
      </c>
      <c r="N952" s="25"/>
      <c r="V952" s="20"/>
      <c r="W952" s="20"/>
      <c r="X952" s="20"/>
      <c r="Y952" s="20"/>
      <c r="Z952" s="20"/>
      <c r="AA952" s="20"/>
      <c r="AB952" s="20"/>
      <c r="AC952" s="20"/>
      <c r="AD952" s="20"/>
    </row>
    <row r="953" spans="1:30" ht="13.5" customHeight="1" x14ac:dyDescent="0.25">
      <c r="A953" s="25"/>
      <c r="B953" s="25"/>
      <c r="C953" s="26" t="s">
        <v>119</v>
      </c>
      <c r="D953" s="26">
        <v>7003</v>
      </c>
      <c r="E953" s="27" t="str">
        <f>INDEX([1]道具配置表!$D:$D,MATCH(D953,[1]道具配置表!$A:$A,0))</f>
        <v>1银币（立即使用，不进背包）</v>
      </c>
      <c r="F953" s="26">
        <v>360</v>
      </c>
      <c r="G953" s="25"/>
      <c r="H953" s="25"/>
      <c r="I953" s="25"/>
      <c r="J953" s="25"/>
      <c r="K953" s="25">
        <v>1</v>
      </c>
      <c r="L953" s="25"/>
      <c r="M953" s="25" t="b">
        <v>1</v>
      </c>
      <c r="N953" s="25"/>
      <c r="V953" s="20"/>
      <c r="W953" s="20"/>
      <c r="X953" s="20"/>
      <c r="Y953" s="20"/>
      <c r="Z953" s="20"/>
      <c r="AA953" s="20"/>
      <c r="AB953" s="20"/>
      <c r="AC953" s="20"/>
      <c r="AD953" s="20"/>
    </row>
    <row r="954" spans="1:30" ht="13.5" customHeight="1" x14ac:dyDescent="0.25">
      <c r="A954" s="25"/>
      <c r="B954" s="25"/>
      <c r="C954" s="26" t="s">
        <v>119</v>
      </c>
      <c r="D954" s="26">
        <v>6105</v>
      </c>
      <c r="E954" s="27" t="str">
        <f>INDEX([1]道具配置表!$D:$D,MATCH(D954,[1]道具配置表!$A:$A,0))</f>
        <v>60分钟通用加速</v>
      </c>
      <c r="F954" s="26">
        <v>1</v>
      </c>
      <c r="G954" s="25"/>
      <c r="H954" s="25"/>
      <c r="I954" s="25"/>
      <c r="J954" s="25"/>
      <c r="K954" s="25">
        <v>1</v>
      </c>
      <c r="L954" s="25"/>
      <c r="M954" s="25" t="b">
        <v>1</v>
      </c>
      <c r="N954" s="25"/>
      <c r="V954" s="20"/>
      <c r="W954" s="20"/>
      <c r="X954" s="20"/>
      <c r="Y954" s="20"/>
      <c r="Z954" s="20"/>
      <c r="AA954" s="20"/>
      <c r="AB954" s="20"/>
      <c r="AC954" s="20"/>
      <c r="AD954" s="20"/>
    </row>
    <row r="955" spans="1:30" ht="13.5" customHeight="1" x14ac:dyDescent="0.25">
      <c r="A955" s="25">
        <v>6605227</v>
      </c>
      <c r="B955" s="25" t="s">
        <v>324</v>
      </c>
      <c r="C955" s="26" t="s">
        <v>119</v>
      </c>
      <c r="D955" s="27">
        <v>222</v>
      </c>
      <c r="E955" s="27" t="str">
        <f>INDEX([1]道具配置表!$D:$D,MATCH(D955,[1]道具配置表!$A:$A,0))</f>
        <v>1千食物</v>
      </c>
      <c r="F955" s="27">
        <v>75</v>
      </c>
      <c r="G955" s="25"/>
      <c r="H955" s="25"/>
      <c r="I955" s="25"/>
      <c r="J955" s="25"/>
      <c r="K955" s="25">
        <v>1</v>
      </c>
      <c r="L955" s="25"/>
      <c r="M955" s="25" t="b">
        <v>1</v>
      </c>
      <c r="N955" s="25"/>
      <c r="V955" s="20"/>
      <c r="W955" s="20"/>
      <c r="X955" s="20"/>
      <c r="Y955" s="20"/>
      <c r="Z955" s="20"/>
      <c r="AA955" s="20"/>
      <c r="AB955" s="20"/>
      <c r="AC955" s="20"/>
      <c r="AD955" s="20"/>
    </row>
    <row r="956" spans="1:30" ht="13.5" customHeight="1" x14ac:dyDescent="0.25">
      <c r="A956" s="25"/>
      <c r="B956" s="25"/>
      <c r="C956" s="26" t="s">
        <v>119</v>
      </c>
      <c r="D956" s="27">
        <v>221</v>
      </c>
      <c r="E956" s="27" t="str">
        <f>INDEX([1]道具配置表!$D:$D,MATCH(D956,[1]道具配置表!$A:$A,0))</f>
        <v>1千木材</v>
      </c>
      <c r="F956" s="27">
        <v>75</v>
      </c>
      <c r="G956" s="25"/>
      <c r="H956" s="25"/>
      <c r="I956" s="25"/>
      <c r="J956" s="25"/>
      <c r="K956" s="25">
        <v>1</v>
      </c>
      <c r="L956" s="25"/>
      <c r="M956" s="25" t="b">
        <v>1</v>
      </c>
      <c r="N956" s="25"/>
      <c r="V956" s="20"/>
      <c r="W956" s="20"/>
      <c r="X956" s="20"/>
      <c r="Y956" s="20"/>
      <c r="Z956" s="20"/>
      <c r="AA956" s="20"/>
      <c r="AB956" s="20"/>
      <c r="AC956" s="20"/>
      <c r="AD956" s="20"/>
    </row>
    <row r="957" spans="1:30" ht="13.5" customHeight="1" x14ac:dyDescent="0.25">
      <c r="A957" s="25"/>
      <c r="B957" s="25"/>
      <c r="C957" s="26" t="s">
        <v>119</v>
      </c>
      <c r="D957" s="27">
        <v>223</v>
      </c>
      <c r="E957" s="27" t="str">
        <f>INDEX([1]道具配置表!$D:$D,MATCH(D957,[1]道具配置表!$A:$A,0))</f>
        <v>1千石头</v>
      </c>
      <c r="F957" s="27">
        <v>75</v>
      </c>
      <c r="G957" s="25"/>
      <c r="H957" s="25"/>
      <c r="I957" s="25"/>
      <c r="J957" s="25"/>
      <c r="K957" s="25">
        <v>1</v>
      </c>
      <c r="L957" s="25"/>
      <c r="M957" s="25" t="b">
        <v>1</v>
      </c>
      <c r="N957" s="25"/>
      <c r="V957" s="20"/>
      <c r="W957" s="20"/>
      <c r="X957" s="20"/>
      <c r="Y957" s="20"/>
      <c r="Z957" s="20"/>
      <c r="AA957" s="20"/>
      <c r="AB957" s="20"/>
      <c r="AC957" s="20"/>
      <c r="AD957" s="20"/>
    </row>
    <row r="958" spans="1:30" ht="13.5" customHeight="1" x14ac:dyDescent="0.25">
      <c r="A958" s="25"/>
      <c r="B958" s="25"/>
      <c r="C958" s="26" t="s">
        <v>119</v>
      </c>
      <c r="D958" s="27">
        <v>224</v>
      </c>
      <c r="E958" s="27" t="str">
        <f>INDEX([1]道具配置表!$D:$D,MATCH(D958,[1]道具配置表!$A:$A,0))</f>
        <v>1千黄金</v>
      </c>
      <c r="F958" s="27">
        <v>75</v>
      </c>
      <c r="G958" s="25"/>
      <c r="H958" s="25"/>
      <c r="I958" s="25"/>
      <c r="J958" s="25"/>
      <c r="K958" s="25">
        <v>1</v>
      </c>
      <c r="L958" s="25"/>
      <c r="M958" s="25" t="b">
        <v>1</v>
      </c>
      <c r="N958" s="25"/>
      <c r="V958" s="20"/>
      <c r="W958" s="20"/>
      <c r="X958" s="20"/>
      <c r="Y958" s="20"/>
      <c r="Z958" s="20"/>
      <c r="AA958" s="20"/>
      <c r="AB958" s="20"/>
      <c r="AC958" s="20"/>
      <c r="AD958" s="20"/>
    </row>
    <row r="959" spans="1:30" ht="13.5" customHeight="1" x14ac:dyDescent="0.25">
      <c r="A959" s="25"/>
      <c r="B959" s="25"/>
      <c r="C959" s="26" t="s">
        <v>119</v>
      </c>
      <c r="D959" s="26">
        <v>7003</v>
      </c>
      <c r="E959" s="27" t="str">
        <f>INDEX([1]道具配置表!$D:$D,MATCH(D959,[1]道具配置表!$A:$A,0))</f>
        <v>1银币（立即使用，不进背包）</v>
      </c>
      <c r="F959" s="26">
        <v>370</v>
      </c>
      <c r="G959" s="25"/>
      <c r="H959" s="25"/>
      <c r="I959" s="25"/>
      <c r="J959" s="25"/>
      <c r="K959" s="25">
        <v>1</v>
      </c>
      <c r="L959" s="25"/>
      <c r="M959" s="25" t="b">
        <v>1</v>
      </c>
      <c r="N959" s="25"/>
      <c r="V959" s="20"/>
      <c r="W959" s="20"/>
      <c r="X959" s="20"/>
      <c r="Y959" s="20"/>
      <c r="Z959" s="20"/>
      <c r="AA959" s="20"/>
      <c r="AB959" s="20"/>
      <c r="AC959" s="20"/>
      <c r="AD959" s="20"/>
    </row>
    <row r="960" spans="1:30" ht="13.5" customHeight="1" x14ac:dyDescent="0.25">
      <c r="A960" s="25"/>
      <c r="B960" s="25"/>
      <c r="C960" s="26" t="s">
        <v>119</v>
      </c>
      <c r="D960" s="26">
        <v>6105</v>
      </c>
      <c r="E960" s="27" t="str">
        <f>INDEX([1]道具配置表!$D:$D,MATCH(D960,[1]道具配置表!$A:$A,0))</f>
        <v>60分钟通用加速</v>
      </c>
      <c r="F960" s="26">
        <v>1</v>
      </c>
      <c r="G960" s="25"/>
      <c r="H960" s="25"/>
      <c r="I960" s="25"/>
      <c r="J960" s="25"/>
      <c r="K960" s="25">
        <v>1</v>
      </c>
      <c r="L960" s="25"/>
      <c r="M960" s="25" t="b">
        <v>1</v>
      </c>
      <c r="N960" s="25"/>
      <c r="V960" s="20"/>
      <c r="W960" s="20"/>
      <c r="X960" s="20"/>
      <c r="Y960" s="20"/>
      <c r="Z960" s="20"/>
      <c r="AA960" s="20"/>
      <c r="AB960" s="20"/>
      <c r="AC960" s="20"/>
      <c r="AD960" s="20"/>
    </row>
    <row r="961" spans="1:30" ht="13.5" customHeight="1" x14ac:dyDescent="0.25">
      <c r="A961" s="25">
        <v>6605228</v>
      </c>
      <c r="B961" s="25" t="s">
        <v>325</v>
      </c>
      <c r="C961" s="26" t="s">
        <v>119</v>
      </c>
      <c r="D961" s="27">
        <v>222</v>
      </c>
      <c r="E961" s="27" t="str">
        <f>INDEX([1]道具配置表!$D:$D,MATCH(D961,[1]道具配置表!$A:$A,0))</f>
        <v>1千食物</v>
      </c>
      <c r="F961" s="27">
        <v>75</v>
      </c>
      <c r="G961" s="25"/>
      <c r="H961" s="25"/>
      <c r="I961" s="25"/>
      <c r="J961" s="25"/>
      <c r="K961" s="25">
        <v>1</v>
      </c>
      <c r="L961" s="25"/>
      <c r="M961" s="25" t="b">
        <v>1</v>
      </c>
      <c r="N961" s="25"/>
      <c r="V961" s="20"/>
      <c r="W961" s="20"/>
      <c r="X961" s="20"/>
      <c r="Y961" s="20"/>
      <c r="Z961" s="20"/>
      <c r="AA961" s="20"/>
      <c r="AB961" s="20"/>
      <c r="AC961" s="20"/>
      <c r="AD961" s="20"/>
    </row>
    <row r="962" spans="1:30" ht="13.5" customHeight="1" x14ac:dyDescent="0.25">
      <c r="A962" s="25"/>
      <c r="B962" s="25"/>
      <c r="C962" s="26" t="s">
        <v>119</v>
      </c>
      <c r="D962" s="27">
        <v>221</v>
      </c>
      <c r="E962" s="27" t="str">
        <f>INDEX([1]道具配置表!$D:$D,MATCH(D962,[1]道具配置表!$A:$A,0))</f>
        <v>1千木材</v>
      </c>
      <c r="F962" s="27">
        <v>75</v>
      </c>
      <c r="G962" s="25"/>
      <c r="H962" s="25"/>
      <c r="I962" s="25"/>
      <c r="J962" s="25"/>
      <c r="K962" s="25">
        <v>1</v>
      </c>
      <c r="L962" s="25"/>
      <c r="M962" s="25" t="b">
        <v>1</v>
      </c>
      <c r="N962" s="25"/>
      <c r="V962" s="20"/>
      <c r="W962" s="20"/>
      <c r="X962" s="20"/>
      <c r="Y962" s="20"/>
      <c r="Z962" s="20"/>
      <c r="AA962" s="20"/>
      <c r="AB962" s="20"/>
      <c r="AC962" s="20"/>
      <c r="AD962" s="20"/>
    </row>
    <row r="963" spans="1:30" ht="13.5" customHeight="1" x14ac:dyDescent="0.25">
      <c r="A963" s="25"/>
      <c r="B963" s="25"/>
      <c r="C963" s="26" t="s">
        <v>119</v>
      </c>
      <c r="D963" s="27">
        <v>223</v>
      </c>
      <c r="E963" s="27" t="str">
        <f>INDEX([1]道具配置表!$D:$D,MATCH(D963,[1]道具配置表!$A:$A,0))</f>
        <v>1千石头</v>
      </c>
      <c r="F963" s="27">
        <v>75</v>
      </c>
      <c r="G963" s="25"/>
      <c r="H963" s="25"/>
      <c r="I963" s="25"/>
      <c r="J963" s="25"/>
      <c r="K963" s="25">
        <v>1</v>
      </c>
      <c r="L963" s="25"/>
      <c r="M963" s="25" t="b">
        <v>1</v>
      </c>
      <c r="N963" s="25"/>
      <c r="V963" s="20"/>
      <c r="W963" s="20"/>
      <c r="X963" s="20"/>
      <c r="Y963" s="20"/>
      <c r="Z963" s="20"/>
      <c r="AA963" s="20"/>
      <c r="AB963" s="20"/>
      <c r="AC963" s="20"/>
      <c r="AD963" s="20"/>
    </row>
    <row r="964" spans="1:30" ht="13.5" customHeight="1" x14ac:dyDescent="0.25">
      <c r="A964" s="25"/>
      <c r="B964" s="25"/>
      <c r="C964" s="26" t="s">
        <v>119</v>
      </c>
      <c r="D964" s="27">
        <v>224</v>
      </c>
      <c r="E964" s="27" t="str">
        <f>INDEX([1]道具配置表!$D:$D,MATCH(D964,[1]道具配置表!$A:$A,0))</f>
        <v>1千黄金</v>
      </c>
      <c r="F964" s="27">
        <v>75</v>
      </c>
      <c r="G964" s="25"/>
      <c r="H964" s="25"/>
      <c r="I964" s="25"/>
      <c r="J964" s="25"/>
      <c r="K964" s="25">
        <v>1</v>
      </c>
      <c r="L964" s="25"/>
      <c r="M964" s="25" t="b">
        <v>1</v>
      </c>
      <c r="N964" s="25"/>
      <c r="V964" s="20"/>
      <c r="W964" s="20"/>
      <c r="X964" s="20"/>
      <c r="Y964" s="20"/>
      <c r="Z964" s="20"/>
      <c r="AA964" s="20"/>
      <c r="AB964" s="20"/>
      <c r="AC964" s="20"/>
      <c r="AD964" s="20"/>
    </row>
    <row r="965" spans="1:30" ht="13.5" customHeight="1" x14ac:dyDescent="0.25">
      <c r="A965" s="25"/>
      <c r="B965" s="25"/>
      <c r="C965" s="26" t="s">
        <v>119</v>
      </c>
      <c r="D965" s="26">
        <v>7003</v>
      </c>
      <c r="E965" s="27" t="str">
        <f>INDEX([1]道具配置表!$D:$D,MATCH(D965,[1]道具配置表!$A:$A,0))</f>
        <v>1银币（立即使用，不进背包）</v>
      </c>
      <c r="F965" s="26">
        <v>380</v>
      </c>
      <c r="G965" s="25"/>
      <c r="H965" s="25"/>
      <c r="I965" s="25"/>
      <c r="J965" s="25"/>
      <c r="K965" s="25">
        <v>1</v>
      </c>
      <c r="L965" s="25"/>
      <c r="M965" s="25" t="b">
        <v>1</v>
      </c>
      <c r="N965" s="25"/>
      <c r="V965" s="20"/>
      <c r="W965" s="20"/>
      <c r="X965" s="20"/>
      <c r="Y965" s="20"/>
      <c r="Z965" s="20"/>
      <c r="AA965" s="20"/>
      <c r="AB965" s="20"/>
      <c r="AC965" s="20"/>
      <c r="AD965" s="20"/>
    </row>
    <row r="966" spans="1:30" ht="13.5" customHeight="1" x14ac:dyDescent="0.25">
      <c r="A966" s="25"/>
      <c r="B966" s="25"/>
      <c r="C966" s="26" t="s">
        <v>119</v>
      </c>
      <c r="D966" s="26">
        <v>6105</v>
      </c>
      <c r="E966" s="27" t="str">
        <f>INDEX([1]道具配置表!$D:$D,MATCH(D966,[1]道具配置表!$A:$A,0))</f>
        <v>60分钟通用加速</v>
      </c>
      <c r="F966" s="26">
        <v>1</v>
      </c>
      <c r="G966" s="25"/>
      <c r="H966" s="25"/>
      <c r="I966" s="25"/>
      <c r="J966" s="25"/>
      <c r="K966" s="25">
        <v>1</v>
      </c>
      <c r="L966" s="25"/>
      <c r="M966" s="25" t="b">
        <v>1</v>
      </c>
      <c r="N966" s="25"/>
      <c r="V966" s="20"/>
      <c r="W966" s="20"/>
      <c r="X966" s="20"/>
      <c r="Y966" s="20"/>
      <c r="Z966" s="20"/>
      <c r="AA966" s="20"/>
      <c r="AB966" s="20"/>
      <c r="AC966" s="20"/>
      <c r="AD966" s="20"/>
    </row>
    <row r="967" spans="1:30" ht="13.5" customHeight="1" x14ac:dyDescent="0.25">
      <c r="A967" s="25">
        <v>6605229</v>
      </c>
      <c r="B967" s="25" t="s">
        <v>326</v>
      </c>
      <c r="C967" s="26" t="s">
        <v>119</v>
      </c>
      <c r="D967" s="27">
        <v>222</v>
      </c>
      <c r="E967" s="27" t="str">
        <f>INDEX([1]道具配置表!$D:$D,MATCH(D967,[1]道具配置表!$A:$A,0))</f>
        <v>1千食物</v>
      </c>
      <c r="F967" s="27">
        <v>80</v>
      </c>
      <c r="G967" s="25"/>
      <c r="H967" s="25"/>
      <c r="I967" s="25"/>
      <c r="J967" s="25"/>
      <c r="K967" s="43">
        <v>1</v>
      </c>
      <c r="L967" s="43"/>
      <c r="M967" s="43" t="b">
        <v>1</v>
      </c>
      <c r="N967" s="25"/>
      <c r="V967" s="20"/>
      <c r="W967" s="20"/>
      <c r="X967" s="20"/>
      <c r="Y967" s="20"/>
      <c r="Z967" s="20"/>
      <c r="AA967" s="20"/>
      <c r="AB967" s="20"/>
      <c r="AC967" s="20"/>
      <c r="AD967" s="20"/>
    </row>
    <row r="968" spans="1:30" ht="13.5" customHeight="1" x14ac:dyDescent="0.25">
      <c r="A968" s="25"/>
      <c r="B968" s="25"/>
      <c r="C968" s="26" t="s">
        <v>119</v>
      </c>
      <c r="D968" s="27">
        <v>221</v>
      </c>
      <c r="E968" s="27" t="str">
        <f>INDEX([1]道具配置表!$D:$D,MATCH(D968,[1]道具配置表!$A:$A,0))</f>
        <v>1千木材</v>
      </c>
      <c r="F968" s="27">
        <v>80</v>
      </c>
      <c r="G968" s="25"/>
      <c r="H968" s="25"/>
      <c r="I968" s="25"/>
      <c r="J968" s="25"/>
      <c r="K968" s="43">
        <v>1</v>
      </c>
      <c r="L968" s="43"/>
      <c r="M968" s="43" t="b">
        <v>1</v>
      </c>
      <c r="N968" s="25"/>
      <c r="V968" s="20"/>
      <c r="W968" s="20"/>
      <c r="X968" s="20"/>
      <c r="Y968" s="20"/>
      <c r="Z968" s="20"/>
      <c r="AA968" s="20"/>
      <c r="AB968" s="20"/>
      <c r="AC968" s="20"/>
      <c r="AD968" s="20"/>
    </row>
    <row r="969" spans="1:30" ht="13.5" customHeight="1" x14ac:dyDescent="0.25">
      <c r="A969" s="25"/>
      <c r="B969" s="25"/>
      <c r="C969" s="26" t="s">
        <v>119</v>
      </c>
      <c r="D969" s="27">
        <v>223</v>
      </c>
      <c r="E969" s="27" t="str">
        <f>INDEX([1]道具配置表!$D:$D,MATCH(D969,[1]道具配置表!$A:$A,0))</f>
        <v>1千石头</v>
      </c>
      <c r="F969" s="27">
        <v>80</v>
      </c>
      <c r="G969" s="25"/>
      <c r="H969" s="25"/>
      <c r="I969" s="25"/>
      <c r="J969" s="25"/>
      <c r="K969" s="43">
        <v>1</v>
      </c>
      <c r="L969" s="43"/>
      <c r="M969" s="43" t="b">
        <v>1</v>
      </c>
      <c r="N969" s="25"/>
      <c r="V969" s="20"/>
      <c r="W969" s="20"/>
      <c r="X969" s="20"/>
      <c r="Y969" s="20"/>
      <c r="Z969" s="20"/>
      <c r="AA969" s="20"/>
      <c r="AB969" s="20"/>
      <c r="AC969" s="20"/>
      <c r="AD969" s="20"/>
    </row>
    <row r="970" spans="1:30" ht="13.5" customHeight="1" x14ac:dyDescent="0.25">
      <c r="A970" s="25"/>
      <c r="B970" s="25"/>
      <c r="C970" s="26" t="s">
        <v>119</v>
      </c>
      <c r="D970" s="27">
        <v>224</v>
      </c>
      <c r="E970" s="27" t="str">
        <f>INDEX([1]道具配置表!$D:$D,MATCH(D970,[1]道具配置表!$A:$A,0))</f>
        <v>1千黄金</v>
      </c>
      <c r="F970" s="27">
        <v>80</v>
      </c>
      <c r="G970" s="25"/>
      <c r="H970" s="25"/>
      <c r="I970" s="25"/>
      <c r="J970" s="25"/>
      <c r="K970" s="43">
        <v>1</v>
      </c>
      <c r="L970" s="43"/>
      <c r="M970" s="43" t="b">
        <v>1</v>
      </c>
      <c r="N970" s="25"/>
      <c r="V970" s="20"/>
      <c r="W970" s="20"/>
      <c r="X970" s="20"/>
      <c r="Y970" s="20"/>
      <c r="Z970" s="20"/>
      <c r="AA970" s="20"/>
      <c r="AB970" s="20"/>
      <c r="AC970" s="20"/>
      <c r="AD970" s="20"/>
    </row>
    <row r="971" spans="1:30" ht="13.5" customHeight="1" x14ac:dyDescent="0.25">
      <c r="A971" s="25"/>
      <c r="B971" s="25"/>
      <c r="C971" s="26" t="s">
        <v>119</v>
      </c>
      <c r="D971" s="26">
        <v>7003</v>
      </c>
      <c r="E971" s="27" t="str">
        <f>INDEX([1]道具配置表!$D:$D,MATCH(D971,[1]道具配置表!$A:$A,0))</f>
        <v>1银币（立即使用，不进背包）</v>
      </c>
      <c r="F971" s="26">
        <v>390</v>
      </c>
      <c r="G971" s="25"/>
      <c r="H971" s="25"/>
      <c r="I971" s="25"/>
      <c r="J971" s="25"/>
      <c r="K971" s="43">
        <v>1</v>
      </c>
      <c r="L971" s="43"/>
      <c r="M971" s="43" t="b">
        <v>1</v>
      </c>
      <c r="N971" s="25"/>
      <c r="V971" s="20"/>
      <c r="W971" s="20"/>
      <c r="X971" s="20"/>
      <c r="Y971" s="20"/>
      <c r="Z971" s="20"/>
      <c r="AA971" s="20"/>
      <c r="AB971" s="20"/>
      <c r="AC971" s="20"/>
      <c r="AD971" s="20"/>
    </row>
    <row r="972" spans="1:30" ht="13.5" customHeight="1" x14ac:dyDescent="0.25">
      <c r="A972" s="25"/>
      <c r="B972" s="25"/>
      <c r="C972" s="26" t="s">
        <v>119</v>
      </c>
      <c r="D972" s="26">
        <v>6105</v>
      </c>
      <c r="E972" s="27" t="str">
        <f>INDEX([1]道具配置表!$D:$D,MATCH(D972,[1]道具配置表!$A:$A,0))</f>
        <v>60分钟通用加速</v>
      </c>
      <c r="F972" s="26">
        <v>1</v>
      </c>
      <c r="G972" s="25"/>
      <c r="H972" s="25"/>
      <c r="I972" s="25"/>
      <c r="J972" s="25"/>
      <c r="K972" s="43">
        <v>1</v>
      </c>
      <c r="L972" s="43"/>
      <c r="M972" s="43" t="b">
        <v>1</v>
      </c>
      <c r="N972" s="25"/>
      <c r="V972" s="20"/>
      <c r="W972" s="20"/>
      <c r="X972" s="20"/>
      <c r="Y972" s="20"/>
      <c r="Z972" s="20"/>
      <c r="AA972" s="20"/>
      <c r="AB972" s="20"/>
      <c r="AC972" s="20"/>
      <c r="AD972" s="20"/>
    </row>
    <row r="973" spans="1:30" ht="13.5" customHeight="1" x14ac:dyDescent="0.25">
      <c r="A973" s="25">
        <v>6605230</v>
      </c>
      <c r="B973" s="25" t="s">
        <v>327</v>
      </c>
      <c r="C973" s="26" t="s">
        <v>119</v>
      </c>
      <c r="D973" s="27">
        <v>222</v>
      </c>
      <c r="E973" s="27" t="str">
        <f>INDEX([1]道具配置表!$D:$D,MATCH(D973,[1]道具配置表!$A:$A,0))</f>
        <v>1千食物</v>
      </c>
      <c r="F973" s="27">
        <v>80</v>
      </c>
      <c r="G973" s="25"/>
      <c r="H973" s="25"/>
      <c r="I973" s="25"/>
      <c r="J973" s="25"/>
      <c r="K973" s="43">
        <v>1</v>
      </c>
      <c r="L973" s="43"/>
      <c r="M973" s="43" t="b">
        <v>1</v>
      </c>
      <c r="N973" s="25"/>
      <c r="V973" s="20"/>
      <c r="W973" s="20"/>
      <c r="X973" s="20"/>
      <c r="Y973" s="20"/>
      <c r="Z973" s="20"/>
      <c r="AA973" s="20"/>
      <c r="AB973" s="20"/>
      <c r="AC973" s="20"/>
      <c r="AD973" s="20"/>
    </row>
    <row r="974" spans="1:30" ht="13.5" customHeight="1" x14ac:dyDescent="0.25">
      <c r="A974" s="25"/>
      <c r="B974" s="25"/>
      <c r="C974" s="26" t="s">
        <v>119</v>
      </c>
      <c r="D974" s="27">
        <v>221</v>
      </c>
      <c r="E974" s="27" t="str">
        <f>INDEX([1]道具配置表!$D:$D,MATCH(D974,[1]道具配置表!$A:$A,0))</f>
        <v>1千木材</v>
      </c>
      <c r="F974" s="27">
        <v>80</v>
      </c>
      <c r="G974" s="25"/>
      <c r="H974" s="25"/>
      <c r="I974" s="25"/>
      <c r="J974" s="25"/>
      <c r="K974" s="43">
        <v>1</v>
      </c>
      <c r="L974" s="43"/>
      <c r="M974" s="43" t="b">
        <v>1</v>
      </c>
      <c r="N974" s="25"/>
      <c r="V974" s="20"/>
      <c r="W974" s="20"/>
      <c r="X974" s="20"/>
      <c r="Y974" s="20"/>
      <c r="Z974" s="20"/>
      <c r="AA974" s="20"/>
      <c r="AB974" s="20"/>
      <c r="AC974" s="20"/>
      <c r="AD974" s="20"/>
    </row>
    <row r="975" spans="1:30" ht="13.5" customHeight="1" x14ac:dyDescent="0.25">
      <c r="A975" s="25"/>
      <c r="B975" s="25"/>
      <c r="C975" s="26" t="s">
        <v>119</v>
      </c>
      <c r="D975" s="27">
        <v>223</v>
      </c>
      <c r="E975" s="27" t="str">
        <f>INDEX([1]道具配置表!$D:$D,MATCH(D975,[1]道具配置表!$A:$A,0))</f>
        <v>1千石头</v>
      </c>
      <c r="F975" s="27">
        <v>80</v>
      </c>
      <c r="G975" s="25"/>
      <c r="H975" s="25"/>
      <c r="I975" s="25"/>
      <c r="J975" s="25"/>
      <c r="K975" s="43">
        <v>1</v>
      </c>
      <c r="L975" s="43"/>
      <c r="M975" s="43" t="b">
        <v>1</v>
      </c>
      <c r="N975" s="25"/>
      <c r="V975" s="20"/>
      <c r="W975" s="20"/>
      <c r="X975" s="20"/>
      <c r="Y975" s="20"/>
      <c r="Z975" s="20"/>
      <c r="AA975" s="20"/>
      <c r="AB975" s="20"/>
      <c r="AC975" s="20"/>
      <c r="AD975" s="20"/>
    </row>
    <row r="976" spans="1:30" ht="13.5" customHeight="1" x14ac:dyDescent="0.25">
      <c r="A976" s="25"/>
      <c r="B976" s="25"/>
      <c r="C976" s="26" t="s">
        <v>119</v>
      </c>
      <c r="D976" s="27">
        <v>224</v>
      </c>
      <c r="E976" s="27" t="str">
        <f>INDEX([1]道具配置表!$D:$D,MATCH(D976,[1]道具配置表!$A:$A,0))</f>
        <v>1千黄金</v>
      </c>
      <c r="F976" s="27">
        <v>80</v>
      </c>
      <c r="G976" s="25"/>
      <c r="H976" s="25"/>
      <c r="I976" s="25"/>
      <c r="J976" s="25"/>
      <c r="K976" s="43">
        <v>1</v>
      </c>
      <c r="L976" s="43"/>
      <c r="M976" s="43" t="b">
        <v>1</v>
      </c>
      <c r="N976" s="25"/>
      <c r="V976" s="20"/>
      <c r="W976" s="20"/>
      <c r="X976" s="20"/>
      <c r="Y976" s="20"/>
      <c r="Z976" s="20"/>
      <c r="AA976" s="20"/>
      <c r="AB976" s="20"/>
      <c r="AC976" s="20"/>
      <c r="AD976" s="20"/>
    </row>
    <row r="977" spans="1:30" ht="13.5" customHeight="1" x14ac:dyDescent="0.25">
      <c r="A977" s="25"/>
      <c r="B977" s="25"/>
      <c r="C977" s="26" t="s">
        <v>119</v>
      </c>
      <c r="D977" s="26">
        <v>7003</v>
      </c>
      <c r="E977" s="27" t="str">
        <f>INDEX([1]道具配置表!$D:$D,MATCH(D977,[1]道具配置表!$A:$A,0))</f>
        <v>1银币（立即使用，不进背包）</v>
      </c>
      <c r="F977" s="26">
        <v>400</v>
      </c>
      <c r="G977" s="25"/>
      <c r="H977" s="25"/>
      <c r="I977" s="25"/>
      <c r="J977" s="25"/>
      <c r="K977" s="43">
        <v>1</v>
      </c>
      <c r="L977" s="43"/>
      <c r="M977" s="43" t="b">
        <v>1</v>
      </c>
      <c r="N977" s="25"/>
      <c r="V977" s="20"/>
      <c r="W977" s="20"/>
      <c r="X977" s="20"/>
      <c r="Y977" s="20"/>
      <c r="Z977" s="20"/>
      <c r="AA977" s="20"/>
      <c r="AB977" s="20"/>
      <c r="AC977" s="20"/>
      <c r="AD977" s="20"/>
    </row>
    <row r="978" spans="1:30" ht="13.5" customHeight="1" x14ac:dyDescent="0.25">
      <c r="A978" s="25"/>
      <c r="B978" s="25"/>
      <c r="C978" s="26" t="s">
        <v>119</v>
      </c>
      <c r="D978" s="26">
        <v>6105</v>
      </c>
      <c r="E978" s="27" t="str">
        <f>INDEX([1]道具配置表!$D:$D,MATCH(D978,[1]道具配置表!$A:$A,0))</f>
        <v>60分钟通用加速</v>
      </c>
      <c r="F978" s="26">
        <v>1</v>
      </c>
      <c r="G978" s="25"/>
      <c r="H978" s="25"/>
      <c r="I978" s="25"/>
      <c r="J978" s="25"/>
      <c r="K978" s="43">
        <v>1</v>
      </c>
      <c r="L978" s="43"/>
      <c r="M978" s="43" t="b">
        <v>1</v>
      </c>
      <c r="N978" s="25"/>
      <c r="V978" s="20"/>
      <c r="W978" s="20"/>
      <c r="X978" s="20"/>
      <c r="Y978" s="20"/>
      <c r="Z978" s="20"/>
      <c r="AA978" s="20"/>
      <c r="AB978" s="20"/>
      <c r="AC978" s="20"/>
      <c r="AD978" s="20"/>
    </row>
    <row r="979" spans="1:30" ht="13.5" customHeight="1" x14ac:dyDescent="0.25">
      <c r="A979" s="28">
        <v>6606101</v>
      </c>
      <c r="B979" s="28" t="s">
        <v>328</v>
      </c>
      <c r="C979" s="28" t="s">
        <v>119</v>
      </c>
      <c r="D979" s="28">
        <v>232</v>
      </c>
      <c r="E979" s="28" t="str">
        <f>INDEX([1]道具配置表!$D:$D,MATCH(D979,[1]道具配置表!$A:$A,0))</f>
        <v>1万食物</v>
      </c>
      <c r="F979" s="28">
        <v>10</v>
      </c>
      <c r="G979" s="28"/>
      <c r="H979" s="28"/>
      <c r="I979" s="28"/>
      <c r="J979" s="28"/>
      <c r="K979" s="43">
        <v>1</v>
      </c>
      <c r="L979" s="43"/>
      <c r="M979" s="43" t="b">
        <v>1</v>
      </c>
      <c r="N979" s="28"/>
      <c r="V979" s="20"/>
      <c r="W979" s="20"/>
      <c r="X979" s="20"/>
      <c r="Y979" s="20"/>
      <c r="Z979" s="20"/>
      <c r="AA979" s="20"/>
      <c r="AB979" s="20"/>
      <c r="AC979" s="20"/>
      <c r="AD979" s="20"/>
    </row>
    <row r="980" spans="1:30" ht="13.5" customHeight="1" x14ac:dyDescent="0.25">
      <c r="A980" s="28"/>
      <c r="B980" s="28"/>
      <c r="C980" s="28" t="s">
        <v>119</v>
      </c>
      <c r="D980" s="28">
        <v>231</v>
      </c>
      <c r="E980" s="28" t="str">
        <f>INDEX([1]道具配置表!$D:$D,MATCH(D980,[1]道具配置表!$A:$A,0))</f>
        <v>1万木材</v>
      </c>
      <c r="F980" s="28">
        <v>10</v>
      </c>
      <c r="G980" s="28"/>
      <c r="H980" s="28"/>
      <c r="I980" s="28"/>
      <c r="J980" s="28"/>
      <c r="K980" s="43">
        <v>1</v>
      </c>
      <c r="L980" s="43"/>
      <c r="M980" s="43" t="b">
        <v>1</v>
      </c>
      <c r="N980" s="28"/>
      <c r="V980" s="20"/>
      <c r="W980" s="20"/>
      <c r="X980" s="20"/>
      <c r="Y980" s="20"/>
      <c r="Z980" s="20"/>
      <c r="AA980" s="20"/>
      <c r="AB980" s="20"/>
      <c r="AC980" s="20"/>
      <c r="AD980" s="20"/>
    </row>
    <row r="981" spans="1:30" ht="13.5" customHeight="1" x14ac:dyDescent="0.25">
      <c r="A981" s="28"/>
      <c r="B981" s="28"/>
      <c r="C981" s="28" t="s">
        <v>119</v>
      </c>
      <c r="D981" s="28">
        <v>233</v>
      </c>
      <c r="E981" s="28" t="str">
        <f>INDEX([1]道具配置表!$D:$D,MATCH(D981,[1]道具配置表!$A:$A,0))</f>
        <v>1万石头</v>
      </c>
      <c r="F981" s="28">
        <v>10</v>
      </c>
      <c r="G981" s="28"/>
      <c r="H981" s="28"/>
      <c r="I981" s="28"/>
      <c r="J981" s="28"/>
      <c r="K981" s="43">
        <v>1</v>
      </c>
      <c r="L981" s="43"/>
      <c r="M981" s="43" t="b">
        <v>1</v>
      </c>
      <c r="N981" s="28"/>
      <c r="V981" s="20"/>
      <c r="W981" s="20"/>
      <c r="X981" s="20"/>
      <c r="Y981" s="20"/>
      <c r="Z981" s="20"/>
      <c r="AA981" s="20"/>
      <c r="AB981" s="20"/>
      <c r="AC981" s="20"/>
      <c r="AD981" s="20"/>
    </row>
    <row r="982" spans="1:30" ht="13.5" customHeight="1" x14ac:dyDescent="0.25">
      <c r="A982" s="28"/>
      <c r="B982" s="28"/>
      <c r="C982" s="28" t="s">
        <v>119</v>
      </c>
      <c r="D982" s="28">
        <v>234</v>
      </c>
      <c r="E982" s="28" t="str">
        <f>INDEX([1]道具配置表!$D:$D,MATCH(D982,[1]道具配置表!$A:$A,0))</f>
        <v>1万黄金</v>
      </c>
      <c r="F982" s="28">
        <v>10</v>
      </c>
      <c r="G982" s="28"/>
      <c r="H982" s="28"/>
      <c r="I982" s="28"/>
      <c r="J982" s="28"/>
      <c r="K982" s="43">
        <v>1</v>
      </c>
      <c r="L982" s="43"/>
      <c r="M982" s="43" t="b">
        <v>1</v>
      </c>
      <c r="N982" s="28"/>
      <c r="V982" s="20"/>
      <c r="W982" s="20"/>
      <c r="X982" s="20"/>
      <c r="Y982" s="20"/>
      <c r="Z982" s="20"/>
      <c r="AA982" s="20"/>
      <c r="AB982" s="20"/>
      <c r="AC982" s="20"/>
      <c r="AD982" s="20"/>
    </row>
    <row r="983" spans="1:30" ht="13.5" customHeight="1" x14ac:dyDescent="0.25">
      <c r="A983" s="28"/>
      <c r="B983" s="28"/>
      <c r="C983" s="28" t="s">
        <v>119</v>
      </c>
      <c r="D983" s="28">
        <v>7100</v>
      </c>
      <c r="E983" s="28" t="str">
        <f>INDEX([1]道具配置表!$D:$D,MATCH(D983,[1]道具配置表!$A:$A,0))</f>
        <v>联盟币</v>
      </c>
      <c r="F983" s="28">
        <v>500</v>
      </c>
      <c r="G983" s="28"/>
      <c r="H983" s="28"/>
      <c r="I983" s="28"/>
      <c r="J983" s="28"/>
      <c r="K983" s="43">
        <v>1</v>
      </c>
      <c r="L983" s="43"/>
      <c r="M983" s="43" t="b">
        <v>1</v>
      </c>
      <c r="N983" s="28"/>
      <c r="V983" s="20"/>
      <c r="W983" s="20"/>
      <c r="X983" s="20"/>
      <c r="Y983" s="20"/>
      <c r="Z983" s="20"/>
      <c r="AA983" s="20"/>
      <c r="AB983" s="20"/>
      <c r="AC983" s="20"/>
      <c r="AD983" s="20"/>
    </row>
    <row r="984" spans="1:30" ht="13.5" customHeight="1" x14ac:dyDescent="0.25">
      <c r="A984" s="43"/>
      <c r="B984" s="43"/>
      <c r="C984" s="43"/>
      <c r="D984" s="43">
        <v>2061</v>
      </c>
      <c r="E984" s="43" t="str">
        <f>INDEX([1]道具配置表!$D:$D,MATCH(D984,[1]道具配置表!$A:$A,0))</f>
        <v>伟大蓝图</v>
      </c>
      <c r="F984" s="43">
        <v>10</v>
      </c>
      <c r="G984" s="43"/>
      <c r="H984" s="43"/>
      <c r="I984" s="43"/>
      <c r="J984" s="43"/>
      <c r="K984" s="43">
        <v>1</v>
      </c>
      <c r="L984" s="43"/>
      <c r="M984" s="43" t="b">
        <v>1</v>
      </c>
      <c r="N984" s="43"/>
      <c r="V984" s="20"/>
      <c r="W984" s="20"/>
      <c r="X984" s="20"/>
      <c r="Y984" s="20"/>
      <c r="Z984" s="20"/>
      <c r="AA984" s="20"/>
      <c r="AB984" s="20"/>
      <c r="AC984" s="20"/>
      <c r="AD984" s="20"/>
    </row>
    <row r="985" spans="1:30" ht="13.5" customHeight="1" x14ac:dyDescent="0.25">
      <c r="A985" s="28">
        <f>A979+1</f>
        <v>6606102</v>
      </c>
      <c r="B985" s="28" t="s">
        <v>329</v>
      </c>
      <c r="C985" s="28" t="s">
        <v>119</v>
      </c>
      <c r="D985" s="28">
        <v>232</v>
      </c>
      <c r="E985" s="28" t="str">
        <f>INDEX([1]道具配置表!$D:$D,MATCH(D985,[1]道具配置表!$A:$A,0))</f>
        <v>1万食物</v>
      </c>
      <c r="F985" s="28">
        <f>F979+10</f>
        <v>20</v>
      </c>
      <c r="G985" s="28"/>
      <c r="H985" s="28"/>
      <c r="I985" s="28"/>
      <c r="J985" s="28"/>
      <c r="K985" s="43">
        <v>1</v>
      </c>
      <c r="L985" s="43"/>
      <c r="M985" s="43" t="b">
        <v>1</v>
      </c>
      <c r="N985" s="28"/>
      <c r="V985" s="20"/>
      <c r="W985" s="20"/>
      <c r="X985" s="20"/>
      <c r="Y985" s="20"/>
      <c r="Z985" s="20"/>
      <c r="AA985" s="20"/>
      <c r="AB985" s="20"/>
      <c r="AC985" s="20"/>
      <c r="AD985" s="20"/>
    </row>
    <row r="986" spans="1:30" ht="13.5" customHeight="1" x14ac:dyDescent="0.25">
      <c r="A986" s="28"/>
      <c r="B986" s="28"/>
      <c r="C986" s="28" t="s">
        <v>119</v>
      </c>
      <c r="D986" s="28">
        <v>231</v>
      </c>
      <c r="E986" s="28" t="str">
        <f>INDEX([1]道具配置表!$D:$D,MATCH(D986,[1]道具配置表!$A:$A,0))</f>
        <v>1万木材</v>
      </c>
      <c r="F986" s="28">
        <f>F980+10</f>
        <v>20</v>
      </c>
      <c r="G986" s="28"/>
      <c r="H986" s="28"/>
      <c r="I986" s="28"/>
      <c r="J986" s="28"/>
      <c r="K986" s="43">
        <v>1</v>
      </c>
      <c r="L986" s="43"/>
      <c r="M986" s="43" t="b">
        <v>1</v>
      </c>
      <c r="N986" s="28"/>
      <c r="V986" s="20"/>
      <c r="W986" s="20"/>
      <c r="X986" s="20"/>
      <c r="Y986" s="20"/>
      <c r="Z986" s="20"/>
      <c r="AA986" s="20"/>
      <c r="AB986" s="20"/>
      <c r="AC986" s="20"/>
      <c r="AD986" s="20"/>
    </row>
    <row r="987" spans="1:30" ht="13.5" customHeight="1" x14ac:dyDescent="0.25">
      <c r="A987" s="28"/>
      <c r="B987" s="28"/>
      <c r="C987" s="28" t="s">
        <v>119</v>
      </c>
      <c r="D987" s="28">
        <v>233</v>
      </c>
      <c r="E987" s="28" t="str">
        <f>INDEX([1]道具配置表!$D:$D,MATCH(D987,[1]道具配置表!$A:$A,0))</f>
        <v>1万石头</v>
      </c>
      <c r="F987" s="28">
        <f>F981+10</f>
        <v>20</v>
      </c>
      <c r="G987" s="28"/>
      <c r="H987" s="28"/>
      <c r="I987" s="28"/>
      <c r="J987" s="28"/>
      <c r="K987" s="43">
        <v>1</v>
      </c>
      <c r="L987" s="43"/>
      <c r="M987" s="43" t="b">
        <v>1</v>
      </c>
      <c r="N987" s="28"/>
      <c r="V987" s="20"/>
      <c r="W987" s="20"/>
      <c r="X987" s="20"/>
      <c r="Y987" s="20"/>
      <c r="Z987" s="20"/>
      <c r="AA987" s="20"/>
      <c r="AB987" s="20"/>
      <c r="AC987" s="20"/>
      <c r="AD987" s="20"/>
    </row>
    <row r="988" spans="1:30" ht="13.5" customHeight="1" x14ac:dyDescent="0.25">
      <c r="A988" s="28"/>
      <c r="B988" s="28"/>
      <c r="C988" s="28" t="s">
        <v>119</v>
      </c>
      <c r="D988" s="28">
        <v>234</v>
      </c>
      <c r="E988" s="28" t="str">
        <f>INDEX([1]道具配置表!$D:$D,MATCH(D988,[1]道具配置表!$A:$A,0))</f>
        <v>1万黄金</v>
      </c>
      <c r="F988" s="28">
        <f>F982+10</f>
        <v>20</v>
      </c>
      <c r="G988" s="28"/>
      <c r="H988" s="28"/>
      <c r="I988" s="28"/>
      <c r="J988" s="28"/>
      <c r="K988" s="43">
        <v>1</v>
      </c>
      <c r="L988" s="43"/>
      <c r="M988" s="43" t="b">
        <v>1</v>
      </c>
      <c r="N988" s="28"/>
      <c r="V988" s="20"/>
      <c r="W988" s="20"/>
      <c r="X988" s="20"/>
      <c r="Y988" s="20"/>
      <c r="Z988" s="20"/>
      <c r="AA988" s="20"/>
      <c r="AB988" s="20"/>
      <c r="AC988" s="20"/>
      <c r="AD988" s="20"/>
    </row>
    <row r="989" spans="1:30" ht="13.5" customHeight="1" x14ac:dyDescent="0.25">
      <c r="A989" s="28"/>
      <c r="B989" s="28"/>
      <c r="C989" s="28" t="s">
        <v>119</v>
      </c>
      <c r="D989" s="28">
        <v>7100</v>
      </c>
      <c r="E989" s="28" t="str">
        <f>INDEX([1]道具配置表!$D:$D,MATCH(D989,[1]道具配置表!$A:$A,0))</f>
        <v>联盟币</v>
      </c>
      <c r="F989" s="28">
        <f>F983+500</f>
        <v>1000</v>
      </c>
      <c r="G989" s="28"/>
      <c r="H989" s="28"/>
      <c r="I989" s="28"/>
      <c r="J989" s="28"/>
      <c r="K989" s="43">
        <v>1</v>
      </c>
      <c r="L989" s="43"/>
      <c r="M989" s="43" t="b">
        <v>1</v>
      </c>
      <c r="N989" s="28"/>
      <c r="V989" s="20"/>
      <c r="W989" s="20"/>
      <c r="X989" s="20"/>
      <c r="Y989" s="20"/>
      <c r="Z989" s="20"/>
      <c r="AA989" s="20"/>
      <c r="AB989" s="20"/>
      <c r="AC989" s="20"/>
      <c r="AD989" s="20"/>
    </row>
    <row r="990" spans="1:30" ht="13.5" customHeight="1" x14ac:dyDescent="0.25">
      <c r="A990" s="43"/>
      <c r="B990" s="43"/>
      <c r="C990" s="43"/>
      <c r="D990" s="43">
        <v>2061</v>
      </c>
      <c r="E990" s="43" t="str">
        <f>INDEX([1]道具配置表!$D:$D,MATCH(D990,[1]道具配置表!$A:$A,0))</f>
        <v>伟大蓝图</v>
      </c>
      <c r="F990" s="43">
        <v>12</v>
      </c>
      <c r="G990" s="43"/>
      <c r="H990" s="43"/>
      <c r="I990" s="43"/>
      <c r="J990" s="43"/>
      <c r="K990" s="43">
        <v>1</v>
      </c>
      <c r="L990" s="43"/>
      <c r="M990" s="43" t="b">
        <v>1</v>
      </c>
      <c r="N990" s="43"/>
      <c r="V990" s="20"/>
      <c r="W990" s="20"/>
      <c r="X990" s="20"/>
      <c r="Y990" s="20"/>
      <c r="Z990" s="20"/>
      <c r="AA990" s="20"/>
      <c r="AB990" s="20"/>
      <c r="AC990" s="20"/>
      <c r="AD990" s="20"/>
    </row>
    <row r="991" spans="1:30" ht="13.5" customHeight="1" x14ac:dyDescent="0.25">
      <c r="A991" s="28">
        <f>A985+1</f>
        <v>6606103</v>
      </c>
      <c r="B991" s="28" t="s">
        <v>331</v>
      </c>
      <c r="C991" s="28" t="s">
        <v>119</v>
      </c>
      <c r="D991" s="28">
        <v>232</v>
      </c>
      <c r="E991" s="28" t="str">
        <f>INDEX([1]道具配置表!$D:$D,MATCH(D991,[1]道具配置表!$A:$A,0))</f>
        <v>1万食物</v>
      </c>
      <c r="F991" s="28">
        <f>F985+10</f>
        <v>30</v>
      </c>
      <c r="G991" s="28"/>
      <c r="H991" s="28"/>
      <c r="I991" s="28"/>
      <c r="J991" s="28"/>
      <c r="K991" s="43">
        <v>1</v>
      </c>
      <c r="L991" s="43"/>
      <c r="M991" s="43" t="b">
        <v>1</v>
      </c>
      <c r="N991" s="28"/>
      <c r="V991" s="20"/>
      <c r="W991" s="20"/>
      <c r="X991" s="20"/>
      <c r="Y991" s="20"/>
      <c r="Z991" s="20"/>
      <c r="AA991" s="20"/>
      <c r="AB991" s="20"/>
      <c r="AC991" s="20"/>
      <c r="AD991" s="20"/>
    </row>
    <row r="992" spans="1:30" ht="13.5" customHeight="1" x14ac:dyDescent="0.25">
      <c r="A992" s="28"/>
      <c r="B992" s="28"/>
      <c r="C992" s="28" t="s">
        <v>119</v>
      </c>
      <c r="D992" s="28">
        <v>231</v>
      </c>
      <c r="E992" s="28" t="str">
        <f>INDEX([1]道具配置表!$D:$D,MATCH(D992,[1]道具配置表!$A:$A,0))</f>
        <v>1万木材</v>
      </c>
      <c r="F992" s="28">
        <f>F986+10</f>
        <v>30</v>
      </c>
      <c r="G992" s="28"/>
      <c r="H992" s="28"/>
      <c r="I992" s="28"/>
      <c r="J992" s="28"/>
      <c r="K992" s="43">
        <v>1</v>
      </c>
      <c r="L992" s="43"/>
      <c r="M992" s="43" t="b">
        <v>1</v>
      </c>
      <c r="N992" s="28"/>
      <c r="V992" s="20"/>
      <c r="W992" s="20"/>
      <c r="X992" s="20"/>
      <c r="Y992" s="20"/>
      <c r="Z992" s="20"/>
      <c r="AA992" s="20"/>
      <c r="AB992" s="20"/>
      <c r="AC992" s="20"/>
      <c r="AD992" s="20"/>
    </row>
    <row r="993" spans="1:30" ht="13.5" customHeight="1" x14ac:dyDescent="0.25">
      <c r="A993" s="28"/>
      <c r="B993" s="28"/>
      <c r="C993" s="28" t="s">
        <v>119</v>
      </c>
      <c r="D993" s="28">
        <v>233</v>
      </c>
      <c r="E993" s="28" t="str">
        <f>INDEX([1]道具配置表!$D:$D,MATCH(D993,[1]道具配置表!$A:$A,0))</f>
        <v>1万石头</v>
      </c>
      <c r="F993" s="28">
        <f>F987+10</f>
        <v>30</v>
      </c>
      <c r="G993" s="28"/>
      <c r="H993" s="28"/>
      <c r="I993" s="28"/>
      <c r="J993" s="28"/>
      <c r="K993" s="43">
        <v>1</v>
      </c>
      <c r="L993" s="43"/>
      <c r="M993" s="43" t="b">
        <v>1</v>
      </c>
      <c r="N993" s="28"/>
      <c r="V993" s="20"/>
      <c r="W993" s="20"/>
      <c r="X993" s="20"/>
      <c r="Y993" s="20"/>
      <c r="Z993" s="20"/>
      <c r="AA993" s="20"/>
      <c r="AB993" s="20"/>
      <c r="AC993" s="20"/>
      <c r="AD993" s="20"/>
    </row>
    <row r="994" spans="1:30" ht="13.5" customHeight="1" x14ac:dyDescent="0.25">
      <c r="A994" s="28"/>
      <c r="B994" s="28"/>
      <c r="C994" s="28" t="s">
        <v>119</v>
      </c>
      <c r="D994" s="28">
        <v>234</v>
      </c>
      <c r="E994" s="28" t="str">
        <f>INDEX([1]道具配置表!$D:$D,MATCH(D994,[1]道具配置表!$A:$A,0))</f>
        <v>1万黄金</v>
      </c>
      <c r="F994" s="28">
        <f>F988+10</f>
        <v>30</v>
      </c>
      <c r="G994" s="28"/>
      <c r="H994" s="28"/>
      <c r="I994" s="28"/>
      <c r="J994" s="28"/>
      <c r="K994" s="43">
        <v>1</v>
      </c>
      <c r="L994" s="43"/>
      <c r="M994" s="43" t="b">
        <v>1</v>
      </c>
      <c r="N994" s="28"/>
      <c r="V994" s="20"/>
      <c r="W994" s="20"/>
      <c r="X994" s="20"/>
      <c r="Y994" s="20"/>
      <c r="Z994" s="20"/>
      <c r="AA994" s="20"/>
      <c r="AB994" s="20"/>
      <c r="AC994" s="20"/>
      <c r="AD994" s="20"/>
    </row>
    <row r="995" spans="1:30" ht="13.5" customHeight="1" x14ac:dyDescent="0.25">
      <c r="A995" s="28"/>
      <c r="B995" s="28"/>
      <c r="C995" s="28" t="s">
        <v>119</v>
      </c>
      <c r="D995" s="28">
        <v>7100</v>
      </c>
      <c r="E995" s="28" t="str">
        <f>INDEX([1]道具配置表!$D:$D,MATCH(D995,[1]道具配置表!$A:$A,0))</f>
        <v>联盟币</v>
      </c>
      <c r="F995" s="28">
        <f>F989+500</f>
        <v>1500</v>
      </c>
      <c r="G995" s="28"/>
      <c r="H995" s="28"/>
      <c r="I995" s="28"/>
      <c r="J995" s="28"/>
      <c r="K995" s="43">
        <v>1</v>
      </c>
      <c r="L995" s="43"/>
      <c r="M995" s="43" t="b">
        <v>1</v>
      </c>
      <c r="N995" s="28"/>
      <c r="V995" s="20"/>
      <c r="W995" s="20"/>
      <c r="X995" s="20"/>
      <c r="Y995" s="20"/>
      <c r="Z995" s="20"/>
      <c r="AA995" s="20"/>
      <c r="AB995" s="20"/>
      <c r="AC995" s="20"/>
      <c r="AD995" s="20"/>
    </row>
    <row r="996" spans="1:30" ht="13.5" customHeight="1" x14ac:dyDescent="0.25">
      <c r="A996" s="43"/>
      <c r="B996" s="43"/>
      <c r="C996" s="43"/>
      <c r="D996" s="43">
        <v>2061</v>
      </c>
      <c r="E996" s="43" t="str">
        <f>INDEX([1]道具配置表!$D:$D,MATCH(D996,[1]道具配置表!$A:$A,0))</f>
        <v>伟大蓝图</v>
      </c>
      <c r="F996" s="43">
        <v>14</v>
      </c>
      <c r="G996" s="43"/>
      <c r="H996" s="43"/>
      <c r="I996" s="43"/>
      <c r="J996" s="43"/>
      <c r="K996" s="43">
        <v>1</v>
      </c>
      <c r="L996" s="43"/>
      <c r="M996" s="43" t="b">
        <v>1</v>
      </c>
      <c r="N996" s="43"/>
      <c r="V996" s="20"/>
      <c r="W996" s="20"/>
      <c r="X996" s="20"/>
      <c r="Y996" s="20"/>
      <c r="Z996" s="20"/>
      <c r="AA996" s="20"/>
      <c r="AB996" s="20"/>
      <c r="AC996" s="20"/>
      <c r="AD996" s="20"/>
    </row>
    <row r="997" spans="1:30" ht="13.5" customHeight="1" x14ac:dyDescent="0.25">
      <c r="A997" s="28">
        <f>A991+1</f>
        <v>6606104</v>
      </c>
      <c r="B997" s="28" t="s">
        <v>332</v>
      </c>
      <c r="C997" s="28" t="s">
        <v>119</v>
      </c>
      <c r="D997" s="28">
        <v>232</v>
      </c>
      <c r="E997" s="28" t="str">
        <f>INDEX([1]道具配置表!$D:$D,MATCH(D997,[1]道具配置表!$A:$A,0))</f>
        <v>1万食物</v>
      </c>
      <c r="F997" s="28">
        <f>F991+10</f>
        <v>40</v>
      </c>
      <c r="G997" s="28"/>
      <c r="H997" s="28"/>
      <c r="I997" s="28"/>
      <c r="J997" s="28"/>
      <c r="K997" s="43">
        <v>1</v>
      </c>
      <c r="L997" s="43"/>
      <c r="M997" s="43" t="b">
        <v>1</v>
      </c>
      <c r="N997" s="28"/>
      <c r="V997" s="20"/>
      <c r="W997" s="20"/>
      <c r="X997" s="20"/>
      <c r="Y997" s="20"/>
      <c r="Z997" s="20"/>
      <c r="AA997" s="20"/>
      <c r="AB997" s="20"/>
      <c r="AC997" s="20"/>
      <c r="AD997" s="20"/>
    </row>
    <row r="998" spans="1:30" ht="13.5" customHeight="1" x14ac:dyDescent="0.25">
      <c r="A998" s="28"/>
      <c r="B998" s="28"/>
      <c r="C998" s="28" t="s">
        <v>119</v>
      </c>
      <c r="D998" s="28">
        <v>231</v>
      </c>
      <c r="E998" s="28" t="str">
        <f>INDEX([1]道具配置表!$D:$D,MATCH(D998,[1]道具配置表!$A:$A,0))</f>
        <v>1万木材</v>
      </c>
      <c r="F998" s="28">
        <f>F992+10</f>
        <v>40</v>
      </c>
      <c r="G998" s="28"/>
      <c r="H998" s="28"/>
      <c r="I998" s="28"/>
      <c r="J998" s="28"/>
      <c r="K998" s="43">
        <v>1</v>
      </c>
      <c r="L998" s="43"/>
      <c r="M998" s="43" t="b">
        <v>1</v>
      </c>
      <c r="N998" s="28"/>
      <c r="V998" s="20"/>
      <c r="W998" s="20"/>
      <c r="X998" s="20"/>
      <c r="Y998" s="20"/>
      <c r="Z998" s="20"/>
      <c r="AA998" s="20"/>
      <c r="AB998" s="20"/>
      <c r="AC998" s="20"/>
      <c r="AD998" s="20"/>
    </row>
    <row r="999" spans="1:30" ht="13.5" customHeight="1" x14ac:dyDescent="0.25">
      <c r="A999" s="28"/>
      <c r="B999" s="28"/>
      <c r="C999" s="28" t="s">
        <v>119</v>
      </c>
      <c r="D999" s="28">
        <v>233</v>
      </c>
      <c r="E999" s="28" t="str">
        <f>INDEX([1]道具配置表!$D:$D,MATCH(D999,[1]道具配置表!$A:$A,0))</f>
        <v>1万石头</v>
      </c>
      <c r="F999" s="28">
        <f>F993+10</f>
        <v>40</v>
      </c>
      <c r="G999" s="28"/>
      <c r="H999" s="28"/>
      <c r="I999" s="28"/>
      <c r="J999" s="28"/>
      <c r="K999" s="43">
        <v>1</v>
      </c>
      <c r="L999" s="43"/>
      <c r="M999" s="43" t="b">
        <v>1</v>
      </c>
      <c r="N999" s="28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spans="1:30" ht="13.5" customHeight="1" x14ac:dyDescent="0.25">
      <c r="A1000" s="28"/>
      <c r="B1000" s="28"/>
      <c r="C1000" s="28" t="s">
        <v>119</v>
      </c>
      <c r="D1000" s="28">
        <v>234</v>
      </c>
      <c r="E1000" s="28" t="str">
        <f>INDEX([1]道具配置表!$D:$D,MATCH(D1000,[1]道具配置表!$A:$A,0))</f>
        <v>1万黄金</v>
      </c>
      <c r="F1000" s="28">
        <f>F994+10</f>
        <v>40</v>
      </c>
      <c r="G1000" s="28"/>
      <c r="H1000" s="28"/>
      <c r="I1000" s="28"/>
      <c r="J1000" s="28"/>
      <c r="K1000" s="43">
        <v>1</v>
      </c>
      <c r="L1000" s="43"/>
      <c r="M1000" s="43" t="b">
        <v>1</v>
      </c>
      <c r="N1000" s="28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 spans="1:30" ht="13.5" customHeight="1" x14ac:dyDescent="0.25">
      <c r="A1001" s="28"/>
      <c r="B1001" s="28"/>
      <c r="C1001" s="28" t="s">
        <v>119</v>
      </c>
      <c r="D1001" s="28">
        <v>7100</v>
      </c>
      <c r="E1001" s="28" t="str">
        <f>INDEX([1]道具配置表!$D:$D,MATCH(D1001,[1]道具配置表!$A:$A,0))</f>
        <v>联盟币</v>
      </c>
      <c r="F1001" s="28">
        <f>F995+500</f>
        <v>2000</v>
      </c>
      <c r="G1001" s="28"/>
      <c r="H1001" s="28"/>
      <c r="I1001" s="28"/>
      <c r="J1001" s="28"/>
      <c r="K1001" s="43">
        <v>1</v>
      </c>
      <c r="L1001" s="43"/>
      <c r="M1001" s="43" t="b">
        <v>1</v>
      </c>
      <c r="N1001" s="28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 spans="1:30" ht="13.5" customHeight="1" x14ac:dyDescent="0.25">
      <c r="A1002" s="43"/>
      <c r="B1002" s="43"/>
      <c r="C1002" s="43"/>
      <c r="D1002" s="43">
        <v>2061</v>
      </c>
      <c r="E1002" s="43" t="str">
        <f>INDEX([1]道具配置表!$D:$D,MATCH(D1002,[1]道具配置表!$A:$A,0))</f>
        <v>伟大蓝图</v>
      </c>
      <c r="F1002" s="43">
        <v>16</v>
      </c>
      <c r="G1002" s="43"/>
      <c r="H1002" s="43"/>
      <c r="I1002" s="43"/>
      <c r="J1002" s="43"/>
      <c r="K1002" s="43">
        <v>1</v>
      </c>
      <c r="L1002" s="43"/>
      <c r="M1002" s="43" t="b">
        <v>1</v>
      </c>
      <c r="N1002" s="43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 spans="1:30" ht="13.5" customHeight="1" x14ac:dyDescent="0.25">
      <c r="A1003" s="28">
        <f>A997+1</f>
        <v>6606105</v>
      </c>
      <c r="B1003" s="28" t="s">
        <v>333</v>
      </c>
      <c r="C1003" s="28" t="s">
        <v>119</v>
      </c>
      <c r="D1003" s="28">
        <v>232</v>
      </c>
      <c r="E1003" s="28" t="str">
        <f>INDEX([1]道具配置表!$D:$D,MATCH(D1003,[1]道具配置表!$A:$A,0))</f>
        <v>1万食物</v>
      </c>
      <c r="F1003" s="28">
        <f>F997+10</f>
        <v>50</v>
      </c>
      <c r="G1003" s="28"/>
      <c r="H1003" s="28"/>
      <c r="I1003" s="28"/>
      <c r="J1003" s="28"/>
      <c r="K1003" s="43">
        <v>1</v>
      </c>
      <c r="L1003" s="43"/>
      <c r="M1003" s="43" t="b">
        <v>1</v>
      </c>
      <c r="N1003" s="28"/>
      <c r="V1003" s="20"/>
      <c r="W1003" s="20"/>
      <c r="X1003" s="20"/>
      <c r="Y1003" s="20"/>
      <c r="Z1003" s="20"/>
      <c r="AA1003" s="20"/>
      <c r="AB1003" s="20"/>
      <c r="AC1003" s="20"/>
      <c r="AD1003" s="20"/>
    </row>
    <row r="1004" spans="1:30" ht="13.5" customHeight="1" x14ac:dyDescent="0.25">
      <c r="A1004" s="28"/>
      <c r="B1004" s="28"/>
      <c r="C1004" s="28" t="s">
        <v>119</v>
      </c>
      <c r="D1004" s="28">
        <v>231</v>
      </c>
      <c r="E1004" s="28" t="str">
        <f>INDEX([1]道具配置表!$D:$D,MATCH(D1004,[1]道具配置表!$A:$A,0))</f>
        <v>1万木材</v>
      </c>
      <c r="F1004" s="28">
        <f>F998+10</f>
        <v>50</v>
      </c>
      <c r="G1004" s="28"/>
      <c r="H1004" s="28"/>
      <c r="I1004" s="28"/>
      <c r="J1004" s="28"/>
      <c r="K1004" s="43">
        <v>1</v>
      </c>
      <c r="L1004" s="43"/>
      <c r="M1004" s="43" t="b">
        <v>1</v>
      </c>
      <c r="N1004" s="28"/>
      <c r="V1004" s="20"/>
      <c r="W1004" s="20"/>
      <c r="X1004" s="20"/>
      <c r="Y1004" s="20"/>
      <c r="Z1004" s="20"/>
      <c r="AA1004" s="20"/>
      <c r="AB1004" s="20"/>
      <c r="AC1004" s="20"/>
      <c r="AD1004" s="20"/>
    </row>
    <row r="1005" spans="1:30" ht="13.5" customHeight="1" x14ac:dyDescent="0.25">
      <c r="A1005" s="28"/>
      <c r="B1005" s="28"/>
      <c r="C1005" s="28" t="s">
        <v>119</v>
      </c>
      <c r="D1005" s="28">
        <v>233</v>
      </c>
      <c r="E1005" s="28" t="str">
        <f>INDEX([1]道具配置表!$D:$D,MATCH(D1005,[1]道具配置表!$A:$A,0))</f>
        <v>1万石头</v>
      </c>
      <c r="F1005" s="28">
        <f>F999+10</f>
        <v>50</v>
      </c>
      <c r="G1005" s="28"/>
      <c r="H1005" s="28"/>
      <c r="I1005" s="28"/>
      <c r="J1005" s="28"/>
      <c r="K1005" s="43">
        <v>1</v>
      </c>
      <c r="L1005" s="43"/>
      <c r="M1005" s="43" t="b">
        <v>1</v>
      </c>
      <c r="N1005" s="28"/>
      <c r="V1005" s="20"/>
      <c r="W1005" s="20"/>
      <c r="X1005" s="20"/>
      <c r="Y1005" s="20"/>
      <c r="Z1005" s="20"/>
      <c r="AA1005" s="20"/>
      <c r="AB1005" s="20"/>
      <c r="AC1005" s="20"/>
      <c r="AD1005" s="20"/>
    </row>
    <row r="1006" spans="1:30" ht="13.5" customHeight="1" x14ac:dyDescent="0.25">
      <c r="A1006" s="28"/>
      <c r="B1006" s="28"/>
      <c r="C1006" s="28" t="s">
        <v>119</v>
      </c>
      <c r="D1006" s="28">
        <v>234</v>
      </c>
      <c r="E1006" s="28" t="str">
        <f>INDEX([1]道具配置表!$D:$D,MATCH(D1006,[1]道具配置表!$A:$A,0))</f>
        <v>1万黄金</v>
      </c>
      <c r="F1006" s="28">
        <f>F1000+10</f>
        <v>50</v>
      </c>
      <c r="G1006" s="28"/>
      <c r="H1006" s="28"/>
      <c r="I1006" s="28"/>
      <c r="J1006" s="28"/>
      <c r="K1006" s="43">
        <v>1</v>
      </c>
      <c r="L1006" s="43"/>
      <c r="M1006" s="43" t="b">
        <v>1</v>
      </c>
      <c r="N1006" s="28"/>
      <c r="V1006" s="20"/>
      <c r="W1006" s="20"/>
      <c r="X1006" s="20"/>
      <c r="Y1006" s="20"/>
      <c r="Z1006" s="20"/>
      <c r="AA1006" s="20"/>
      <c r="AB1006" s="20"/>
      <c r="AC1006" s="20"/>
      <c r="AD1006" s="20"/>
    </row>
    <row r="1007" spans="1:30" ht="13.5" customHeight="1" x14ac:dyDescent="0.25">
      <c r="A1007" s="28"/>
      <c r="B1007" s="28"/>
      <c r="C1007" s="28" t="s">
        <v>119</v>
      </c>
      <c r="D1007" s="28">
        <v>7100</v>
      </c>
      <c r="E1007" s="28" t="str">
        <f>INDEX([1]道具配置表!$D:$D,MATCH(D1007,[1]道具配置表!$A:$A,0))</f>
        <v>联盟币</v>
      </c>
      <c r="F1007" s="28">
        <f>F1001+500</f>
        <v>2500</v>
      </c>
      <c r="G1007" s="28"/>
      <c r="H1007" s="28"/>
      <c r="I1007" s="28"/>
      <c r="J1007" s="28"/>
      <c r="K1007" s="43">
        <v>1</v>
      </c>
      <c r="L1007" s="43"/>
      <c r="M1007" s="43" t="b">
        <v>1</v>
      </c>
      <c r="N1007" s="28"/>
      <c r="V1007" s="20"/>
      <c r="W1007" s="20"/>
      <c r="X1007" s="20"/>
      <c r="Y1007" s="20"/>
      <c r="Z1007" s="20"/>
      <c r="AA1007" s="20"/>
      <c r="AB1007" s="20"/>
      <c r="AC1007" s="20"/>
      <c r="AD1007" s="20"/>
    </row>
    <row r="1008" spans="1:30" ht="13.5" customHeight="1" x14ac:dyDescent="0.25">
      <c r="A1008" s="43"/>
      <c r="B1008" s="43"/>
      <c r="C1008" s="43"/>
      <c r="D1008" s="43">
        <v>2061</v>
      </c>
      <c r="E1008" s="43" t="str">
        <f>INDEX([1]道具配置表!$D:$D,MATCH(D1008,[1]道具配置表!$A:$A,0))</f>
        <v>伟大蓝图</v>
      </c>
      <c r="F1008" s="43">
        <v>18</v>
      </c>
      <c r="G1008" s="43"/>
      <c r="H1008" s="43"/>
      <c r="I1008" s="43"/>
      <c r="J1008" s="43"/>
      <c r="K1008" s="43">
        <v>1</v>
      </c>
      <c r="L1008" s="43"/>
      <c r="M1008" s="43" t="b">
        <v>1</v>
      </c>
      <c r="N1008" s="43"/>
      <c r="V1008" s="20"/>
      <c r="W1008" s="20"/>
      <c r="X1008" s="20"/>
      <c r="Y1008" s="20"/>
      <c r="Z1008" s="20"/>
      <c r="AA1008" s="20"/>
      <c r="AB1008" s="20"/>
      <c r="AC1008" s="20"/>
      <c r="AD1008" s="20"/>
    </row>
    <row r="1009" spans="1:30" ht="13.5" customHeight="1" x14ac:dyDescent="0.25">
      <c r="A1009" s="28">
        <f>A1003+1</f>
        <v>6606106</v>
      </c>
      <c r="B1009" s="28" t="s">
        <v>334</v>
      </c>
      <c r="C1009" s="28" t="s">
        <v>119</v>
      </c>
      <c r="D1009" s="28">
        <v>232</v>
      </c>
      <c r="E1009" s="28" t="str">
        <f>INDEX([1]道具配置表!$D:$D,MATCH(D1009,[1]道具配置表!$A:$A,0))</f>
        <v>1万食物</v>
      </c>
      <c r="F1009" s="28">
        <f>F1003+10</f>
        <v>60</v>
      </c>
      <c r="G1009" s="28"/>
      <c r="H1009" s="28"/>
      <c r="I1009" s="28"/>
      <c r="J1009" s="28"/>
      <c r="K1009" s="43">
        <v>1</v>
      </c>
      <c r="L1009" s="43"/>
      <c r="M1009" s="43" t="b">
        <v>1</v>
      </c>
      <c r="N1009" s="28"/>
      <c r="V1009" s="20"/>
      <c r="W1009" s="20"/>
      <c r="X1009" s="20"/>
      <c r="Y1009" s="20"/>
      <c r="Z1009" s="20"/>
      <c r="AA1009" s="20"/>
      <c r="AB1009" s="20"/>
      <c r="AC1009" s="20"/>
      <c r="AD1009" s="20"/>
    </row>
    <row r="1010" spans="1:30" ht="13.5" customHeight="1" x14ac:dyDescent="0.25">
      <c r="A1010" s="28"/>
      <c r="B1010" s="28"/>
      <c r="C1010" s="28" t="s">
        <v>119</v>
      </c>
      <c r="D1010" s="28">
        <v>231</v>
      </c>
      <c r="E1010" s="28" t="str">
        <f>INDEX([1]道具配置表!$D:$D,MATCH(D1010,[1]道具配置表!$A:$A,0))</f>
        <v>1万木材</v>
      </c>
      <c r="F1010" s="28">
        <f>F1004+10</f>
        <v>60</v>
      </c>
      <c r="G1010" s="28"/>
      <c r="H1010" s="28"/>
      <c r="I1010" s="28"/>
      <c r="J1010" s="28"/>
      <c r="K1010" s="43">
        <v>1</v>
      </c>
      <c r="L1010" s="43"/>
      <c r="M1010" s="43" t="b">
        <v>1</v>
      </c>
      <c r="N1010" s="28"/>
      <c r="V1010" s="20"/>
      <c r="W1010" s="20"/>
      <c r="X1010" s="20"/>
      <c r="Y1010" s="20"/>
      <c r="Z1010" s="20"/>
      <c r="AA1010" s="20"/>
      <c r="AB1010" s="20"/>
      <c r="AC1010" s="20"/>
      <c r="AD1010" s="20"/>
    </row>
    <row r="1011" spans="1:30" ht="13.5" customHeight="1" x14ac:dyDescent="0.25">
      <c r="A1011" s="28"/>
      <c r="B1011" s="28"/>
      <c r="C1011" s="28" t="s">
        <v>119</v>
      </c>
      <c r="D1011" s="28">
        <v>233</v>
      </c>
      <c r="E1011" s="28" t="str">
        <f>INDEX([1]道具配置表!$D:$D,MATCH(D1011,[1]道具配置表!$A:$A,0))</f>
        <v>1万石头</v>
      </c>
      <c r="F1011" s="28">
        <f>F1005+10</f>
        <v>60</v>
      </c>
      <c r="G1011" s="28"/>
      <c r="H1011" s="28"/>
      <c r="I1011" s="28"/>
      <c r="J1011" s="28"/>
      <c r="K1011" s="43">
        <v>1</v>
      </c>
      <c r="L1011" s="43"/>
      <c r="M1011" s="43" t="b">
        <v>1</v>
      </c>
      <c r="N1011" s="28"/>
      <c r="V1011" s="20"/>
      <c r="W1011" s="20"/>
      <c r="X1011" s="20"/>
      <c r="Y1011" s="20"/>
      <c r="Z1011" s="20"/>
      <c r="AA1011" s="20"/>
      <c r="AB1011" s="20"/>
      <c r="AC1011" s="20"/>
      <c r="AD1011" s="20"/>
    </row>
    <row r="1012" spans="1:30" ht="13.5" customHeight="1" x14ac:dyDescent="0.25">
      <c r="A1012" s="28"/>
      <c r="B1012" s="28"/>
      <c r="C1012" s="28" t="s">
        <v>119</v>
      </c>
      <c r="D1012" s="28">
        <v>234</v>
      </c>
      <c r="E1012" s="28" t="str">
        <f>INDEX([1]道具配置表!$D:$D,MATCH(D1012,[1]道具配置表!$A:$A,0))</f>
        <v>1万黄金</v>
      </c>
      <c r="F1012" s="28">
        <f>F1006+10</f>
        <v>60</v>
      </c>
      <c r="G1012" s="28"/>
      <c r="H1012" s="28"/>
      <c r="I1012" s="28"/>
      <c r="J1012" s="28"/>
      <c r="K1012" s="43">
        <v>1</v>
      </c>
      <c r="L1012" s="43"/>
      <c r="M1012" s="43" t="b">
        <v>1</v>
      </c>
      <c r="N1012" s="28"/>
      <c r="V1012" s="20"/>
      <c r="W1012" s="20"/>
      <c r="X1012" s="20"/>
      <c r="Y1012" s="20"/>
      <c r="Z1012" s="20"/>
      <c r="AA1012" s="20"/>
      <c r="AB1012" s="20"/>
      <c r="AC1012" s="20"/>
      <c r="AD1012" s="20"/>
    </row>
    <row r="1013" spans="1:30" ht="13.5" customHeight="1" x14ac:dyDescent="0.25">
      <c r="A1013" s="28"/>
      <c r="B1013" s="28"/>
      <c r="C1013" s="28" t="s">
        <v>119</v>
      </c>
      <c r="D1013" s="28">
        <v>7100</v>
      </c>
      <c r="E1013" s="28" t="str">
        <f>INDEX([1]道具配置表!$D:$D,MATCH(D1013,[1]道具配置表!$A:$A,0))</f>
        <v>联盟币</v>
      </c>
      <c r="F1013" s="28">
        <f>F1007+500</f>
        <v>3000</v>
      </c>
      <c r="G1013" s="28"/>
      <c r="H1013" s="28"/>
      <c r="I1013" s="28"/>
      <c r="J1013" s="28"/>
      <c r="K1013" s="43">
        <v>1</v>
      </c>
      <c r="L1013" s="43"/>
      <c r="M1013" s="43" t="b">
        <v>1</v>
      </c>
      <c r="N1013" s="28"/>
      <c r="V1013" s="20"/>
      <c r="W1013" s="20"/>
      <c r="X1013" s="20"/>
      <c r="Y1013" s="20"/>
      <c r="Z1013" s="20"/>
      <c r="AA1013" s="20"/>
      <c r="AB1013" s="20"/>
      <c r="AC1013" s="20"/>
      <c r="AD1013" s="20"/>
    </row>
    <row r="1014" spans="1:30" ht="13.5" customHeight="1" x14ac:dyDescent="0.25">
      <c r="A1014" s="43"/>
      <c r="B1014" s="43"/>
      <c r="C1014" s="43"/>
      <c r="D1014" s="43">
        <v>2061</v>
      </c>
      <c r="E1014" s="43" t="str">
        <f>INDEX([1]道具配置表!$D:$D,MATCH(D1014,[1]道具配置表!$A:$A,0))</f>
        <v>伟大蓝图</v>
      </c>
      <c r="F1014" s="43">
        <v>20</v>
      </c>
      <c r="G1014" s="43"/>
      <c r="H1014" s="43"/>
      <c r="I1014" s="43"/>
      <c r="J1014" s="43"/>
      <c r="K1014" s="43">
        <v>1</v>
      </c>
      <c r="L1014" s="43"/>
      <c r="M1014" s="43" t="b">
        <v>1</v>
      </c>
      <c r="N1014" s="43"/>
      <c r="V1014" s="20"/>
      <c r="W1014" s="20"/>
      <c r="X1014" s="20"/>
      <c r="Y1014" s="20"/>
      <c r="Z1014" s="20"/>
      <c r="AA1014" s="20"/>
      <c r="AB1014" s="20"/>
      <c r="AC1014" s="20"/>
      <c r="AD1014" s="20"/>
    </row>
    <row r="1015" spans="1:30" ht="13.5" customHeight="1" x14ac:dyDescent="0.25">
      <c r="A1015" s="28">
        <f>A1009+1</f>
        <v>6606107</v>
      </c>
      <c r="B1015" s="28" t="s">
        <v>330</v>
      </c>
      <c r="C1015" s="28" t="s">
        <v>119</v>
      </c>
      <c r="D1015" s="28">
        <v>232</v>
      </c>
      <c r="E1015" s="28" t="str">
        <f>INDEX([1]道具配置表!$D:$D,MATCH(D1015,[1]道具配置表!$A:$A,0))</f>
        <v>1万食物</v>
      </c>
      <c r="F1015" s="28">
        <f>F1009+10</f>
        <v>70</v>
      </c>
      <c r="G1015" s="28"/>
      <c r="H1015" s="28"/>
      <c r="I1015" s="28"/>
      <c r="J1015" s="28"/>
      <c r="K1015" s="43">
        <v>1</v>
      </c>
      <c r="L1015" s="43"/>
      <c r="M1015" s="43" t="b">
        <v>1</v>
      </c>
      <c r="N1015" s="28"/>
      <c r="V1015" s="20"/>
      <c r="W1015" s="20"/>
      <c r="X1015" s="20"/>
      <c r="Y1015" s="20"/>
      <c r="Z1015" s="20"/>
      <c r="AA1015" s="20"/>
      <c r="AB1015" s="20"/>
      <c r="AC1015" s="20"/>
      <c r="AD1015" s="20"/>
    </row>
    <row r="1016" spans="1:30" ht="13.5" customHeight="1" x14ac:dyDescent="0.25">
      <c r="A1016" s="28"/>
      <c r="B1016" s="28"/>
      <c r="C1016" s="28" t="s">
        <v>119</v>
      </c>
      <c r="D1016" s="28">
        <v>231</v>
      </c>
      <c r="E1016" s="28" t="str">
        <f>INDEX([1]道具配置表!$D:$D,MATCH(D1016,[1]道具配置表!$A:$A,0))</f>
        <v>1万木材</v>
      </c>
      <c r="F1016" s="28">
        <f>F1010+10</f>
        <v>70</v>
      </c>
      <c r="G1016" s="28"/>
      <c r="H1016" s="28"/>
      <c r="I1016" s="28"/>
      <c r="J1016" s="28"/>
      <c r="K1016" s="43">
        <v>1</v>
      </c>
      <c r="L1016" s="43"/>
      <c r="M1016" s="43" t="b">
        <v>1</v>
      </c>
      <c r="N1016" s="28"/>
      <c r="V1016" s="20"/>
      <c r="W1016" s="20"/>
      <c r="X1016" s="20"/>
      <c r="Y1016" s="20"/>
      <c r="Z1016" s="20"/>
      <c r="AA1016" s="20"/>
      <c r="AB1016" s="20"/>
      <c r="AC1016" s="20"/>
      <c r="AD1016" s="20"/>
    </row>
    <row r="1017" spans="1:30" ht="13.5" customHeight="1" x14ac:dyDescent="0.25">
      <c r="A1017" s="28"/>
      <c r="B1017" s="28"/>
      <c r="C1017" s="28" t="s">
        <v>119</v>
      </c>
      <c r="D1017" s="28">
        <v>233</v>
      </c>
      <c r="E1017" s="28" t="str">
        <f>INDEX([1]道具配置表!$D:$D,MATCH(D1017,[1]道具配置表!$A:$A,0))</f>
        <v>1万石头</v>
      </c>
      <c r="F1017" s="28">
        <f>F1011+10</f>
        <v>70</v>
      </c>
      <c r="G1017" s="28"/>
      <c r="H1017" s="28"/>
      <c r="I1017" s="28"/>
      <c r="J1017" s="28"/>
      <c r="K1017" s="43">
        <v>1</v>
      </c>
      <c r="L1017" s="43"/>
      <c r="M1017" s="43" t="b">
        <v>1</v>
      </c>
      <c r="N1017" s="28"/>
      <c r="V1017" s="20"/>
      <c r="W1017" s="20"/>
      <c r="X1017" s="20"/>
      <c r="Y1017" s="20"/>
      <c r="Z1017" s="20"/>
      <c r="AA1017" s="20"/>
      <c r="AB1017" s="20"/>
      <c r="AC1017" s="20"/>
      <c r="AD1017" s="20"/>
    </row>
    <row r="1018" spans="1:30" ht="13.5" customHeight="1" x14ac:dyDescent="0.25">
      <c r="A1018" s="28"/>
      <c r="B1018" s="28"/>
      <c r="C1018" s="28" t="s">
        <v>119</v>
      </c>
      <c r="D1018" s="28">
        <v>234</v>
      </c>
      <c r="E1018" s="28" t="str">
        <f>INDEX([1]道具配置表!$D:$D,MATCH(D1018,[1]道具配置表!$A:$A,0))</f>
        <v>1万黄金</v>
      </c>
      <c r="F1018" s="28">
        <f>F1012+10</f>
        <v>70</v>
      </c>
      <c r="G1018" s="28"/>
      <c r="H1018" s="28"/>
      <c r="I1018" s="28"/>
      <c r="J1018" s="28"/>
      <c r="K1018" s="43">
        <v>1</v>
      </c>
      <c r="L1018" s="43"/>
      <c r="M1018" s="43" t="b">
        <v>1</v>
      </c>
      <c r="N1018" s="28"/>
      <c r="V1018" s="20"/>
      <c r="W1018" s="20"/>
      <c r="X1018" s="20"/>
      <c r="Y1018" s="20"/>
      <c r="Z1018" s="20"/>
      <c r="AA1018" s="20"/>
      <c r="AB1018" s="20"/>
      <c r="AC1018" s="20"/>
      <c r="AD1018" s="20"/>
    </row>
    <row r="1019" spans="1:30" ht="13.5" customHeight="1" x14ac:dyDescent="0.25">
      <c r="A1019" s="28"/>
      <c r="B1019" s="28"/>
      <c r="C1019" s="28" t="s">
        <v>119</v>
      </c>
      <c r="D1019" s="28">
        <v>7100</v>
      </c>
      <c r="E1019" s="28" t="str">
        <f>INDEX([1]道具配置表!$D:$D,MATCH(D1019,[1]道具配置表!$A:$A,0))</f>
        <v>联盟币</v>
      </c>
      <c r="F1019" s="28">
        <f>F1013+500</f>
        <v>3500</v>
      </c>
      <c r="G1019" s="28"/>
      <c r="H1019" s="28"/>
      <c r="I1019" s="28"/>
      <c r="J1019" s="28"/>
      <c r="K1019" s="43">
        <v>1</v>
      </c>
      <c r="L1019" s="43"/>
      <c r="M1019" s="43" t="b">
        <v>1</v>
      </c>
      <c r="N1019" s="28"/>
      <c r="V1019" s="20"/>
      <c r="W1019" s="20"/>
      <c r="X1019" s="20"/>
      <c r="Y1019" s="20"/>
      <c r="Z1019" s="20"/>
      <c r="AA1019" s="20"/>
      <c r="AB1019" s="20"/>
      <c r="AC1019" s="20"/>
      <c r="AD1019" s="20"/>
    </row>
    <row r="1020" spans="1:30" ht="13.5" customHeight="1" x14ac:dyDescent="0.25">
      <c r="A1020" s="43"/>
      <c r="B1020" s="43"/>
      <c r="C1020" s="43"/>
      <c r="D1020" s="43">
        <v>2061</v>
      </c>
      <c r="E1020" s="43" t="str">
        <f>INDEX([1]道具配置表!$D:$D,MATCH(D1020,[1]道具配置表!$A:$A,0))</f>
        <v>伟大蓝图</v>
      </c>
      <c r="F1020" s="43">
        <v>24</v>
      </c>
      <c r="G1020" s="43"/>
      <c r="H1020" s="43"/>
      <c r="I1020" s="43"/>
      <c r="J1020" s="43"/>
      <c r="K1020" s="43">
        <v>1</v>
      </c>
      <c r="L1020" s="43"/>
      <c r="M1020" s="43" t="b">
        <v>1</v>
      </c>
      <c r="N1020" s="43"/>
      <c r="V1020" s="20"/>
      <c r="W1020" s="20"/>
      <c r="X1020" s="20"/>
      <c r="Y1020" s="20"/>
      <c r="Z1020" s="20"/>
      <c r="AA1020" s="20"/>
      <c r="AB1020" s="20"/>
      <c r="AC1020" s="20"/>
      <c r="AD1020" s="20"/>
    </row>
    <row r="1021" spans="1:30" ht="13.5" customHeight="1" x14ac:dyDescent="0.25">
      <c r="A1021" s="28">
        <f>A1015+1</f>
        <v>6606108</v>
      </c>
      <c r="B1021" s="28" t="s">
        <v>335</v>
      </c>
      <c r="C1021" s="28" t="s">
        <v>119</v>
      </c>
      <c r="D1021" s="28">
        <v>232</v>
      </c>
      <c r="E1021" s="28" t="str">
        <f>INDEX([1]道具配置表!$D:$D,MATCH(D1021,[1]道具配置表!$A:$A,0))</f>
        <v>1万食物</v>
      </c>
      <c r="F1021" s="28">
        <f>F1015+10</f>
        <v>80</v>
      </c>
      <c r="G1021" s="28"/>
      <c r="H1021" s="28"/>
      <c r="I1021" s="28"/>
      <c r="J1021" s="28"/>
      <c r="K1021" s="43">
        <v>1</v>
      </c>
      <c r="L1021" s="43"/>
      <c r="M1021" s="43" t="b">
        <v>1</v>
      </c>
      <c r="N1021" s="28"/>
      <c r="V1021" s="20"/>
      <c r="W1021" s="20"/>
      <c r="X1021" s="20"/>
      <c r="Y1021" s="20"/>
      <c r="Z1021" s="20"/>
      <c r="AA1021" s="20"/>
      <c r="AB1021" s="20"/>
      <c r="AC1021" s="20"/>
      <c r="AD1021" s="20"/>
    </row>
    <row r="1022" spans="1:30" ht="13.5" customHeight="1" x14ac:dyDescent="0.25">
      <c r="A1022" s="28"/>
      <c r="B1022" s="28"/>
      <c r="C1022" s="28" t="s">
        <v>119</v>
      </c>
      <c r="D1022" s="28">
        <v>231</v>
      </c>
      <c r="E1022" s="28" t="str">
        <f>INDEX([1]道具配置表!$D:$D,MATCH(D1022,[1]道具配置表!$A:$A,0))</f>
        <v>1万木材</v>
      </c>
      <c r="F1022" s="28">
        <f>F1016+10</f>
        <v>80</v>
      </c>
      <c r="G1022" s="28"/>
      <c r="H1022" s="28"/>
      <c r="I1022" s="28"/>
      <c r="J1022" s="28"/>
      <c r="K1022" s="43">
        <v>1</v>
      </c>
      <c r="L1022" s="43"/>
      <c r="M1022" s="43" t="b">
        <v>1</v>
      </c>
      <c r="N1022" s="28"/>
      <c r="V1022" s="20"/>
      <c r="W1022" s="20"/>
      <c r="X1022" s="20"/>
      <c r="Y1022" s="20"/>
      <c r="Z1022" s="20"/>
      <c r="AA1022" s="20"/>
      <c r="AB1022" s="20"/>
      <c r="AC1022" s="20"/>
      <c r="AD1022" s="20"/>
    </row>
    <row r="1023" spans="1:30" ht="13.5" customHeight="1" x14ac:dyDescent="0.25">
      <c r="A1023" s="28"/>
      <c r="B1023" s="28"/>
      <c r="C1023" s="28" t="s">
        <v>119</v>
      </c>
      <c r="D1023" s="28">
        <v>233</v>
      </c>
      <c r="E1023" s="28" t="str">
        <f>INDEX([1]道具配置表!$D:$D,MATCH(D1023,[1]道具配置表!$A:$A,0))</f>
        <v>1万石头</v>
      </c>
      <c r="F1023" s="28">
        <f>F1017+10</f>
        <v>80</v>
      </c>
      <c r="G1023" s="28"/>
      <c r="H1023" s="28"/>
      <c r="I1023" s="28"/>
      <c r="J1023" s="28"/>
      <c r="K1023" s="43">
        <v>1</v>
      </c>
      <c r="L1023" s="43"/>
      <c r="M1023" s="43" t="b">
        <v>1</v>
      </c>
      <c r="N1023" s="28"/>
      <c r="V1023" s="20"/>
      <c r="W1023" s="20"/>
      <c r="X1023" s="20"/>
      <c r="Y1023" s="20"/>
      <c r="Z1023" s="20"/>
      <c r="AA1023" s="20"/>
      <c r="AB1023" s="20"/>
      <c r="AC1023" s="20"/>
      <c r="AD1023" s="20"/>
    </row>
    <row r="1024" spans="1:30" ht="13.5" customHeight="1" x14ac:dyDescent="0.25">
      <c r="A1024" s="28"/>
      <c r="B1024" s="28"/>
      <c r="C1024" s="28" t="s">
        <v>119</v>
      </c>
      <c r="D1024" s="28">
        <v>234</v>
      </c>
      <c r="E1024" s="28" t="str">
        <f>INDEX([1]道具配置表!$D:$D,MATCH(D1024,[1]道具配置表!$A:$A,0))</f>
        <v>1万黄金</v>
      </c>
      <c r="F1024" s="28">
        <f>F1018+10</f>
        <v>80</v>
      </c>
      <c r="G1024" s="28"/>
      <c r="H1024" s="28"/>
      <c r="I1024" s="28"/>
      <c r="J1024" s="28"/>
      <c r="K1024" s="43">
        <v>1</v>
      </c>
      <c r="L1024" s="43"/>
      <c r="M1024" s="43" t="b">
        <v>1</v>
      </c>
      <c r="N1024" s="28"/>
      <c r="V1024" s="20"/>
      <c r="W1024" s="20"/>
      <c r="X1024" s="20"/>
      <c r="Y1024" s="20"/>
      <c r="Z1024" s="20"/>
      <c r="AA1024" s="20"/>
      <c r="AB1024" s="20"/>
      <c r="AC1024" s="20"/>
      <c r="AD1024" s="20"/>
    </row>
    <row r="1025" spans="1:30" ht="13.5" customHeight="1" x14ac:dyDescent="0.25">
      <c r="A1025" s="28"/>
      <c r="B1025" s="28"/>
      <c r="C1025" s="28" t="s">
        <v>119</v>
      </c>
      <c r="D1025" s="28">
        <v>7100</v>
      </c>
      <c r="E1025" s="28" t="str">
        <f>INDEX([1]道具配置表!$D:$D,MATCH(D1025,[1]道具配置表!$A:$A,0))</f>
        <v>联盟币</v>
      </c>
      <c r="F1025" s="28">
        <f>F1019+500</f>
        <v>4000</v>
      </c>
      <c r="G1025" s="28"/>
      <c r="H1025" s="28"/>
      <c r="I1025" s="28"/>
      <c r="J1025" s="28"/>
      <c r="K1025" s="43">
        <v>1</v>
      </c>
      <c r="L1025" s="43"/>
      <c r="M1025" s="43" t="b">
        <v>1</v>
      </c>
      <c r="N1025" s="28"/>
      <c r="V1025" s="20"/>
      <c r="W1025" s="20"/>
      <c r="X1025" s="20"/>
      <c r="Y1025" s="20"/>
      <c r="Z1025" s="20"/>
      <c r="AA1025" s="20"/>
      <c r="AB1025" s="20"/>
      <c r="AC1025" s="20"/>
      <c r="AD1025" s="20"/>
    </row>
    <row r="1026" spans="1:30" ht="13.5" customHeight="1" x14ac:dyDescent="0.25">
      <c r="A1026" s="43"/>
      <c r="B1026" s="43"/>
      <c r="C1026" s="43"/>
      <c r="D1026" s="43">
        <v>2061</v>
      </c>
      <c r="E1026" s="43" t="str">
        <f>INDEX([1]道具配置表!$D:$D,MATCH(D1026,[1]道具配置表!$A:$A,0))</f>
        <v>伟大蓝图</v>
      </c>
      <c r="F1026" s="43">
        <v>28</v>
      </c>
      <c r="G1026" s="43"/>
      <c r="H1026" s="43"/>
      <c r="I1026" s="43"/>
      <c r="J1026" s="43"/>
      <c r="K1026" s="43">
        <v>1</v>
      </c>
      <c r="L1026" s="43"/>
      <c r="M1026" s="43" t="b">
        <v>1</v>
      </c>
      <c r="N1026" s="43"/>
      <c r="V1026" s="20"/>
      <c r="W1026" s="20"/>
      <c r="X1026" s="20"/>
      <c r="Y1026" s="20"/>
      <c r="Z1026" s="20"/>
      <c r="AA1026" s="20"/>
      <c r="AB1026" s="20"/>
      <c r="AC1026" s="20"/>
      <c r="AD1026" s="20"/>
    </row>
    <row r="1027" spans="1:30" ht="13.5" customHeight="1" x14ac:dyDescent="0.25">
      <c r="A1027" s="28">
        <f>A1021+1</f>
        <v>6606109</v>
      </c>
      <c r="B1027" s="28" t="s">
        <v>336</v>
      </c>
      <c r="C1027" s="28" t="s">
        <v>119</v>
      </c>
      <c r="D1027" s="28">
        <v>232</v>
      </c>
      <c r="E1027" s="28" t="str">
        <f>INDEX([1]道具配置表!$D:$D,MATCH(D1027,[1]道具配置表!$A:$A,0))</f>
        <v>1万食物</v>
      </c>
      <c r="F1027" s="28">
        <f>F1021+10</f>
        <v>90</v>
      </c>
      <c r="G1027" s="28"/>
      <c r="H1027" s="28"/>
      <c r="I1027" s="28"/>
      <c r="J1027" s="28"/>
      <c r="K1027" s="43">
        <v>1</v>
      </c>
      <c r="L1027" s="43"/>
      <c r="M1027" s="43" t="b">
        <v>1</v>
      </c>
      <c r="N1027" s="28"/>
      <c r="V1027" s="20"/>
      <c r="W1027" s="20"/>
      <c r="X1027" s="20"/>
      <c r="Y1027" s="20"/>
      <c r="Z1027" s="20"/>
      <c r="AA1027" s="20"/>
      <c r="AB1027" s="20"/>
      <c r="AC1027" s="20"/>
      <c r="AD1027" s="20"/>
    </row>
    <row r="1028" spans="1:30" ht="13.5" customHeight="1" x14ac:dyDescent="0.25">
      <c r="A1028" s="28"/>
      <c r="B1028" s="28"/>
      <c r="C1028" s="28" t="s">
        <v>119</v>
      </c>
      <c r="D1028" s="28">
        <v>231</v>
      </c>
      <c r="E1028" s="28" t="str">
        <f>INDEX([1]道具配置表!$D:$D,MATCH(D1028,[1]道具配置表!$A:$A,0))</f>
        <v>1万木材</v>
      </c>
      <c r="F1028" s="28">
        <f>F1022+10</f>
        <v>90</v>
      </c>
      <c r="G1028" s="28"/>
      <c r="H1028" s="28"/>
      <c r="I1028" s="28"/>
      <c r="J1028" s="28"/>
      <c r="K1028" s="43">
        <v>1</v>
      </c>
      <c r="L1028" s="43"/>
      <c r="M1028" s="43" t="b">
        <v>1</v>
      </c>
      <c r="N1028" s="28"/>
      <c r="V1028" s="20"/>
      <c r="W1028" s="20"/>
      <c r="X1028" s="20"/>
      <c r="Y1028" s="20"/>
      <c r="Z1028" s="20"/>
      <c r="AA1028" s="20"/>
      <c r="AB1028" s="20"/>
      <c r="AC1028" s="20"/>
      <c r="AD1028" s="20"/>
    </row>
    <row r="1029" spans="1:30" ht="13.5" customHeight="1" x14ac:dyDescent="0.25">
      <c r="A1029" s="28"/>
      <c r="B1029" s="28"/>
      <c r="C1029" s="28" t="s">
        <v>119</v>
      </c>
      <c r="D1029" s="28">
        <v>233</v>
      </c>
      <c r="E1029" s="28" t="str">
        <f>INDEX([1]道具配置表!$D:$D,MATCH(D1029,[1]道具配置表!$A:$A,0))</f>
        <v>1万石头</v>
      </c>
      <c r="F1029" s="28">
        <f>F1023+10</f>
        <v>90</v>
      </c>
      <c r="G1029" s="28"/>
      <c r="H1029" s="28"/>
      <c r="I1029" s="28"/>
      <c r="J1029" s="28"/>
      <c r="K1029" s="43">
        <v>1</v>
      </c>
      <c r="L1029" s="43"/>
      <c r="M1029" s="43" t="b">
        <v>1</v>
      </c>
      <c r="N1029" s="28"/>
      <c r="V1029" s="20"/>
      <c r="W1029" s="20"/>
      <c r="X1029" s="20"/>
      <c r="Y1029" s="20"/>
      <c r="Z1029" s="20"/>
      <c r="AA1029" s="20"/>
      <c r="AB1029" s="20"/>
      <c r="AC1029" s="20"/>
      <c r="AD1029" s="20"/>
    </row>
    <row r="1030" spans="1:30" ht="13.5" customHeight="1" x14ac:dyDescent="0.25">
      <c r="A1030" s="28"/>
      <c r="B1030" s="28"/>
      <c r="C1030" s="28" t="s">
        <v>119</v>
      </c>
      <c r="D1030" s="28">
        <v>234</v>
      </c>
      <c r="E1030" s="28" t="str">
        <f>INDEX([1]道具配置表!$D:$D,MATCH(D1030,[1]道具配置表!$A:$A,0))</f>
        <v>1万黄金</v>
      </c>
      <c r="F1030" s="28">
        <f>F1024+10</f>
        <v>90</v>
      </c>
      <c r="G1030" s="28"/>
      <c r="H1030" s="28"/>
      <c r="I1030" s="28"/>
      <c r="J1030" s="28"/>
      <c r="K1030" s="43">
        <v>1</v>
      </c>
      <c r="L1030" s="43"/>
      <c r="M1030" s="43" t="b">
        <v>1</v>
      </c>
      <c r="N1030" s="28"/>
      <c r="V1030" s="20"/>
      <c r="W1030" s="20"/>
      <c r="X1030" s="20"/>
      <c r="Y1030" s="20"/>
      <c r="Z1030" s="20"/>
      <c r="AA1030" s="20"/>
      <c r="AB1030" s="20"/>
      <c r="AC1030" s="20"/>
      <c r="AD1030" s="20"/>
    </row>
    <row r="1031" spans="1:30" ht="13.5" customHeight="1" x14ac:dyDescent="0.25">
      <c r="A1031" s="28"/>
      <c r="B1031" s="28"/>
      <c r="C1031" s="28" t="s">
        <v>119</v>
      </c>
      <c r="D1031" s="28">
        <v>7100</v>
      </c>
      <c r="E1031" s="28" t="str">
        <f>INDEX([1]道具配置表!$D:$D,MATCH(D1031,[1]道具配置表!$A:$A,0))</f>
        <v>联盟币</v>
      </c>
      <c r="F1031" s="28">
        <f>F1025+500</f>
        <v>4500</v>
      </c>
      <c r="G1031" s="28"/>
      <c r="H1031" s="28"/>
      <c r="I1031" s="28"/>
      <c r="J1031" s="28"/>
      <c r="K1031" s="43">
        <v>1</v>
      </c>
      <c r="L1031" s="43"/>
      <c r="M1031" s="43" t="b">
        <v>1</v>
      </c>
      <c r="N1031" s="28"/>
      <c r="V1031" s="20"/>
      <c r="W1031" s="20"/>
      <c r="X1031" s="20"/>
      <c r="Y1031" s="20"/>
      <c r="Z1031" s="20"/>
      <c r="AA1031" s="20"/>
      <c r="AB1031" s="20"/>
      <c r="AC1031" s="20"/>
      <c r="AD1031" s="20"/>
    </row>
    <row r="1032" spans="1:30" ht="13.5" customHeight="1" x14ac:dyDescent="0.25">
      <c r="A1032" s="43"/>
      <c r="B1032" s="43"/>
      <c r="C1032" s="43"/>
      <c r="D1032" s="43">
        <v>2061</v>
      </c>
      <c r="E1032" s="43" t="str">
        <f>INDEX([1]道具配置表!$D:$D,MATCH(D1032,[1]道具配置表!$A:$A,0))</f>
        <v>伟大蓝图</v>
      </c>
      <c r="F1032" s="43">
        <v>32</v>
      </c>
      <c r="G1032" s="43"/>
      <c r="H1032" s="43"/>
      <c r="I1032" s="43"/>
      <c r="J1032" s="43"/>
      <c r="K1032" s="43">
        <v>1</v>
      </c>
      <c r="L1032" s="43"/>
      <c r="M1032" s="43" t="b">
        <v>1</v>
      </c>
      <c r="N1032" s="43"/>
      <c r="V1032" s="20"/>
      <c r="W1032" s="20"/>
      <c r="X1032" s="20"/>
      <c r="Y1032" s="20"/>
      <c r="Z1032" s="20"/>
      <c r="AA1032" s="20"/>
      <c r="AB1032" s="20"/>
      <c r="AC1032" s="20"/>
      <c r="AD1032" s="20"/>
    </row>
    <row r="1033" spans="1:30" ht="13.5" customHeight="1" x14ac:dyDescent="0.25">
      <c r="A1033" s="28">
        <f>A1027+1</f>
        <v>6606110</v>
      </c>
      <c r="B1033" s="28" t="s">
        <v>337</v>
      </c>
      <c r="C1033" s="28" t="s">
        <v>119</v>
      </c>
      <c r="D1033" s="28">
        <v>232</v>
      </c>
      <c r="E1033" s="28" t="str">
        <f>INDEX([1]道具配置表!$D:$D,MATCH(D1033,[1]道具配置表!$A:$A,0))</f>
        <v>1万食物</v>
      </c>
      <c r="F1033" s="28">
        <f>F1027+10</f>
        <v>100</v>
      </c>
      <c r="G1033" s="28"/>
      <c r="H1033" s="28"/>
      <c r="I1033" s="28"/>
      <c r="J1033" s="28"/>
      <c r="K1033" s="43">
        <v>1</v>
      </c>
      <c r="L1033" s="43"/>
      <c r="M1033" s="43" t="b">
        <v>1</v>
      </c>
      <c r="N1033" s="28"/>
      <c r="V1033" s="20"/>
      <c r="W1033" s="20"/>
      <c r="X1033" s="20"/>
      <c r="Y1033" s="20"/>
      <c r="Z1033" s="20"/>
      <c r="AA1033" s="20"/>
      <c r="AB1033" s="20"/>
      <c r="AC1033" s="20"/>
      <c r="AD1033" s="20"/>
    </row>
    <row r="1034" spans="1:30" ht="13.5" customHeight="1" x14ac:dyDescent="0.25">
      <c r="A1034" s="28"/>
      <c r="B1034" s="28"/>
      <c r="C1034" s="28" t="s">
        <v>119</v>
      </c>
      <c r="D1034" s="28">
        <v>231</v>
      </c>
      <c r="E1034" s="28" t="str">
        <f>INDEX([1]道具配置表!$D:$D,MATCH(D1034,[1]道具配置表!$A:$A,0))</f>
        <v>1万木材</v>
      </c>
      <c r="F1034" s="28">
        <f>F1028+10</f>
        <v>100</v>
      </c>
      <c r="G1034" s="28"/>
      <c r="H1034" s="28"/>
      <c r="I1034" s="28"/>
      <c r="J1034" s="28"/>
      <c r="K1034" s="43">
        <v>1</v>
      </c>
      <c r="L1034" s="43"/>
      <c r="M1034" s="43" t="b">
        <v>1</v>
      </c>
      <c r="N1034" s="28"/>
      <c r="V1034" s="20"/>
      <c r="W1034" s="20"/>
      <c r="X1034" s="20"/>
      <c r="Y1034" s="20"/>
      <c r="Z1034" s="20"/>
      <c r="AA1034" s="20"/>
      <c r="AB1034" s="20"/>
      <c r="AC1034" s="20"/>
      <c r="AD1034" s="20"/>
    </row>
    <row r="1035" spans="1:30" ht="13.5" customHeight="1" x14ac:dyDescent="0.25">
      <c r="A1035" s="28"/>
      <c r="B1035" s="28"/>
      <c r="C1035" s="28" t="s">
        <v>119</v>
      </c>
      <c r="D1035" s="28">
        <v>233</v>
      </c>
      <c r="E1035" s="28" t="str">
        <f>INDEX([1]道具配置表!$D:$D,MATCH(D1035,[1]道具配置表!$A:$A,0))</f>
        <v>1万石头</v>
      </c>
      <c r="F1035" s="28">
        <f>F1029+10</f>
        <v>100</v>
      </c>
      <c r="G1035" s="28"/>
      <c r="H1035" s="28"/>
      <c r="I1035" s="28"/>
      <c r="J1035" s="28"/>
      <c r="K1035" s="43">
        <v>1</v>
      </c>
      <c r="L1035" s="43"/>
      <c r="M1035" s="43" t="b">
        <v>1</v>
      </c>
      <c r="N1035" s="28"/>
      <c r="V1035" s="20"/>
      <c r="W1035" s="20"/>
      <c r="X1035" s="20"/>
      <c r="Y1035" s="20"/>
      <c r="Z1035" s="20"/>
      <c r="AA1035" s="20"/>
      <c r="AB1035" s="20"/>
      <c r="AC1035" s="20"/>
      <c r="AD1035" s="20"/>
    </row>
    <row r="1036" spans="1:30" ht="13.5" customHeight="1" x14ac:dyDescent="0.25">
      <c r="A1036" s="28"/>
      <c r="B1036" s="28"/>
      <c r="C1036" s="28" t="s">
        <v>119</v>
      </c>
      <c r="D1036" s="28">
        <v>234</v>
      </c>
      <c r="E1036" s="28" t="str">
        <f>INDEX([1]道具配置表!$D:$D,MATCH(D1036,[1]道具配置表!$A:$A,0))</f>
        <v>1万黄金</v>
      </c>
      <c r="F1036" s="28">
        <f>F1030+10</f>
        <v>100</v>
      </c>
      <c r="G1036" s="28"/>
      <c r="H1036" s="28"/>
      <c r="I1036" s="28"/>
      <c r="J1036" s="28"/>
      <c r="K1036" s="43">
        <v>1</v>
      </c>
      <c r="L1036" s="43"/>
      <c r="M1036" s="43" t="b">
        <v>1</v>
      </c>
      <c r="N1036" s="28"/>
      <c r="V1036" s="20"/>
      <c r="W1036" s="20"/>
      <c r="X1036" s="20"/>
      <c r="Y1036" s="20"/>
      <c r="Z1036" s="20"/>
      <c r="AA1036" s="20"/>
      <c r="AB1036" s="20"/>
      <c r="AC1036" s="20"/>
      <c r="AD1036" s="20"/>
    </row>
    <row r="1037" spans="1:30" ht="13.5" customHeight="1" x14ac:dyDescent="0.25">
      <c r="A1037" s="28"/>
      <c r="B1037" s="28"/>
      <c r="C1037" s="28" t="s">
        <v>119</v>
      </c>
      <c r="D1037" s="28">
        <v>7100</v>
      </c>
      <c r="E1037" s="28" t="str">
        <f>INDEX([1]道具配置表!$D:$D,MATCH(D1037,[1]道具配置表!$A:$A,0))</f>
        <v>联盟币</v>
      </c>
      <c r="F1037" s="28">
        <f>F1031+500</f>
        <v>5000</v>
      </c>
      <c r="G1037" s="28"/>
      <c r="H1037" s="28"/>
      <c r="I1037" s="28"/>
      <c r="J1037" s="28"/>
      <c r="K1037" s="43">
        <v>1</v>
      </c>
      <c r="L1037" s="43"/>
      <c r="M1037" s="43" t="b">
        <v>1</v>
      </c>
      <c r="N1037" s="28"/>
      <c r="V1037" s="20"/>
      <c r="W1037" s="20"/>
      <c r="X1037" s="20"/>
      <c r="Y1037" s="20"/>
      <c r="Z1037" s="20"/>
      <c r="AA1037" s="20"/>
      <c r="AB1037" s="20"/>
      <c r="AC1037" s="20"/>
      <c r="AD1037" s="20"/>
    </row>
    <row r="1038" spans="1:30" ht="13.5" customHeight="1" x14ac:dyDescent="0.25">
      <c r="A1038" s="43"/>
      <c r="B1038" s="43"/>
      <c r="C1038" s="43"/>
      <c r="D1038" s="43">
        <v>2061</v>
      </c>
      <c r="E1038" s="43" t="str">
        <f>INDEX([1]道具配置表!$D:$D,MATCH(D1038,[1]道具配置表!$A:$A,0))</f>
        <v>伟大蓝图</v>
      </c>
      <c r="F1038" s="43">
        <v>36</v>
      </c>
      <c r="G1038" s="43"/>
      <c r="H1038" s="43"/>
      <c r="I1038" s="43"/>
      <c r="J1038" s="43"/>
      <c r="K1038" s="43">
        <v>1</v>
      </c>
      <c r="L1038" s="43"/>
      <c r="M1038" s="43" t="b">
        <v>1</v>
      </c>
      <c r="N1038" s="43"/>
      <c r="V1038" s="20"/>
      <c r="W1038" s="20"/>
      <c r="X1038" s="20"/>
      <c r="Y1038" s="20"/>
      <c r="Z1038" s="20"/>
      <c r="AA1038" s="20"/>
      <c r="AB1038" s="20"/>
      <c r="AC1038" s="20"/>
      <c r="AD1038" s="20"/>
    </row>
    <row r="1039" spans="1:30" ht="13.5" customHeight="1" x14ac:dyDescent="0.25">
      <c r="A1039" s="28">
        <f>A1033+1</f>
        <v>6606111</v>
      </c>
      <c r="B1039" s="28" t="s">
        <v>338</v>
      </c>
      <c r="C1039" s="28" t="s">
        <v>119</v>
      </c>
      <c r="D1039" s="28">
        <v>232</v>
      </c>
      <c r="E1039" s="28" t="str">
        <f>INDEX([1]道具配置表!$D:$D,MATCH(D1039,[1]道具配置表!$A:$A,0))</f>
        <v>1万食物</v>
      </c>
      <c r="F1039" s="28">
        <f>F1033+10</f>
        <v>110</v>
      </c>
      <c r="G1039" s="28"/>
      <c r="H1039" s="28"/>
      <c r="I1039" s="28"/>
      <c r="J1039" s="28"/>
      <c r="K1039" s="43">
        <v>1</v>
      </c>
      <c r="L1039" s="43"/>
      <c r="M1039" s="43" t="b">
        <v>1</v>
      </c>
      <c r="N1039" s="28"/>
      <c r="V1039" s="20"/>
      <c r="W1039" s="20"/>
      <c r="X1039" s="20"/>
      <c r="Y1039" s="20"/>
      <c r="Z1039" s="20"/>
      <c r="AA1039" s="20"/>
      <c r="AB1039" s="20"/>
      <c r="AC1039" s="20"/>
      <c r="AD1039" s="20"/>
    </row>
    <row r="1040" spans="1:30" ht="13.5" customHeight="1" x14ac:dyDescent="0.25">
      <c r="A1040" s="28"/>
      <c r="B1040" s="28"/>
      <c r="C1040" s="28" t="s">
        <v>119</v>
      </c>
      <c r="D1040" s="28">
        <v>231</v>
      </c>
      <c r="E1040" s="28" t="str">
        <f>INDEX([1]道具配置表!$D:$D,MATCH(D1040,[1]道具配置表!$A:$A,0))</f>
        <v>1万木材</v>
      </c>
      <c r="F1040" s="28">
        <f>F1034+10</f>
        <v>110</v>
      </c>
      <c r="G1040" s="28"/>
      <c r="H1040" s="28"/>
      <c r="I1040" s="28"/>
      <c r="J1040" s="28"/>
      <c r="K1040" s="43">
        <v>1</v>
      </c>
      <c r="L1040" s="43"/>
      <c r="M1040" s="43" t="b">
        <v>1</v>
      </c>
      <c r="N1040" s="28"/>
      <c r="V1040" s="20"/>
      <c r="W1040" s="20"/>
      <c r="X1040" s="20"/>
      <c r="Y1040" s="20"/>
      <c r="Z1040" s="20"/>
      <c r="AA1040" s="20"/>
      <c r="AB1040" s="20"/>
      <c r="AC1040" s="20"/>
      <c r="AD1040" s="20"/>
    </row>
    <row r="1041" spans="1:30" ht="13.5" customHeight="1" x14ac:dyDescent="0.25">
      <c r="A1041" s="28"/>
      <c r="B1041" s="28"/>
      <c r="C1041" s="28" t="s">
        <v>119</v>
      </c>
      <c r="D1041" s="28">
        <v>233</v>
      </c>
      <c r="E1041" s="28" t="str">
        <f>INDEX([1]道具配置表!$D:$D,MATCH(D1041,[1]道具配置表!$A:$A,0))</f>
        <v>1万石头</v>
      </c>
      <c r="F1041" s="28">
        <f>F1035+10</f>
        <v>110</v>
      </c>
      <c r="G1041" s="28"/>
      <c r="H1041" s="28"/>
      <c r="I1041" s="28"/>
      <c r="J1041" s="28"/>
      <c r="K1041" s="43">
        <v>1</v>
      </c>
      <c r="L1041" s="43"/>
      <c r="M1041" s="43" t="b">
        <v>1</v>
      </c>
      <c r="N1041" s="28"/>
      <c r="V1041" s="20"/>
      <c r="W1041" s="20"/>
      <c r="X1041" s="20"/>
      <c r="Y1041" s="20"/>
      <c r="Z1041" s="20"/>
      <c r="AA1041" s="20"/>
      <c r="AB1041" s="20"/>
      <c r="AC1041" s="20"/>
      <c r="AD1041" s="20"/>
    </row>
    <row r="1042" spans="1:30" ht="13.5" customHeight="1" x14ac:dyDescent="0.25">
      <c r="A1042" s="28"/>
      <c r="B1042" s="28"/>
      <c r="C1042" s="28" t="s">
        <v>119</v>
      </c>
      <c r="D1042" s="28">
        <v>234</v>
      </c>
      <c r="E1042" s="28" t="str">
        <f>INDEX([1]道具配置表!$D:$D,MATCH(D1042,[1]道具配置表!$A:$A,0))</f>
        <v>1万黄金</v>
      </c>
      <c r="F1042" s="28">
        <f>F1036+10</f>
        <v>110</v>
      </c>
      <c r="G1042" s="28"/>
      <c r="H1042" s="28"/>
      <c r="I1042" s="28"/>
      <c r="J1042" s="28"/>
      <c r="K1042" s="43">
        <v>1</v>
      </c>
      <c r="L1042" s="43"/>
      <c r="M1042" s="43" t="b">
        <v>1</v>
      </c>
      <c r="N1042" s="28"/>
      <c r="V1042" s="20"/>
      <c r="W1042" s="20"/>
      <c r="X1042" s="20"/>
      <c r="Y1042" s="20"/>
      <c r="Z1042" s="20"/>
      <c r="AA1042" s="20"/>
      <c r="AB1042" s="20"/>
      <c r="AC1042" s="20"/>
      <c r="AD1042" s="20"/>
    </row>
    <row r="1043" spans="1:30" ht="13.5" customHeight="1" x14ac:dyDescent="0.25">
      <c r="A1043" s="28"/>
      <c r="B1043" s="28"/>
      <c r="C1043" s="28" t="s">
        <v>119</v>
      </c>
      <c r="D1043" s="28">
        <v>7100</v>
      </c>
      <c r="E1043" s="28" t="str">
        <f>INDEX([1]道具配置表!$D:$D,MATCH(D1043,[1]道具配置表!$A:$A,0))</f>
        <v>联盟币</v>
      </c>
      <c r="F1043" s="28">
        <f>F1037+500</f>
        <v>5500</v>
      </c>
      <c r="G1043" s="28"/>
      <c r="H1043" s="28"/>
      <c r="I1043" s="28"/>
      <c r="J1043" s="28"/>
      <c r="K1043" s="43">
        <v>1</v>
      </c>
      <c r="L1043" s="43"/>
      <c r="M1043" s="43" t="b">
        <v>1</v>
      </c>
      <c r="N1043" s="28"/>
      <c r="V1043" s="20"/>
      <c r="W1043" s="20"/>
      <c r="X1043" s="20"/>
      <c r="Y1043" s="20"/>
      <c r="Z1043" s="20"/>
      <c r="AA1043" s="20"/>
      <c r="AB1043" s="20"/>
      <c r="AC1043" s="20"/>
      <c r="AD1043" s="20"/>
    </row>
    <row r="1044" spans="1:30" ht="13.5" customHeight="1" x14ac:dyDescent="0.25">
      <c r="A1044" s="43"/>
      <c r="B1044" s="43"/>
      <c r="C1044" s="43"/>
      <c r="D1044" s="43">
        <v>2061</v>
      </c>
      <c r="E1044" s="43" t="str">
        <f>INDEX([1]道具配置表!$D:$D,MATCH(D1044,[1]道具配置表!$A:$A,0))</f>
        <v>伟大蓝图</v>
      </c>
      <c r="F1044" s="43">
        <v>40</v>
      </c>
      <c r="G1044" s="43"/>
      <c r="H1044" s="43"/>
      <c r="I1044" s="43"/>
      <c r="J1044" s="43"/>
      <c r="K1044" s="43">
        <v>1</v>
      </c>
      <c r="L1044" s="43"/>
      <c r="M1044" s="43" t="b">
        <v>1</v>
      </c>
      <c r="N1044" s="43"/>
      <c r="V1044" s="20"/>
      <c r="W1044" s="20"/>
      <c r="X1044" s="20"/>
      <c r="Y1044" s="20"/>
      <c r="Z1044" s="20"/>
      <c r="AA1044" s="20"/>
      <c r="AB1044" s="20"/>
      <c r="AC1044" s="20"/>
      <c r="AD1044" s="20"/>
    </row>
    <row r="1045" spans="1:30" ht="13.5" customHeight="1" x14ac:dyDescent="0.25">
      <c r="A1045" s="28">
        <f>A1039+1</f>
        <v>6606112</v>
      </c>
      <c r="B1045" s="28" t="s">
        <v>339</v>
      </c>
      <c r="C1045" s="28" t="s">
        <v>119</v>
      </c>
      <c r="D1045" s="28">
        <v>232</v>
      </c>
      <c r="E1045" s="28" t="str">
        <f>INDEX([1]道具配置表!$D:$D,MATCH(D1045,[1]道具配置表!$A:$A,0))</f>
        <v>1万食物</v>
      </c>
      <c r="F1045" s="28">
        <f>F1039+10</f>
        <v>120</v>
      </c>
      <c r="G1045" s="28"/>
      <c r="H1045" s="28"/>
      <c r="I1045" s="28"/>
      <c r="J1045" s="28"/>
      <c r="K1045" s="43">
        <v>1</v>
      </c>
      <c r="L1045" s="43"/>
      <c r="M1045" s="43" t="b">
        <v>1</v>
      </c>
      <c r="N1045" s="28"/>
      <c r="V1045" s="20"/>
      <c r="W1045" s="20"/>
      <c r="X1045" s="20"/>
      <c r="Y1045" s="20"/>
      <c r="Z1045" s="20"/>
      <c r="AA1045" s="20"/>
      <c r="AB1045" s="20"/>
      <c r="AC1045" s="20"/>
      <c r="AD1045" s="20"/>
    </row>
    <row r="1046" spans="1:30" ht="13.5" customHeight="1" x14ac:dyDescent="0.25">
      <c r="A1046" s="28"/>
      <c r="B1046" s="28"/>
      <c r="C1046" s="28" t="s">
        <v>119</v>
      </c>
      <c r="D1046" s="28">
        <v>231</v>
      </c>
      <c r="E1046" s="28" t="str">
        <f>INDEX([1]道具配置表!$D:$D,MATCH(D1046,[1]道具配置表!$A:$A,0))</f>
        <v>1万木材</v>
      </c>
      <c r="F1046" s="28">
        <f>F1040+10</f>
        <v>120</v>
      </c>
      <c r="G1046" s="28"/>
      <c r="H1046" s="28"/>
      <c r="I1046" s="28"/>
      <c r="J1046" s="28"/>
      <c r="K1046" s="43">
        <v>1</v>
      </c>
      <c r="L1046" s="43"/>
      <c r="M1046" s="43" t="b">
        <v>1</v>
      </c>
      <c r="N1046" s="28"/>
      <c r="V1046" s="20"/>
      <c r="W1046" s="20"/>
      <c r="X1046" s="20"/>
      <c r="Y1046" s="20"/>
      <c r="Z1046" s="20"/>
      <c r="AA1046" s="20"/>
      <c r="AB1046" s="20"/>
      <c r="AC1046" s="20"/>
      <c r="AD1046" s="20"/>
    </row>
    <row r="1047" spans="1:30" ht="13.5" customHeight="1" x14ac:dyDescent="0.25">
      <c r="A1047" s="28"/>
      <c r="B1047" s="28"/>
      <c r="C1047" s="28" t="s">
        <v>119</v>
      </c>
      <c r="D1047" s="28">
        <v>233</v>
      </c>
      <c r="E1047" s="28" t="str">
        <f>INDEX([1]道具配置表!$D:$D,MATCH(D1047,[1]道具配置表!$A:$A,0))</f>
        <v>1万石头</v>
      </c>
      <c r="F1047" s="28">
        <f>F1041+10</f>
        <v>120</v>
      </c>
      <c r="G1047" s="28"/>
      <c r="H1047" s="28"/>
      <c r="I1047" s="28"/>
      <c r="J1047" s="28"/>
      <c r="K1047" s="43">
        <v>1</v>
      </c>
      <c r="L1047" s="43"/>
      <c r="M1047" s="43" t="b">
        <v>1</v>
      </c>
      <c r="N1047" s="28"/>
      <c r="V1047" s="20"/>
      <c r="W1047" s="20"/>
      <c r="X1047" s="20"/>
      <c r="Y1047" s="20"/>
      <c r="Z1047" s="20"/>
      <c r="AA1047" s="20"/>
      <c r="AB1047" s="20"/>
      <c r="AC1047" s="20"/>
      <c r="AD1047" s="20"/>
    </row>
    <row r="1048" spans="1:30" ht="13.5" customHeight="1" x14ac:dyDescent="0.25">
      <c r="A1048" s="28"/>
      <c r="B1048" s="28"/>
      <c r="C1048" s="28" t="s">
        <v>119</v>
      </c>
      <c r="D1048" s="28">
        <v>234</v>
      </c>
      <c r="E1048" s="28" t="str">
        <f>INDEX([1]道具配置表!$D:$D,MATCH(D1048,[1]道具配置表!$A:$A,0))</f>
        <v>1万黄金</v>
      </c>
      <c r="F1048" s="28">
        <f>F1042+10</f>
        <v>120</v>
      </c>
      <c r="G1048" s="28"/>
      <c r="H1048" s="28"/>
      <c r="I1048" s="28"/>
      <c r="J1048" s="28"/>
      <c r="K1048" s="43">
        <v>1</v>
      </c>
      <c r="L1048" s="43"/>
      <c r="M1048" s="43" t="b">
        <v>1</v>
      </c>
      <c r="N1048" s="28"/>
      <c r="V1048" s="20"/>
      <c r="W1048" s="20"/>
      <c r="X1048" s="20"/>
      <c r="Y1048" s="20"/>
      <c r="Z1048" s="20"/>
      <c r="AA1048" s="20"/>
      <c r="AB1048" s="20"/>
      <c r="AC1048" s="20"/>
      <c r="AD1048" s="20"/>
    </row>
    <row r="1049" spans="1:30" ht="13.5" customHeight="1" x14ac:dyDescent="0.25">
      <c r="A1049" s="28"/>
      <c r="B1049" s="28"/>
      <c r="C1049" s="28" t="s">
        <v>119</v>
      </c>
      <c r="D1049" s="28">
        <v>7100</v>
      </c>
      <c r="E1049" s="28" t="str">
        <f>INDEX([1]道具配置表!$D:$D,MATCH(D1049,[1]道具配置表!$A:$A,0))</f>
        <v>联盟币</v>
      </c>
      <c r="F1049" s="28">
        <f>F1043+500</f>
        <v>6000</v>
      </c>
      <c r="G1049" s="28"/>
      <c r="H1049" s="28"/>
      <c r="I1049" s="28"/>
      <c r="J1049" s="28"/>
      <c r="K1049" s="43">
        <v>1</v>
      </c>
      <c r="L1049" s="43"/>
      <c r="M1049" s="43" t="b">
        <v>1</v>
      </c>
      <c r="N1049" s="28"/>
      <c r="V1049" s="20"/>
      <c r="W1049" s="20"/>
      <c r="X1049" s="20"/>
      <c r="Y1049" s="20"/>
      <c r="Z1049" s="20"/>
      <c r="AA1049" s="20"/>
      <c r="AB1049" s="20"/>
      <c r="AC1049" s="20"/>
      <c r="AD1049" s="20"/>
    </row>
    <row r="1050" spans="1:30" ht="13.5" customHeight="1" x14ac:dyDescent="0.25">
      <c r="A1050" s="43"/>
      <c r="B1050" s="43"/>
      <c r="C1050" s="43"/>
      <c r="D1050" s="43">
        <v>2061</v>
      </c>
      <c r="E1050" s="43" t="str">
        <f>INDEX([1]道具配置表!$D:$D,MATCH(D1050,[1]道具配置表!$A:$A,0))</f>
        <v>伟大蓝图</v>
      </c>
      <c r="F1050" s="43">
        <v>45</v>
      </c>
      <c r="G1050" s="43"/>
      <c r="H1050" s="43"/>
      <c r="I1050" s="43"/>
      <c r="J1050" s="43"/>
      <c r="K1050" s="43">
        <v>1</v>
      </c>
      <c r="L1050" s="43"/>
      <c r="M1050" s="43" t="b">
        <v>1</v>
      </c>
      <c r="N1050" s="43"/>
      <c r="V1050" s="20"/>
      <c r="W1050" s="20"/>
      <c r="X1050" s="20"/>
      <c r="Y1050" s="20"/>
      <c r="Z1050" s="20"/>
      <c r="AA1050" s="20"/>
      <c r="AB1050" s="20"/>
      <c r="AC1050" s="20"/>
      <c r="AD1050" s="20"/>
    </row>
    <row r="1051" spans="1:30" ht="13.5" customHeight="1" x14ac:dyDescent="0.25">
      <c r="A1051" s="28">
        <f>A1045+1</f>
        <v>6606113</v>
      </c>
      <c r="B1051" s="28" t="s">
        <v>340</v>
      </c>
      <c r="C1051" s="28" t="s">
        <v>119</v>
      </c>
      <c r="D1051" s="28">
        <v>232</v>
      </c>
      <c r="E1051" s="28" t="str">
        <f>INDEX([1]道具配置表!$D:$D,MATCH(D1051,[1]道具配置表!$A:$A,0))</f>
        <v>1万食物</v>
      </c>
      <c r="F1051" s="28">
        <f>F1045+10</f>
        <v>130</v>
      </c>
      <c r="G1051" s="28"/>
      <c r="H1051" s="28"/>
      <c r="I1051" s="28"/>
      <c r="J1051" s="28"/>
      <c r="K1051" s="43">
        <v>1</v>
      </c>
      <c r="L1051" s="43"/>
      <c r="M1051" s="43" t="b">
        <v>1</v>
      </c>
      <c r="N1051" s="28"/>
      <c r="V1051" s="20"/>
      <c r="W1051" s="20"/>
      <c r="X1051" s="20"/>
      <c r="Y1051" s="20"/>
      <c r="Z1051" s="20"/>
      <c r="AA1051" s="20"/>
      <c r="AB1051" s="20"/>
      <c r="AC1051" s="20"/>
      <c r="AD1051" s="20"/>
    </row>
    <row r="1052" spans="1:30" ht="13.5" customHeight="1" x14ac:dyDescent="0.25">
      <c r="A1052" s="28"/>
      <c r="B1052" s="28"/>
      <c r="C1052" s="28" t="s">
        <v>119</v>
      </c>
      <c r="D1052" s="28">
        <v>231</v>
      </c>
      <c r="E1052" s="28" t="str">
        <f>INDEX([1]道具配置表!$D:$D,MATCH(D1052,[1]道具配置表!$A:$A,0))</f>
        <v>1万木材</v>
      </c>
      <c r="F1052" s="28">
        <f>F1046+10</f>
        <v>130</v>
      </c>
      <c r="G1052" s="28"/>
      <c r="H1052" s="28"/>
      <c r="I1052" s="28"/>
      <c r="J1052" s="28"/>
      <c r="K1052" s="43">
        <v>1</v>
      </c>
      <c r="L1052" s="43"/>
      <c r="M1052" s="43" t="b">
        <v>1</v>
      </c>
      <c r="N1052" s="28"/>
      <c r="V1052" s="20"/>
      <c r="W1052" s="20"/>
      <c r="X1052" s="20"/>
      <c r="Y1052" s="20"/>
      <c r="Z1052" s="20"/>
      <c r="AA1052" s="20"/>
      <c r="AB1052" s="20"/>
      <c r="AC1052" s="20"/>
      <c r="AD1052" s="20"/>
    </row>
    <row r="1053" spans="1:30" ht="13.5" customHeight="1" x14ac:dyDescent="0.25">
      <c r="A1053" s="28"/>
      <c r="B1053" s="28"/>
      <c r="C1053" s="28" t="s">
        <v>119</v>
      </c>
      <c r="D1053" s="28">
        <v>233</v>
      </c>
      <c r="E1053" s="28" t="str">
        <f>INDEX([1]道具配置表!$D:$D,MATCH(D1053,[1]道具配置表!$A:$A,0))</f>
        <v>1万石头</v>
      </c>
      <c r="F1053" s="28">
        <f>F1047+10</f>
        <v>130</v>
      </c>
      <c r="G1053" s="28"/>
      <c r="H1053" s="28"/>
      <c r="I1053" s="28"/>
      <c r="J1053" s="28"/>
      <c r="K1053" s="43">
        <v>1</v>
      </c>
      <c r="L1053" s="43"/>
      <c r="M1053" s="43" t="b">
        <v>1</v>
      </c>
      <c r="N1053" s="28"/>
      <c r="V1053" s="20"/>
      <c r="W1053" s="20"/>
      <c r="X1053" s="20"/>
      <c r="Y1053" s="20"/>
      <c r="Z1053" s="20"/>
      <c r="AA1053" s="20"/>
      <c r="AB1053" s="20"/>
      <c r="AC1053" s="20"/>
      <c r="AD1053" s="20"/>
    </row>
    <row r="1054" spans="1:30" ht="13.5" customHeight="1" x14ac:dyDescent="0.25">
      <c r="A1054" s="28"/>
      <c r="B1054" s="28"/>
      <c r="C1054" s="28" t="s">
        <v>119</v>
      </c>
      <c r="D1054" s="28">
        <v>234</v>
      </c>
      <c r="E1054" s="28" t="str">
        <f>INDEX([1]道具配置表!$D:$D,MATCH(D1054,[1]道具配置表!$A:$A,0))</f>
        <v>1万黄金</v>
      </c>
      <c r="F1054" s="28">
        <f>F1048+10</f>
        <v>130</v>
      </c>
      <c r="G1054" s="28"/>
      <c r="H1054" s="28"/>
      <c r="I1054" s="28"/>
      <c r="J1054" s="28"/>
      <c r="K1054" s="43">
        <v>1</v>
      </c>
      <c r="L1054" s="43"/>
      <c r="M1054" s="43" t="b">
        <v>1</v>
      </c>
      <c r="N1054" s="28"/>
      <c r="V1054" s="20"/>
      <c r="W1054" s="20"/>
      <c r="X1054" s="20"/>
      <c r="Y1054" s="20"/>
      <c r="Z1054" s="20"/>
      <c r="AA1054" s="20"/>
      <c r="AB1054" s="20"/>
      <c r="AC1054" s="20"/>
      <c r="AD1054" s="20"/>
    </row>
    <row r="1055" spans="1:30" ht="13.5" customHeight="1" x14ac:dyDescent="0.25">
      <c r="A1055" s="28"/>
      <c r="B1055" s="28"/>
      <c r="C1055" s="28" t="s">
        <v>119</v>
      </c>
      <c r="D1055" s="28">
        <v>7100</v>
      </c>
      <c r="E1055" s="28" t="str">
        <f>INDEX([1]道具配置表!$D:$D,MATCH(D1055,[1]道具配置表!$A:$A,0))</f>
        <v>联盟币</v>
      </c>
      <c r="F1055" s="28">
        <f>F1049+500</f>
        <v>6500</v>
      </c>
      <c r="G1055" s="28"/>
      <c r="H1055" s="28"/>
      <c r="I1055" s="28"/>
      <c r="J1055" s="28"/>
      <c r="K1055" s="43">
        <v>1</v>
      </c>
      <c r="L1055" s="43"/>
      <c r="M1055" s="43" t="b">
        <v>1</v>
      </c>
      <c r="N1055" s="28"/>
      <c r="V1055" s="20"/>
      <c r="W1055" s="20"/>
      <c r="X1055" s="20"/>
      <c r="Y1055" s="20"/>
      <c r="Z1055" s="20"/>
      <c r="AA1055" s="20"/>
      <c r="AB1055" s="20"/>
      <c r="AC1055" s="20"/>
      <c r="AD1055" s="20"/>
    </row>
    <row r="1056" spans="1:30" ht="13.5" customHeight="1" x14ac:dyDescent="0.25">
      <c r="A1056" s="43"/>
      <c r="B1056" s="43"/>
      <c r="C1056" s="43"/>
      <c r="D1056" s="43">
        <v>2061</v>
      </c>
      <c r="E1056" s="43" t="str">
        <f>INDEX([1]道具配置表!$D:$D,MATCH(D1056,[1]道具配置表!$A:$A,0))</f>
        <v>伟大蓝图</v>
      </c>
      <c r="F1056" s="43">
        <v>50</v>
      </c>
      <c r="G1056" s="43"/>
      <c r="H1056" s="43"/>
      <c r="I1056" s="43"/>
      <c r="J1056" s="43"/>
      <c r="K1056" s="43">
        <v>1</v>
      </c>
      <c r="L1056" s="43"/>
      <c r="M1056" s="43" t="b">
        <v>1</v>
      </c>
      <c r="N1056" s="43"/>
      <c r="V1056" s="20"/>
      <c r="W1056" s="20"/>
      <c r="X1056" s="20"/>
      <c r="Y1056" s="20"/>
      <c r="Z1056" s="20"/>
      <c r="AA1056" s="20"/>
      <c r="AB1056" s="20"/>
      <c r="AC1056" s="20"/>
      <c r="AD1056" s="20"/>
    </row>
    <row r="1057" spans="1:30" ht="13.5" customHeight="1" x14ac:dyDescent="0.25">
      <c r="A1057" s="28">
        <f>A1051+1</f>
        <v>6606114</v>
      </c>
      <c r="B1057" s="28" t="s">
        <v>341</v>
      </c>
      <c r="C1057" s="28" t="s">
        <v>119</v>
      </c>
      <c r="D1057" s="28">
        <v>232</v>
      </c>
      <c r="E1057" s="28" t="str">
        <f>INDEX([1]道具配置表!$D:$D,MATCH(D1057,[1]道具配置表!$A:$A,0))</f>
        <v>1万食物</v>
      </c>
      <c r="F1057" s="28">
        <f>F1051+10</f>
        <v>140</v>
      </c>
      <c r="G1057" s="28"/>
      <c r="H1057" s="28"/>
      <c r="I1057" s="28"/>
      <c r="J1057" s="28"/>
      <c r="K1057" s="43">
        <v>1</v>
      </c>
      <c r="L1057" s="43"/>
      <c r="M1057" s="43" t="b">
        <v>1</v>
      </c>
      <c r="N1057" s="28"/>
      <c r="V1057" s="20"/>
      <c r="W1057" s="20"/>
      <c r="X1057" s="20"/>
      <c r="Y1057" s="20"/>
      <c r="Z1057" s="20"/>
      <c r="AA1057" s="20"/>
      <c r="AB1057" s="20"/>
      <c r="AC1057" s="20"/>
      <c r="AD1057" s="20"/>
    </row>
    <row r="1058" spans="1:30" ht="13.5" customHeight="1" x14ac:dyDescent="0.25">
      <c r="A1058" s="28"/>
      <c r="B1058" s="28"/>
      <c r="C1058" s="28" t="s">
        <v>119</v>
      </c>
      <c r="D1058" s="28">
        <v>231</v>
      </c>
      <c r="E1058" s="28" t="str">
        <f>INDEX([1]道具配置表!$D:$D,MATCH(D1058,[1]道具配置表!$A:$A,0))</f>
        <v>1万木材</v>
      </c>
      <c r="F1058" s="28">
        <f>F1052+10</f>
        <v>140</v>
      </c>
      <c r="G1058" s="28"/>
      <c r="H1058" s="28"/>
      <c r="I1058" s="28"/>
      <c r="J1058" s="28"/>
      <c r="K1058" s="43">
        <v>1</v>
      </c>
      <c r="L1058" s="43"/>
      <c r="M1058" s="43" t="b">
        <v>1</v>
      </c>
      <c r="N1058" s="28"/>
      <c r="V1058" s="20"/>
      <c r="W1058" s="20"/>
      <c r="X1058" s="20"/>
      <c r="Y1058" s="20"/>
      <c r="Z1058" s="20"/>
      <c r="AA1058" s="20"/>
      <c r="AB1058" s="20"/>
      <c r="AC1058" s="20"/>
      <c r="AD1058" s="20"/>
    </row>
    <row r="1059" spans="1:30" ht="13.5" customHeight="1" x14ac:dyDescent="0.25">
      <c r="A1059" s="28"/>
      <c r="B1059" s="28"/>
      <c r="C1059" s="28" t="s">
        <v>119</v>
      </c>
      <c r="D1059" s="28">
        <v>233</v>
      </c>
      <c r="E1059" s="28" t="str">
        <f>INDEX([1]道具配置表!$D:$D,MATCH(D1059,[1]道具配置表!$A:$A,0))</f>
        <v>1万石头</v>
      </c>
      <c r="F1059" s="28">
        <f>F1053+10</f>
        <v>140</v>
      </c>
      <c r="G1059" s="28"/>
      <c r="H1059" s="28"/>
      <c r="I1059" s="28"/>
      <c r="J1059" s="28"/>
      <c r="K1059" s="43">
        <v>1</v>
      </c>
      <c r="L1059" s="43"/>
      <c r="M1059" s="43" t="b">
        <v>1</v>
      </c>
      <c r="N1059" s="28"/>
      <c r="V1059" s="20"/>
      <c r="W1059" s="20"/>
      <c r="X1059" s="20"/>
      <c r="Y1059" s="20"/>
      <c r="Z1059" s="20"/>
      <c r="AA1059" s="20"/>
      <c r="AB1059" s="20"/>
      <c r="AC1059" s="20"/>
      <c r="AD1059" s="20"/>
    </row>
    <row r="1060" spans="1:30" ht="13.5" customHeight="1" x14ac:dyDescent="0.25">
      <c r="A1060" s="28"/>
      <c r="B1060" s="28"/>
      <c r="C1060" s="28" t="s">
        <v>119</v>
      </c>
      <c r="D1060" s="28">
        <v>234</v>
      </c>
      <c r="E1060" s="28" t="str">
        <f>INDEX([1]道具配置表!$D:$D,MATCH(D1060,[1]道具配置表!$A:$A,0))</f>
        <v>1万黄金</v>
      </c>
      <c r="F1060" s="28">
        <f>F1054+10</f>
        <v>140</v>
      </c>
      <c r="G1060" s="28"/>
      <c r="H1060" s="28"/>
      <c r="I1060" s="28"/>
      <c r="J1060" s="28"/>
      <c r="K1060" s="43">
        <v>1</v>
      </c>
      <c r="L1060" s="43"/>
      <c r="M1060" s="43" t="b">
        <v>1</v>
      </c>
      <c r="N1060" s="28"/>
      <c r="V1060" s="20"/>
      <c r="W1060" s="20"/>
      <c r="X1060" s="20"/>
      <c r="Y1060" s="20"/>
      <c r="Z1060" s="20"/>
      <c r="AA1060" s="20"/>
      <c r="AB1060" s="20"/>
      <c r="AC1060" s="20"/>
      <c r="AD1060" s="20"/>
    </row>
    <row r="1061" spans="1:30" ht="13.5" customHeight="1" x14ac:dyDescent="0.25">
      <c r="A1061" s="28"/>
      <c r="B1061" s="28"/>
      <c r="C1061" s="28" t="s">
        <v>119</v>
      </c>
      <c r="D1061" s="28">
        <v>7100</v>
      </c>
      <c r="E1061" s="28" t="str">
        <f>INDEX([1]道具配置表!$D:$D,MATCH(D1061,[1]道具配置表!$A:$A,0))</f>
        <v>联盟币</v>
      </c>
      <c r="F1061" s="28">
        <f>F1055+500</f>
        <v>7000</v>
      </c>
      <c r="G1061" s="28"/>
      <c r="H1061" s="28"/>
      <c r="I1061" s="28"/>
      <c r="J1061" s="28"/>
      <c r="K1061" s="43">
        <v>1</v>
      </c>
      <c r="L1061" s="43"/>
      <c r="M1061" s="43" t="b">
        <v>1</v>
      </c>
      <c r="N1061" s="28"/>
      <c r="V1061" s="20"/>
      <c r="W1061" s="20"/>
      <c r="X1061" s="20"/>
      <c r="Y1061" s="20"/>
      <c r="Z1061" s="20"/>
      <c r="AA1061" s="20"/>
      <c r="AB1061" s="20"/>
      <c r="AC1061" s="20"/>
      <c r="AD1061" s="20"/>
    </row>
    <row r="1062" spans="1:30" ht="13.5" customHeight="1" x14ac:dyDescent="0.25">
      <c r="A1062" s="43"/>
      <c r="B1062" s="43"/>
      <c r="C1062" s="43"/>
      <c r="D1062" s="43">
        <v>2061</v>
      </c>
      <c r="E1062" s="43" t="str">
        <f>INDEX([1]道具配置表!$D:$D,MATCH(D1062,[1]道具配置表!$A:$A,0))</f>
        <v>伟大蓝图</v>
      </c>
      <c r="F1062" s="43">
        <v>55</v>
      </c>
      <c r="G1062" s="43"/>
      <c r="H1062" s="43"/>
      <c r="I1062" s="43"/>
      <c r="J1062" s="43"/>
      <c r="K1062" s="43">
        <v>1</v>
      </c>
      <c r="L1062" s="43"/>
      <c r="M1062" s="43" t="b">
        <v>1</v>
      </c>
      <c r="N1062" s="43"/>
      <c r="V1062" s="20"/>
      <c r="W1062" s="20"/>
      <c r="X1062" s="20"/>
      <c r="Y1062" s="20"/>
      <c r="Z1062" s="20"/>
      <c r="AA1062" s="20"/>
      <c r="AB1062" s="20"/>
      <c r="AC1062" s="20"/>
      <c r="AD1062" s="20"/>
    </row>
    <row r="1063" spans="1:30" ht="13.5" customHeight="1" x14ac:dyDescent="0.25">
      <c r="A1063" s="28">
        <f>A1057+1</f>
        <v>6606115</v>
      </c>
      <c r="B1063" s="28" t="s">
        <v>342</v>
      </c>
      <c r="C1063" s="28" t="s">
        <v>119</v>
      </c>
      <c r="D1063" s="28">
        <v>232</v>
      </c>
      <c r="E1063" s="28" t="str">
        <f>INDEX([1]道具配置表!$D:$D,MATCH(D1063,[1]道具配置表!$A:$A,0))</f>
        <v>1万食物</v>
      </c>
      <c r="F1063" s="28">
        <f>F1057+10</f>
        <v>150</v>
      </c>
      <c r="G1063" s="28"/>
      <c r="H1063" s="28"/>
      <c r="I1063" s="28"/>
      <c r="J1063" s="28"/>
      <c r="K1063" s="43">
        <v>1</v>
      </c>
      <c r="L1063" s="43"/>
      <c r="M1063" s="43" t="b">
        <v>1</v>
      </c>
      <c r="N1063" s="28"/>
      <c r="V1063" s="20"/>
      <c r="W1063" s="20"/>
      <c r="X1063" s="20"/>
      <c r="Y1063" s="20"/>
      <c r="Z1063" s="20"/>
      <c r="AA1063" s="20"/>
      <c r="AB1063" s="20"/>
      <c r="AC1063" s="20"/>
      <c r="AD1063" s="20"/>
    </row>
    <row r="1064" spans="1:30" ht="13.5" customHeight="1" x14ac:dyDescent="0.25">
      <c r="A1064" s="28"/>
      <c r="B1064" s="28"/>
      <c r="C1064" s="28" t="s">
        <v>119</v>
      </c>
      <c r="D1064" s="28">
        <v>231</v>
      </c>
      <c r="E1064" s="28" t="str">
        <f>INDEX([1]道具配置表!$D:$D,MATCH(D1064,[1]道具配置表!$A:$A,0))</f>
        <v>1万木材</v>
      </c>
      <c r="F1064" s="28">
        <f>F1058+10</f>
        <v>150</v>
      </c>
      <c r="G1064" s="28"/>
      <c r="H1064" s="28"/>
      <c r="I1064" s="28"/>
      <c r="J1064" s="28"/>
      <c r="K1064" s="43">
        <v>1</v>
      </c>
      <c r="L1064" s="43"/>
      <c r="M1064" s="43" t="b">
        <v>1</v>
      </c>
      <c r="N1064" s="28"/>
      <c r="V1064" s="20"/>
      <c r="W1064" s="20"/>
      <c r="X1064" s="20"/>
      <c r="Y1064" s="20"/>
      <c r="Z1064" s="20"/>
      <c r="AA1064" s="20"/>
      <c r="AB1064" s="20"/>
      <c r="AC1064" s="20"/>
      <c r="AD1064" s="20"/>
    </row>
    <row r="1065" spans="1:30" ht="13.5" customHeight="1" x14ac:dyDescent="0.25">
      <c r="A1065" s="28"/>
      <c r="B1065" s="28"/>
      <c r="C1065" s="28" t="s">
        <v>119</v>
      </c>
      <c r="D1065" s="28">
        <v>233</v>
      </c>
      <c r="E1065" s="28" t="str">
        <f>INDEX([1]道具配置表!$D:$D,MATCH(D1065,[1]道具配置表!$A:$A,0))</f>
        <v>1万石头</v>
      </c>
      <c r="F1065" s="28">
        <f>F1059+10</f>
        <v>150</v>
      </c>
      <c r="G1065" s="28"/>
      <c r="H1065" s="28"/>
      <c r="I1065" s="28"/>
      <c r="J1065" s="28"/>
      <c r="K1065" s="43">
        <v>1</v>
      </c>
      <c r="L1065" s="43"/>
      <c r="M1065" s="43" t="b">
        <v>1</v>
      </c>
      <c r="N1065" s="28"/>
      <c r="V1065" s="20"/>
      <c r="W1065" s="20"/>
      <c r="X1065" s="20"/>
      <c r="Y1065" s="20"/>
      <c r="Z1065" s="20"/>
      <c r="AA1065" s="20"/>
      <c r="AB1065" s="20"/>
      <c r="AC1065" s="20"/>
      <c r="AD1065" s="20"/>
    </row>
    <row r="1066" spans="1:30" ht="13.5" customHeight="1" x14ac:dyDescent="0.25">
      <c r="A1066" s="28"/>
      <c r="B1066" s="28"/>
      <c r="C1066" s="28" t="s">
        <v>119</v>
      </c>
      <c r="D1066" s="28">
        <v>234</v>
      </c>
      <c r="E1066" s="28" t="str">
        <f>INDEX([1]道具配置表!$D:$D,MATCH(D1066,[1]道具配置表!$A:$A,0))</f>
        <v>1万黄金</v>
      </c>
      <c r="F1066" s="28">
        <f>F1060+10</f>
        <v>150</v>
      </c>
      <c r="G1066" s="28"/>
      <c r="H1066" s="28"/>
      <c r="I1066" s="28"/>
      <c r="J1066" s="28"/>
      <c r="K1066" s="43">
        <v>1</v>
      </c>
      <c r="L1066" s="43"/>
      <c r="M1066" s="43" t="b">
        <v>1</v>
      </c>
      <c r="N1066" s="28"/>
      <c r="V1066" s="20"/>
      <c r="W1066" s="20"/>
      <c r="X1066" s="20"/>
      <c r="Y1066" s="20"/>
      <c r="Z1066" s="20"/>
      <c r="AA1066" s="20"/>
      <c r="AB1066" s="20"/>
      <c r="AC1066" s="20"/>
      <c r="AD1066" s="20"/>
    </row>
    <row r="1067" spans="1:30" ht="13.5" customHeight="1" x14ac:dyDescent="0.25">
      <c r="A1067" s="28"/>
      <c r="B1067" s="28"/>
      <c r="C1067" s="28" t="s">
        <v>119</v>
      </c>
      <c r="D1067" s="28">
        <v>7100</v>
      </c>
      <c r="E1067" s="28" t="str">
        <f>INDEX([1]道具配置表!$D:$D,MATCH(D1067,[1]道具配置表!$A:$A,0))</f>
        <v>联盟币</v>
      </c>
      <c r="F1067" s="28">
        <f>F1061+500</f>
        <v>7500</v>
      </c>
      <c r="G1067" s="28"/>
      <c r="H1067" s="28"/>
      <c r="I1067" s="28"/>
      <c r="J1067" s="28"/>
      <c r="K1067" s="43">
        <v>1</v>
      </c>
      <c r="L1067" s="43"/>
      <c r="M1067" s="43" t="b">
        <v>1</v>
      </c>
      <c r="N1067" s="28"/>
      <c r="V1067" s="20"/>
      <c r="W1067" s="20"/>
      <c r="X1067" s="20"/>
      <c r="Y1067" s="20"/>
      <c r="Z1067" s="20"/>
      <c r="AA1067" s="20"/>
      <c r="AB1067" s="20"/>
      <c r="AC1067" s="20"/>
      <c r="AD1067" s="20"/>
    </row>
    <row r="1068" spans="1:30" ht="13.5" customHeight="1" x14ac:dyDescent="0.25">
      <c r="A1068" s="43"/>
      <c r="B1068" s="43"/>
      <c r="C1068" s="43"/>
      <c r="D1068" s="43">
        <v>2061</v>
      </c>
      <c r="E1068" s="43" t="str">
        <f>INDEX([1]道具配置表!$D:$D,MATCH(D1068,[1]道具配置表!$A:$A,0))</f>
        <v>伟大蓝图</v>
      </c>
      <c r="F1068" s="43">
        <v>60</v>
      </c>
      <c r="G1068" s="43"/>
      <c r="H1068" s="43"/>
      <c r="I1068" s="43"/>
      <c r="J1068" s="43"/>
      <c r="K1068" s="43">
        <v>1</v>
      </c>
      <c r="L1068" s="43"/>
      <c r="M1068" s="43" t="b">
        <v>1</v>
      </c>
      <c r="N1068" s="43"/>
      <c r="V1068" s="20"/>
      <c r="W1068" s="20"/>
      <c r="X1068" s="20"/>
      <c r="Y1068" s="20"/>
      <c r="Z1068" s="20"/>
      <c r="AA1068" s="20"/>
      <c r="AB1068" s="20"/>
      <c r="AC1068" s="20"/>
      <c r="AD1068" s="20"/>
    </row>
    <row r="1069" spans="1:30" ht="13.5" customHeight="1" x14ac:dyDescent="0.25">
      <c r="A1069" s="28">
        <f>A1063+1</f>
        <v>6606116</v>
      </c>
      <c r="B1069" s="28" t="s">
        <v>343</v>
      </c>
      <c r="C1069" s="28" t="s">
        <v>119</v>
      </c>
      <c r="D1069" s="28">
        <v>232</v>
      </c>
      <c r="E1069" s="28" t="str">
        <f>INDEX([1]道具配置表!$D:$D,MATCH(D1069,[1]道具配置表!$A:$A,0))</f>
        <v>1万食物</v>
      </c>
      <c r="F1069" s="28">
        <f>F1063+10</f>
        <v>160</v>
      </c>
      <c r="G1069" s="28"/>
      <c r="H1069" s="28"/>
      <c r="I1069" s="28"/>
      <c r="J1069" s="28"/>
      <c r="K1069" s="43">
        <v>1</v>
      </c>
      <c r="L1069" s="43"/>
      <c r="M1069" s="43" t="b">
        <v>1</v>
      </c>
      <c r="N1069" s="28"/>
      <c r="V1069" s="20"/>
      <c r="W1069" s="20"/>
      <c r="X1069" s="20"/>
      <c r="Y1069" s="20"/>
      <c r="Z1069" s="20"/>
      <c r="AA1069" s="20"/>
      <c r="AB1069" s="20"/>
      <c r="AC1069" s="20"/>
      <c r="AD1069" s="20"/>
    </row>
    <row r="1070" spans="1:30" ht="13.5" customHeight="1" x14ac:dyDescent="0.25">
      <c r="A1070" s="28"/>
      <c r="B1070" s="28"/>
      <c r="C1070" s="28" t="s">
        <v>119</v>
      </c>
      <c r="D1070" s="28">
        <v>231</v>
      </c>
      <c r="E1070" s="28" t="str">
        <f>INDEX([1]道具配置表!$D:$D,MATCH(D1070,[1]道具配置表!$A:$A,0))</f>
        <v>1万木材</v>
      </c>
      <c r="F1070" s="28">
        <f>F1064+10</f>
        <v>160</v>
      </c>
      <c r="G1070" s="28"/>
      <c r="H1070" s="28"/>
      <c r="I1070" s="28"/>
      <c r="J1070" s="28"/>
      <c r="K1070" s="43">
        <v>1</v>
      </c>
      <c r="L1070" s="43"/>
      <c r="M1070" s="43" t="b">
        <v>1</v>
      </c>
      <c r="N1070" s="28"/>
      <c r="V1070" s="20"/>
      <c r="W1070" s="20"/>
      <c r="X1070" s="20"/>
      <c r="Y1070" s="20"/>
      <c r="Z1070" s="20"/>
      <c r="AA1070" s="20"/>
      <c r="AB1070" s="20"/>
      <c r="AC1070" s="20"/>
      <c r="AD1070" s="20"/>
    </row>
    <row r="1071" spans="1:30" ht="13.5" customHeight="1" x14ac:dyDescent="0.25">
      <c r="A1071" s="28"/>
      <c r="B1071" s="28"/>
      <c r="C1071" s="28" t="s">
        <v>119</v>
      </c>
      <c r="D1071" s="28">
        <v>233</v>
      </c>
      <c r="E1071" s="28" t="str">
        <f>INDEX([1]道具配置表!$D:$D,MATCH(D1071,[1]道具配置表!$A:$A,0))</f>
        <v>1万石头</v>
      </c>
      <c r="F1071" s="28">
        <f>F1065+10</f>
        <v>160</v>
      </c>
      <c r="G1071" s="28"/>
      <c r="H1071" s="28"/>
      <c r="I1071" s="28"/>
      <c r="J1071" s="28"/>
      <c r="K1071" s="43">
        <v>1</v>
      </c>
      <c r="L1071" s="43"/>
      <c r="M1071" s="43" t="b">
        <v>1</v>
      </c>
      <c r="N1071" s="28"/>
      <c r="V1071" s="20"/>
      <c r="W1071" s="20"/>
      <c r="X1071" s="20"/>
      <c r="Y1071" s="20"/>
      <c r="Z1071" s="20"/>
      <c r="AA1071" s="20"/>
      <c r="AB1071" s="20"/>
      <c r="AC1071" s="20"/>
      <c r="AD1071" s="20"/>
    </row>
    <row r="1072" spans="1:30" ht="13.5" customHeight="1" x14ac:dyDescent="0.25">
      <c r="A1072" s="28"/>
      <c r="B1072" s="28"/>
      <c r="C1072" s="28" t="s">
        <v>119</v>
      </c>
      <c r="D1072" s="28">
        <v>234</v>
      </c>
      <c r="E1072" s="28" t="str">
        <f>INDEX([1]道具配置表!$D:$D,MATCH(D1072,[1]道具配置表!$A:$A,0))</f>
        <v>1万黄金</v>
      </c>
      <c r="F1072" s="28">
        <f>F1066+10</f>
        <v>160</v>
      </c>
      <c r="G1072" s="28"/>
      <c r="H1072" s="28"/>
      <c r="I1072" s="28"/>
      <c r="J1072" s="28"/>
      <c r="K1072" s="43">
        <v>1</v>
      </c>
      <c r="L1072" s="43"/>
      <c r="M1072" s="43" t="b">
        <v>1</v>
      </c>
      <c r="N1072" s="28"/>
      <c r="V1072" s="20"/>
      <c r="W1072" s="20"/>
      <c r="X1072" s="20"/>
      <c r="Y1072" s="20"/>
      <c r="Z1072" s="20"/>
      <c r="AA1072" s="20"/>
      <c r="AB1072" s="20"/>
      <c r="AC1072" s="20"/>
      <c r="AD1072" s="20"/>
    </row>
    <row r="1073" spans="1:30" ht="13.5" customHeight="1" x14ac:dyDescent="0.25">
      <c r="A1073" s="28"/>
      <c r="B1073" s="28"/>
      <c r="C1073" s="28" t="s">
        <v>119</v>
      </c>
      <c r="D1073" s="28">
        <v>7100</v>
      </c>
      <c r="E1073" s="28" t="str">
        <f>INDEX([1]道具配置表!$D:$D,MATCH(D1073,[1]道具配置表!$A:$A,0))</f>
        <v>联盟币</v>
      </c>
      <c r="F1073" s="28">
        <f>F1067+500</f>
        <v>8000</v>
      </c>
      <c r="G1073" s="28"/>
      <c r="H1073" s="28"/>
      <c r="I1073" s="28"/>
      <c r="J1073" s="28"/>
      <c r="K1073" s="43">
        <v>1</v>
      </c>
      <c r="L1073" s="43"/>
      <c r="M1073" s="43" t="b">
        <v>1</v>
      </c>
      <c r="N1073" s="28"/>
      <c r="V1073" s="20"/>
      <c r="W1073" s="20"/>
      <c r="X1073" s="20"/>
      <c r="Y1073" s="20"/>
      <c r="Z1073" s="20"/>
      <c r="AA1073" s="20"/>
      <c r="AB1073" s="20"/>
      <c r="AC1073" s="20"/>
      <c r="AD1073" s="20"/>
    </row>
    <row r="1074" spans="1:30" ht="13.5" customHeight="1" x14ac:dyDescent="0.25">
      <c r="A1074" s="43"/>
      <c r="B1074" s="43"/>
      <c r="C1074" s="43"/>
      <c r="D1074" s="43">
        <v>2061</v>
      </c>
      <c r="E1074" s="43" t="str">
        <f>INDEX([1]道具配置表!$D:$D,MATCH(D1074,[1]道具配置表!$A:$A,0))</f>
        <v>伟大蓝图</v>
      </c>
      <c r="F1074" s="43">
        <v>65</v>
      </c>
      <c r="G1074" s="43"/>
      <c r="H1074" s="43"/>
      <c r="I1074" s="43"/>
      <c r="J1074" s="43"/>
      <c r="K1074" s="43">
        <v>1</v>
      </c>
      <c r="L1074" s="43"/>
      <c r="M1074" s="43" t="b">
        <v>1</v>
      </c>
      <c r="N1074" s="43"/>
      <c r="V1074" s="20"/>
      <c r="W1074" s="20"/>
      <c r="X1074" s="20"/>
      <c r="Y1074" s="20"/>
      <c r="Z1074" s="20"/>
      <c r="AA1074" s="20"/>
      <c r="AB1074" s="20"/>
      <c r="AC1074" s="20"/>
      <c r="AD1074" s="20"/>
    </row>
    <row r="1075" spans="1:30" ht="13.5" customHeight="1" x14ac:dyDescent="0.25">
      <c r="A1075" s="28">
        <f>A1069+1</f>
        <v>6606117</v>
      </c>
      <c r="B1075" s="28" t="s">
        <v>344</v>
      </c>
      <c r="C1075" s="28" t="s">
        <v>119</v>
      </c>
      <c r="D1075" s="28">
        <v>232</v>
      </c>
      <c r="E1075" s="28" t="str">
        <f>INDEX([1]道具配置表!$D:$D,MATCH(D1075,[1]道具配置表!$A:$A,0))</f>
        <v>1万食物</v>
      </c>
      <c r="F1075" s="28">
        <f>F1069+10</f>
        <v>170</v>
      </c>
      <c r="G1075" s="28"/>
      <c r="H1075" s="28"/>
      <c r="I1075" s="28"/>
      <c r="J1075" s="28"/>
      <c r="K1075" s="43">
        <v>1</v>
      </c>
      <c r="L1075" s="43"/>
      <c r="M1075" s="43" t="b">
        <v>1</v>
      </c>
      <c r="N1075" s="28"/>
      <c r="V1075" s="20"/>
      <c r="W1075" s="20"/>
      <c r="X1075" s="20"/>
      <c r="Y1075" s="20"/>
      <c r="Z1075" s="20"/>
      <c r="AA1075" s="20"/>
      <c r="AB1075" s="20"/>
      <c r="AC1075" s="20"/>
      <c r="AD1075" s="20"/>
    </row>
    <row r="1076" spans="1:30" ht="13.5" customHeight="1" x14ac:dyDescent="0.25">
      <c r="A1076" s="28"/>
      <c r="B1076" s="28"/>
      <c r="C1076" s="28" t="s">
        <v>119</v>
      </c>
      <c r="D1076" s="28">
        <v>231</v>
      </c>
      <c r="E1076" s="28" t="str">
        <f>INDEX([1]道具配置表!$D:$D,MATCH(D1076,[1]道具配置表!$A:$A,0))</f>
        <v>1万木材</v>
      </c>
      <c r="F1076" s="28">
        <f>F1070+10</f>
        <v>170</v>
      </c>
      <c r="G1076" s="28"/>
      <c r="H1076" s="28"/>
      <c r="I1076" s="28"/>
      <c r="J1076" s="28"/>
      <c r="K1076" s="43">
        <v>1</v>
      </c>
      <c r="L1076" s="43"/>
      <c r="M1076" s="43" t="b">
        <v>1</v>
      </c>
      <c r="N1076" s="28"/>
      <c r="V1076" s="20"/>
      <c r="W1076" s="20"/>
      <c r="X1076" s="20"/>
      <c r="Y1076" s="20"/>
      <c r="Z1076" s="20"/>
      <c r="AA1076" s="20"/>
      <c r="AB1076" s="20"/>
      <c r="AC1076" s="20"/>
      <c r="AD1076" s="20"/>
    </row>
    <row r="1077" spans="1:30" ht="13.5" customHeight="1" x14ac:dyDescent="0.25">
      <c r="A1077" s="28"/>
      <c r="B1077" s="28"/>
      <c r="C1077" s="28" t="s">
        <v>119</v>
      </c>
      <c r="D1077" s="28">
        <v>233</v>
      </c>
      <c r="E1077" s="28" t="str">
        <f>INDEX([1]道具配置表!$D:$D,MATCH(D1077,[1]道具配置表!$A:$A,0))</f>
        <v>1万石头</v>
      </c>
      <c r="F1077" s="28">
        <f>F1071+10</f>
        <v>170</v>
      </c>
      <c r="G1077" s="28"/>
      <c r="H1077" s="28"/>
      <c r="I1077" s="28"/>
      <c r="J1077" s="28"/>
      <c r="K1077" s="43">
        <v>1</v>
      </c>
      <c r="L1077" s="43"/>
      <c r="M1077" s="43" t="b">
        <v>1</v>
      </c>
      <c r="N1077" s="28"/>
      <c r="V1077" s="20"/>
      <c r="W1077" s="20"/>
      <c r="X1077" s="20"/>
      <c r="Y1077" s="20"/>
      <c r="Z1077" s="20"/>
      <c r="AA1077" s="20"/>
      <c r="AB1077" s="20"/>
      <c r="AC1077" s="20"/>
      <c r="AD1077" s="20"/>
    </row>
    <row r="1078" spans="1:30" ht="13.5" customHeight="1" x14ac:dyDescent="0.25">
      <c r="A1078" s="28"/>
      <c r="B1078" s="28"/>
      <c r="C1078" s="28" t="s">
        <v>119</v>
      </c>
      <c r="D1078" s="28">
        <v>234</v>
      </c>
      <c r="E1078" s="28" t="str">
        <f>INDEX([1]道具配置表!$D:$D,MATCH(D1078,[1]道具配置表!$A:$A,0))</f>
        <v>1万黄金</v>
      </c>
      <c r="F1078" s="28">
        <f>F1072+10</f>
        <v>170</v>
      </c>
      <c r="G1078" s="28"/>
      <c r="H1078" s="28"/>
      <c r="I1078" s="28"/>
      <c r="J1078" s="28"/>
      <c r="K1078" s="43">
        <v>1</v>
      </c>
      <c r="L1078" s="43"/>
      <c r="M1078" s="43" t="b">
        <v>1</v>
      </c>
      <c r="N1078" s="28"/>
      <c r="V1078" s="20"/>
      <c r="W1078" s="20"/>
      <c r="X1078" s="20"/>
      <c r="Y1078" s="20"/>
      <c r="Z1078" s="20"/>
      <c r="AA1078" s="20"/>
      <c r="AB1078" s="20"/>
      <c r="AC1078" s="20"/>
      <c r="AD1078" s="20"/>
    </row>
    <row r="1079" spans="1:30" ht="13.5" customHeight="1" x14ac:dyDescent="0.25">
      <c r="A1079" s="28"/>
      <c r="B1079" s="28"/>
      <c r="C1079" s="28" t="s">
        <v>119</v>
      </c>
      <c r="D1079" s="28">
        <v>7100</v>
      </c>
      <c r="E1079" s="28" t="str">
        <f>INDEX([1]道具配置表!$D:$D,MATCH(D1079,[1]道具配置表!$A:$A,0))</f>
        <v>联盟币</v>
      </c>
      <c r="F1079" s="28">
        <f>F1073+500</f>
        <v>8500</v>
      </c>
      <c r="G1079" s="28"/>
      <c r="H1079" s="28"/>
      <c r="I1079" s="28"/>
      <c r="J1079" s="28"/>
      <c r="K1079" s="43">
        <v>1</v>
      </c>
      <c r="L1079" s="43"/>
      <c r="M1079" s="43" t="b">
        <v>1</v>
      </c>
      <c r="N1079" s="28"/>
      <c r="V1079" s="20"/>
      <c r="W1079" s="20"/>
      <c r="X1079" s="20"/>
      <c r="Y1079" s="20"/>
      <c r="Z1079" s="20"/>
      <c r="AA1079" s="20"/>
      <c r="AB1079" s="20"/>
      <c r="AC1079" s="20"/>
      <c r="AD1079" s="20"/>
    </row>
    <row r="1080" spans="1:30" ht="13.5" customHeight="1" x14ac:dyDescent="0.25">
      <c r="A1080" s="43"/>
      <c r="B1080" s="43"/>
      <c r="C1080" s="43"/>
      <c r="D1080" s="43">
        <v>2061</v>
      </c>
      <c r="E1080" s="43" t="str">
        <f>INDEX([1]道具配置表!$D:$D,MATCH(D1080,[1]道具配置表!$A:$A,0))</f>
        <v>伟大蓝图</v>
      </c>
      <c r="F1080" s="43">
        <v>70</v>
      </c>
      <c r="G1080" s="43"/>
      <c r="H1080" s="43"/>
      <c r="I1080" s="43"/>
      <c r="J1080" s="43"/>
      <c r="K1080" s="43">
        <v>1</v>
      </c>
      <c r="L1080" s="43"/>
      <c r="M1080" s="43" t="b">
        <v>1</v>
      </c>
      <c r="N1080" s="43"/>
      <c r="V1080" s="20"/>
      <c r="W1080" s="20"/>
      <c r="X1080" s="20"/>
      <c r="Y1080" s="20"/>
      <c r="Z1080" s="20"/>
      <c r="AA1080" s="20"/>
      <c r="AB1080" s="20"/>
      <c r="AC1080" s="20"/>
      <c r="AD1080" s="20"/>
    </row>
    <row r="1081" spans="1:30" ht="13.5" customHeight="1" x14ac:dyDescent="0.25">
      <c r="A1081" s="28">
        <f>A1075+1</f>
        <v>6606118</v>
      </c>
      <c r="B1081" s="28" t="s">
        <v>345</v>
      </c>
      <c r="C1081" s="28" t="s">
        <v>119</v>
      </c>
      <c r="D1081" s="28">
        <v>232</v>
      </c>
      <c r="E1081" s="28" t="str">
        <f>INDEX([1]道具配置表!$D:$D,MATCH(D1081,[1]道具配置表!$A:$A,0))</f>
        <v>1万食物</v>
      </c>
      <c r="F1081" s="28">
        <f>F1075+10</f>
        <v>180</v>
      </c>
      <c r="G1081" s="28"/>
      <c r="H1081" s="28"/>
      <c r="I1081" s="28"/>
      <c r="J1081" s="28"/>
      <c r="K1081" s="43">
        <v>1</v>
      </c>
      <c r="L1081" s="43"/>
      <c r="M1081" s="43" t="b">
        <v>1</v>
      </c>
      <c r="N1081" s="28"/>
      <c r="V1081" s="20"/>
      <c r="W1081" s="20"/>
      <c r="X1081" s="20"/>
      <c r="Y1081" s="20"/>
      <c r="Z1081" s="20"/>
      <c r="AA1081" s="20"/>
      <c r="AB1081" s="20"/>
      <c r="AC1081" s="20"/>
      <c r="AD1081" s="20"/>
    </row>
    <row r="1082" spans="1:30" ht="13.5" customHeight="1" x14ac:dyDescent="0.25">
      <c r="A1082" s="28"/>
      <c r="B1082" s="28"/>
      <c r="C1082" s="28" t="s">
        <v>119</v>
      </c>
      <c r="D1082" s="28">
        <v>231</v>
      </c>
      <c r="E1082" s="28" t="str">
        <f>INDEX([1]道具配置表!$D:$D,MATCH(D1082,[1]道具配置表!$A:$A,0))</f>
        <v>1万木材</v>
      </c>
      <c r="F1082" s="28">
        <f>F1076+10</f>
        <v>180</v>
      </c>
      <c r="G1082" s="28"/>
      <c r="H1082" s="28"/>
      <c r="I1082" s="28"/>
      <c r="J1082" s="28"/>
      <c r="K1082" s="43">
        <v>1</v>
      </c>
      <c r="L1082" s="43"/>
      <c r="M1082" s="43" t="b">
        <v>1</v>
      </c>
      <c r="N1082" s="28"/>
      <c r="V1082" s="20"/>
      <c r="W1082" s="20"/>
      <c r="X1082" s="20"/>
      <c r="Y1082" s="20"/>
      <c r="Z1082" s="20"/>
      <c r="AA1082" s="20"/>
      <c r="AB1082" s="20"/>
      <c r="AC1082" s="20"/>
      <c r="AD1082" s="20"/>
    </row>
    <row r="1083" spans="1:30" ht="13.5" customHeight="1" x14ac:dyDescent="0.25">
      <c r="A1083" s="28"/>
      <c r="B1083" s="28"/>
      <c r="C1083" s="28" t="s">
        <v>119</v>
      </c>
      <c r="D1083" s="28">
        <v>233</v>
      </c>
      <c r="E1083" s="28" t="str">
        <f>INDEX([1]道具配置表!$D:$D,MATCH(D1083,[1]道具配置表!$A:$A,0))</f>
        <v>1万石头</v>
      </c>
      <c r="F1083" s="28">
        <f>F1077+10</f>
        <v>180</v>
      </c>
      <c r="G1083" s="28"/>
      <c r="H1083" s="28"/>
      <c r="I1083" s="28"/>
      <c r="J1083" s="28"/>
      <c r="K1083" s="43">
        <v>1</v>
      </c>
      <c r="L1083" s="43"/>
      <c r="M1083" s="43" t="b">
        <v>1</v>
      </c>
      <c r="N1083" s="28"/>
      <c r="V1083" s="20"/>
      <c r="W1083" s="20"/>
      <c r="X1083" s="20"/>
      <c r="Y1083" s="20"/>
      <c r="Z1083" s="20"/>
      <c r="AA1083" s="20"/>
      <c r="AB1083" s="20"/>
      <c r="AC1083" s="20"/>
      <c r="AD1083" s="20"/>
    </row>
    <row r="1084" spans="1:30" ht="13.5" customHeight="1" x14ac:dyDescent="0.25">
      <c r="A1084" s="28"/>
      <c r="B1084" s="28"/>
      <c r="C1084" s="28" t="s">
        <v>119</v>
      </c>
      <c r="D1084" s="28">
        <v>234</v>
      </c>
      <c r="E1084" s="28" t="str">
        <f>INDEX([1]道具配置表!$D:$D,MATCH(D1084,[1]道具配置表!$A:$A,0))</f>
        <v>1万黄金</v>
      </c>
      <c r="F1084" s="28">
        <f>F1078+10</f>
        <v>180</v>
      </c>
      <c r="G1084" s="28"/>
      <c r="H1084" s="28"/>
      <c r="I1084" s="28"/>
      <c r="J1084" s="28"/>
      <c r="K1084" s="43">
        <v>1</v>
      </c>
      <c r="L1084" s="43"/>
      <c r="M1084" s="43" t="b">
        <v>1</v>
      </c>
      <c r="N1084" s="28"/>
      <c r="V1084" s="20"/>
      <c r="W1084" s="20"/>
      <c r="X1084" s="20"/>
      <c r="Y1084" s="20"/>
      <c r="Z1084" s="20"/>
      <c r="AA1084" s="20"/>
      <c r="AB1084" s="20"/>
      <c r="AC1084" s="20"/>
      <c r="AD1084" s="20"/>
    </row>
    <row r="1085" spans="1:30" ht="13.5" customHeight="1" x14ac:dyDescent="0.25">
      <c r="A1085" s="28"/>
      <c r="B1085" s="28"/>
      <c r="C1085" s="28" t="s">
        <v>119</v>
      </c>
      <c r="D1085" s="28">
        <v>7100</v>
      </c>
      <c r="E1085" s="28" t="str">
        <f>INDEX([1]道具配置表!$D:$D,MATCH(D1085,[1]道具配置表!$A:$A,0))</f>
        <v>联盟币</v>
      </c>
      <c r="F1085" s="28">
        <f>F1079+500</f>
        <v>9000</v>
      </c>
      <c r="G1085" s="28"/>
      <c r="H1085" s="28"/>
      <c r="I1085" s="28"/>
      <c r="J1085" s="28"/>
      <c r="K1085" s="43">
        <v>1</v>
      </c>
      <c r="L1085" s="43"/>
      <c r="M1085" s="43" t="b">
        <v>1</v>
      </c>
      <c r="N1085" s="28"/>
      <c r="V1085" s="20"/>
      <c r="W1085" s="20"/>
      <c r="X1085" s="20"/>
      <c r="Y1085" s="20"/>
      <c r="Z1085" s="20"/>
      <c r="AA1085" s="20"/>
      <c r="AB1085" s="20"/>
      <c r="AC1085" s="20"/>
      <c r="AD1085" s="20"/>
    </row>
    <row r="1086" spans="1:30" ht="13.5" customHeight="1" x14ac:dyDescent="0.25">
      <c r="A1086" s="43"/>
      <c r="B1086" s="43"/>
      <c r="C1086" s="43"/>
      <c r="D1086" s="43">
        <v>2061</v>
      </c>
      <c r="E1086" s="43" t="str">
        <f>INDEX([1]道具配置表!$D:$D,MATCH(D1086,[1]道具配置表!$A:$A,0))</f>
        <v>伟大蓝图</v>
      </c>
      <c r="F1086" s="43">
        <v>80</v>
      </c>
      <c r="G1086" s="43"/>
      <c r="H1086" s="43"/>
      <c r="I1086" s="43"/>
      <c r="J1086" s="43"/>
      <c r="K1086" s="43">
        <v>1</v>
      </c>
      <c r="L1086" s="43"/>
      <c r="M1086" s="43" t="b">
        <v>1</v>
      </c>
      <c r="N1086" s="43"/>
      <c r="V1086" s="20"/>
      <c r="W1086" s="20"/>
      <c r="X1086" s="20"/>
      <c r="Y1086" s="20"/>
      <c r="Z1086" s="20"/>
      <c r="AA1086" s="20"/>
      <c r="AB1086" s="20"/>
      <c r="AC1086" s="20"/>
      <c r="AD1086" s="20"/>
    </row>
    <row r="1087" spans="1:30" ht="13.5" customHeight="1" x14ac:dyDescent="0.25">
      <c r="A1087" s="28">
        <f>A1081+1</f>
        <v>6606119</v>
      </c>
      <c r="B1087" s="28" t="s">
        <v>346</v>
      </c>
      <c r="C1087" s="28" t="s">
        <v>119</v>
      </c>
      <c r="D1087" s="28">
        <v>232</v>
      </c>
      <c r="E1087" s="28" t="str">
        <f>INDEX([1]道具配置表!$D:$D,MATCH(D1087,[1]道具配置表!$A:$A,0))</f>
        <v>1万食物</v>
      </c>
      <c r="F1087" s="28">
        <f>F1081+10</f>
        <v>190</v>
      </c>
      <c r="G1087" s="28"/>
      <c r="H1087" s="28"/>
      <c r="I1087" s="28"/>
      <c r="J1087" s="28"/>
      <c r="K1087" s="43">
        <v>1</v>
      </c>
      <c r="L1087" s="43"/>
      <c r="M1087" s="43" t="b">
        <v>1</v>
      </c>
      <c r="N1087" s="28"/>
      <c r="V1087" s="20"/>
      <c r="W1087" s="20"/>
      <c r="X1087" s="20"/>
      <c r="Y1087" s="20"/>
      <c r="Z1087" s="20"/>
      <c r="AA1087" s="20"/>
      <c r="AB1087" s="20"/>
      <c r="AC1087" s="20"/>
      <c r="AD1087" s="20"/>
    </row>
    <row r="1088" spans="1:30" ht="13.5" customHeight="1" x14ac:dyDescent="0.25">
      <c r="A1088" s="28"/>
      <c r="B1088" s="28"/>
      <c r="C1088" s="28" t="s">
        <v>119</v>
      </c>
      <c r="D1088" s="28">
        <v>231</v>
      </c>
      <c r="E1088" s="28" t="str">
        <f>INDEX([1]道具配置表!$D:$D,MATCH(D1088,[1]道具配置表!$A:$A,0))</f>
        <v>1万木材</v>
      </c>
      <c r="F1088" s="28">
        <f>F1082+10</f>
        <v>190</v>
      </c>
      <c r="G1088" s="28"/>
      <c r="H1088" s="28"/>
      <c r="I1088" s="28"/>
      <c r="J1088" s="28"/>
      <c r="K1088" s="43">
        <v>1</v>
      </c>
      <c r="L1088" s="43"/>
      <c r="M1088" s="43" t="b">
        <v>1</v>
      </c>
      <c r="N1088" s="28"/>
      <c r="V1088" s="20"/>
      <c r="W1088" s="20"/>
      <c r="X1088" s="20"/>
      <c r="Y1088" s="20"/>
      <c r="Z1088" s="20"/>
      <c r="AA1088" s="20"/>
      <c r="AB1088" s="20"/>
      <c r="AC1088" s="20"/>
      <c r="AD1088" s="20"/>
    </row>
    <row r="1089" spans="1:30" ht="13.5" customHeight="1" x14ac:dyDescent="0.25">
      <c r="A1089" s="28"/>
      <c r="B1089" s="28"/>
      <c r="C1089" s="28" t="s">
        <v>119</v>
      </c>
      <c r="D1089" s="28">
        <v>233</v>
      </c>
      <c r="E1089" s="28" t="str">
        <f>INDEX([1]道具配置表!$D:$D,MATCH(D1089,[1]道具配置表!$A:$A,0))</f>
        <v>1万石头</v>
      </c>
      <c r="F1089" s="28">
        <f>F1083+10</f>
        <v>190</v>
      </c>
      <c r="G1089" s="28"/>
      <c r="H1089" s="28"/>
      <c r="I1089" s="28"/>
      <c r="J1089" s="28"/>
      <c r="K1089" s="43">
        <v>1</v>
      </c>
      <c r="L1089" s="43"/>
      <c r="M1089" s="43" t="b">
        <v>1</v>
      </c>
      <c r="N1089" s="28"/>
      <c r="V1089" s="20"/>
      <c r="W1089" s="20"/>
      <c r="X1089" s="20"/>
      <c r="Y1089" s="20"/>
      <c r="Z1089" s="20"/>
      <c r="AA1089" s="20"/>
      <c r="AB1089" s="20"/>
      <c r="AC1089" s="20"/>
      <c r="AD1089" s="20"/>
    </row>
    <row r="1090" spans="1:30" ht="13.5" customHeight="1" x14ac:dyDescent="0.25">
      <c r="A1090" s="28"/>
      <c r="B1090" s="28"/>
      <c r="C1090" s="28" t="s">
        <v>119</v>
      </c>
      <c r="D1090" s="28">
        <v>234</v>
      </c>
      <c r="E1090" s="28" t="str">
        <f>INDEX([1]道具配置表!$D:$D,MATCH(D1090,[1]道具配置表!$A:$A,0))</f>
        <v>1万黄金</v>
      </c>
      <c r="F1090" s="28">
        <f>F1084+10</f>
        <v>190</v>
      </c>
      <c r="G1090" s="28"/>
      <c r="H1090" s="28"/>
      <c r="I1090" s="28"/>
      <c r="J1090" s="28"/>
      <c r="K1090" s="43">
        <v>1</v>
      </c>
      <c r="L1090" s="43"/>
      <c r="M1090" s="43" t="b">
        <v>1</v>
      </c>
      <c r="N1090" s="28"/>
      <c r="V1090" s="20"/>
      <c r="W1090" s="20"/>
      <c r="X1090" s="20"/>
      <c r="Y1090" s="20"/>
      <c r="Z1090" s="20"/>
      <c r="AA1090" s="20"/>
      <c r="AB1090" s="20"/>
      <c r="AC1090" s="20"/>
      <c r="AD1090" s="20"/>
    </row>
    <row r="1091" spans="1:30" ht="13.5" customHeight="1" x14ac:dyDescent="0.25">
      <c r="A1091" s="28"/>
      <c r="B1091" s="28"/>
      <c r="C1091" s="28" t="s">
        <v>119</v>
      </c>
      <c r="D1091" s="28">
        <v>7100</v>
      </c>
      <c r="E1091" s="28" t="str">
        <f>INDEX([1]道具配置表!$D:$D,MATCH(D1091,[1]道具配置表!$A:$A,0))</f>
        <v>联盟币</v>
      </c>
      <c r="F1091" s="28">
        <f>F1085+500</f>
        <v>9500</v>
      </c>
      <c r="G1091" s="28"/>
      <c r="H1091" s="28"/>
      <c r="I1091" s="28"/>
      <c r="J1091" s="28"/>
      <c r="K1091" s="43">
        <v>1</v>
      </c>
      <c r="L1091" s="43"/>
      <c r="M1091" s="43" t="b">
        <v>1</v>
      </c>
      <c r="N1091" s="28"/>
      <c r="V1091" s="20"/>
      <c r="W1091" s="20"/>
      <c r="X1091" s="20"/>
      <c r="Y1091" s="20"/>
      <c r="Z1091" s="20"/>
      <c r="AA1091" s="20"/>
      <c r="AB1091" s="20"/>
      <c r="AC1091" s="20"/>
      <c r="AD1091" s="20"/>
    </row>
    <row r="1092" spans="1:30" ht="13.5" customHeight="1" x14ac:dyDescent="0.25">
      <c r="A1092" s="43"/>
      <c r="B1092" s="43"/>
      <c r="C1092" s="43"/>
      <c r="D1092" s="43">
        <v>2061</v>
      </c>
      <c r="E1092" s="43" t="str">
        <f>INDEX([1]道具配置表!$D:$D,MATCH(D1092,[1]道具配置表!$A:$A,0))</f>
        <v>伟大蓝图</v>
      </c>
      <c r="F1092" s="43">
        <v>90</v>
      </c>
      <c r="G1092" s="43"/>
      <c r="H1092" s="43"/>
      <c r="I1092" s="43"/>
      <c r="J1092" s="43"/>
      <c r="K1092" s="43">
        <v>1</v>
      </c>
      <c r="L1092" s="43"/>
      <c r="M1092" s="43" t="b">
        <v>1</v>
      </c>
      <c r="N1092" s="43"/>
      <c r="V1092" s="20"/>
      <c r="W1092" s="20"/>
      <c r="X1092" s="20"/>
      <c r="Y1092" s="20"/>
      <c r="Z1092" s="20"/>
      <c r="AA1092" s="20"/>
      <c r="AB1092" s="20"/>
      <c r="AC1092" s="20"/>
      <c r="AD1092" s="20"/>
    </row>
    <row r="1093" spans="1:30" ht="13.5" customHeight="1" x14ac:dyDescent="0.25">
      <c r="A1093" s="28">
        <f>A1087+1</f>
        <v>6606120</v>
      </c>
      <c r="B1093" s="28" t="s">
        <v>347</v>
      </c>
      <c r="C1093" s="28" t="s">
        <v>119</v>
      </c>
      <c r="D1093" s="28">
        <v>232</v>
      </c>
      <c r="E1093" s="28" t="str">
        <f>INDEX([1]道具配置表!$D:$D,MATCH(D1093,[1]道具配置表!$A:$A,0))</f>
        <v>1万食物</v>
      </c>
      <c r="F1093" s="28">
        <f>F1087+10</f>
        <v>200</v>
      </c>
      <c r="G1093" s="28"/>
      <c r="H1093" s="28"/>
      <c r="I1093" s="28"/>
      <c r="J1093" s="28"/>
      <c r="K1093" s="43">
        <v>1</v>
      </c>
      <c r="L1093" s="43"/>
      <c r="M1093" s="43" t="b">
        <v>1</v>
      </c>
      <c r="N1093" s="28"/>
      <c r="V1093" s="20"/>
      <c r="W1093" s="20"/>
      <c r="X1093" s="20"/>
      <c r="Y1093" s="20"/>
      <c r="Z1093" s="20"/>
      <c r="AA1093" s="20"/>
      <c r="AB1093" s="20"/>
      <c r="AC1093" s="20"/>
      <c r="AD1093" s="20"/>
    </row>
    <row r="1094" spans="1:30" ht="13.5" customHeight="1" x14ac:dyDescent="0.25">
      <c r="A1094" s="28"/>
      <c r="B1094" s="28"/>
      <c r="C1094" s="28" t="s">
        <v>119</v>
      </c>
      <c r="D1094" s="28">
        <v>231</v>
      </c>
      <c r="E1094" s="28" t="str">
        <f>INDEX([1]道具配置表!$D:$D,MATCH(D1094,[1]道具配置表!$A:$A,0))</f>
        <v>1万木材</v>
      </c>
      <c r="F1094" s="28">
        <f>F1088+10</f>
        <v>200</v>
      </c>
      <c r="G1094" s="28"/>
      <c r="H1094" s="28"/>
      <c r="I1094" s="28"/>
      <c r="J1094" s="28"/>
      <c r="K1094" s="43">
        <v>1</v>
      </c>
      <c r="L1094" s="43"/>
      <c r="M1094" s="43" t="b">
        <v>1</v>
      </c>
      <c r="N1094" s="28"/>
      <c r="V1094" s="20"/>
      <c r="W1094" s="20"/>
      <c r="X1094" s="20"/>
      <c r="Y1094" s="20"/>
      <c r="Z1094" s="20"/>
      <c r="AA1094" s="20"/>
      <c r="AB1094" s="20"/>
      <c r="AC1094" s="20"/>
      <c r="AD1094" s="20"/>
    </row>
    <row r="1095" spans="1:30" ht="13.5" customHeight="1" x14ac:dyDescent="0.25">
      <c r="A1095" s="28"/>
      <c r="B1095" s="28"/>
      <c r="C1095" s="28" t="s">
        <v>119</v>
      </c>
      <c r="D1095" s="28">
        <v>233</v>
      </c>
      <c r="E1095" s="28" t="str">
        <f>INDEX([1]道具配置表!$D:$D,MATCH(D1095,[1]道具配置表!$A:$A,0))</f>
        <v>1万石头</v>
      </c>
      <c r="F1095" s="28">
        <f>F1089+10</f>
        <v>200</v>
      </c>
      <c r="G1095" s="28"/>
      <c r="H1095" s="28"/>
      <c r="I1095" s="28"/>
      <c r="J1095" s="28"/>
      <c r="K1095" s="43">
        <v>1</v>
      </c>
      <c r="L1095" s="43"/>
      <c r="M1095" s="43" t="b">
        <v>1</v>
      </c>
      <c r="N1095" s="28"/>
      <c r="V1095" s="20"/>
      <c r="W1095" s="20"/>
      <c r="X1095" s="20"/>
      <c r="Y1095" s="20"/>
      <c r="Z1095" s="20"/>
      <c r="AA1095" s="20"/>
      <c r="AB1095" s="20"/>
      <c r="AC1095" s="20"/>
      <c r="AD1095" s="20"/>
    </row>
    <row r="1096" spans="1:30" ht="13.5" customHeight="1" x14ac:dyDescent="0.25">
      <c r="A1096" s="28"/>
      <c r="B1096" s="28"/>
      <c r="C1096" s="28" t="s">
        <v>119</v>
      </c>
      <c r="D1096" s="28">
        <v>234</v>
      </c>
      <c r="E1096" s="28" t="str">
        <f>INDEX([1]道具配置表!$D:$D,MATCH(D1096,[1]道具配置表!$A:$A,0))</f>
        <v>1万黄金</v>
      </c>
      <c r="F1096" s="28">
        <f>F1090+10</f>
        <v>200</v>
      </c>
      <c r="G1096" s="28"/>
      <c r="H1096" s="28"/>
      <c r="I1096" s="28"/>
      <c r="J1096" s="28"/>
      <c r="K1096" s="43">
        <v>1</v>
      </c>
      <c r="L1096" s="43"/>
      <c r="M1096" s="43" t="b">
        <v>1</v>
      </c>
      <c r="N1096" s="28"/>
      <c r="V1096" s="20"/>
      <c r="W1096" s="20"/>
      <c r="X1096" s="20"/>
      <c r="Y1096" s="20"/>
      <c r="Z1096" s="20"/>
      <c r="AA1096" s="20"/>
      <c r="AB1096" s="20"/>
      <c r="AC1096" s="20"/>
      <c r="AD1096" s="20"/>
    </row>
    <row r="1097" spans="1:30" ht="13.5" customHeight="1" x14ac:dyDescent="0.25">
      <c r="A1097" s="28"/>
      <c r="B1097" s="28"/>
      <c r="C1097" s="28" t="s">
        <v>119</v>
      </c>
      <c r="D1097" s="28">
        <v>7100</v>
      </c>
      <c r="E1097" s="28" t="str">
        <f>INDEX([1]道具配置表!$D:$D,MATCH(D1097,[1]道具配置表!$A:$A,0))</f>
        <v>联盟币</v>
      </c>
      <c r="F1097" s="28">
        <f>F1091+500</f>
        <v>10000</v>
      </c>
      <c r="G1097" s="28"/>
      <c r="H1097" s="28"/>
      <c r="I1097" s="28"/>
      <c r="J1097" s="28"/>
      <c r="K1097" s="43">
        <v>1</v>
      </c>
      <c r="L1097" s="43"/>
      <c r="M1097" s="43" t="b">
        <v>1</v>
      </c>
      <c r="N1097" s="28"/>
      <c r="V1097" s="20"/>
      <c r="W1097" s="20"/>
      <c r="X1097" s="20"/>
      <c r="Y1097" s="20"/>
      <c r="Z1097" s="20"/>
      <c r="AA1097" s="20"/>
      <c r="AB1097" s="20"/>
      <c r="AC1097" s="20"/>
      <c r="AD1097" s="20"/>
    </row>
    <row r="1098" spans="1:30" ht="13.5" customHeight="1" x14ac:dyDescent="0.25">
      <c r="A1098" s="43"/>
      <c r="B1098" s="43"/>
      <c r="C1098" s="43"/>
      <c r="D1098" s="43">
        <v>2061</v>
      </c>
      <c r="E1098" s="43" t="str">
        <f>INDEX([1]道具配置表!$D:$D,MATCH(D1098,[1]道具配置表!$A:$A,0))</f>
        <v>伟大蓝图</v>
      </c>
      <c r="F1098" s="43">
        <v>100</v>
      </c>
      <c r="G1098" s="43"/>
      <c r="H1098" s="43"/>
      <c r="I1098" s="43"/>
      <c r="J1098" s="43"/>
      <c r="K1098" s="43">
        <v>1</v>
      </c>
      <c r="L1098" s="43"/>
      <c r="M1098" s="43" t="b">
        <v>1</v>
      </c>
      <c r="N1098" s="43"/>
      <c r="V1098" s="20"/>
      <c r="W1098" s="20"/>
      <c r="X1098" s="20"/>
      <c r="Y1098" s="20"/>
      <c r="Z1098" s="20"/>
      <c r="AA1098" s="20"/>
      <c r="AB1098" s="20"/>
      <c r="AC1098" s="20"/>
      <c r="AD1098" s="20"/>
    </row>
    <row r="1099" spans="1:30" ht="13.5" customHeight="1" x14ac:dyDescent="0.25">
      <c r="A1099" s="119">
        <v>6606121</v>
      </c>
      <c r="B1099" s="119" t="s">
        <v>1700</v>
      </c>
      <c r="C1099" s="119"/>
      <c r="D1099" s="119">
        <v>232</v>
      </c>
      <c r="E1099" s="119" t="str">
        <f>INDEX([1]道具配置表!$D:$D,MATCH(D1099,[1]道具配置表!$A:$A,0))</f>
        <v>1万食物</v>
      </c>
      <c r="F1099" s="119">
        <v>210</v>
      </c>
      <c r="G1099" s="119"/>
      <c r="H1099" s="119"/>
      <c r="I1099" s="119"/>
      <c r="J1099" s="119"/>
      <c r="K1099" s="119">
        <v>1</v>
      </c>
      <c r="L1099" s="119"/>
      <c r="M1099" s="119" t="b">
        <v>1</v>
      </c>
      <c r="N1099" s="119"/>
      <c r="V1099" s="20"/>
      <c r="W1099" s="20"/>
      <c r="X1099" s="20"/>
      <c r="Y1099" s="20"/>
      <c r="Z1099" s="20"/>
      <c r="AA1099" s="20"/>
      <c r="AB1099" s="20"/>
      <c r="AC1099" s="20"/>
      <c r="AD1099" s="20"/>
    </row>
    <row r="1100" spans="1:30" ht="13.5" customHeight="1" x14ac:dyDescent="0.25">
      <c r="A1100" s="119"/>
      <c r="B1100" s="119"/>
      <c r="C1100" s="119"/>
      <c r="D1100" s="119">
        <v>231</v>
      </c>
      <c r="E1100" s="119" t="str">
        <f>INDEX([1]道具配置表!$D:$D,MATCH(D1100,[1]道具配置表!$A:$A,0))</f>
        <v>1万木材</v>
      </c>
      <c r="F1100" s="119">
        <v>210</v>
      </c>
      <c r="G1100" s="119"/>
      <c r="H1100" s="119"/>
      <c r="I1100" s="119"/>
      <c r="J1100" s="119"/>
      <c r="K1100" s="119">
        <v>1</v>
      </c>
      <c r="L1100" s="119"/>
      <c r="M1100" s="119" t="b">
        <v>1</v>
      </c>
      <c r="N1100" s="119"/>
      <c r="V1100" s="20"/>
      <c r="W1100" s="20"/>
      <c r="X1100" s="20"/>
      <c r="Y1100" s="20"/>
      <c r="Z1100" s="20"/>
      <c r="AA1100" s="20"/>
      <c r="AB1100" s="20"/>
      <c r="AC1100" s="20"/>
      <c r="AD1100" s="20"/>
    </row>
    <row r="1101" spans="1:30" ht="13.5" customHeight="1" x14ac:dyDescent="0.25">
      <c r="A1101" s="119"/>
      <c r="B1101" s="119"/>
      <c r="C1101" s="119"/>
      <c r="D1101" s="119">
        <v>233</v>
      </c>
      <c r="E1101" s="119" t="str">
        <f>INDEX([1]道具配置表!$D:$D,MATCH(D1101,[1]道具配置表!$A:$A,0))</f>
        <v>1万石头</v>
      </c>
      <c r="F1101" s="119">
        <v>210</v>
      </c>
      <c r="G1101" s="119"/>
      <c r="H1101" s="119"/>
      <c r="I1101" s="119"/>
      <c r="J1101" s="119"/>
      <c r="K1101" s="119">
        <v>1</v>
      </c>
      <c r="L1101" s="119"/>
      <c r="M1101" s="119" t="b">
        <v>1</v>
      </c>
      <c r="N1101" s="119"/>
      <c r="V1101" s="20"/>
      <c r="W1101" s="20"/>
      <c r="X1101" s="20"/>
      <c r="Y1101" s="20"/>
      <c r="Z1101" s="20"/>
      <c r="AA1101" s="20"/>
      <c r="AB1101" s="20"/>
      <c r="AC1101" s="20"/>
      <c r="AD1101" s="20"/>
    </row>
    <row r="1102" spans="1:30" ht="13.5" customHeight="1" x14ac:dyDescent="0.25">
      <c r="A1102" s="119"/>
      <c r="B1102" s="119"/>
      <c r="C1102" s="119"/>
      <c r="D1102" s="119">
        <v>234</v>
      </c>
      <c r="E1102" s="119" t="str">
        <f>INDEX([1]道具配置表!$D:$D,MATCH(D1102,[1]道具配置表!$A:$A,0))</f>
        <v>1万黄金</v>
      </c>
      <c r="F1102" s="119">
        <v>210</v>
      </c>
      <c r="G1102" s="119"/>
      <c r="H1102" s="119"/>
      <c r="I1102" s="119"/>
      <c r="J1102" s="119"/>
      <c r="K1102" s="119">
        <v>1</v>
      </c>
      <c r="L1102" s="119"/>
      <c r="M1102" s="119" t="b">
        <v>1</v>
      </c>
      <c r="N1102" s="119"/>
      <c r="V1102" s="20"/>
      <c r="W1102" s="20"/>
      <c r="X1102" s="20"/>
      <c r="Y1102" s="20"/>
      <c r="Z1102" s="20"/>
      <c r="AA1102" s="20"/>
      <c r="AB1102" s="20"/>
      <c r="AC1102" s="20"/>
      <c r="AD1102" s="20"/>
    </row>
    <row r="1103" spans="1:30" ht="13.5" customHeight="1" x14ac:dyDescent="0.25">
      <c r="A1103" s="119"/>
      <c r="B1103" s="119"/>
      <c r="C1103" s="119"/>
      <c r="D1103" s="119">
        <v>7100</v>
      </c>
      <c r="E1103" s="119" t="str">
        <f>INDEX([1]道具配置表!$D:$D,MATCH(D1103,[1]道具配置表!$A:$A,0))</f>
        <v>联盟币</v>
      </c>
      <c r="F1103" s="119">
        <v>10500</v>
      </c>
      <c r="G1103" s="119"/>
      <c r="H1103" s="119"/>
      <c r="I1103" s="119"/>
      <c r="J1103" s="119"/>
      <c r="K1103" s="119">
        <v>1</v>
      </c>
      <c r="L1103" s="119"/>
      <c r="M1103" s="119" t="b">
        <v>1</v>
      </c>
      <c r="N1103" s="119"/>
      <c r="V1103" s="20"/>
      <c r="W1103" s="20"/>
      <c r="X1103" s="20"/>
      <c r="Y1103" s="20"/>
      <c r="Z1103" s="20"/>
      <c r="AA1103" s="20"/>
      <c r="AB1103" s="20"/>
      <c r="AC1103" s="20"/>
      <c r="AD1103" s="20"/>
    </row>
    <row r="1104" spans="1:30" ht="13.5" customHeight="1" x14ac:dyDescent="0.25">
      <c r="A1104" s="119"/>
      <c r="B1104" s="119"/>
      <c r="C1104" s="119"/>
      <c r="D1104" s="119">
        <v>2061</v>
      </c>
      <c r="E1104" s="119" t="str">
        <f>INDEX([1]道具配置表!$D:$D,MATCH(D1104,[1]道具配置表!$A:$A,0))</f>
        <v>伟大蓝图</v>
      </c>
      <c r="F1104" s="119">
        <v>100</v>
      </c>
      <c r="G1104" s="119"/>
      <c r="H1104" s="119"/>
      <c r="I1104" s="119"/>
      <c r="J1104" s="119"/>
      <c r="K1104" s="119">
        <v>1</v>
      </c>
      <c r="L1104" s="119"/>
      <c r="M1104" s="119" t="b">
        <v>1</v>
      </c>
      <c r="N1104" s="119"/>
      <c r="V1104" s="20"/>
      <c r="W1104" s="20"/>
      <c r="X1104" s="20"/>
      <c r="Y1104" s="20"/>
      <c r="Z1104" s="20"/>
      <c r="AA1104" s="20"/>
      <c r="AB1104" s="20"/>
      <c r="AC1104" s="20"/>
      <c r="AD1104" s="20"/>
    </row>
    <row r="1105" spans="1:30" ht="13.5" customHeight="1" x14ac:dyDescent="0.25">
      <c r="A1105" s="119">
        <v>6606122</v>
      </c>
      <c r="B1105" s="119" t="s">
        <v>1701</v>
      </c>
      <c r="C1105" s="119"/>
      <c r="D1105" s="119">
        <v>232</v>
      </c>
      <c r="E1105" s="119" t="str">
        <f>INDEX([1]道具配置表!$D:$D,MATCH(D1105,[1]道具配置表!$A:$A,0))</f>
        <v>1万食物</v>
      </c>
      <c r="F1105" s="119">
        <v>220</v>
      </c>
      <c r="G1105" s="119"/>
      <c r="H1105" s="119"/>
      <c r="I1105" s="119"/>
      <c r="J1105" s="119"/>
      <c r="K1105" s="119">
        <v>1</v>
      </c>
      <c r="L1105" s="119"/>
      <c r="M1105" s="119" t="b">
        <v>1</v>
      </c>
      <c r="N1105" s="119"/>
      <c r="V1105" s="20"/>
      <c r="W1105" s="20"/>
      <c r="X1105" s="20"/>
      <c r="Y1105" s="20"/>
      <c r="Z1105" s="20"/>
      <c r="AA1105" s="20"/>
      <c r="AB1105" s="20"/>
      <c r="AC1105" s="20"/>
      <c r="AD1105" s="20"/>
    </row>
    <row r="1106" spans="1:30" ht="13.5" customHeight="1" x14ac:dyDescent="0.25">
      <c r="A1106" s="119"/>
      <c r="B1106" s="119"/>
      <c r="C1106" s="119"/>
      <c r="D1106" s="119">
        <v>231</v>
      </c>
      <c r="E1106" s="119" t="str">
        <f>INDEX([1]道具配置表!$D:$D,MATCH(D1106,[1]道具配置表!$A:$A,0))</f>
        <v>1万木材</v>
      </c>
      <c r="F1106" s="119">
        <v>220</v>
      </c>
      <c r="G1106" s="119"/>
      <c r="H1106" s="119"/>
      <c r="I1106" s="119"/>
      <c r="J1106" s="119"/>
      <c r="K1106" s="119">
        <v>1</v>
      </c>
      <c r="L1106" s="119"/>
      <c r="M1106" s="119" t="b">
        <v>1</v>
      </c>
      <c r="N1106" s="119"/>
      <c r="V1106" s="20"/>
      <c r="W1106" s="20"/>
      <c r="X1106" s="20"/>
      <c r="Y1106" s="20"/>
      <c r="Z1106" s="20"/>
      <c r="AA1106" s="20"/>
      <c r="AB1106" s="20"/>
      <c r="AC1106" s="20"/>
      <c r="AD1106" s="20"/>
    </row>
    <row r="1107" spans="1:30" ht="13.5" customHeight="1" x14ac:dyDescent="0.25">
      <c r="A1107" s="119"/>
      <c r="B1107" s="119"/>
      <c r="C1107" s="119"/>
      <c r="D1107" s="119">
        <v>233</v>
      </c>
      <c r="E1107" s="119" t="str">
        <f>INDEX([1]道具配置表!$D:$D,MATCH(D1107,[1]道具配置表!$A:$A,0))</f>
        <v>1万石头</v>
      </c>
      <c r="F1107" s="119">
        <v>220</v>
      </c>
      <c r="G1107" s="119"/>
      <c r="H1107" s="119"/>
      <c r="I1107" s="119"/>
      <c r="J1107" s="119"/>
      <c r="K1107" s="119">
        <v>1</v>
      </c>
      <c r="L1107" s="119"/>
      <c r="M1107" s="119" t="b">
        <v>1</v>
      </c>
      <c r="N1107" s="119"/>
      <c r="V1107" s="20"/>
      <c r="W1107" s="20"/>
      <c r="X1107" s="20"/>
      <c r="Y1107" s="20"/>
      <c r="Z1107" s="20"/>
      <c r="AA1107" s="20"/>
      <c r="AB1107" s="20"/>
      <c r="AC1107" s="20"/>
      <c r="AD1107" s="20"/>
    </row>
    <row r="1108" spans="1:30" ht="13.5" customHeight="1" x14ac:dyDescent="0.25">
      <c r="A1108" s="119"/>
      <c r="B1108" s="119"/>
      <c r="C1108" s="119"/>
      <c r="D1108" s="119">
        <v>234</v>
      </c>
      <c r="E1108" s="119" t="str">
        <f>INDEX([1]道具配置表!$D:$D,MATCH(D1108,[1]道具配置表!$A:$A,0))</f>
        <v>1万黄金</v>
      </c>
      <c r="F1108" s="119">
        <v>220</v>
      </c>
      <c r="G1108" s="119"/>
      <c r="H1108" s="119"/>
      <c r="I1108" s="119"/>
      <c r="J1108" s="119"/>
      <c r="K1108" s="119">
        <v>1</v>
      </c>
      <c r="L1108" s="119"/>
      <c r="M1108" s="119" t="b">
        <v>1</v>
      </c>
      <c r="N1108" s="119"/>
      <c r="V1108" s="20"/>
      <c r="W1108" s="20"/>
      <c r="X1108" s="20"/>
      <c r="Y1108" s="20"/>
      <c r="Z1108" s="20"/>
      <c r="AA1108" s="20"/>
      <c r="AB1108" s="20"/>
      <c r="AC1108" s="20"/>
      <c r="AD1108" s="20"/>
    </row>
    <row r="1109" spans="1:30" ht="13.5" customHeight="1" x14ac:dyDescent="0.25">
      <c r="A1109" s="119"/>
      <c r="B1109" s="119"/>
      <c r="C1109" s="119"/>
      <c r="D1109" s="119">
        <v>7100</v>
      </c>
      <c r="E1109" s="119" t="str">
        <f>INDEX([1]道具配置表!$D:$D,MATCH(D1109,[1]道具配置表!$A:$A,0))</f>
        <v>联盟币</v>
      </c>
      <c r="F1109" s="119">
        <v>11000</v>
      </c>
      <c r="G1109" s="119"/>
      <c r="H1109" s="119"/>
      <c r="I1109" s="119"/>
      <c r="J1109" s="119"/>
      <c r="K1109" s="119">
        <v>1</v>
      </c>
      <c r="L1109" s="119"/>
      <c r="M1109" s="119" t="b">
        <v>1</v>
      </c>
      <c r="N1109" s="119"/>
      <c r="V1109" s="20"/>
      <c r="W1109" s="20"/>
      <c r="X1109" s="20"/>
      <c r="Y1109" s="20"/>
      <c r="Z1109" s="20"/>
      <c r="AA1109" s="20"/>
      <c r="AB1109" s="20"/>
      <c r="AC1109" s="20"/>
      <c r="AD1109" s="20"/>
    </row>
    <row r="1110" spans="1:30" ht="13.5" customHeight="1" x14ac:dyDescent="0.25">
      <c r="A1110" s="119"/>
      <c r="B1110" s="119"/>
      <c r="C1110" s="119"/>
      <c r="D1110" s="119">
        <v>2061</v>
      </c>
      <c r="E1110" s="119" t="str">
        <f>INDEX([1]道具配置表!$D:$D,MATCH(D1110,[1]道具配置表!$A:$A,0))</f>
        <v>伟大蓝图</v>
      </c>
      <c r="F1110" s="119">
        <v>100</v>
      </c>
      <c r="G1110" s="119"/>
      <c r="H1110" s="119"/>
      <c r="I1110" s="119"/>
      <c r="J1110" s="119"/>
      <c r="K1110" s="119">
        <v>1</v>
      </c>
      <c r="L1110" s="119"/>
      <c r="M1110" s="119" t="b">
        <v>1</v>
      </c>
      <c r="N1110" s="119"/>
      <c r="V1110" s="20"/>
      <c r="W1110" s="20"/>
      <c r="X1110" s="20"/>
      <c r="Y1110" s="20"/>
      <c r="Z1110" s="20"/>
      <c r="AA1110" s="20"/>
      <c r="AB1110" s="20"/>
      <c r="AC1110" s="20"/>
      <c r="AD1110" s="20"/>
    </row>
    <row r="1111" spans="1:30" ht="13.5" customHeight="1" x14ac:dyDescent="0.25">
      <c r="A1111" s="119">
        <v>6606123</v>
      </c>
      <c r="B1111" s="119" t="s">
        <v>1702</v>
      </c>
      <c r="C1111" s="119"/>
      <c r="D1111" s="119">
        <v>232</v>
      </c>
      <c r="E1111" s="119" t="str">
        <f>INDEX([1]道具配置表!$D:$D,MATCH(D1111,[1]道具配置表!$A:$A,0))</f>
        <v>1万食物</v>
      </c>
      <c r="F1111" s="119">
        <v>230</v>
      </c>
      <c r="G1111" s="119"/>
      <c r="H1111" s="119"/>
      <c r="I1111" s="119"/>
      <c r="J1111" s="119"/>
      <c r="K1111" s="119">
        <v>1</v>
      </c>
      <c r="L1111" s="119"/>
      <c r="M1111" s="119" t="b">
        <v>1</v>
      </c>
      <c r="N1111" s="119"/>
      <c r="V1111" s="20"/>
      <c r="W1111" s="20"/>
      <c r="X1111" s="20"/>
      <c r="Y1111" s="20"/>
      <c r="Z1111" s="20"/>
      <c r="AA1111" s="20"/>
      <c r="AB1111" s="20"/>
      <c r="AC1111" s="20"/>
      <c r="AD1111" s="20"/>
    </row>
    <row r="1112" spans="1:30" ht="13.5" customHeight="1" x14ac:dyDescent="0.25">
      <c r="A1112" s="119"/>
      <c r="B1112" s="119"/>
      <c r="C1112" s="119"/>
      <c r="D1112" s="119">
        <v>231</v>
      </c>
      <c r="E1112" s="119" t="str">
        <f>INDEX([1]道具配置表!$D:$D,MATCH(D1112,[1]道具配置表!$A:$A,0))</f>
        <v>1万木材</v>
      </c>
      <c r="F1112" s="119">
        <v>230</v>
      </c>
      <c r="G1112" s="119"/>
      <c r="H1112" s="119"/>
      <c r="I1112" s="119"/>
      <c r="J1112" s="119"/>
      <c r="K1112" s="119">
        <v>1</v>
      </c>
      <c r="L1112" s="119"/>
      <c r="M1112" s="119" t="b">
        <v>1</v>
      </c>
      <c r="N1112" s="119"/>
      <c r="V1112" s="20"/>
      <c r="W1112" s="20"/>
      <c r="X1112" s="20"/>
      <c r="Y1112" s="20"/>
      <c r="Z1112" s="20"/>
      <c r="AA1112" s="20"/>
      <c r="AB1112" s="20"/>
      <c r="AC1112" s="20"/>
      <c r="AD1112" s="20"/>
    </row>
    <row r="1113" spans="1:30" ht="13.5" customHeight="1" x14ac:dyDescent="0.25">
      <c r="A1113" s="119"/>
      <c r="B1113" s="119"/>
      <c r="C1113" s="119"/>
      <c r="D1113" s="119">
        <v>233</v>
      </c>
      <c r="E1113" s="119" t="str">
        <f>INDEX([1]道具配置表!$D:$D,MATCH(D1113,[1]道具配置表!$A:$A,0))</f>
        <v>1万石头</v>
      </c>
      <c r="F1113" s="119">
        <v>230</v>
      </c>
      <c r="G1113" s="119"/>
      <c r="H1113" s="119"/>
      <c r="I1113" s="119"/>
      <c r="J1113" s="119"/>
      <c r="K1113" s="119">
        <v>1</v>
      </c>
      <c r="L1113" s="119"/>
      <c r="M1113" s="119" t="b">
        <v>1</v>
      </c>
      <c r="N1113" s="119"/>
      <c r="V1113" s="20"/>
      <c r="W1113" s="20"/>
      <c r="X1113" s="20"/>
      <c r="Y1113" s="20"/>
      <c r="Z1113" s="20"/>
      <c r="AA1113" s="20"/>
      <c r="AB1113" s="20"/>
      <c r="AC1113" s="20"/>
      <c r="AD1113" s="20"/>
    </row>
    <row r="1114" spans="1:30" ht="13.5" customHeight="1" x14ac:dyDescent="0.25">
      <c r="A1114" s="119"/>
      <c r="B1114" s="119"/>
      <c r="C1114" s="119"/>
      <c r="D1114" s="119">
        <v>234</v>
      </c>
      <c r="E1114" s="119" t="str">
        <f>INDEX([1]道具配置表!$D:$D,MATCH(D1114,[1]道具配置表!$A:$A,0))</f>
        <v>1万黄金</v>
      </c>
      <c r="F1114" s="119">
        <v>230</v>
      </c>
      <c r="G1114" s="119"/>
      <c r="H1114" s="119"/>
      <c r="I1114" s="119"/>
      <c r="J1114" s="119"/>
      <c r="K1114" s="119">
        <v>1</v>
      </c>
      <c r="L1114" s="119"/>
      <c r="M1114" s="119" t="b">
        <v>1</v>
      </c>
      <c r="N1114" s="119"/>
      <c r="V1114" s="20"/>
      <c r="W1114" s="20"/>
      <c r="X1114" s="20"/>
      <c r="Y1114" s="20"/>
      <c r="Z1114" s="20"/>
      <c r="AA1114" s="20"/>
      <c r="AB1114" s="20"/>
      <c r="AC1114" s="20"/>
      <c r="AD1114" s="20"/>
    </row>
    <row r="1115" spans="1:30" ht="13.5" customHeight="1" x14ac:dyDescent="0.25">
      <c r="A1115" s="119"/>
      <c r="B1115" s="119"/>
      <c r="C1115" s="119"/>
      <c r="D1115" s="119">
        <v>7100</v>
      </c>
      <c r="E1115" s="119" t="str">
        <f>INDEX([1]道具配置表!$D:$D,MATCH(D1115,[1]道具配置表!$A:$A,0))</f>
        <v>联盟币</v>
      </c>
      <c r="F1115" s="119">
        <v>11500</v>
      </c>
      <c r="G1115" s="119"/>
      <c r="H1115" s="119"/>
      <c r="I1115" s="119"/>
      <c r="J1115" s="119"/>
      <c r="K1115" s="119">
        <v>1</v>
      </c>
      <c r="L1115" s="119"/>
      <c r="M1115" s="119" t="b">
        <v>1</v>
      </c>
      <c r="N1115" s="119"/>
      <c r="V1115" s="20"/>
      <c r="W1115" s="20"/>
      <c r="X1115" s="20"/>
      <c r="Y1115" s="20"/>
      <c r="Z1115" s="20"/>
      <c r="AA1115" s="20"/>
      <c r="AB1115" s="20"/>
      <c r="AC1115" s="20"/>
      <c r="AD1115" s="20"/>
    </row>
    <row r="1116" spans="1:30" ht="13.5" customHeight="1" x14ac:dyDescent="0.25">
      <c r="A1116" s="119"/>
      <c r="B1116" s="119"/>
      <c r="C1116" s="119"/>
      <c r="D1116" s="119">
        <v>2061</v>
      </c>
      <c r="E1116" s="119" t="str">
        <f>INDEX([1]道具配置表!$D:$D,MATCH(D1116,[1]道具配置表!$A:$A,0))</f>
        <v>伟大蓝图</v>
      </c>
      <c r="F1116" s="119">
        <v>100</v>
      </c>
      <c r="G1116" s="119"/>
      <c r="H1116" s="119"/>
      <c r="I1116" s="119"/>
      <c r="J1116" s="119"/>
      <c r="K1116" s="119">
        <v>1</v>
      </c>
      <c r="L1116" s="119"/>
      <c r="M1116" s="119" t="b">
        <v>1</v>
      </c>
      <c r="N1116" s="119"/>
      <c r="V1116" s="20"/>
      <c r="W1116" s="20"/>
      <c r="X1116" s="20"/>
      <c r="Y1116" s="20"/>
      <c r="Z1116" s="20"/>
      <c r="AA1116" s="20"/>
      <c r="AB1116" s="20"/>
      <c r="AC1116" s="20"/>
      <c r="AD1116" s="20"/>
    </row>
    <row r="1117" spans="1:30" ht="13.5" customHeight="1" x14ac:dyDescent="0.25">
      <c r="A1117" s="119">
        <v>6606124</v>
      </c>
      <c r="B1117" s="119" t="s">
        <v>1703</v>
      </c>
      <c r="C1117" s="119"/>
      <c r="D1117" s="119">
        <v>232</v>
      </c>
      <c r="E1117" s="119" t="str">
        <f>INDEX([1]道具配置表!$D:$D,MATCH(D1117,[1]道具配置表!$A:$A,0))</f>
        <v>1万食物</v>
      </c>
      <c r="F1117" s="119">
        <v>240</v>
      </c>
      <c r="G1117" s="119"/>
      <c r="H1117" s="119"/>
      <c r="I1117" s="119"/>
      <c r="J1117" s="119"/>
      <c r="K1117" s="119">
        <v>1</v>
      </c>
      <c r="L1117" s="119"/>
      <c r="M1117" s="119" t="b">
        <v>1</v>
      </c>
      <c r="N1117" s="119"/>
      <c r="V1117" s="20"/>
      <c r="W1117" s="20"/>
      <c r="X1117" s="20"/>
      <c r="Y1117" s="20"/>
      <c r="Z1117" s="20"/>
      <c r="AA1117" s="20"/>
      <c r="AB1117" s="20"/>
      <c r="AC1117" s="20"/>
      <c r="AD1117" s="20"/>
    </row>
    <row r="1118" spans="1:30" ht="13.5" customHeight="1" x14ac:dyDescent="0.25">
      <c r="A1118" s="119"/>
      <c r="B1118" s="119"/>
      <c r="C1118" s="119"/>
      <c r="D1118" s="119">
        <v>231</v>
      </c>
      <c r="E1118" s="119" t="str">
        <f>INDEX([1]道具配置表!$D:$D,MATCH(D1118,[1]道具配置表!$A:$A,0))</f>
        <v>1万木材</v>
      </c>
      <c r="F1118" s="119">
        <v>240</v>
      </c>
      <c r="G1118" s="119"/>
      <c r="H1118" s="119"/>
      <c r="I1118" s="119"/>
      <c r="J1118" s="119"/>
      <c r="K1118" s="119">
        <v>1</v>
      </c>
      <c r="L1118" s="119"/>
      <c r="M1118" s="119" t="b">
        <v>1</v>
      </c>
      <c r="N1118" s="119"/>
      <c r="V1118" s="20"/>
      <c r="W1118" s="20"/>
      <c r="X1118" s="20"/>
      <c r="Y1118" s="20"/>
      <c r="Z1118" s="20"/>
      <c r="AA1118" s="20"/>
      <c r="AB1118" s="20"/>
      <c r="AC1118" s="20"/>
      <c r="AD1118" s="20"/>
    </row>
    <row r="1119" spans="1:30" ht="13.5" customHeight="1" x14ac:dyDescent="0.25">
      <c r="A1119" s="119"/>
      <c r="B1119" s="119"/>
      <c r="C1119" s="119"/>
      <c r="D1119" s="119">
        <v>233</v>
      </c>
      <c r="E1119" s="119" t="str">
        <f>INDEX([1]道具配置表!$D:$D,MATCH(D1119,[1]道具配置表!$A:$A,0))</f>
        <v>1万石头</v>
      </c>
      <c r="F1119" s="119">
        <v>240</v>
      </c>
      <c r="G1119" s="119"/>
      <c r="H1119" s="119"/>
      <c r="I1119" s="119"/>
      <c r="J1119" s="119"/>
      <c r="K1119" s="119">
        <v>1</v>
      </c>
      <c r="L1119" s="119"/>
      <c r="M1119" s="119" t="b">
        <v>1</v>
      </c>
      <c r="N1119" s="119"/>
      <c r="V1119" s="20"/>
      <c r="W1119" s="20"/>
      <c r="X1119" s="20"/>
      <c r="Y1119" s="20"/>
      <c r="Z1119" s="20"/>
      <c r="AA1119" s="20"/>
      <c r="AB1119" s="20"/>
      <c r="AC1119" s="20"/>
      <c r="AD1119" s="20"/>
    </row>
    <row r="1120" spans="1:30" ht="13.5" customHeight="1" x14ac:dyDescent="0.25">
      <c r="A1120" s="119"/>
      <c r="B1120" s="119"/>
      <c r="C1120" s="119"/>
      <c r="D1120" s="119">
        <v>234</v>
      </c>
      <c r="E1120" s="119" t="str">
        <f>INDEX([1]道具配置表!$D:$D,MATCH(D1120,[1]道具配置表!$A:$A,0))</f>
        <v>1万黄金</v>
      </c>
      <c r="F1120" s="119">
        <v>240</v>
      </c>
      <c r="G1120" s="119"/>
      <c r="H1120" s="119"/>
      <c r="I1120" s="119"/>
      <c r="J1120" s="119"/>
      <c r="K1120" s="119">
        <v>1</v>
      </c>
      <c r="L1120" s="119"/>
      <c r="M1120" s="119" t="b">
        <v>1</v>
      </c>
      <c r="N1120" s="119"/>
      <c r="V1120" s="20"/>
      <c r="W1120" s="20"/>
      <c r="X1120" s="20"/>
      <c r="Y1120" s="20"/>
      <c r="Z1120" s="20"/>
      <c r="AA1120" s="20"/>
      <c r="AB1120" s="20"/>
      <c r="AC1120" s="20"/>
      <c r="AD1120" s="20"/>
    </row>
    <row r="1121" spans="1:30" ht="13.5" customHeight="1" x14ac:dyDescent="0.25">
      <c r="A1121" s="119"/>
      <c r="B1121" s="119"/>
      <c r="C1121" s="119"/>
      <c r="D1121" s="119">
        <v>7100</v>
      </c>
      <c r="E1121" s="119" t="str">
        <f>INDEX([1]道具配置表!$D:$D,MATCH(D1121,[1]道具配置表!$A:$A,0))</f>
        <v>联盟币</v>
      </c>
      <c r="F1121" s="119">
        <v>12000</v>
      </c>
      <c r="G1121" s="119"/>
      <c r="H1121" s="119"/>
      <c r="I1121" s="119"/>
      <c r="J1121" s="119"/>
      <c r="K1121" s="119">
        <v>1</v>
      </c>
      <c r="L1121" s="119"/>
      <c r="M1121" s="119" t="b">
        <v>1</v>
      </c>
      <c r="N1121" s="119"/>
      <c r="V1121" s="20"/>
      <c r="W1121" s="20"/>
      <c r="X1121" s="20"/>
      <c r="Y1121" s="20"/>
      <c r="Z1121" s="20"/>
      <c r="AA1121" s="20"/>
      <c r="AB1121" s="20"/>
      <c r="AC1121" s="20"/>
      <c r="AD1121" s="20"/>
    </row>
    <row r="1122" spans="1:30" ht="13.5" customHeight="1" x14ac:dyDescent="0.25">
      <c r="A1122" s="119"/>
      <c r="B1122" s="119"/>
      <c r="C1122" s="119"/>
      <c r="D1122" s="119">
        <v>2061</v>
      </c>
      <c r="E1122" s="119" t="str">
        <f>INDEX([1]道具配置表!$D:$D,MATCH(D1122,[1]道具配置表!$A:$A,0))</f>
        <v>伟大蓝图</v>
      </c>
      <c r="F1122" s="119">
        <v>100</v>
      </c>
      <c r="G1122" s="119"/>
      <c r="H1122" s="119"/>
      <c r="I1122" s="119"/>
      <c r="J1122" s="119"/>
      <c r="K1122" s="119">
        <v>1</v>
      </c>
      <c r="L1122" s="119"/>
      <c r="M1122" s="119" t="b">
        <v>1</v>
      </c>
      <c r="N1122" s="119"/>
      <c r="V1122" s="20"/>
      <c r="W1122" s="20"/>
      <c r="X1122" s="20"/>
      <c r="Y1122" s="20"/>
      <c r="Z1122" s="20"/>
      <c r="AA1122" s="20"/>
      <c r="AB1122" s="20"/>
      <c r="AC1122" s="20"/>
      <c r="AD1122" s="20"/>
    </row>
    <row r="1123" spans="1:30" ht="13.5" customHeight="1" x14ac:dyDescent="0.25">
      <c r="A1123" s="28">
        <v>6606201</v>
      </c>
      <c r="B1123" s="28" t="s">
        <v>348</v>
      </c>
      <c r="C1123" s="28" t="s">
        <v>119</v>
      </c>
      <c r="D1123" s="28">
        <v>7003</v>
      </c>
      <c r="E1123" s="28" t="str">
        <f>INDEX([1]道具配置表!$D:$D,MATCH(D1123,[1]道具配置表!$A:$A,0))</f>
        <v>1银币（立即使用，不进背包）</v>
      </c>
      <c r="F1123" s="28">
        <v>100</v>
      </c>
      <c r="G1123" s="28"/>
      <c r="H1123" s="28"/>
      <c r="I1123" s="28"/>
      <c r="J1123" s="28"/>
      <c r="K1123" s="28">
        <v>1</v>
      </c>
      <c r="L1123" s="28"/>
      <c r="M1123" s="28" t="b">
        <v>1</v>
      </c>
      <c r="N1123" s="28"/>
      <c r="V1123" s="20"/>
      <c r="W1123" s="20"/>
      <c r="X1123" s="20"/>
      <c r="Y1123" s="20"/>
      <c r="Z1123" s="20"/>
      <c r="AA1123" s="20"/>
      <c r="AB1123" s="20"/>
      <c r="AC1123" s="20"/>
      <c r="AD1123" s="20"/>
    </row>
    <row r="1124" spans="1:30" ht="13.5" customHeight="1" x14ac:dyDescent="0.25">
      <c r="A1124" s="28"/>
      <c r="B1124" s="28"/>
      <c r="C1124" s="28" t="s">
        <v>119</v>
      </c>
      <c r="D1124" s="28">
        <v>502</v>
      </c>
      <c r="E1124" s="28" t="str">
        <f>INDEX([1]道具配置表!$D:$D,MATCH(D1124,[1]道具配置表!$A:$A,0))</f>
        <v>1万资源自选宝箱</v>
      </c>
      <c r="F1124" s="28">
        <v>10</v>
      </c>
      <c r="G1124" s="28"/>
      <c r="H1124" s="28"/>
      <c r="I1124" s="28"/>
      <c r="J1124" s="28"/>
      <c r="K1124" s="28">
        <v>1</v>
      </c>
      <c r="L1124" s="28"/>
      <c r="M1124" s="28" t="b">
        <v>1</v>
      </c>
      <c r="N1124" s="28"/>
      <c r="V1124" s="20"/>
      <c r="W1124" s="20"/>
      <c r="X1124" s="20"/>
      <c r="Y1124" s="20"/>
      <c r="Z1124" s="20"/>
      <c r="AA1124" s="20"/>
      <c r="AB1124" s="20"/>
      <c r="AC1124" s="20"/>
      <c r="AD1124" s="20"/>
    </row>
    <row r="1125" spans="1:30" ht="13.5" customHeight="1" x14ac:dyDescent="0.25">
      <c r="A1125" s="28"/>
      <c r="B1125" s="28"/>
      <c r="C1125" s="28" t="s">
        <v>119</v>
      </c>
      <c r="D1125" s="28">
        <v>6181</v>
      </c>
      <c r="E1125" s="28" t="str">
        <f>INDEX([1]道具配置表!$D:$D,MATCH(D1125,[1]道具配置表!$A:$A,0))</f>
        <v>5分钟治疗加速</v>
      </c>
      <c r="F1125" s="28">
        <v>1</v>
      </c>
      <c r="G1125" s="28"/>
      <c r="H1125" s="28"/>
      <c r="I1125" s="28"/>
      <c r="J1125" s="28"/>
      <c r="K1125" s="28">
        <v>1</v>
      </c>
      <c r="L1125" s="28"/>
      <c r="M1125" s="28" t="b">
        <v>1</v>
      </c>
      <c r="N1125" s="28"/>
      <c r="V1125" s="20"/>
      <c r="W1125" s="20"/>
      <c r="X1125" s="20"/>
      <c r="Y1125" s="20"/>
      <c r="Z1125" s="20"/>
      <c r="AA1125" s="20"/>
      <c r="AB1125" s="20"/>
      <c r="AC1125" s="20"/>
      <c r="AD1125" s="20"/>
    </row>
    <row r="1126" spans="1:30" ht="13.5" customHeight="1" x14ac:dyDescent="0.25">
      <c r="A1126" s="28"/>
      <c r="B1126" s="28"/>
      <c r="C1126" s="28" t="s">
        <v>119</v>
      </c>
      <c r="D1126" s="28">
        <v>7100</v>
      </c>
      <c r="E1126" s="28" t="str">
        <f>INDEX([1]道具配置表!$D:$D,MATCH(D1126,[1]道具配置表!$A:$A,0))</f>
        <v>联盟币</v>
      </c>
      <c r="F1126" s="28">
        <v>500</v>
      </c>
      <c r="G1126" s="28"/>
      <c r="H1126" s="28"/>
      <c r="I1126" s="28"/>
      <c r="J1126" s="28"/>
      <c r="K1126" s="28">
        <v>1</v>
      </c>
      <c r="L1126" s="28"/>
      <c r="M1126" s="28" t="b">
        <v>1</v>
      </c>
      <c r="N1126" s="28"/>
      <c r="V1126" s="20"/>
      <c r="W1126" s="20"/>
      <c r="X1126" s="20"/>
      <c r="Y1126" s="20"/>
      <c r="Z1126" s="20"/>
      <c r="AA1126" s="20"/>
      <c r="AB1126" s="20"/>
      <c r="AC1126" s="20"/>
      <c r="AD1126" s="20"/>
    </row>
    <row r="1127" spans="1:30" ht="13.5" customHeight="1" x14ac:dyDescent="0.25">
      <c r="A1127" s="45"/>
      <c r="B1127" s="45"/>
      <c r="C1127" s="45"/>
      <c r="D1127" s="45">
        <v>2061</v>
      </c>
      <c r="E1127" s="45" t="str">
        <f>INDEX([1]道具配置表!$D:$D,MATCH(D1127,[1]道具配置表!$A:$A,0))</f>
        <v>伟大蓝图</v>
      </c>
      <c r="F1127" s="45">
        <v>5</v>
      </c>
      <c r="G1127" s="45"/>
      <c r="H1127" s="45"/>
      <c r="I1127" s="45"/>
      <c r="J1127" s="45"/>
      <c r="K1127" s="119">
        <v>1</v>
      </c>
      <c r="L1127" s="119"/>
      <c r="M1127" s="119" t="b">
        <v>1</v>
      </c>
      <c r="N1127" s="45"/>
      <c r="V1127" s="20"/>
      <c r="W1127" s="20"/>
      <c r="X1127" s="20"/>
      <c r="Y1127" s="20"/>
      <c r="Z1127" s="20"/>
      <c r="AA1127" s="20"/>
      <c r="AB1127" s="20"/>
      <c r="AC1127" s="20"/>
      <c r="AD1127" s="20"/>
    </row>
    <row r="1128" spans="1:30" ht="13.5" customHeight="1" x14ac:dyDescent="0.25">
      <c r="A1128" s="28">
        <f>A1123+1</f>
        <v>6606202</v>
      </c>
      <c r="B1128" s="28" t="s">
        <v>349</v>
      </c>
      <c r="C1128" s="28" t="s">
        <v>119</v>
      </c>
      <c r="D1128" s="28">
        <v>7003</v>
      </c>
      <c r="E1128" s="28" t="str">
        <f>INDEX([1]道具配置表!$D:$D,MATCH(D1128,[1]道具配置表!$A:$A,0))</f>
        <v>1银币（立即使用，不进背包）</v>
      </c>
      <c r="F1128" s="28">
        <f>F1123+100</f>
        <v>200</v>
      </c>
      <c r="G1128" s="28"/>
      <c r="H1128" s="28"/>
      <c r="I1128" s="28"/>
      <c r="J1128" s="28"/>
      <c r="K1128" s="119">
        <v>1</v>
      </c>
      <c r="L1128" s="119"/>
      <c r="M1128" s="119" t="b">
        <v>1</v>
      </c>
      <c r="N1128" s="28"/>
      <c r="V1128" s="20"/>
      <c r="W1128" s="20"/>
      <c r="X1128" s="20"/>
      <c r="Y1128" s="20"/>
      <c r="Z1128" s="20"/>
      <c r="AA1128" s="20"/>
      <c r="AB1128" s="20"/>
      <c r="AC1128" s="20"/>
      <c r="AD1128" s="20"/>
    </row>
    <row r="1129" spans="1:30" ht="13.5" customHeight="1" x14ac:dyDescent="0.25">
      <c r="A1129" s="28"/>
      <c r="B1129" s="28"/>
      <c r="C1129" s="28" t="s">
        <v>119</v>
      </c>
      <c r="D1129" s="28">
        <v>502</v>
      </c>
      <c r="E1129" s="28" t="str">
        <f>INDEX([1]道具配置表!$D:$D,MATCH(D1129,[1]道具配置表!$A:$A,0))</f>
        <v>1万资源自选宝箱</v>
      </c>
      <c r="F1129" s="28">
        <f>F1124+10</f>
        <v>20</v>
      </c>
      <c r="G1129" s="28"/>
      <c r="H1129" s="28"/>
      <c r="I1129" s="28"/>
      <c r="J1129" s="28"/>
      <c r="K1129" s="119">
        <v>1</v>
      </c>
      <c r="L1129" s="119"/>
      <c r="M1129" s="119" t="b">
        <v>1</v>
      </c>
      <c r="N1129" s="28"/>
      <c r="V1129" s="20"/>
      <c r="W1129" s="20"/>
      <c r="X1129" s="20"/>
      <c r="Y1129" s="20"/>
      <c r="Z1129" s="20"/>
      <c r="AA1129" s="20"/>
      <c r="AB1129" s="20"/>
      <c r="AC1129" s="20"/>
      <c r="AD1129" s="20"/>
    </row>
    <row r="1130" spans="1:30" ht="13.5" customHeight="1" x14ac:dyDescent="0.25">
      <c r="A1130" s="28"/>
      <c r="B1130" s="28"/>
      <c r="C1130" s="28" t="s">
        <v>119</v>
      </c>
      <c r="D1130" s="28">
        <v>6181</v>
      </c>
      <c r="E1130" s="28" t="str">
        <f>INDEX([1]道具配置表!$D:$D,MATCH(D1130,[1]道具配置表!$A:$A,0))</f>
        <v>5分钟治疗加速</v>
      </c>
      <c r="F1130" s="28">
        <f>F1125+1</f>
        <v>2</v>
      </c>
      <c r="G1130" s="28"/>
      <c r="H1130" s="28"/>
      <c r="I1130" s="28"/>
      <c r="J1130" s="28"/>
      <c r="K1130" s="119">
        <v>1</v>
      </c>
      <c r="L1130" s="119"/>
      <c r="M1130" s="119" t="b">
        <v>1</v>
      </c>
      <c r="N1130" s="28"/>
      <c r="V1130" s="20"/>
      <c r="W1130" s="20"/>
      <c r="X1130" s="20"/>
      <c r="Y1130" s="20"/>
      <c r="Z1130" s="20"/>
      <c r="AA1130" s="20"/>
      <c r="AB1130" s="20"/>
      <c r="AC1130" s="20"/>
      <c r="AD1130" s="20"/>
    </row>
    <row r="1131" spans="1:30" ht="13.5" customHeight="1" x14ac:dyDescent="0.25">
      <c r="A1131" s="28"/>
      <c r="B1131" s="28"/>
      <c r="C1131" s="28" t="s">
        <v>119</v>
      </c>
      <c r="D1131" s="28">
        <v>7100</v>
      </c>
      <c r="E1131" s="28" t="str">
        <f>INDEX([1]道具配置表!$D:$D,MATCH(D1131,[1]道具配置表!$A:$A,0))</f>
        <v>联盟币</v>
      </c>
      <c r="F1131" s="28">
        <f>F1126+500</f>
        <v>1000</v>
      </c>
      <c r="G1131" s="28"/>
      <c r="H1131" s="28"/>
      <c r="I1131" s="28"/>
      <c r="J1131" s="28"/>
      <c r="K1131" s="119">
        <v>1</v>
      </c>
      <c r="L1131" s="119"/>
      <c r="M1131" s="119" t="b">
        <v>1</v>
      </c>
      <c r="N1131" s="28"/>
      <c r="V1131" s="20"/>
      <c r="W1131" s="20"/>
      <c r="X1131" s="20"/>
      <c r="Y1131" s="20"/>
      <c r="Z1131" s="20"/>
      <c r="AA1131" s="20"/>
      <c r="AB1131" s="20"/>
      <c r="AC1131" s="20"/>
      <c r="AD1131" s="20"/>
    </row>
    <row r="1132" spans="1:30" ht="13.5" customHeight="1" x14ac:dyDescent="0.25">
      <c r="A1132" s="45"/>
      <c r="B1132" s="45"/>
      <c r="C1132" s="45"/>
      <c r="D1132" s="45">
        <v>2061</v>
      </c>
      <c r="E1132" s="45" t="str">
        <f>INDEX([1]道具配置表!$D:$D,MATCH(D1132,[1]道具配置表!$A:$A,0))</f>
        <v>伟大蓝图</v>
      </c>
      <c r="F1132" s="45">
        <v>5</v>
      </c>
      <c r="G1132" s="45"/>
      <c r="H1132" s="45"/>
      <c r="I1132" s="45"/>
      <c r="J1132" s="45"/>
      <c r="K1132" s="119">
        <v>1</v>
      </c>
      <c r="L1132" s="119"/>
      <c r="M1132" s="119" t="b">
        <v>1</v>
      </c>
      <c r="N1132" s="45"/>
      <c r="V1132" s="20"/>
      <c r="W1132" s="20"/>
      <c r="X1132" s="20"/>
      <c r="Y1132" s="20"/>
      <c r="Z1132" s="20"/>
      <c r="AA1132" s="20"/>
      <c r="AB1132" s="20"/>
      <c r="AC1132" s="20"/>
      <c r="AD1132" s="20"/>
    </row>
    <row r="1133" spans="1:30" ht="13.5" customHeight="1" x14ac:dyDescent="0.25">
      <c r="A1133" s="28">
        <f>A1128+1</f>
        <v>6606203</v>
      </c>
      <c r="B1133" s="28" t="s">
        <v>350</v>
      </c>
      <c r="C1133" s="28" t="s">
        <v>119</v>
      </c>
      <c r="D1133" s="28">
        <v>7003</v>
      </c>
      <c r="E1133" s="28" t="str">
        <f>INDEX([1]道具配置表!$D:$D,MATCH(D1133,[1]道具配置表!$A:$A,0))</f>
        <v>1银币（立即使用，不进背包）</v>
      </c>
      <c r="F1133" s="28">
        <f>F1128+100</f>
        <v>300</v>
      </c>
      <c r="G1133" s="28"/>
      <c r="H1133" s="28"/>
      <c r="I1133" s="28"/>
      <c r="J1133" s="28"/>
      <c r="K1133" s="119">
        <v>1</v>
      </c>
      <c r="L1133" s="119"/>
      <c r="M1133" s="119" t="b">
        <v>1</v>
      </c>
      <c r="N1133" s="28"/>
      <c r="V1133" s="20"/>
      <c r="W1133" s="20"/>
      <c r="X1133" s="20"/>
      <c r="Y1133" s="20"/>
      <c r="Z1133" s="20"/>
      <c r="AA1133" s="20"/>
      <c r="AB1133" s="20"/>
      <c r="AC1133" s="20"/>
      <c r="AD1133" s="20"/>
    </row>
    <row r="1134" spans="1:30" ht="13.5" customHeight="1" x14ac:dyDescent="0.25">
      <c r="A1134" s="28"/>
      <c r="B1134" s="28"/>
      <c r="C1134" s="28" t="s">
        <v>119</v>
      </c>
      <c r="D1134" s="28">
        <v>502</v>
      </c>
      <c r="E1134" s="28" t="str">
        <f>INDEX([1]道具配置表!$D:$D,MATCH(D1134,[1]道具配置表!$A:$A,0))</f>
        <v>1万资源自选宝箱</v>
      </c>
      <c r="F1134" s="28">
        <f>F1129+10</f>
        <v>30</v>
      </c>
      <c r="G1134" s="28"/>
      <c r="H1134" s="28"/>
      <c r="I1134" s="28"/>
      <c r="J1134" s="28"/>
      <c r="K1134" s="119">
        <v>1</v>
      </c>
      <c r="L1134" s="119"/>
      <c r="M1134" s="119" t="b">
        <v>1</v>
      </c>
      <c r="N1134" s="28"/>
      <c r="V1134" s="20"/>
      <c r="W1134" s="20"/>
      <c r="X1134" s="20"/>
      <c r="Y1134" s="20"/>
      <c r="Z1134" s="20"/>
      <c r="AA1134" s="20"/>
      <c r="AB1134" s="20"/>
      <c r="AC1134" s="20"/>
      <c r="AD1134" s="20"/>
    </row>
    <row r="1135" spans="1:30" ht="13.5" customHeight="1" x14ac:dyDescent="0.25">
      <c r="A1135" s="28"/>
      <c r="B1135" s="28"/>
      <c r="C1135" s="28" t="s">
        <v>119</v>
      </c>
      <c r="D1135" s="28">
        <v>6181</v>
      </c>
      <c r="E1135" s="28" t="str">
        <f>INDEX([1]道具配置表!$D:$D,MATCH(D1135,[1]道具配置表!$A:$A,0))</f>
        <v>5分钟治疗加速</v>
      </c>
      <c r="F1135" s="28">
        <f>F1130+1</f>
        <v>3</v>
      </c>
      <c r="G1135" s="28"/>
      <c r="H1135" s="28"/>
      <c r="I1135" s="28"/>
      <c r="J1135" s="28"/>
      <c r="K1135" s="119">
        <v>1</v>
      </c>
      <c r="L1135" s="119"/>
      <c r="M1135" s="119" t="b">
        <v>1</v>
      </c>
      <c r="N1135" s="28"/>
      <c r="V1135" s="20"/>
      <c r="W1135" s="20"/>
      <c r="X1135" s="20"/>
      <c r="Y1135" s="20"/>
      <c r="Z1135" s="20"/>
      <c r="AA1135" s="20"/>
      <c r="AB1135" s="20"/>
      <c r="AC1135" s="20"/>
      <c r="AD1135" s="20"/>
    </row>
    <row r="1136" spans="1:30" ht="13.5" customHeight="1" x14ac:dyDescent="0.25">
      <c r="A1136" s="28"/>
      <c r="B1136" s="28"/>
      <c r="C1136" s="28" t="s">
        <v>119</v>
      </c>
      <c r="D1136" s="28">
        <v>7100</v>
      </c>
      <c r="E1136" s="28" t="str">
        <f>INDEX([1]道具配置表!$D:$D,MATCH(D1136,[1]道具配置表!$A:$A,0))</f>
        <v>联盟币</v>
      </c>
      <c r="F1136" s="28">
        <f>F1131+500</f>
        <v>1500</v>
      </c>
      <c r="G1136" s="28"/>
      <c r="H1136" s="28"/>
      <c r="I1136" s="28"/>
      <c r="J1136" s="28"/>
      <c r="K1136" s="119">
        <v>1</v>
      </c>
      <c r="L1136" s="119"/>
      <c r="M1136" s="119" t="b">
        <v>1</v>
      </c>
      <c r="N1136" s="28"/>
      <c r="V1136" s="20"/>
      <c r="W1136" s="20"/>
      <c r="X1136" s="20"/>
      <c r="Y1136" s="20"/>
      <c r="Z1136" s="20"/>
      <c r="AA1136" s="20"/>
      <c r="AB1136" s="20"/>
      <c r="AC1136" s="20"/>
      <c r="AD1136" s="20"/>
    </row>
    <row r="1137" spans="1:30" ht="13.5" customHeight="1" x14ac:dyDescent="0.25">
      <c r="A1137" s="45"/>
      <c r="B1137" s="45"/>
      <c r="C1137" s="45"/>
      <c r="D1137" s="45">
        <v>2061</v>
      </c>
      <c r="E1137" s="45" t="str">
        <f>INDEX([1]道具配置表!$D:$D,MATCH(D1137,[1]道具配置表!$A:$A,0))</f>
        <v>伟大蓝图</v>
      </c>
      <c r="F1137" s="45">
        <v>5</v>
      </c>
      <c r="G1137" s="45"/>
      <c r="H1137" s="45"/>
      <c r="I1137" s="45"/>
      <c r="J1137" s="45"/>
      <c r="K1137" s="119">
        <v>1</v>
      </c>
      <c r="L1137" s="119"/>
      <c r="M1137" s="119" t="b">
        <v>1</v>
      </c>
      <c r="N1137" s="45"/>
      <c r="V1137" s="20"/>
      <c r="W1137" s="20"/>
      <c r="X1137" s="20"/>
      <c r="Y1137" s="20"/>
      <c r="Z1137" s="20"/>
      <c r="AA1137" s="20"/>
      <c r="AB1137" s="20"/>
      <c r="AC1137" s="20"/>
      <c r="AD1137" s="20"/>
    </row>
    <row r="1138" spans="1:30" ht="13.5" customHeight="1" x14ac:dyDescent="0.25">
      <c r="A1138" s="28">
        <f>A1133+1</f>
        <v>6606204</v>
      </c>
      <c r="B1138" s="28" t="s">
        <v>351</v>
      </c>
      <c r="C1138" s="28" t="s">
        <v>119</v>
      </c>
      <c r="D1138" s="28">
        <v>7003</v>
      </c>
      <c r="E1138" s="28" t="str">
        <f>INDEX([1]道具配置表!$D:$D,MATCH(D1138,[1]道具配置表!$A:$A,0))</f>
        <v>1银币（立即使用，不进背包）</v>
      </c>
      <c r="F1138" s="28">
        <f>F1133+100</f>
        <v>400</v>
      </c>
      <c r="G1138" s="28"/>
      <c r="H1138" s="28"/>
      <c r="I1138" s="28"/>
      <c r="J1138" s="28"/>
      <c r="K1138" s="119">
        <v>1</v>
      </c>
      <c r="L1138" s="119"/>
      <c r="M1138" s="119" t="b">
        <v>1</v>
      </c>
      <c r="N1138" s="28"/>
      <c r="V1138" s="20"/>
      <c r="W1138" s="20"/>
      <c r="X1138" s="20"/>
      <c r="Y1138" s="20"/>
      <c r="Z1138" s="20"/>
      <c r="AA1138" s="20"/>
      <c r="AB1138" s="20"/>
      <c r="AC1138" s="20"/>
      <c r="AD1138" s="20"/>
    </row>
    <row r="1139" spans="1:30" ht="13.5" customHeight="1" x14ac:dyDescent="0.25">
      <c r="A1139" s="28"/>
      <c r="B1139" s="28"/>
      <c r="C1139" s="28" t="s">
        <v>119</v>
      </c>
      <c r="D1139" s="28">
        <v>502</v>
      </c>
      <c r="E1139" s="28" t="str">
        <f>INDEX([1]道具配置表!$D:$D,MATCH(D1139,[1]道具配置表!$A:$A,0))</f>
        <v>1万资源自选宝箱</v>
      </c>
      <c r="F1139" s="28">
        <f>F1134+10</f>
        <v>40</v>
      </c>
      <c r="G1139" s="28"/>
      <c r="H1139" s="28"/>
      <c r="I1139" s="28"/>
      <c r="J1139" s="28"/>
      <c r="K1139" s="119">
        <v>1</v>
      </c>
      <c r="L1139" s="119"/>
      <c r="M1139" s="119" t="b">
        <v>1</v>
      </c>
      <c r="N1139" s="28"/>
      <c r="V1139" s="20"/>
      <c r="W1139" s="20"/>
      <c r="X1139" s="20"/>
      <c r="Y1139" s="20"/>
      <c r="Z1139" s="20"/>
      <c r="AA1139" s="20"/>
      <c r="AB1139" s="20"/>
      <c r="AC1139" s="20"/>
      <c r="AD1139" s="20"/>
    </row>
    <row r="1140" spans="1:30" ht="13.5" customHeight="1" x14ac:dyDescent="0.25">
      <c r="A1140" s="28"/>
      <c r="B1140" s="28"/>
      <c r="C1140" s="28" t="s">
        <v>119</v>
      </c>
      <c r="D1140" s="28">
        <v>6181</v>
      </c>
      <c r="E1140" s="28" t="str">
        <f>INDEX([1]道具配置表!$D:$D,MATCH(D1140,[1]道具配置表!$A:$A,0))</f>
        <v>5分钟治疗加速</v>
      </c>
      <c r="F1140" s="28">
        <f>F1135+1</f>
        <v>4</v>
      </c>
      <c r="G1140" s="28"/>
      <c r="H1140" s="28"/>
      <c r="I1140" s="28"/>
      <c r="J1140" s="28"/>
      <c r="K1140" s="119">
        <v>1</v>
      </c>
      <c r="L1140" s="119"/>
      <c r="M1140" s="119" t="b">
        <v>1</v>
      </c>
      <c r="N1140" s="28"/>
      <c r="V1140" s="20"/>
      <c r="W1140" s="20"/>
      <c r="X1140" s="20"/>
      <c r="Y1140" s="20"/>
      <c r="Z1140" s="20"/>
      <c r="AA1140" s="20"/>
      <c r="AB1140" s="20"/>
      <c r="AC1140" s="20"/>
      <c r="AD1140" s="20"/>
    </row>
    <row r="1141" spans="1:30" ht="13.5" customHeight="1" x14ac:dyDescent="0.25">
      <c r="A1141" s="28"/>
      <c r="B1141" s="28"/>
      <c r="C1141" s="28" t="s">
        <v>119</v>
      </c>
      <c r="D1141" s="28">
        <v>7100</v>
      </c>
      <c r="E1141" s="28" t="str">
        <f>INDEX([1]道具配置表!$D:$D,MATCH(D1141,[1]道具配置表!$A:$A,0))</f>
        <v>联盟币</v>
      </c>
      <c r="F1141" s="28">
        <f>F1136+500</f>
        <v>2000</v>
      </c>
      <c r="G1141" s="28"/>
      <c r="H1141" s="28"/>
      <c r="I1141" s="28"/>
      <c r="J1141" s="28"/>
      <c r="K1141" s="119">
        <v>1</v>
      </c>
      <c r="L1141" s="119"/>
      <c r="M1141" s="119" t="b">
        <v>1</v>
      </c>
      <c r="N1141" s="28"/>
      <c r="V1141" s="20"/>
      <c r="W1141" s="20"/>
      <c r="X1141" s="20"/>
      <c r="Y1141" s="20"/>
      <c r="Z1141" s="20"/>
      <c r="AA1141" s="20"/>
      <c r="AB1141" s="20"/>
      <c r="AC1141" s="20"/>
      <c r="AD1141" s="20"/>
    </row>
    <row r="1142" spans="1:30" ht="13.5" customHeight="1" x14ac:dyDescent="0.25">
      <c r="A1142" s="45"/>
      <c r="B1142" s="45"/>
      <c r="C1142" s="45"/>
      <c r="D1142" s="45">
        <v>2061</v>
      </c>
      <c r="E1142" s="45" t="str">
        <f>INDEX([1]道具配置表!$D:$D,MATCH(D1142,[1]道具配置表!$A:$A,0))</f>
        <v>伟大蓝图</v>
      </c>
      <c r="F1142" s="45">
        <v>5</v>
      </c>
      <c r="G1142" s="45"/>
      <c r="H1142" s="45"/>
      <c r="I1142" s="45"/>
      <c r="J1142" s="45"/>
      <c r="K1142" s="119">
        <v>1</v>
      </c>
      <c r="L1142" s="119"/>
      <c r="M1142" s="119" t="b">
        <v>1</v>
      </c>
      <c r="N1142" s="45"/>
      <c r="V1142" s="20"/>
      <c r="W1142" s="20"/>
      <c r="X1142" s="20"/>
      <c r="Y1142" s="20"/>
      <c r="Z1142" s="20"/>
      <c r="AA1142" s="20"/>
      <c r="AB1142" s="20"/>
      <c r="AC1142" s="20"/>
      <c r="AD1142" s="20"/>
    </row>
    <row r="1143" spans="1:30" ht="13.5" customHeight="1" x14ac:dyDescent="0.25">
      <c r="A1143" s="28">
        <f>A1138+1</f>
        <v>6606205</v>
      </c>
      <c r="B1143" s="28" t="s">
        <v>352</v>
      </c>
      <c r="C1143" s="28" t="s">
        <v>119</v>
      </c>
      <c r="D1143" s="28">
        <v>7003</v>
      </c>
      <c r="E1143" s="28" t="str">
        <f>INDEX([1]道具配置表!$D:$D,MATCH(D1143,[1]道具配置表!$A:$A,0))</f>
        <v>1银币（立即使用，不进背包）</v>
      </c>
      <c r="F1143" s="28">
        <f>F1138+100</f>
        <v>500</v>
      </c>
      <c r="G1143" s="28"/>
      <c r="H1143" s="28"/>
      <c r="I1143" s="28"/>
      <c r="J1143" s="28"/>
      <c r="K1143" s="119">
        <v>1</v>
      </c>
      <c r="L1143" s="119"/>
      <c r="M1143" s="119" t="b">
        <v>1</v>
      </c>
      <c r="N1143" s="28"/>
      <c r="V1143" s="20"/>
      <c r="W1143" s="20"/>
      <c r="X1143" s="20"/>
      <c r="Y1143" s="20"/>
      <c r="Z1143" s="20"/>
      <c r="AA1143" s="20"/>
      <c r="AB1143" s="20"/>
      <c r="AC1143" s="20"/>
      <c r="AD1143" s="20"/>
    </row>
    <row r="1144" spans="1:30" ht="13.5" customHeight="1" x14ac:dyDescent="0.25">
      <c r="A1144" s="28"/>
      <c r="B1144" s="28"/>
      <c r="C1144" s="28" t="s">
        <v>119</v>
      </c>
      <c r="D1144" s="28">
        <v>502</v>
      </c>
      <c r="E1144" s="28" t="str">
        <f>INDEX([1]道具配置表!$D:$D,MATCH(D1144,[1]道具配置表!$A:$A,0))</f>
        <v>1万资源自选宝箱</v>
      </c>
      <c r="F1144" s="28">
        <f>F1139+10</f>
        <v>50</v>
      </c>
      <c r="G1144" s="28"/>
      <c r="H1144" s="28"/>
      <c r="I1144" s="28"/>
      <c r="J1144" s="28"/>
      <c r="K1144" s="119">
        <v>1</v>
      </c>
      <c r="L1144" s="119"/>
      <c r="M1144" s="119" t="b">
        <v>1</v>
      </c>
      <c r="N1144" s="28"/>
      <c r="V1144" s="20"/>
      <c r="W1144" s="20"/>
      <c r="X1144" s="20"/>
      <c r="Y1144" s="20"/>
      <c r="Z1144" s="20"/>
      <c r="AA1144" s="20"/>
      <c r="AB1144" s="20"/>
      <c r="AC1144" s="20"/>
      <c r="AD1144" s="20"/>
    </row>
    <row r="1145" spans="1:30" ht="13.5" customHeight="1" x14ac:dyDescent="0.25">
      <c r="A1145" s="28"/>
      <c r="B1145" s="28"/>
      <c r="C1145" s="28" t="s">
        <v>119</v>
      </c>
      <c r="D1145" s="28">
        <v>6181</v>
      </c>
      <c r="E1145" s="28" t="str">
        <f>INDEX([1]道具配置表!$D:$D,MATCH(D1145,[1]道具配置表!$A:$A,0))</f>
        <v>5分钟治疗加速</v>
      </c>
      <c r="F1145" s="28">
        <f>F1140+1</f>
        <v>5</v>
      </c>
      <c r="G1145" s="28"/>
      <c r="H1145" s="28"/>
      <c r="I1145" s="28"/>
      <c r="J1145" s="28"/>
      <c r="K1145" s="119">
        <v>1</v>
      </c>
      <c r="L1145" s="119"/>
      <c r="M1145" s="119" t="b">
        <v>1</v>
      </c>
      <c r="N1145" s="28"/>
      <c r="V1145" s="20"/>
      <c r="W1145" s="20"/>
      <c r="X1145" s="20"/>
      <c r="Y1145" s="20"/>
      <c r="Z1145" s="20"/>
      <c r="AA1145" s="20"/>
      <c r="AB1145" s="20"/>
      <c r="AC1145" s="20"/>
      <c r="AD1145" s="20"/>
    </row>
    <row r="1146" spans="1:30" ht="13.5" customHeight="1" x14ac:dyDescent="0.25">
      <c r="A1146" s="28"/>
      <c r="B1146" s="28"/>
      <c r="C1146" s="28" t="s">
        <v>119</v>
      </c>
      <c r="D1146" s="28">
        <v>7100</v>
      </c>
      <c r="E1146" s="28" t="str">
        <f>INDEX([1]道具配置表!$D:$D,MATCH(D1146,[1]道具配置表!$A:$A,0))</f>
        <v>联盟币</v>
      </c>
      <c r="F1146" s="28">
        <f>F1141+500</f>
        <v>2500</v>
      </c>
      <c r="G1146" s="28"/>
      <c r="H1146" s="28"/>
      <c r="I1146" s="28"/>
      <c r="J1146" s="28"/>
      <c r="K1146" s="119">
        <v>1</v>
      </c>
      <c r="L1146" s="119"/>
      <c r="M1146" s="119" t="b">
        <v>1</v>
      </c>
      <c r="N1146" s="28"/>
      <c r="V1146" s="20"/>
      <c r="W1146" s="20"/>
      <c r="X1146" s="20"/>
      <c r="Y1146" s="20"/>
      <c r="Z1146" s="20"/>
      <c r="AA1146" s="20"/>
      <c r="AB1146" s="20"/>
      <c r="AC1146" s="20"/>
      <c r="AD1146" s="20"/>
    </row>
    <row r="1147" spans="1:30" ht="13.5" customHeight="1" x14ac:dyDescent="0.25">
      <c r="A1147" s="45"/>
      <c r="B1147" s="45"/>
      <c r="C1147" s="45"/>
      <c r="D1147" s="45">
        <v>2061</v>
      </c>
      <c r="E1147" s="45" t="str">
        <f>INDEX([1]道具配置表!$D:$D,MATCH(D1147,[1]道具配置表!$A:$A,0))</f>
        <v>伟大蓝图</v>
      </c>
      <c r="F1147" s="45">
        <v>5</v>
      </c>
      <c r="G1147" s="45"/>
      <c r="H1147" s="45"/>
      <c r="I1147" s="45"/>
      <c r="J1147" s="45"/>
      <c r="K1147" s="119">
        <v>1</v>
      </c>
      <c r="L1147" s="119"/>
      <c r="M1147" s="119" t="b">
        <v>1</v>
      </c>
      <c r="N1147" s="45"/>
      <c r="V1147" s="20"/>
      <c r="W1147" s="20"/>
      <c r="X1147" s="20"/>
      <c r="Y1147" s="20"/>
      <c r="Z1147" s="20"/>
      <c r="AA1147" s="20"/>
      <c r="AB1147" s="20"/>
      <c r="AC1147" s="20"/>
      <c r="AD1147" s="20"/>
    </row>
    <row r="1148" spans="1:30" ht="13.5" customHeight="1" x14ac:dyDescent="0.25">
      <c r="A1148" s="28">
        <f>A1143+1</f>
        <v>6606206</v>
      </c>
      <c r="B1148" s="28" t="s">
        <v>353</v>
      </c>
      <c r="C1148" s="28" t="s">
        <v>119</v>
      </c>
      <c r="D1148" s="28">
        <v>7003</v>
      </c>
      <c r="E1148" s="28" t="str">
        <f>INDEX([1]道具配置表!$D:$D,MATCH(D1148,[1]道具配置表!$A:$A,0))</f>
        <v>1银币（立即使用，不进背包）</v>
      </c>
      <c r="F1148" s="28">
        <f>F1143+100</f>
        <v>600</v>
      </c>
      <c r="G1148" s="28"/>
      <c r="H1148" s="28"/>
      <c r="I1148" s="28"/>
      <c r="J1148" s="28"/>
      <c r="K1148" s="119">
        <v>1</v>
      </c>
      <c r="L1148" s="119"/>
      <c r="M1148" s="119" t="b">
        <v>1</v>
      </c>
      <c r="N1148" s="28"/>
      <c r="V1148" s="20"/>
      <c r="W1148" s="20"/>
      <c r="X1148" s="20"/>
      <c r="Y1148" s="20"/>
      <c r="Z1148" s="20"/>
      <c r="AA1148" s="20"/>
      <c r="AB1148" s="20"/>
      <c r="AC1148" s="20"/>
      <c r="AD1148" s="20"/>
    </row>
    <row r="1149" spans="1:30" ht="13.5" customHeight="1" x14ac:dyDescent="0.25">
      <c r="A1149" s="28"/>
      <c r="B1149" s="28"/>
      <c r="C1149" s="28" t="s">
        <v>119</v>
      </c>
      <c r="D1149" s="28">
        <v>502</v>
      </c>
      <c r="E1149" s="28" t="str">
        <f>INDEX([1]道具配置表!$D:$D,MATCH(D1149,[1]道具配置表!$A:$A,0))</f>
        <v>1万资源自选宝箱</v>
      </c>
      <c r="F1149" s="28">
        <f>F1144+10</f>
        <v>60</v>
      </c>
      <c r="G1149" s="28"/>
      <c r="H1149" s="28"/>
      <c r="I1149" s="28"/>
      <c r="J1149" s="28"/>
      <c r="K1149" s="119">
        <v>1</v>
      </c>
      <c r="L1149" s="119"/>
      <c r="M1149" s="119" t="b">
        <v>1</v>
      </c>
      <c r="N1149" s="28"/>
      <c r="V1149" s="20"/>
      <c r="W1149" s="20"/>
      <c r="X1149" s="20"/>
      <c r="Y1149" s="20"/>
      <c r="Z1149" s="20"/>
      <c r="AA1149" s="20"/>
      <c r="AB1149" s="20"/>
      <c r="AC1149" s="20"/>
      <c r="AD1149" s="20"/>
    </row>
    <row r="1150" spans="1:30" ht="13.5" customHeight="1" x14ac:dyDescent="0.25">
      <c r="A1150" s="28"/>
      <c r="B1150" s="28"/>
      <c r="C1150" s="28" t="s">
        <v>119</v>
      </c>
      <c r="D1150" s="28">
        <v>6181</v>
      </c>
      <c r="E1150" s="28" t="str">
        <f>INDEX([1]道具配置表!$D:$D,MATCH(D1150,[1]道具配置表!$A:$A,0))</f>
        <v>5分钟治疗加速</v>
      </c>
      <c r="F1150" s="28">
        <f>F1145+1</f>
        <v>6</v>
      </c>
      <c r="G1150" s="28"/>
      <c r="H1150" s="28"/>
      <c r="I1150" s="28"/>
      <c r="J1150" s="28"/>
      <c r="K1150" s="119">
        <v>1</v>
      </c>
      <c r="L1150" s="119"/>
      <c r="M1150" s="119" t="b">
        <v>1</v>
      </c>
      <c r="N1150" s="28"/>
      <c r="V1150" s="20"/>
      <c r="W1150" s="20"/>
      <c r="X1150" s="20"/>
      <c r="Y1150" s="20"/>
      <c r="Z1150" s="20"/>
      <c r="AA1150" s="20"/>
      <c r="AB1150" s="20"/>
      <c r="AC1150" s="20"/>
      <c r="AD1150" s="20"/>
    </row>
    <row r="1151" spans="1:30" ht="13.5" customHeight="1" x14ac:dyDescent="0.25">
      <c r="A1151" s="28"/>
      <c r="B1151" s="28"/>
      <c r="C1151" s="28" t="s">
        <v>119</v>
      </c>
      <c r="D1151" s="28">
        <v>7100</v>
      </c>
      <c r="E1151" s="28" t="str">
        <f>INDEX([1]道具配置表!$D:$D,MATCH(D1151,[1]道具配置表!$A:$A,0))</f>
        <v>联盟币</v>
      </c>
      <c r="F1151" s="28">
        <f>F1146+500</f>
        <v>3000</v>
      </c>
      <c r="G1151" s="28"/>
      <c r="H1151" s="28"/>
      <c r="I1151" s="28"/>
      <c r="J1151" s="28"/>
      <c r="K1151" s="119">
        <v>1</v>
      </c>
      <c r="L1151" s="119"/>
      <c r="M1151" s="119" t="b">
        <v>1</v>
      </c>
      <c r="N1151" s="28"/>
      <c r="V1151" s="20"/>
      <c r="W1151" s="20"/>
      <c r="X1151" s="20"/>
      <c r="Y1151" s="20"/>
      <c r="Z1151" s="20"/>
      <c r="AA1151" s="20"/>
      <c r="AB1151" s="20"/>
      <c r="AC1151" s="20"/>
      <c r="AD1151" s="20"/>
    </row>
    <row r="1152" spans="1:30" ht="13.5" customHeight="1" x14ac:dyDescent="0.25">
      <c r="A1152" s="45"/>
      <c r="B1152" s="45"/>
      <c r="C1152" s="45"/>
      <c r="D1152" s="45">
        <v>2061</v>
      </c>
      <c r="E1152" s="45" t="str">
        <f>INDEX([1]道具配置表!$D:$D,MATCH(D1152,[1]道具配置表!$A:$A,0))</f>
        <v>伟大蓝图</v>
      </c>
      <c r="F1152" s="45">
        <v>5</v>
      </c>
      <c r="G1152" s="45"/>
      <c r="H1152" s="45"/>
      <c r="I1152" s="45"/>
      <c r="J1152" s="45"/>
      <c r="K1152" s="119">
        <v>1</v>
      </c>
      <c r="L1152" s="119"/>
      <c r="M1152" s="119" t="b">
        <v>1</v>
      </c>
      <c r="N1152" s="45"/>
      <c r="V1152" s="20"/>
      <c r="W1152" s="20"/>
      <c r="X1152" s="20"/>
      <c r="Y1152" s="20"/>
      <c r="Z1152" s="20"/>
      <c r="AA1152" s="20"/>
      <c r="AB1152" s="20"/>
      <c r="AC1152" s="20"/>
      <c r="AD1152" s="20"/>
    </row>
    <row r="1153" spans="1:30" ht="13.5" customHeight="1" x14ac:dyDescent="0.25">
      <c r="A1153" s="28">
        <f>A1148+1</f>
        <v>6606207</v>
      </c>
      <c r="B1153" s="28" t="s">
        <v>354</v>
      </c>
      <c r="C1153" s="28" t="s">
        <v>119</v>
      </c>
      <c r="D1153" s="28">
        <v>7003</v>
      </c>
      <c r="E1153" s="28" t="str">
        <f>INDEX([1]道具配置表!$D:$D,MATCH(D1153,[1]道具配置表!$A:$A,0))</f>
        <v>1银币（立即使用，不进背包）</v>
      </c>
      <c r="F1153" s="28">
        <f>F1148+100</f>
        <v>700</v>
      </c>
      <c r="G1153" s="28"/>
      <c r="H1153" s="28"/>
      <c r="I1153" s="28"/>
      <c r="J1153" s="28"/>
      <c r="K1153" s="119">
        <v>1</v>
      </c>
      <c r="L1153" s="119"/>
      <c r="M1153" s="119" t="b">
        <v>1</v>
      </c>
      <c r="N1153" s="28"/>
      <c r="V1153" s="20"/>
      <c r="W1153" s="20"/>
      <c r="X1153" s="20"/>
      <c r="Y1153" s="20"/>
      <c r="Z1153" s="20"/>
      <c r="AA1153" s="20"/>
      <c r="AB1153" s="20"/>
      <c r="AC1153" s="20"/>
      <c r="AD1153" s="20"/>
    </row>
    <row r="1154" spans="1:30" ht="13.5" customHeight="1" x14ac:dyDescent="0.25">
      <c r="A1154" s="28"/>
      <c r="B1154" s="28"/>
      <c r="C1154" s="28" t="s">
        <v>119</v>
      </c>
      <c r="D1154" s="28">
        <v>502</v>
      </c>
      <c r="E1154" s="28" t="str">
        <f>INDEX([1]道具配置表!$D:$D,MATCH(D1154,[1]道具配置表!$A:$A,0))</f>
        <v>1万资源自选宝箱</v>
      </c>
      <c r="F1154" s="28">
        <f>F1149+10</f>
        <v>70</v>
      </c>
      <c r="G1154" s="28"/>
      <c r="H1154" s="28"/>
      <c r="I1154" s="28"/>
      <c r="J1154" s="28"/>
      <c r="K1154" s="119">
        <v>1</v>
      </c>
      <c r="L1154" s="119"/>
      <c r="M1154" s="119" t="b">
        <v>1</v>
      </c>
      <c r="N1154" s="28"/>
      <c r="V1154" s="20"/>
      <c r="W1154" s="20"/>
      <c r="X1154" s="20"/>
      <c r="Y1154" s="20"/>
      <c r="Z1154" s="20"/>
      <c r="AA1154" s="20"/>
      <c r="AB1154" s="20"/>
      <c r="AC1154" s="20"/>
      <c r="AD1154" s="20"/>
    </row>
    <row r="1155" spans="1:30" ht="13.5" customHeight="1" x14ac:dyDescent="0.25">
      <c r="A1155" s="28"/>
      <c r="B1155" s="28"/>
      <c r="C1155" s="28" t="s">
        <v>119</v>
      </c>
      <c r="D1155" s="28">
        <v>6181</v>
      </c>
      <c r="E1155" s="28" t="str">
        <f>INDEX([1]道具配置表!$D:$D,MATCH(D1155,[1]道具配置表!$A:$A,0))</f>
        <v>5分钟治疗加速</v>
      </c>
      <c r="F1155" s="28">
        <f>F1150+1</f>
        <v>7</v>
      </c>
      <c r="G1155" s="28"/>
      <c r="H1155" s="28"/>
      <c r="I1155" s="28"/>
      <c r="J1155" s="28"/>
      <c r="K1155" s="119">
        <v>1</v>
      </c>
      <c r="L1155" s="119"/>
      <c r="M1155" s="119" t="b">
        <v>1</v>
      </c>
      <c r="N1155" s="28"/>
      <c r="V1155" s="20"/>
      <c r="W1155" s="20"/>
      <c r="X1155" s="20"/>
      <c r="Y1155" s="20"/>
      <c r="Z1155" s="20"/>
      <c r="AA1155" s="20"/>
      <c r="AB1155" s="20"/>
      <c r="AC1155" s="20"/>
      <c r="AD1155" s="20"/>
    </row>
    <row r="1156" spans="1:30" ht="13.5" customHeight="1" x14ac:dyDescent="0.25">
      <c r="A1156" s="28"/>
      <c r="B1156" s="28"/>
      <c r="C1156" s="28" t="s">
        <v>119</v>
      </c>
      <c r="D1156" s="28">
        <v>7100</v>
      </c>
      <c r="E1156" s="28" t="str">
        <f>INDEX([1]道具配置表!$D:$D,MATCH(D1156,[1]道具配置表!$A:$A,0))</f>
        <v>联盟币</v>
      </c>
      <c r="F1156" s="28">
        <f>F1151+500</f>
        <v>3500</v>
      </c>
      <c r="G1156" s="28"/>
      <c r="H1156" s="28"/>
      <c r="I1156" s="28"/>
      <c r="J1156" s="28"/>
      <c r="K1156" s="119">
        <v>1</v>
      </c>
      <c r="L1156" s="119"/>
      <c r="M1156" s="119" t="b">
        <v>1</v>
      </c>
      <c r="N1156" s="28"/>
      <c r="V1156" s="20"/>
      <c r="W1156" s="20"/>
      <c r="X1156" s="20"/>
      <c r="Y1156" s="20"/>
      <c r="Z1156" s="20"/>
      <c r="AA1156" s="20"/>
      <c r="AB1156" s="20"/>
      <c r="AC1156" s="20"/>
      <c r="AD1156" s="20"/>
    </row>
    <row r="1157" spans="1:30" ht="13.5" customHeight="1" x14ac:dyDescent="0.25">
      <c r="A1157" s="45"/>
      <c r="B1157" s="45"/>
      <c r="C1157" s="45"/>
      <c r="D1157" s="45">
        <v>2061</v>
      </c>
      <c r="E1157" s="45" t="str">
        <f>INDEX([1]道具配置表!$D:$D,MATCH(D1157,[1]道具配置表!$A:$A,0))</f>
        <v>伟大蓝图</v>
      </c>
      <c r="F1157" s="45">
        <v>5</v>
      </c>
      <c r="G1157" s="45"/>
      <c r="H1157" s="45"/>
      <c r="I1157" s="45"/>
      <c r="J1157" s="45"/>
      <c r="K1157" s="119">
        <v>1</v>
      </c>
      <c r="L1157" s="119"/>
      <c r="M1157" s="119" t="b">
        <v>1</v>
      </c>
      <c r="N1157" s="45"/>
      <c r="V1157" s="20"/>
      <c r="W1157" s="20"/>
      <c r="X1157" s="20"/>
      <c r="Y1157" s="20"/>
      <c r="Z1157" s="20"/>
      <c r="AA1157" s="20"/>
      <c r="AB1157" s="20"/>
      <c r="AC1157" s="20"/>
      <c r="AD1157" s="20"/>
    </row>
    <row r="1158" spans="1:30" ht="13.5" customHeight="1" x14ac:dyDescent="0.25">
      <c r="A1158" s="28">
        <f>A1153+1</f>
        <v>6606208</v>
      </c>
      <c r="B1158" s="28" t="s">
        <v>355</v>
      </c>
      <c r="C1158" s="28" t="s">
        <v>119</v>
      </c>
      <c r="D1158" s="28">
        <v>7003</v>
      </c>
      <c r="E1158" s="28" t="str">
        <f>INDEX([1]道具配置表!$D:$D,MATCH(D1158,[1]道具配置表!$A:$A,0))</f>
        <v>1银币（立即使用，不进背包）</v>
      </c>
      <c r="F1158" s="28">
        <f>F1153+100</f>
        <v>800</v>
      </c>
      <c r="G1158" s="28"/>
      <c r="H1158" s="28"/>
      <c r="I1158" s="28"/>
      <c r="J1158" s="28"/>
      <c r="K1158" s="119">
        <v>1</v>
      </c>
      <c r="L1158" s="119"/>
      <c r="M1158" s="119" t="b">
        <v>1</v>
      </c>
      <c r="N1158" s="28"/>
      <c r="V1158" s="20"/>
      <c r="W1158" s="20"/>
      <c r="X1158" s="20"/>
      <c r="Y1158" s="20"/>
      <c r="Z1158" s="20"/>
      <c r="AA1158" s="20"/>
      <c r="AB1158" s="20"/>
      <c r="AC1158" s="20"/>
      <c r="AD1158" s="20"/>
    </row>
    <row r="1159" spans="1:30" ht="13.5" customHeight="1" x14ac:dyDescent="0.25">
      <c r="A1159" s="28"/>
      <c r="B1159" s="28"/>
      <c r="C1159" s="28" t="s">
        <v>119</v>
      </c>
      <c r="D1159" s="28">
        <v>502</v>
      </c>
      <c r="E1159" s="28" t="str">
        <f>INDEX([1]道具配置表!$D:$D,MATCH(D1159,[1]道具配置表!$A:$A,0))</f>
        <v>1万资源自选宝箱</v>
      </c>
      <c r="F1159" s="28">
        <f>F1154+10</f>
        <v>80</v>
      </c>
      <c r="G1159" s="28"/>
      <c r="H1159" s="28"/>
      <c r="I1159" s="28"/>
      <c r="J1159" s="28"/>
      <c r="K1159" s="119">
        <v>1</v>
      </c>
      <c r="L1159" s="119"/>
      <c r="M1159" s="119" t="b">
        <v>1</v>
      </c>
      <c r="N1159" s="28"/>
      <c r="V1159" s="20"/>
      <c r="W1159" s="20"/>
      <c r="X1159" s="20"/>
      <c r="Y1159" s="20"/>
      <c r="Z1159" s="20"/>
      <c r="AA1159" s="20"/>
      <c r="AB1159" s="20"/>
      <c r="AC1159" s="20"/>
      <c r="AD1159" s="20"/>
    </row>
    <row r="1160" spans="1:30" ht="13.5" customHeight="1" x14ac:dyDescent="0.25">
      <c r="A1160" s="28"/>
      <c r="B1160" s="28"/>
      <c r="C1160" s="28" t="s">
        <v>119</v>
      </c>
      <c r="D1160" s="28">
        <v>6181</v>
      </c>
      <c r="E1160" s="28" t="str">
        <f>INDEX([1]道具配置表!$D:$D,MATCH(D1160,[1]道具配置表!$A:$A,0))</f>
        <v>5分钟治疗加速</v>
      </c>
      <c r="F1160" s="28">
        <f>F1155+1</f>
        <v>8</v>
      </c>
      <c r="G1160" s="28"/>
      <c r="H1160" s="28"/>
      <c r="I1160" s="28"/>
      <c r="J1160" s="28"/>
      <c r="K1160" s="119">
        <v>1</v>
      </c>
      <c r="L1160" s="119"/>
      <c r="M1160" s="119" t="b">
        <v>1</v>
      </c>
      <c r="N1160" s="28"/>
      <c r="V1160" s="20"/>
      <c r="W1160" s="20"/>
      <c r="X1160" s="20"/>
      <c r="Y1160" s="20"/>
      <c r="Z1160" s="20"/>
      <c r="AA1160" s="20"/>
      <c r="AB1160" s="20"/>
      <c r="AC1160" s="20"/>
      <c r="AD1160" s="20"/>
    </row>
    <row r="1161" spans="1:30" ht="13.5" customHeight="1" x14ac:dyDescent="0.25">
      <c r="A1161" s="28"/>
      <c r="B1161" s="28"/>
      <c r="C1161" s="28" t="s">
        <v>119</v>
      </c>
      <c r="D1161" s="28">
        <v>7100</v>
      </c>
      <c r="E1161" s="28" t="str">
        <f>INDEX([1]道具配置表!$D:$D,MATCH(D1161,[1]道具配置表!$A:$A,0))</f>
        <v>联盟币</v>
      </c>
      <c r="F1161" s="28">
        <f>F1156+500</f>
        <v>4000</v>
      </c>
      <c r="G1161" s="28"/>
      <c r="H1161" s="28"/>
      <c r="I1161" s="28"/>
      <c r="J1161" s="28"/>
      <c r="K1161" s="119">
        <v>1</v>
      </c>
      <c r="L1161" s="119"/>
      <c r="M1161" s="119" t="b">
        <v>1</v>
      </c>
      <c r="N1161" s="28"/>
      <c r="V1161" s="20"/>
      <c r="W1161" s="20"/>
      <c r="X1161" s="20"/>
      <c r="Y1161" s="20"/>
      <c r="Z1161" s="20"/>
      <c r="AA1161" s="20"/>
      <c r="AB1161" s="20"/>
      <c r="AC1161" s="20"/>
      <c r="AD1161" s="20"/>
    </row>
    <row r="1162" spans="1:30" ht="13.5" customHeight="1" x14ac:dyDescent="0.25">
      <c r="A1162" s="45"/>
      <c r="B1162" s="45"/>
      <c r="C1162" s="45"/>
      <c r="D1162" s="45">
        <v>2061</v>
      </c>
      <c r="E1162" s="45" t="str">
        <f>INDEX([1]道具配置表!$D:$D,MATCH(D1162,[1]道具配置表!$A:$A,0))</f>
        <v>伟大蓝图</v>
      </c>
      <c r="F1162" s="45">
        <v>5</v>
      </c>
      <c r="G1162" s="45"/>
      <c r="H1162" s="45"/>
      <c r="I1162" s="45"/>
      <c r="J1162" s="45"/>
      <c r="K1162" s="119">
        <v>1</v>
      </c>
      <c r="L1162" s="119"/>
      <c r="M1162" s="119" t="b">
        <v>1</v>
      </c>
      <c r="N1162" s="45"/>
      <c r="V1162" s="20"/>
      <c r="W1162" s="20"/>
      <c r="X1162" s="20"/>
      <c r="Y1162" s="20"/>
      <c r="Z1162" s="20"/>
      <c r="AA1162" s="20"/>
      <c r="AB1162" s="20"/>
      <c r="AC1162" s="20"/>
      <c r="AD1162" s="20"/>
    </row>
    <row r="1163" spans="1:30" ht="13.5" customHeight="1" x14ac:dyDescent="0.25">
      <c r="A1163" s="28">
        <f>A1158+1</f>
        <v>6606209</v>
      </c>
      <c r="B1163" s="28" t="s">
        <v>356</v>
      </c>
      <c r="C1163" s="28" t="s">
        <v>119</v>
      </c>
      <c r="D1163" s="28">
        <v>7003</v>
      </c>
      <c r="E1163" s="28" t="str">
        <f>INDEX([1]道具配置表!$D:$D,MATCH(D1163,[1]道具配置表!$A:$A,0))</f>
        <v>1银币（立即使用，不进背包）</v>
      </c>
      <c r="F1163" s="28">
        <f>F1158+100</f>
        <v>900</v>
      </c>
      <c r="G1163" s="28"/>
      <c r="H1163" s="28"/>
      <c r="I1163" s="28"/>
      <c r="J1163" s="28"/>
      <c r="K1163" s="119">
        <v>1</v>
      </c>
      <c r="L1163" s="119"/>
      <c r="M1163" s="119" t="b">
        <v>1</v>
      </c>
      <c r="N1163" s="28"/>
      <c r="V1163" s="20"/>
      <c r="W1163" s="20"/>
      <c r="X1163" s="20"/>
      <c r="Y1163" s="20"/>
      <c r="Z1163" s="20"/>
      <c r="AA1163" s="20"/>
      <c r="AB1163" s="20"/>
      <c r="AC1163" s="20"/>
      <c r="AD1163" s="20"/>
    </row>
    <row r="1164" spans="1:30" ht="13.5" customHeight="1" x14ac:dyDescent="0.25">
      <c r="A1164" s="28"/>
      <c r="B1164" s="28"/>
      <c r="C1164" s="28" t="s">
        <v>119</v>
      </c>
      <c r="D1164" s="28">
        <v>502</v>
      </c>
      <c r="E1164" s="28" t="str">
        <f>INDEX([1]道具配置表!$D:$D,MATCH(D1164,[1]道具配置表!$A:$A,0))</f>
        <v>1万资源自选宝箱</v>
      </c>
      <c r="F1164" s="28">
        <f>F1159+10</f>
        <v>90</v>
      </c>
      <c r="G1164" s="28"/>
      <c r="H1164" s="28"/>
      <c r="I1164" s="28"/>
      <c r="J1164" s="28"/>
      <c r="K1164" s="119">
        <v>1</v>
      </c>
      <c r="L1164" s="119"/>
      <c r="M1164" s="119" t="b">
        <v>1</v>
      </c>
      <c r="N1164" s="28"/>
      <c r="V1164" s="20"/>
      <c r="W1164" s="20"/>
      <c r="X1164" s="20"/>
      <c r="Y1164" s="20"/>
      <c r="Z1164" s="20"/>
      <c r="AA1164" s="20"/>
      <c r="AB1164" s="20"/>
      <c r="AC1164" s="20"/>
      <c r="AD1164" s="20"/>
    </row>
    <row r="1165" spans="1:30" ht="13.5" customHeight="1" x14ac:dyDescent="0.25">
      <c r="A1165" s="28"/>
      <c r="B1165" s="28"/>
      <c r="C1165" s="28" t="s">
        <v>119</v>
      </c>
      <c r="D1165" s="28">
        <v>6181</v>
      </c>
      <c r="E1165" s="28" t="str">
        <f>INDEX([1]道具配置表!$D:$D,MATCH(D1165,[1]道具配置表!$A:$A,0))</f>
        <v>5分钟治疗加速</v>
      </c>
      <c r="F1165" s="28">
        <f>F1160+1</f>
        <v>9</v>
      </c>
      <c r="G1165" s="28"/>
      <c r="H1165" s="28"/>
      <c r="I1165" s="28"/>
      <c r="J1165" s="28"/>
      <c r="K1165" s="119">
        <v>1</v>
      </c>
      <c r="L1165" s="119"/>
      <c r="M1165" s="119" t="b">
        <v>1</v>
      </c>
      <c r="N1165" s="28"/>
      <c r="V1165" s="20"/>
      <c r="W1165" s="20"/>
      <c r="X1165" s="20"/>
      <c r="Y1165" s="20"/>
      <c r="Z1165" s="20"/>
      <c r="AA1165" s="20"/>
      <c r="AB1165" s="20"/>
      <c r="AC1165" s="20"/>
      <c r="AD1165" s="20"/>
    </row>
    <row r="1166" spans="1:30" ht="13.5" customHeight="1" x14ac:dyDescent="0.25">
      <c r="A1166" s="28"/>
      <c r="B1166" s="28"/>
      <c r="C1166" s="28" t="s">
        <v>119</v>
      </c>
      <c r="D1166" s="28">
        <v>7100</v>
      </c>
      <c r="E1166" s="28" t="str">
        <f>INDEX([1]道具配置表!$D:$D,MATCH(D1166,[1]道具配置表!$A:$A,0))</f>
        <v>联盟币</v>
      </c>
      <c r="F1166" s="28">
        <f>F1161+500</f>
        <v>4500</v>
      </c>
      <c r="G1166" s="28"/>
      <c r="H1166" s="28"/>
      <c r="I1166" s="28"/>
      <c r="J1166" s="28"/>
      <c r="K1166" s="119">
        <v>1</v>
      </c>
      <c r="L1166" s="119"/>
      <c r="M1166" s="119" t="b">
        <v>1</v>
      </c>
      <c r="N1166" s="28"/>
      <c r="V1166" s="20"/>
      <c r="W1166" s="20"/>
      <c r="X1166" s="20"/>
      <c r="Y1166" s="20"/>
      <c r="Z1166" s="20"/>
      <c r="AA1166" s="20"/>
      <c r="AB1166" s="20"/>
      <c r="AC1166" s="20"/>
      <c r="AD1166" s="20"/>
    </row>
    <row r="1167" spans="1:30" ht="13.5" customHeight="1" x14ac:dyDescent="0.25">
      <c r="A1167" s="45"/>
      <c r="B1167" s="45"/>
      <c r="C1167" s="45"/>
      <c r="D1167" s="45">
        <v>2061</v>
      </c>
      <c r="E1167" s="45" t="str">
        <f>INDEX([1]道具配置表!$D:$D,MATCH(D1167,[1]道具配置表!$A:$A,0))</f>
        <v>伟大蓝图</v>
      </c>
      <c r="F1167" s="45">
        <v>5</v>
      </c>
      <c r="G1167" s="45"/>
      <c r="H1167" s="45"/>
      <c r="I1167" s="45"/>
      <c r="J1167" s="45"/>
      <c r="K1167" s="119">
        <v>1</v>
      </c>
      <c r="L1167" s="119"/>
      <c r="M1167" s="119" t="b">
        <v>1</v>
      </c>
      <c r="N1167" s="45"/>
      <c r="V1167" s="20"/>
      <c r="W1167" s="20"/>
      <c r="X1167" s="20"/>
      <c r="Y1167" s="20"/>
      <c r="Z1167" s="20"/>
      <c r="AA1167" s="20"/>
      <c r="AB1167" s="20"/>
      <c r="AC1167" s="20"/>
      <c r="AD1167" s="20"/>
    </row>
    <row r="1168" spans="1:30" ht="13.5" customHeight="1" x14ac:dyDescent="0.25">
      <c r="A1168" s="28">
        <f>A1163+1</f>
        <v>6606210</v>
      </c>
      <c r="B1168" s="28" t="s">
        <v>357</v>
      </c>
      <c r="C1168" s="28" t="s">
        <v>119</v>
      </c>
      <c r="D1168" s="28">
        <v>7003</v>
      </c>
      <c r="E1168" s="28" t="str">
        <f>INDEX([1]道具配置表!$D:$D,MATCH(D1168,[1]道具配置表!$A:$A,0))</f>
        <v>1银币（立即使用，不进背包）</v>
      </c>
      <c r="F1168" s="28">
        <f>F1163+100</f>
        <v>1000</v>
      </c>
      <c r="G1168" s="28"/>
      <c r="H1168" s="28"/>
      <c r="I1168" s="28"/>
      <c r="J1168" s="28"/>
      <c r="K1168" s="119">
        <v>1</v>
      </c>
      <c r="L1168" s="119"/>
      <c r="M1168" s="119" t="b">
        <v>1</v>
      </c>
      <c r="N1168" s="28"/>
      <c r="V1168" s="20"/>
      <c r="W1168" s="20"/>
      <c r="X1168" s="20"/>
      <c r="Y1168" s="20"/>
      <c r="Z1168" s="20"/>
      <c r="AA1168" s="20"/>
      <c r="AB1168" s="20"/>
      <c r="AC1168" s="20"/>
      <c r="AD1168" s="20"/>
    </row>
    <row r="1169" spans="1:30" ht="13.5" customHeight="1" x14ac:dyDescent="0.25">
      <c r="A1169" s="28"/>
      <c r="B1169" s="28"/>
      <c r="C1169" s="28" t="s">
        <v>119</v>
      </c>
      <c r="D1169" s="28">
        <v>502</v>
      </c>
      <c r="E1169" s="28" t="str">
        <f>INDEX([1]道具配置表!$D:$D,MATCH(D1169,[1]道具配置表!$A:$A,0))</f>
        <v>1万资源自选宝箱</v>
      </c>
      <c r="F1169" s="28">
        <f>F1164+10</f>
        <v>100</v>
      </c>
      <c r="G1169" s="28"/>
      <c r="H1169" s="28"/>
      <c r="I1169" s="28"/>
      <c r="J1169" s="28"/>
      <c r="K1169" s="119">
        <v>1</v>
      </c>
      <c r="L1169" s="119"/>
      <c r="M1169" s="119" t="b">
        <v>1</v>
      </c>
      <c r="N1169" s="28"/>
      <c r="V1169" s="20"/>
      <c r="W1169" s="20"/>
      <c r="X1169" s="20"/>
      <c r="Y1169" s="20"/>
      <c r="Z1169" s="20"/>
      <c r="AA1169" s="20"/>
      <c r="AB1169" s="20"/>
      <c r="AC1169" s="20"/>
      <c r="AD1169" s="20"/>
    </row>
    <row r="1170" spans="1:30" ht="13.5" customHeight="1" x14ac:dyDescent="0.25">
      <c r="A1170" s="28"/>
      <c r="B1170" s="28"/>
      <c r="C1170" s="28" t="s">
        <v>119</v>
      </c>
      <c r="D1170" s="28">
        <v>6181</v>
      </c>
      <c r="E1170" s="28" t="str">
        <f>INDEX([1]道具配置表!$D:$D,MATCH(D1170,[1]道具配置表!$A:$A,0))</f>
        <v>5分钟治疗加速</v>
      </c>
      <c r="F1170" s="28">
        <f>F1165+1</f>
        <v>10</v>
      </c>
      <c r="G1170" s="28"/>
      <c r="H1170" s="28"/>
      <c r="I1170" s="28"/>
      <c r="J1170" s="28"/>
      <c r="K1170" s="119">
        <v>1</v>
      </c>
      <c r="L1170" s="119"/>
      <c r="M1170" s="119" t="b">
        <v>1</v>
      </c>
      <c r="N1170" s="28"/>
      <c r="V1170" s="20"/>
      <c r="W1170" s="20"/>
      <c r="X1170" s="20"/>
      <c r="Y1170" s="20"/>
      <c r="Z1170" s="20"/>
      <c r="AA1170" s="20"/>
      <c r="AB1170" s="20"/>
      <c r="AC1170" s="20"/>
      <c r="AD1170" s="20"/>
    </row>
    <row r="1171" spans="1:30" ht="13.5" customHeight="1" x14ac:dyDescent="0.25">
      <c r="A1171" s="28"/>
      <c r="B1171" s="28"/>
      <c r="C1171" s="28" t="s">
        <v>119</v>
      </c>
      <c r="D1171" s="28">
        <v>7100</v>
      </c>
      <c r="E1171" s="28" t="str">
        <f>INDEX([1]道具配置表!$D:$D,MATCH(D1171,[1]道具配置表!$A:$A,0))</f>
        <v>联盟币</v>
      </c>
      <c r="F1171" s="28">
        <f>F1166+500</f>
        <v>5000</v>
      </c>
      <c r="G1171" s="28"/>
      <c r="H1171" s="28"/>
      <c r="I1171" s="28"/>
      <c r="J1171" s="28"/>
      <c r="K1171" s="119">
        <v>1</v>
      </c>
      <c r="L1171" s="119"/>
      <c r="M1171" s="119" t="b">
        <v>1</v>
      </c>
      <c r="N1171" s="28"/>
      <c r="V1171" s="20"/>
      <c r="W1171" s="20"/>
      <c r="X1171" s="20"/>
      <c r="Y1171" s="20"/>
      <c r="Z1171" s="20"/>
      <c r="AA1171" s="20"/>
      <c r="AB1171" s="20"/>
      <c r="AC1171" s="20"/>
      <c r="AD1171" s="20"/>
    </row>
    <row r="1172" spans="1:30" ht="13.5" customHeight="1" x14ac:dyDescent="0.25">
      <c r="A1172" s="45"/>
      <c r="B1172" s="45"/>
      <c r="C1172" s="45"/>
      <c r="D1172" s="45">
        <v>2061</v>
      </c>
      <c r="E1172" s="45" t="str">
        <f>INDEX([1]道具配置表!$D:$D,MATCH(D1172,[1]道具配置表!$A:$A,0))</f>
        <v>伟大蓝图</v>
      </c>
      <c r="F1172" s="45">
        <v>5</v>
      </c>
      <c r="G1172" s="45"/>
      <c r="H1172" s="45"/>
      <c r="I1172" s="45"/>
      <c r="J1172" s="45"/>
      <c r="K1172" s="119">
        <v>1</v>
      </c>
      <c r="L1172" s="119"/>
      <c r="M1172" s="119" t="b">
        <v>1</v>
      </c>
      <c r="N1172" s="45"/>
      <c r="V1172" s="20"/>
      <c r="W1172" s="20"/>
      <c r="X1172" s="20"/>
      <c r="Y1172" s="20"/>
      <c r="Z1172" s="20"/>
      <c r="AA1172" s="20"/>
      <c r="AB1172" s="20"/>
      <c r="AC1172" s="20"/>
      <c r="AD1172" s="20"/>
    </row>
    <row r="1173" spans="1:30" ht="13.5" customHeight="1" x14ac:dyDescent="0.25">
      <c r="A1173" s="28">
        <f>A1168+1</f>
        <v>6606211</v>
      </c>
      <c r="B1173" s="28" t="s">
        <v>358</v>
      </c>
      <c r="C1173" s="28" t="s">
        <v>119</v>
      </c>
      <c r="D1173" s="28">
        <v>7003</v>
      </c>
      <c r="E1173" s="28" t="str">
        <f>INDEX([1]道具配置表!$D:$D,MATCH(D1173,[1]道具配置表!$A:$A,0))</f>
        <v>1银币（立即使用，不进背包）</v>
      </c>
      <c r="F1173" s="28">
        <f>F1168+100</f>
        <v>1100</v>
      </c>
      <c r="G1173" s="28"/>
      <c r="H1173" s="28"/>
      <c r="I1173" s="28"/>
      <c r="J1173" s="28"/>
      <c r="K1173" s="119">
        <v>1</v>
      </c>
      <c r="L1173" s="119"/>
      <c r="M1173" s="119" t="b">
        <v>1</v>
      </c>
      <c r="N1173" s="28"/>
      <c r="V1173" s="20"/>
      <c r="W1173" s="20"/>
      <c r="X1173" s="20"/>
      <c r="Y1173" s="20"/>
      <c r="Z1173" s="20"/>
      <c r="AA1173" s="20"/>
      <c r="AB1173" s="20"/>
      <c r="AC1173" s="20"/>
      <c r="AD1173" s="20"/>
    </row>
    <row r="1174" spans="1:30" ht="13.5" customHeight="1" x14ac:dyDescent="0.25">
      <c r="A1174" s="28"/>
      <c r="B1174" s="28"/>
      <c r="C1174" s="28" t="s">
        <v>119</v>
      </c>
      <c r="D1174" s="28">
        <v>502</v>
      </c>
      <c r="E1174" s="28" t="str">
        <f>INDEX([1]道具配置表!$D:$D,MATCH(D1174,[1]道具配置表!$A:$A,0))</f>
        <v>1万资源自选宝箱</v>
      </c>
      <c r="F1174" s="28">
        <f>F1169+10</f>
        <v>110</v>
      </c>
      <c r="G1174" s="28"/>
      <c r="H1174" s="28"/>
      <c r="I1174" s="28"/>
      <c r="J1174" s="28"/>
      <c r="K1174" s="119">
        <v>1</v>
      </c>
      <c r="L1174" s="119"/>
      <c r="M1174" s="119" t="b">
        <v>1</v>
      </c>
      <c r="N1174" s="28"/>
      <c r="V1174" s="20"/>
      <c r="W1174" s="20"/>
      <c r="X1174" s="20"/>
      <c r="Y1174" s="20"/>
      <c r="Z1174" s="20"/>
      <c r="AA1174" s="20"/>
      <c r="AB1174" s="20"/>
      <c r="AC1174" s="20"/>
      <c r="AD1174" s="20"/>
    </row>
    <row r="1175" spans="1:30" ht="13.5" customHeight="1" x14ac:dyDescent="0.25">
      <c r="A1175" s="28"/>
      <c r="B1175" s="28"/>
      <c r="C1175" s="28" t="s">
        <v>119</v>
      </c>
      <c r="D1175" s="28">
        <v>6181</v>
      </c>
      <c r="E1175" s="28" t="str">
        <f>INDEX([1]道具配置表!$D:$D,MATCH(D1175,[1]道具配置表!$A:$A,0))</f>
        <v>5分钟治疗加速</v>
      </c>
      <c r="F1175" s="28">
        <f>F1170+1</f>
        <v>11</v>
      </c>
      <c r="G1175" s="28"/>
      <c r="H1175" s="28"/>
      <c r="I1175" s="28"/>
      <c r="J1175" s="28"/>
      <c r="K1175" s="119">
        <v>1</v>
      </c>
      <c r="L1175" s="119"/>
      <c r="M1175" s="119" t="b">
        <v>1</v>
      </c>
      <c r="N1175" s="28"/>
      <c r="V1175" s="20"/>
      <c r="W1175" s="20"/>
      <c r="X1175" s="20"/>
      <c r="Y1175" s="20"/>
      <c r="Z1175" s="20"/>
      <c r="AA1175" s="20"/>
      <c r="AB1175" s="20"/>
      <c r="AC1175" s="20"/>
      <c r="AD1175" s="20"/>
    </row>
    <row r="1176" spans="1:30" ht="13.5" customHeight="1" x14ac:dyDescent="0.25">
      <c r="A1176" s="28"/>
      <c r="B1176" s="28"/>
      <c r="C1176" s="28" t="s">
        <v>119</v>
      </c>
      <c r="D1176" s="28">
        <v>7100</v>
      </c>
      <c r="E1176" s="28" t="str">
        <f>INDEX([1]道具配置表!$D:$D,MATCH(D1176,[1]道具配置表!$A:$A,0))</f>
        <v>联盟币</v>
      </c>
      <c r="F1176" s="28">
        <f>F1171+500</f>
        <v>5500</v>
      </c>
      <c r="G1176" s="28"/>
      <c r="H1176" s="28"/>
      <c r="I1176" s="28"/>
      <c r="J1176" s="28"/>
      <c r="K1176" s="119">
        <v>1</v>
      </c>
      <c r="L1176" s="119"/>
      <c r="M1176" s="119" t="b">
        <v>1</v>
      </c>
      <c r="N1176" s="28"/>
      <c r="V1176" s="20"/>
      <c r="W1176" s="20"/>
      <c r="X1176" s="20"/>
      <c r="Y1176" s="20"/>
      <c r="Z1176" s="20"/>
      <c r="AA1176" s="20"/>
      <c r="AB1176" s="20"/>
      <c r="AC1176" s="20"/>
      <c r="AD1176" s="20"/>
    </row>
    <row r="1177" spans="1:30" ht="13.5" customHeight="1" x14ac:dyDescent="0.25">
      <c r="A1177" s="45"/>
      <c r="B1177" s="45"/>
      <c r="C1177" s="45"/>
      <c r="D1177" s="45">
        <v>2061</v>
      </c>
      <c r="E1177" s="45" t="str">
        <f>INDEX([1]道具配置表!$D:$D,MATCH(D1177,[1]道具配置表!$A:$A,0))</f>
        <v>伟大蓝图</v>
      </c>
      <c r="F1177" s="45">
        <v>5</v>
      </c>
      <c r="G1177" s="45"/>
      <c r="H1177" s="45"/>
      <c r="I1177" s="45"/>
      <c r="J1177" s="45"/>
      <c r="K1177" s="119">
        <v>1</v>
      </c>
      <c r="L1177" s="119"/>
      <c r="M1177" s="119" t="b">
        <v>1</v>
      </c>
      <c r="N1177" s="45"/>
      <c r="V1177" s="20"/>
      <c r="W1177" s="20"/>
      <c r="X1177" s="20"/>
      <c r="Y1177" s="20"/>
      <c r="Z1177" s="20"/>
      <c r="AA1177" s="20"/>
      <c r="AB1177" s="20"/>
      <c r="AC1177" s="20"/>
      <c r="AD1177" s="20"/>
    </row>
    <row r="1178" spans="1:30" ht="13.5" customHeight="1" x14ac:dyDescent="0.25">
      <c r="A1178" s="28">
        <f>A1173+1</f>
        <v>6606212</v>
      </c>
      <c r="B1178" s="28" t="s">
        <v>359</v>
      </c>
      <c r="C1178" s="28" t="s">
        <v>119</v>
      </c>
      <c r="D1178" s="28">
        <v>7003</v>
      </c>
      <c r="E1178" s="28" t="str">
        <f>INDEX([1]道具配置表!$D:$D,MATCH(D1178,[1]道具配置表!$A:$A,0))</f>
        <v>1银币（立即使用，不进背包）</v>
      </c>
      <c r="F1178" s="28">
        <f>F1173+100</f>
        <v>1200</v>
      </c>
      <c r="G1178" s="28"/>
      <c r="H1178" s="28"/>
      <c r="I1178" s="28"/>
      <c r="J1178" s="28"/>
      <c r="K1178" s="119">
        <v>1</v>
      </c>
      <c r="L1178" s="119"/>
      <c r="M1178" s="119" t="b">
        <v>1</v>
      </c>
      <c r="N1178" s="28"/>
      <c r="V1178" s="20"/>
      <c r="W1178" s="20"/>
      <c r="X1178" s="20"/>
      <c r="Y1178" s="20"/>
      <c r="Z1178" s="20"/>
      <c r="AA1178" s="20"/>
      <c r="AB1178" s="20"/>
      <c r="AC1178" s="20"/>
      <c r="AD1178" s="20"/>
    </row>
    <row r="1179" spans="1:30" ht="13.5" customHeight="1" x14ac:dyDescent="0.25">
      <c r="A1179" s="28"/>
      <c r="B1179" s="28"/>
      <c r="C1179" s="28" t="s">
        <v>119</v>
      </c>
      <c r="D1179" s="28">
        <v>502</v>
      </c>
      <c r="E1179" s="28" t="str">
        <f>INDEX([1]道具配置表!$D:$D,MATCH(D1179,[1]道具配置表!$A:$A,0))</f>
        <v>1万资源自选宝箱</v>
      </c>
      <c r="F1179" s="28">
        <f>F1174+10</f>
        <v>120</v>
      </c>
      <c r="G1179" s="28"/>
      <c r="H1179" s="28"/>
      <c r="I1179" s="28"/>
      <c r="J1179" s="28"/>
      <c r="K1179" s="119">
        <v>1</v>
      </c>
      <c r="L1179" s="119"/>
      <c r="M1179" s="119" t="b">
        <v>1</v>
      </c>
      <c r="N1179" s="28"/>
      <c r="V1179" s="20"/>
      <c r="W1179" s="20"/>
      <c r="X1179" s="20"/>
      <c r="Y1179" s="20"/>
      <c r="Z1179" s="20"/>
      <c r="AA1179" s="20"/>
      <c r="AB1179" s="20"/>
      <c r="AC1179" s="20"/>
      <c r="AD1179" s="20"/>
    </row>
    <row r="1180" spans="1:30" ht="13.5" customHeight="1" x14ac:dyDescent="0.25">
      <c r="A1180" s="28"/>
      <c r="B1180" s="28"/>
      <c r="C1180" s="28" t="s">
        <v>119</v>
      </c>
      <c r="D1180" s="28">
        <v>6181</v>
      </c>
      <c r="E1180" s="28" t="str">
        <f>INDEX([1]道具配置表!$D:$D,MATCH(D1180,[1]道具配置表!$A:$A,0))</f>
        <v>5分钟治疗加速</v>
      </c>
      <c r="F1180" s="28">
        <f>F1175+1</f>
        <v>12</v>
      </c>
      <c r="G1180" s="28"/>
      <c r="H1180" s="28"/>
      <c r="I1180" s="28"/>
      <c r="J1180" s="28"/>
      <c r="K1180" s="119">
        <v>1</v>
      </c>
      <c r="L1180" s="119"/>
      <c r="M1180" s="119" t="b">
        <v>1</v>
      </c>
      <c r="N1180" s="28"/>
      <c r="V1180" s="20"/>
      <c r="W1180" s="20"/>
      <c r="X1180" s="20"/>
      <c r="Y1180" s="20"/>
      <c r="Z1180" s="20"/>
      <c r="AA1180" s="20"/>
      <c r="AB1180" s="20"/>
      <c r="AC1180" s="20"/>
      <c r="AD1180" s="20"/>
    </row>
    <row r="1181" spans="1:30" ht="13.5" customHeight="1" x14ac:dyDescent="0.25">
      <c r="A1181" s="28"/>
      <c r="B1181" s="28"/>
      <c r="C1181" s="28" t="s">
        <v>119</v>
      </c>
      <c r="D1181" s="28">
        <v>7100</v>
      </c>
      <c r="E1181" s="28" t="str">
        <f>INDEX([1]道具配置表!$D:$D,MATCH(D1181,[1]道具配置表!$A:$A,0))</f>
        <v>联盟币</v>
      </c>
      <c r="F1181" s="28">
        <f>F1176+500</f>
        <v>6000</v>
      </c>
      <c r="G1181" s="28"/>
      <c r="H1181" s="28"/>
      <c r="I1181" s="28"/>
      <c r="J1181" s="28"/>
      <c r="K1181" s="119">
        <v>1</v>
      </c>
      <c r="L1181" s="119"/>
      <c r="M1181" s="119" t="b">
        <v>1</v>
      </c>
      <c r="N1181" s="28"/>
      <c r="V1181" s="20"/>
      <c r="W1181" s="20"/>
      <c r="X1181" s="20"/>
      <c r="Y1181" s="20"/>
      <c r="Z1181" s="20"/>
      <c r="AA1181" s="20"/>
      <c r="AB1181" s="20"/>
      <c r="AC1181" s="20"/>
      <c r="AD1181" s="20"/>
    </row>
    <row r="1182" spans="1:30" ht="13.5" customHeight="1" x14ac:dyDescent="0.25">
      <c r="A1182" s="45"/>
      <c r="B1182" s="45"/>
      <c r="C1182" s="45"/>
      <c r="D1182" s="45">
        <v>2061</v>
      </c>
      <c r="E1182" s="45" t="str">
        <f>INDEX([1]道具配置表!$D:$D,MATCH(D1182,[1]道具配置表!$A:$A,0))</f>
        <v>伟大蓝图</v>
      </c>
      <c r="F1182" s="45">
        <v>5</v>
      </c>
      <c r="G1182" s="45"/>
      <c r="H1182" s="45"/>
      <c r="I1182" s="45"/>
      <c r="J1182" s="45"/>
      <c r="K1182" s="119">
        <v>1</v>
      </c>
      <c r="L1182" s="119"/>
      <c r="M1182" s="119" t="b">
        <v>1</v>
      </c>
      <c r="N1182" s="45"/>
      <c r="V1182" s="20"/>
      <c r="W1182" s="20"/>
      <c r="X1182" s="20"/>
      <c r="Y1182" s="20"/>
      <c r="Z1182" s="20"/>
      <c r="AA1182" s="20"/>
      <c r="AB1182" s="20"/>
      <c r="AC1182" s="20"/>
      <c r="AD1182" s="20"/>
    </row>
    <row r="1183" spans="1:30" ht="13.5" customHeight="1" x14ac:dyDescent="0.25">
      <c r="A1183" s="28">
        <f>A1178+1</f>
        <v>6606213</v>
      </c>
      <c r="B1183" s="28" t="s">
        <v>360</v>
      </c>
      <c r="C1183" s="28" t="s">
        <v>119</v>
      </c>
      <c r="D1183" s="28">
        <v>7003</v>
      </c>
      <c r="E1183" s="28" t="str">
        <f>INDEX([1]道具配置表!$D:$D,MATCH(D1183,[1]道具配置表!$A:$A,0))</f>
        <v>1银币（立即使用，不进背包）</v>
      </c>
      <c r="F1183" s="28">
        <f>F1178+100</f>
        <v>1300</v>
      </c>
      <c r="G1183" s="28"/>
      <c r="H1183" s="28"/>
      <c r="I1183" s="28"/>
      <c r="J1183" s="28"/>
      <c r="K1183" s="119">
        <v>1</v>
      </c>
      <c r="L1183" s="119"/>
      <c r="M1183" s="119" t="b">
        <v>1</v>
      </c>
      <c r="N1183" s="28"/>
      <c r="V1183" s="20"/>
      <c r="W1183" s="20"/>
      <c r="X1183" s="20"/>
      <c r="Y1183" s="20"/>
      <c r="Z1183" s="20"/>
      <c r="AA1183" s="20"/>
      <c r="AB1183" s="20"/>
      <c r="AC1183" s="20"/>
      <c r="AD1183" s="20"/>
    </row>
    <row r="1184" spans="1:30" ht="13.5" customHeight="1" x14ac:dyDescent="0.25">
      <c r="A1184" s="28"/>
      <c r="B1184" s="28"/>
      <c r="C1184" s="28" t="s">
        <v>119</v>
      </c>
      <c r="D1184" s="28">
        <v>502</v>
      </c>
      <c r="E1184" s="28" t="str">
        <f>INDEX([1]道具配置表!$D:$D,MATCH(D1184,[1]道具配置表!$A:$A,0))</f>
        <v>1万资源自选宝箱</v>
      </c>
      <c r="F1184" s="28">
        <f>F1179+10</f>
        <v>130</v>
      </c>
      <c r="G1184" s="28"/>
      <c r="H1184" s="28"/>
      <c r="I1184" s="28"/>
      <c r="J1184" s="28"/>
      <c r="K1184" s="119">
        <v>1</v>
      </c>
      <c r="L1184" s="119"/>
      <c r="M1184" s="119" t="b">
        <v>1</v>
      </c>
      <c r="N1184" s="28"/>
      <c r="V1184" s="20"/>
      <c r="W1184" s="20"/>
      <c r="X1184" s="20"/>
      <c r="Y1184" s="20"/>
      <c r="Z1184" s="20"/>
      <c r="AA1184" s="20"/>
      <c r="AB1184" s="20"/>
      <c r="AC1184" s="20"/>
      <c r="AD1184" s="20"/>
    </row>
    <row r="1185" spans="1:30" ht="13.5" customHeight="1" x14ac:dyDescent="0.25">
      <c r="A1185" s="28"/>
      <c r="B1185" s="28"/>
      <c r="C1185" s="28" t="s">
        <v>119</v>
      </c>
      <c r="D1185" s="28">
        <v>6181</v>
      </c>
      <c r="E1185" s="28" t="str">
        <f>INDEX([1]道具配置表!$D:$D,MATCH(D1185,[1]道具配置表!$A:$A,0))</f>
        <v>5分钟治疗加速</v>
      </c>
      <c r="F1185" s="28">
        <f>F1180+1</f>
        <v>13</v>
      </c>
      <c r="G1185" s="28"/>
      <c r="H1185" s="28"/>
      <c r="I1185" s="28"/>
      <c r="J1185" s="28"/>
      <c r="K1185" s="119">
        <v>1</v>
      </c>
      <c r="L1185" s="119"/>
      <c r="M1185" s="119" t="b">
        <v>1</v>
      </c>
      <c r="N1185" s="28"/>
      <c r="V1185" s="20"/>
      <c r="W1185" s="20"/>
      <c r="X1185" s="20"/>
      <c r="Y1185" s="20"/>
      <c r="Z1185" s="20"/>
      <c r="AA1185" s="20"/>
      <c r="AB1185" s="20"/>
      <c r="AC1185" s="20"/>
      <c r="AD1185" s="20"/>
    </row>
    <row r="1186" spans="1:30" ht="13.5" customHeight="1" x14ac:dyDescent="0.25">
      <c r="A1186" s="28"/>
      <c r="B1186" s="28"/>
      <c r="C1186" s="28" t="s">
        <v>119</v>
      </c>
      <c r="D1186" s="28">
        <v>7100</v>
      </c>
      <c r="E1186" s="28" t="str">
        <f>INDEX([1]道具配置表!$D:$D,MATCH(D1186,[1]道具配置表!$A:$A,0))</f>
        <v>联盟币</v>
      </c>
      <c r="F1186" s="28">
        <f>F1181+500</f>
        <v>6500</v>
      </c>
      <c r="G1186" s="28"/>
      <c r="H1186" s="28"/>
      <c r="I1186" s="28"/>
      <c r="J1186" s="28"/>
      <c r="K1186" s="119">
        <v>1</v>
      </c>
      <c r="L1186" s="119"/>
      <c r="M1186" s="119" t="b">
        <v>1</v>
      </c>
      <c r="N1186" s="28"/>
      <c r="V1186" s="20"/>
      <c r="W1186" s="20"/>
      <c r="X1186" s="20"/>
      <c r="Y1186" s="20"/>
      <c r="Z1186" s="20"/>
      <c r="AA1186" s="20"/>
      <c r="AB1186" s="20"/>
      <c r="AC1186" s="20"/>
      <c r="AD1186" s="20"/>
    </row>
    <row r="1187" spans="1:30" ht="13.5" customHeight="1" x14ac:dyDescent="0.25">
      <c r="A1187" s="45"/>
      <c r="B1187" s="45"/>
      <c r="C1187" s="45"/>
      <c r="D1187" s="45">
        <v>2061</v>
      </c>
      <c r="E1187" s="45" t="str">
        <f>INDEX([1]道具配置表!$D:$D,MATCH(D1187,[1]道具配置表!$A:$A,0))</f>
        <v>伟大蓝图</v>
      </c>
      <c r="F1187" s="45">
        <v>5</v>
      </c>
      <c r="G1187" s="45"/>
      <c r="H1187" s="45"/>
      <c r="I1187" s="45"/>
      <c r="J1187" s="45"/>
      <c r="K1187" s="119">
        <v>1</v>
      </c>
      <c r="L1187" s="119"/>
      <c r="M1187" s="119" t="b">
        <v>1</v>
      </c>
      <c r="N1187" s="45"/>
      <c r="V1187" s="20"/>
      <c r="W1187" s="20"/>
      <c r="X1187" s="20"/>
      <c r="Y1187" s="20"/>
      <c r="Z1187" s="20"/>
      <c r="AA1187" s="20"/>
      <c r="AB1187" s="20"/>
      <c r="AC1187" s="20"/>
      <c r="AD1187" s="20"/>
    </row>
    <row r="1188" spans="1:30" ht="13.5" customHeight="1" x14ac:dyDescent="0.25">
      <c r="A1188" s="28">
        <f>A1183+1</f>
        <v>6606214</v>
      </c>
      <c r="B1188" s="28" t="s">
        <v>361</v>
      </c>
      <c r="C1188" s="28" t="s">
        <v>119</v>
      </c>
      <c r="D1188" s="28">
        <v>7003</v>
      </c>
      <c r="E1188" s="28" t="str">
        <f>INDEX([1]道具配置表!$D:$D,MATCH(D1188,[1]道具配置表!$A:$A,0))</f>
        <v>1银币（立即使用，不进背包）</v>
      </c>
      <c r="F1188" s="28">
        <f>F1183+100</f>
        <v>1400</v>
      </c>
      <c r="G1188" s="28"/>
      <c r="H1188" s="28"/>
      <c r="I1188" s="28"/>
      <c r="J1188" s="28"/>
      <c r="K1188" s="119">
        <v>1</v>
      </c>
      <c r="L1188" s="119"/>
      <c r="M1188" s="119" t="b">
        <v>1</v>
      </c>
      <c r="N1188" s="28"/>
      <c r="V1188" s="20"/>
      <c r="W1188" s="20"/>
      <c r="X1188" s="20"/>
      <c r="Y1188" s="20"/>
      <c r="Z1188" s="20"/>
      <c r="AA1188" s="20"/>
      <c r="AB1188" s="20"/>
      <c r="AC1188" s="20"/>
      <c r="AD1188" s="20"/>
    </row>
    <row r="1189" spans="1:30" ht="13.5" customHeight="1" x14ac:dyDescent="0.25">
      <c r="A1189" s="28"/>
      <c r="B1189" s="28"/>
      <c r="C1189" s="28" t="s">
        <v>119</v>
      </c>
      <c r="D1189" s="28">
        <v>502</v>
      </c>
      <c r="E1189" s="28" t="str">
        <f>INDEX([1]道具配置表!$D:$D,MATCH(D1189,[1]道具配置表!$A:$A,0))</f>
        <v>1万资源自选宝箱</v>
      </c>
      <c r="F1189" s="28">
        <f>F1184+10</f>
        <v>140</v>
      </c>
      <c r="G1189" s="28"/>
      <c r="H1189" s="28"/>
      <c r="I1189" s="28"/>
      <c r="J1189" s="28"/>
      <c r="K1189" s="119">
        <v>1</v>
      </c>
      <c r="L1189" s="119"/>
      <c r="M1189" s="119" t="b">
        <v>1</v>
      </c>
      <c r="N1189" s="28"/>
      <c r="V1189" s="20"/>
      <c r="W1189" s="20"/>
      <c r="X1189" s="20"/>
      <c r="Y1189" s="20"/>
      <c r="Z1189" s="20"/>
      <c r="AA1189" s="20"/>
      <c r="AB1189" s="20"/>
      <c r="AC1189" s="20"/>
      <c r="AD1189" s="20"/>
    </row>
    <row r="1190" spans="1:30" ht="13.5" customHeight="1" x14ac:dyDescent="0.25">
      <c r="A1190" s="28"/>
      <c r="B1190" s="28"/>
      <c r="C1190" s="28" t="s">
        <v>119</v>
      </c>
      <c r="D1190" s="28">
        <v>6181</v>
      </c>
      <c r="E1190" s="28" t="str">
        <f>INDEX([1]道具配置表!$D:$D,MATCH(D1190,[1]道具配置表!$A:$A,0))</f>
        <v>5分钟治疗加速</v>
      </c>
      <c r="F1190" s="28">
        <f>F1185+1</f>
        <v>14</v>
      </c>
      <c r="G1190" s="28"/>
      <c r="H1190" s="28"/>
      <c r="I1190" s="28"/>
      <c r="J1190" s="28"/>
      <c r="K1190" s="119">
        <v>1</v>
      </c>
      <c r="L1190" s="119"/>
      <c r="M1190" s="119" t="b">
        <v>1</v>
      </c>
      <c r="N1190" s="28"/>
      <c r="V1190" s="20"/>
      <c r="W1190" s="20"/>
      <c r="X1190" s="20"/>
      <c r="Y1190" s="20"/>
      <c r="Z1190" s="20"/>
      <c r="AA1190" s="20"/>
      <c r="AB1190" s="20"/>
      <c r="AC1190" s="20"/>
      <c r="AD1190" s="20"/>
    </row>
    <row r="1191" spans="1:30" ht="13.5" customHeight="1" x14ac:dyDescent="0.25">
      <c r="A1191" s="28"/>
      <c r="B1191" s="28"/>
      <c r="C1191" s="28" t="s">
        <v>119</v>
      </c>
      <c r="D1191" s="28">
        <v>7100</v>
      </c>
      <c r="E1191" s="28" t="str">
        <f>INDEX([1]道具配置表!$D:$D,MATCH(D1191,[1]道具配置表!$A:$A,0))</f>
        <v>联盟币</v>
      </c>
      <c r="F1191" s="28">
        <f>F1186+500</f>
        <v>7000</v>
      </c>
      <c r="G1191" s="28"/>
      <c r="H1191" s="28"/>
      <c r="I1191" s="28"/>
      <c r="J1191" s="28"/>
      <c r="K1191" s="119">
        <v>1</v>
      </c>
      <c r="L1191" s="119"/>
      <c r="M1191" s="119" t="b">
        <v>1</v>
      </c>
      <c r="N1191" s="28"/>
      <c r="V1191" s="20"/>
      <c r="W1191" s="20"/>
      <c r="X1191" s="20"/>
      <c r="Y1191" s="20"/>
      <c r="Z1191" s="20"/>
      <c r="AA1191" s="20"/>
      <c r="AB1191" s="20"/>
      <c r="AC1191" s="20"/>
      <c r="AD1191" s="20"/>
    </row>
    <row r="1192" spans="1:30" ht="13.5" customHeight="1" x14ac:dyDescent="0.25">
      <c r="A1192" s="45"/>
      <c r="B1192" s="45"/>
      <c r="C1192" s="45"/>
      <c r="D1192" s="45">
        <v>2061</v>
      </c>
      <c r="E1192" s="45" t="str">
        <f>INDEX([1]道具配置表!$D:$D,MATCH(D1192,[1]道具配置表!$A:$A,0))</f>
        <v>伟大蓝图</v>
      </c>
      <c r="F1192" s="45">
        <v>5</v>
      </c>
      <c r="G1192" s="45"/>
      <c r="H1192" s="45"/>
      <c r="I1192" s="45"/>
      <c r="J1192" s="45"/>
      <c r="K1192" s="119">
        <v>1</v>
      </c>
      <c r="L1192" s="119"/>
      <c r="M1192" s="119" t="b">
        <v>1</v>
      </c>
      <c r="N1192" s="45"/>
      <c r="V1192" s="20"/>
      <c r="W1192" s="20"/>
      <c r="X1192" s="20"/>
      <c r="Y1192" s="20"/>
      <c r="Z1192" s="20"/>
      <c r="AA1192" s="20"/>
      <c r="AB1192" s="20"/>
      <c r="AC1192" s="20"/>
      <c r="AD1192" s="20"/>
    </row>
    <row r="1193" spans="1:30" ht="13.5" customHeight="1" x14ac:dyDescent="0.25">
      <c r="A1193" s="28">
        <f>A1188+1</f>
        <v>6606215</v>
      </c>
      <c r="B1193" s="28" t="s">
        <v>362</v>
      </c>
      <c r="C1193" s="28" t="s">
        <v>119</v>
      </c>
      <c r="D1193" s="28">
        <v>7003</v>
      </c>
      <c r="E1193" s="28" t="str">
        <f>INDEX([1]道具配置表!$D:$D,MATCH(D1193,[1]道具配置表!$A:$A,0))</f>
        <v>1银币（立即使用，不进背包）</v>
      </c>
      <c r="F1193" s="28">
        <f>F1188+100</f>
        <v>1500</v>
      </c>
      <c r="G1193" s="28"/>
      <c r="H1193" s="28"/>
      <c r="I1193" s="28"/>
      <c r="J1193" s="28"/>
      <c r="K1193" s="119">
        <v>1</v>
      </c>
      <c r="L1193" s="119"/>
      <c r="M1193" s="119" t="b">
        <v>1</v>
      </c>
      <c r="N1193" s="28"/>
      <c r="V1193" s="20"/>
      <c r="W1193" s="20"/>
      <c r="X1193" s="20"/>
      <c r="Y1193" s="20"/>
      <c r="Z1193" s="20"/>
      <c r="AA1193" s="20"/>
      <c r="AB1193" s="20"/>
      <c r="AC1193" s="20"/>
      <c r="AD1193" s="20"/>
    </row>
    <row r="1194" spans="1:30" ht="13.5" customHeight="1" x14ac:dyDescent="0.25">
      <c r="A1194" s="28"/>
      <c r="B1194" s="28"/>
      <c r="C1194" s="28" t="s">
        <v>119</v>
      </c>
      <c r="D1194" s="28">
        <v>502</v>
      </c>
      <c r="E1194" s="28" t="str">
        <f>INDEX([1]道具配置表!$D:$D,MATCH(D1194,[1]道具配置表!$A:$A,0))</f>
        <v>1万资源自选宝箱</v>
      </c>
      <c r="F1194" s="28">
        <f>F1189+10</f>
        <v>150</v>
      </c>
      <c r="G1194" s="28"/>
      <c r="H1194" s="28"/>
      <c r="I1194" s="28"/>
      <c r="J1194" s="28"/>
      <c r="K1194" s="119">
        <v>1</v>
      </c>
      <c r="L1194" s="119"/>
      <c r="M1194" s="119" t="b">
        <v>1</v>
      </c>
      <c r="N1194" s="28"/>
      <c r="V1194" s="20"/>
      <c r="W1194" s="20"/>
      <c r="X1194" s="20"/>
      <c r="Y1194" s="20"/>
      <c r="Z1194" s="20"/>
      <c r="AA1194" s="20"/>
      <c r="AB1194" s="20"/>
      <c r="AC1194" s="20"/>
      <c r="AD1194" s="20"/>
    </row>
    <row r="1195" spans="1:30" ht="13.5" customHeight="1" x14ac:dyDescent="0.25">
      <c r="A1195" s="28"/>
      <c r="B1195" s="28"/>
      <c r="C1195" s="28" t="s">
        <v>119</v>
      </c>
      <c r="D1195" s="28">
        <v>6181</v>
      </c>
      <c r="E1195" s="28" t="str">
        <f>INDEX([1]道具配置表!$D:$D,MATCH(D1195,[1]道具配置表!$A:$A,0))</f>
        <v>5分钟治疗加速</v>
      </c>
      <c r="F1195" s="28">
        <f>F1190+1</f>
        <v>15</v>
      </c>
      <c r="G1195" s="28"/>
      <c r="H1195" s="28"/>
      <c r="I1195" s="28"/>
      <c r="J1195" s="28"/>
      <c r="K1195" s="119">
        <v>1</v>
      </c>
      <c r="L1195" s="119"/>
      <c r="M1195" s="119" t="b">
        <v>1</v>
      </c>
      <c r="N1195" s="28"/>
      <c r="V1195" s="20"/>
      <c r="W1195" s="20"/>
      <c r="X1195" s="20"/>
      <c r="Y1195" s="20"/>
      <c r="Z1195" s="20"/>
      <c r="AA1195" s="20"/>
      <c r="AB1195" s="20"/>
      <c r="AC1195" s="20"/>
      <c r="AD1195" s="20"/>
    </row>
    <row r="1196" spans="1:30" ht="13.5" customHeight="1" x14ac:dyDescent="0.25">
      <c r="A1196" s="28"/>
      <c r="B1196" s="28"/>
      <c r="C1196" s="28" t="s">
        <v>119</v>
      </c>
      <c r="D1196" s="28">
        <v>7100</v>
      </c>
      <c r="E1196" s="28" t="str">
        <f>INDEX([1]道具配置表!$D:$D,MATCH(D1196,[1]道具配置表!$A:$A,0))</f>
        <v>联盟币</v>
      </c>
      <c r="F1196" s="28">
        <f>F1191+500</f>
        <v>7500</v>
      </c>
      <c r="G1196" s="28"/>
      <c r="H1196" s="28"/>
      <c r="I1196" s="28"/>
      <c r="J1196" s="28"/>
      <c r="K1196" s="119">
        <v>1</v>
      </c>
      <c r="L1196" s="119"/>
      <c r="M1196" s="119" t="b">
        <v>1</v>
      </c>
      <c r="N1196" s="28"/>
      <c r="V1196" s="20"/>
      <c r="W1196" s="20"/>
      <c r="X1196" s="20"/>
      <c r="Y1196" s="20"/>
      <c r="Z1196" s="20"/>
      <c r="AA1196" s="20"/>
      <c r="AB1196" s="20"/>
      <c r="AC1196" s="20"/>
      <c r="AD1196" s="20"/>
    </row>
    <row r="1197" spans="1:30" ht="13.5" customHeight="1" x14ac:dyDescent="0.25">
      <c r="A1197" s="45"/>
      <c r="B1197" s="45"/>
      <c r="C1197" s="45"/>
      <c r="D1197" s="45">
        <v>2061</v>
      </c>
      <c r="E1197" s="45" t="str">
        <f>INDEX([1]道具配置表!$D:$D,MATCH(D1197,[1]道具配置表!$A:$A,0))</f>
        <v>伟大蓝图</v>
      </c>
      <c r="F1197" s="45">
        <v>5</v>
      </c>
      <c r="G1197" s="45"/>
      <c r="H1197" s="45"/>
      <c r="I1197" s="45"/>
      <c r="J1197" s="45"/>
      <c r="K1197" s="119">
        <v>1</v>
      </c>
      <c r="L1197" s="119"/>
      <c r="M1197" s="119" t="b">
        <v>1</v>
      </c>
      <c r="N1197" s="45"/>
      <c r="V1197" s="20"/>
      <c r="W1197" s="20"/>
      <c r="X1197" s="20"/>
      <c r="Y1197" s="20"/>
      <c r="Z1197" s="20"/>
      <c r="AA1197" s="20"/>
      <c r="AB1197" s="20"/>
      <c r="AC1197" s="20"/>
      <c r="AD1197" s="20"/>
    </row>
    <row r="1198" spans="1:30" ht="13.5" customHeight="1" x14ac:dyDescent="0.25">
      <c r="A1198" s="28">
        <f>A1193+1</f>
        <v>6606216</v>
      </c>
      <c r="B1198" s="28" t="s">
        <v>363</v>
      </c>
      <c r="C1198" s="28" t="s">
        <v>119</v>
      </c>
      <c r="D1198" s="28">
        <v>7003</v>
      </c>
      <c r="E1198" s="28" t="str">
        <f>INDEX([1]道具配置表!$D:$D,MATCH(D1198,[1]道具配置表!$A:$A,0))</f>
        <v>1银币（立即使用，不进背包）</v>
      </c>
      <c r="F1198" s="28">
        <f>F1193+100</f>
        <v>1600</v>
      </c>
      <c r="G1198" s="28"/>
      <c r="H1198" s="28"/>
      <c r="I1198" s="28"/>
      <c r="J1198" s="28"/>
      <c r="K1198" s="119">
        <v>1</v>
      </c>
      <c r="L1198" s="119"/>
      <c r="M1198" s="119" t="b">
        <v>1</v>
      </c>
      <c r="N1198" s="28"/>
      <c r="V1198" s="20"/>
      <c r="W1198" s="20"/>
      <c r="X1198" s="20"/>
      <c r="Y1198" s="20"/>
      <c r="Z1198" s="20"/>
      <c r="AA1198" s="20"/>
      <c r="AB1198" s="20"/>
      <c r="AC1198" s="20"/>
      <c r="AD1198" s="20"/>
    </row>
    <row r="1199" spans="1:30" ht="13.5" customHeight="1" x14ac:dyDescent="0.25">
      <c r="A1199" s="28"/>
      <c r="B1199" s="28"/>
      <c r="C1199" s="28" t="s">
        <v>119</v>
      </c>
      <c r="D1199" s="28">
        <v>502</v>
      </c>
      <c r="E1199" s="28" t="str">
        <f>INDEX([1]道具配置表!$D:$D,MATCH(D1199,[1]道具配置表!$A:$A,0))</f>
        <v>1万资源自选宝箱</v>
      </c>
      <c r="F1199" s="28">
        <f>F1194+10</f>
        <v>160</v>
      </c>
      <c r="G1199" s="28"/>
      <c r="H1199" s="28"/>
      <c r="I1199" s="28"/>
      <c r="J1199" s="28"/>
      <c r="K1199" s="119">
        <v>1</v>
      </c>
      <c r="L1199" s="119"/>
      <c r="M1199" s="119" t="b">
        <v>1</v>
      </c>
      <c r="N1199" s="28"/>
      <c r="V1199" s="20"/>
      <c r="W1199" s="20"/>
      <c r="X1199" s="20"/>
      <c r="Y1199" s="20"/>
      <c r="Z1199" s="20"/>
      <c r="AA1199" s="20"/>
      <c r="AB1199" s="20"/>
      <c r="AC1199" s="20"/>
      <c r="AD1199" s="20"/>
    </row>
    <row r="1200" spans="1:30" ht="13.5" customHeight="1" x14ac:dyDescent="0.25">
      <c r="A1200" s="28"/>
      <c r="B1200" s="28"/>
      <c r="C1200" s="28" t="s">
        <v>119</v>
      </c>
      <c r="D1200" s="28">
        <v>6181</v>
      </c>
      <c r="E1200" s="28" t="str">
        <f>INDEX([1]道具配置表!$D:$D,MATCH(D1200,[1]道具配置表!$A:$A,0))</f>
        <v>5分钟治疗加速</v>
      </c>
      <c r="F1200" s="28">
        <f>F1195+1</f>
        <v>16</v>
      </c>
      <c r="G1200" s="28"/>
      <c r="H1200" s="28"/>
      <c r="I1200" s="28"/>
      <c r="J1200" s="28"/>
      <c r="K1200" s="119">
        <v>1</v>
      </c>
      <c r="L1200" s="119"/>
      <c r="M1200" s="119" t="b">
        <v>1</v>
      </c>
      <c r="N1200" s="28"/>
      <c r="V1200" s="20"/>
      <c r="W1200" s="20"/>
      <c r="X1200" s="20"/>
      <c r="Y1200" s="20"/>
      <c r="Z1200" s="20"/>
      <c r="AA1200" s="20"/>
      <c r="AB1200" s="20"/>
      <c r="AC1200" s="20"/>
      <c r="AD1200" s="20"/>
    </row>
    <row r="1201" spans="1:30" ht="13.5" customHeight="1" x14ac:dyDescent="0.25">
      <c r="A1201" s="28"/>
      <c r="B1201" s="28"/>
      <c r="C1201" s="28" t="s">
        <v>119</v>
      </c>
      <c r="D1201" s="28">
        <v>7100</v>
      </c>
      <c r="E1201" s="28" t="str">
        <f>INDEX([1]道具配置表!$D:$D,MATCH(D1201,[1]道具配置表!$A:$A,0))</f>
        <v>联盟币</v>
      </c>
      <c r="F1201" s="28">
        <f>F1196+500</f>
        <v>8000</v>
      </c>
      <c r="G1201" s="28"/>
      <c r="H1201" s="28"/>
      <c r="I1201" s="28"/>
      <c r="J1201" s="28"/>
      <c r="K1201" s="119">
        <v>1</v>
      </c>
      <c r="L1201" s="119"/>
      <c r="M1201" s="119" t="b">
        <v>1</v>
      </c>
      <c r="N1201" s="28"/>
      <c r="V1201" s="20"/>
      <c r="W1201" s="20"/>
      <c r="X1201" s="20"/>
      <c r="Y1201" s="20"/>
      <c r="Z1201" s="20"/>
      <c r="AA1201" s="20"/>
      <c r="AB1201" s="20"/>
      <c r="AC1201" s="20"/>
      <c r="AD1201" s="20"/>
    </row>
    <row r="1202" spans="1:30" ht="13.5" customHeight="1" x14ac:dyDescent="0.25">
      <c r="A1202" s="45"/>
      <c r="B1202" s="45"/>
      <c r="C1202" s="45"/>
      <c r="D1202" s="45">
        <v>2061</v>
      </c>
      <c r="E1202" s="45" t="str">
        <f>INDEX([1]道具配置表!$D:$D,MATCH(D1202,[1]道具配置表!$A:$A,0))</f>
        <v>伟大蓝图</v>
      </c>
      <c r="F1202" s="45">
        <v>5</v>
      </c>
      <c r="G1202" s="45"/>
      <c r="H1202" s="45"/>
      <c r="I1202" s="45"/>
      <c r="J1202" s="45"/>
      <c r="K1202" s="119">
        <v>1</v>
      </c>
      <c r="L1202" s="119"/>
      <c r="M1202" s="119" t="b">
        <v>1</v>
      </c>
      <c r="N1202" s="45"/>
      <c r="V1202" s="20"/>
      <c r="W1202" s="20"/>
      <c r="X1202" s="20"/>
      <c r="Y1202" s="20"/>
      <c r="Z1202" s="20"/>
      <c r="AA1202" s="20"/>
      <c r="AB1202" s="20"/>
      <c r="AC1202" s="20"/>
      <c r="AD1202" s="20"/>
    </row>
    <row r="1203" spans="1:30" ht="13.5" customHeight="1" x14ac:dyDescent="0.25">
      <c r="A1203" s="28">
        <f>A1198+1</f>
        <v>6606217</v>
      </c>
      <c r="B1203" s="28" t="s">
        <v>364</v>
      </c>
      <c r="C1203" s="28" t="s">
        <v>119</v>
      </c>
      <c r="D1203" s="28">
        <v>7003</v>
      </c>
      <c r="E1203" s="28" t="str">
        <f>INDEX([1]道具配置表!$D:$D,MATCH(D1203,[1]道具配置表!$A:$A,0))</f>
        <v>1银币（立即使用，不进背包）</v>
      </c>
      <c r="F1203" s="28">
        <f>F1198+100</f>
        <v>1700</v>
      </c>
      <c r="G1203" s="28"/>
      <c r="H1203" s="28"/>
      <c r="I1203" s="28"/>
      <c r="J1203" s="28"/>
      <c r="K1203" s="119">
        <v>1</v>
      </c>
      <c r="L1203" s="119"/>
      <c r="M1203" s="119" t="b">
        <v>1</v>
      </c>
      <c r="N1203" s="28"/>
      <c r="V1203" s="20"/>
      <c r="W1203" s="20"/>
      <c r="X1203" s="20"/>
      <c r="Y1203" s="20"/>
      <c r="Z1203" s="20"/>
      <c r="AA1203" s="20"/>
      <c r="AB1203" s="20"/>
      <c r="AC1203" s="20"/>
      <c r="AD1203" s="20"/>
    </row>
    <row r="1204" spans="1:30" ht="13.5" customHeight="1" x14ac:dyDescent="0.25">
      <c r="A1204" s="28"/>
      <c r="B1204" s="28"/>
      <c r="C1204" s="28" t="s">
        <v>119</v>
      </c>
      <c r="D1204" s="28">
        <v>502</v>
      </c>
      <c r="E1204" s="28" t="str">
        <f>INDEX([1]道具配置表!$D:$D,MATCH(D1204,[1]道具配置表!$A:$A,0))</f>
        <v>1万资源自选宝箱</v>
      </c>
      <c r="F1204" s="28">
        <f>F1199+10</f>
        <v>170</v>
      </c>
      <c r="G1204" s="28"/>
      <c r="H1204" s="28"/>
      <c r="I1204" s="28"/>
      <c r="J1204" s="28"/>
      <c r="K1204" s="119">
        <v>1</v>
      </c>
      <c r="L1204" s="119"/>
      <c r="M1204" s="119" t="b">
        <v>1</v>
      </c>
      <c r="N1204" s="28"/>
      <c r="V1204" s="20"/>
      <c r="W1204" s="20"/>
      <c r="X1204" s="20"/>
      <c r="Y1204" s="20"/>
      <c r="Z1204" s="20"/>
      <c r="AA1204" s="20"/>
      <c r="AB1204" s="20"/>
      <c r="AC1204" s="20"/>
      <c r="AD1204" s="20"/>
    </row>
    <row r="1205" spans="1:30" ht="13.5" customHeight="1" x14ac:dyDescent="0.25">
      <c r="A1205" s="28"/>
      <c r="B1205" s="28"/>
      <c r="C1205" s="28" t="s">
        <v>119</v>
      </c>
      <c r="D1205" s="28">
        <v>6181</v>
      </c>
      <c r="E1205" s="28" t="str">
        <f>INDEX([1]道具配置表!$D:$D,MATCH(D1205,[1]道具配置表!$A:$A,0))</f>
        <v>5分钟治疗加速</v>
      </c>
      <c r="F1205" s="28">
        <f>F1200+1</f>
        <v>17</v>
      </c>
      <c r="G1205" s="28"/>
      <c r="H1205" s="28"/>
      <c r="I1205" s="28"/>
      <c r="J1205" s="28"/>
      <c r="K1205" s="119">
        <v>1</v>
      </c>
      <c r="L1205" s="119"/>
      <c r="M1205" s="119" t="b">
        <v>1</v>
      </c>
      <c r="N1205" s="28"/>
      <c r="V1205" s="20"/>
      <c r="W1205" s="20"/>
      <c r="X1205" s="20"/>
      <c r="Y1205" s="20"/>
      <c r="Z1205" s="20"/>
      <c r="AA1205" s="20"/>
      <c r="AB1205" s="20"/>
      <c r="AC1205" s="20"/>
      <c r="AD1205" s="20"/>
    </row>
    <row r="1206" spans="1:30" ht="13.5" customHeight="1" x14ac:dyDescent="0.25">
      <c r="A1206" s="28"/>
      <c r="B1206" s="28"/>
      <c r="C1206" s="28" t="s">
        <v>119</v>
      </c>
      <c r="D1206" s="28">
        <v>7100</v>
      </c>
      <c r="E1206" s="28" t="str">
        <f>INDEX([1]道具配置表!$D:$D,MATCH(D1206,[1]道具配置表!$A:$A,0))</f>
        <v>联盟币</v>
      </c>
      <c r="F1206" s="28">
        <f>F1201+500</f>
        <v>8500</v>
      </c>
      <c r="G1206" s="28"/>
      <c r="H1206" s="28"/>
      <c r="I1206" s="28"/>
      <c r="J1206" s="28"/>
      <c r="K1206" s="119">
        <v>1</v>
      </c>
      <c r="L1206" s="119"/>
      <c r="M1206" s="119" t="b">
        <v>1</v>
      </c>
      <c r="N1206" s="28"/>
      <c r="V1206" s="20"/>
      <c r="W1206" s="20"/>
      <c r="X1206" s="20"/>
      <c r="Y1206" s="20"/>
      <c r="Z1206" s="20"/>
      <c r="AA1206" s="20"/>
      <c r="AB1206" s="20"/>
      <c r="AC1206" s="20"/>
      <c r="AD1206" s="20"/>
    </row>
    <row r="1207" spans="1:30" ht="13.5" customHeight="1" x14ac:dyDescent="0.25">
      <c r="A1207" s="45"/>
      <c r="B1207" s="45"/>
      <c r="C1207" s="45"/>
      <c r="D1207" s="45">
        <v>2061</v>
      </c>
      <c r="E1207" s="45" t="str">
        <f>INDEX([1]道具配置表!$D:$D,MATCH(D1207,[1]道具配置表!$A:$A,0))</f>
        <v>伟大蓝图</v>
      </c>
      <c r="F1207" s="45">
        <v>5</v>
      </c>
      <c r="G1207" s="45"/>
      <c r="H1207" s="45"/>
      <c r="I1207" s="45"/>
      <c r="J1207" s="45"/>
      <c r="K1207" s="119">
        <v>1</v>
      </c>
      <c r="L1207" s="119"/>
      <c r="M1207" s="119" t="b">
        <v>1</v>
      </c>
      <c r="N1207" s="45"/>
      <c r="V1207" s="20"/>
      <c r="W1207" s="20"/>
      <c r="X1207" s="20"/>
      <c r="Y1207" s="20"/>
      <c r="Z1207" s="20"/>
      <c r="AA1207" s="20"/>
      <c r="AB1207" s="20"/>
      <c r="AC1207" s="20"/>
      <c r="AD1207" s="20"/>
    </row>
    <row r="1208" spans="1:30" ht="13.5" customHeight="1" x14ac:dyDescent="0.25">
      <c r="A1208" s="28">
        <f>A1203+1</f>
        <v>6606218</v>
      </c>
      <c r="B1208" s="28" t="s">
        <v>365</v>
      </c>
      <c r="C1208" s="28" t="s">
        <v>119</v>
      </c>
      <c r="D1208" s="28">
        <v>7003</v>
      </c>
      <c r="E1208" s="28" t="str">
        <f>INDEX([1]道具配置表!$D:$D,MATCH(D1208,[1]道具配置表!$A:$A,0))</f>
        <v>1银币（立即使用，不进背包）</v>
      </c>
      <c r="F1208" s="28">
        <f>F1203+100</f>
        <v>1800</v>
      </c>
      <c r="G1208" s="28"/>
      <c r="H1208" s="28"/>
      <c r="I1208" s="28"/>
      <c r="J1208" s="28"/>
      <c r="K1208" s="119">
        <v>1</v>
      </c>
      <c r="L1208" s="119"/>
      <c r="M1208" s="119" t="b">
        <v>1</v>
      </c>
      <c r="N1208" s="28"/>
      <c r="V1208" s="20"/>
      <c r="W1208" s="20"/>
      <c r="X1208" s="20"/>
      <c r="Y1208" s="20"/>
      <c r="Z1208" s="20"/>
      <c r="AA1208" s="20"/>
      <c r="AB1208" s="20"/>
      <c r="AC1208" s="20"/>
      <c r="AD1208" s="20"/>
    </row>
    <row r="1209" spans="1:30" ht="13.5" customHeight="1" x14ac:dyDescent="0.25">
      <c r="A1209" s="28"/>
      <c r="B1209" s="28"/>
      <c r="C1209" s="28" t="s">
        <v>119</v>
      </c>
      <c r="D1209" s="28">
        <v>502</v>
      </c>
      <c r="E1209" s="28" t="str">
        <f>INDEX([1]道具配置表!$D:$D,MATCH(D1209,[1]道具配置表!$A:$A,0))</f>
        <v>1万资源自选宝箱</v>
      </c>
      <c r="F1209" s="28">
        <f>F1204+10</f>
        <v>180</v>
      </c>
      <c r="G1209" s="28"/>
      <c r="H1209" s="28"/>
      <c r="I1209" s="28"/>
      <c r="J1209" s="28"/>
      <c r="K1209" s="119">
        <v>1</v>
      </c>
      <c r="L1209" s="119"/>
      <c r="M1209" s="119" t="b">
        <v>1</v>
      </c>
      <c r="N1209" s="28"/>
      <c r="V1209" s="20"/>
      <c r="W1209" s="20"/>
      <c r="X1209" s="20"/>
      <c r="Y1209" s="20"/>
      <c r="Z1209" s="20"/>
      <c r="AA1209" s="20"/>
      <c r="AB1209" s="20"/>
      <c r="AC1209" s="20"/>
      <c r="AD1209" s="20"/>
    </row>
    <row r="1210" spans="1:30" ht="13.5" customHeight="1" x14ac:dyDescent="0.25">
      <c r="A1210" s="28"/>
      <c r="B1210" s="28"/>
      <c r="C1210" s="28" t="s">
        <v>119</v>
      </c>
      <c r="D1210" s="28">
        <v>6181</v>
      </c>
      <c r="E1210" s="28" t="str">
        <f>INDEX([1]道具配置表!$D:$D,MATCH(D1210,[1]道具配置表!$A:$A,0))</f>
        <v>5分钟治疗加速</v>
      </c>
      <c r="F1210" s="28">
        <f>F1205+1</f>
        <v>18</v>
      </c>
      <c r="G1210" s="28"/>
      <c r="H1210" s="28"/>
      <c r="I1210" s="28"/>
      <c r="J1210" s="28"/>
      <c r="K1210" s="119">
        <v>1</v>
      </c>
      <c r="L1210" s="119"/>
      <c r="M1210" s="119" t="b">
        <v>1</v>
      </c>
      <c r="N1210" s="28"/>
      <c r="V1210" s="20"/>
      <c r="W1210" s="20"/>
      <c r="X1210" s="20"/>
      <c r="Y1210" s="20"/>
      <c r="Z1210" s="20"/>
      <c r="AA1210" s="20"/>
      <c r="AB1210" s="20"/>
      <c r="AC1210" s="20"/>
      <c r="AD1210" s="20"/>
    </row>
    <row r="1211" spans="1:30" ht="13.5" customHeight="1" x14ac:dyDescent="0.25">
      <c r="A1211" s="28"/>
      <c r="B1211" s="28"/>
      <c r="C1211" s="28" t="s">
        <v>119</v>
      </c>
      <c r="D1211" s="28">
        <v>7100</v>
      </c>
      <c r="E1211" s="28" t="str">
        <f>INDEX([1]道具配置表!$D:$D,MATCH(D1211,[1]道具配置表!$A:$A,0))</f>
        <v>联盟币</v>
      </c>
      <c r="F1211" s="28">
        <f>F1206+500</f>
        <v>9000</v>
      </c>
      <c r="G1211" s="28"/>
      <c r="H1211" s="28"/>
      <c r="I1211" s="28"/>
      <c r="J1211" s="28"/>
      <c r="K1211" s="119">
        <v>1</v>
      </c>
      <c r="L1211" s="119"/>
      <c r="M1211" s="119" t="b">
        <v>1</v>
      </c>
      <c r="N1211" s="28"/>
      <c r="V1211" s="20"/>
      <c r="W1211" s="20"/>
      <c r="X1211" s="20"/>
      <c r="Y1211" s="20"/>
      <c r="Z1211" s="20"/>
      <c r="AA1211" s="20"/>
      <c r="AB1211" s="20"/>
      <c r="AC1211" s="20"/>
      <c r="AD1211" s="20"/>
    </row>
    <row r="1212" spans="1:30" ht="13.5" customHeight="1" x14ac:dyDescent="0.25">
      <c r="A1212" s="45"/>
      <c r="B1212" s="45"/>
      <c r="C1212" s="45"/>
      <c r="D1212" s="45">
        <v>2061</v>
      </c>
      <c r="E1212" s="45" t="str">
        <f>INDEX([1]道具配置表!$D:$D,MATCH(D1212,[1]道具配置表!$A:$A,0))</f>
        <v>伟大蓝图</v>
      </c>
      <c r="F1212" s="45">
        <v>5</v>
      </c>
      <c r="G1212" s="45"/>
      <c r="H1212" s="45"/>
      <c r="I1212" s="45"/>
      <c r="J1212" s="45"/>
      <c r="K1212" s="119">
        <v>1</v>
      </c>
      <c r="L1212" s="119"/>
      <c r="M1212" s="119" t="b">
        <v>1</v>
      </c>
      <c r="N1212" s="45"/>
      <c r="V1212" s="20"/>
      <c r="W1212" s="20"/>
      <c r="X1212" s="20"/>
      <c r="Y1212" s="20"/>
      <c r="Z1212" s="20"/>
      <c r="AA1212" s="20"/>
      <c r="AB1212" s="20"/>
      <c r="AC1212" s="20"/>
      <c r="AD1212" s="20"/>
    </row>
    <row r="1213" spans="1:30" ht="13.5" customHeight="1" x14ac:dyDescent="0.25">
      <c r="A1213" s="28">
        <f>A1208+1</f>
        <v>6606219</v>
      </c>
      <c r="B1213" s="28" t="s">
        <v>366</v>
      </c>
      <c r="C1213" s="28" t="s">
        <v>119</v>
      </c>
      <c r="D1213" s="28">
        <v>7003</v>
      </c>
      <c r="E1213" s="28" t="str">
        <f>INDEX([1]道具配置表!$D:$D,MATCH(D1213,[1]道具配置表!$A:$A,0))</f>
        <v>1银币（立即使用，不进背包）</v>
      </c>
      <c r="F1213" s="28">
        <f>F1208+100</f>
        <v>1900</v>
      </c>
      <c r="G1213" s="28"/>
      <c r="H1213" s="28"/>
      <c r="I1213" s="28"/>
      <c r="J1213" s="28"/>
      <c r="K1213" s="119">
        <v>1</v>
      </c>
      <c r="L1213" s="119"/>
      <c r="M1213" s="119" t="b">
        <v>1</v>
      </c>
      <c r="N1213" s="28"/>
      <c r="V1213" s="20"/>
      <c r="W1213" s="20"/>
      <c r="X1213" s="20"/>
      <c r="Y1213" s="20"/>
      <c r="Z1213" s="20"/>
      <c r="AA1213" s="20"/>
      <c r="AB1213" s="20"/>
      <c r="AC1213" s="20"/>
      <c r="AD1213" s="20"/>
    </row>
    <row r="1214" spans="1:30" ht="13.5" customHeight="1" x14ac:dyDescent="0.25">
      <c r="A1214" s="28"/>
      <c r="B1214" s="28"/>
      <c r="C1214" s="28" t="s">
        <v>119</v>
      </c>
      <c r="D1214" s="28">
        <v>502</v>
      </c>
      <c r="E1214" s="28" t="str">
        <f>INDEX([1]道具配置表!$D:$D,MATCH(D1214,[1]道具配置表!$A:$A,0))</f>
        <v>1万资源自选宝箱</v>
      </c>
      <c r="F1214" s="28">
        <f>F1209+10</f>
        <v>190</v>
      </c>
      <c r="G1214" s="28"/>
      <c r="H1214" s="28"/>
      <c r="I1214" s="28"/>
      <c r="J1214" s="28"/>
      <c r="K1214" s="119">
        <v>1</v>
      </c>
      <c r="L1214" s="119"/>
      <c r="M1214" s="119" t="b">
        <v>1</v>
      </c>
      <c r="N1214" s="28"/>
      <c r="V1214" s="20"/>
      <c r="W1214" s="20"/>
      <c r="X1214" s="20"/>
      <c r="Y1214" s="20"/>
      <c r="Z1214" s="20"/>
      <c r="AA1214" s="20"/>
      <c r="AB1214" s="20"/>
      <c r="AC1214" s="20"/>
      <c r="AD1214" s="20"/>
    </row>
    <row r="1215" spans="1:30" ht="13.5" customHeight="1" x14ac:dyDescent="0.25">
      <c r="A1215" s="28"/>
      <c r="B1215" s="28"/>
      <c r="C1215" s="28" t="s">
        <v>119</v>
      </c>
      <c r="D1215" s="28">
        <v>6181</v>
      </c>
      <c r="E1215" s="28" t="str">
        <f>INDEX([1]道具配置表!$D:$D,MATCH(D1215,[1]道具配置表!$A:$A,0))</f>
        <v>5分钟治疗加速</v>
      </c>
      <c r="F1215" s="28">
        <f>F1210+1</f>
        <v>19</v>
      </c>
      <c r="G1215" s="28"/>
      <c r="H1215" s="28"/>
      <c r="I1215" s="28"/>
      <c r="J1215" s="28"/>
      <c r="K1215" s="119">
        <v>1</v>
      </c>
      <c r="L1215" s="119"/>
      <c r="M1215" s="119" t="b">
        <v>1</v>
      </c>
      <c r="N1215" s="28"/>
      <c r="V1215" s="20"/>
      <c r="W1215" s="20"/>
      <c r="X1215" s="20"/>
      <c r="Y1215" s="20"/>
      <c r="Z1215" s="20"/>
      <c r="AA1215" s="20"/>
      <c r="AB1215" s="20"/>
      <c r="AC1215" s="20"/>
      <c r="AD1215" s="20"/>
    </row>
    <row r="1216" spans="1:30" ht="13.5" customHeight="1" x14ac:dyDescent="0.25">
      <c r="A1216" s="28"/>
      <c r="B1216" s="28"/>
      <c r="C1216" s="28" t="s">
        <v>119</v>
      </c>
      <c r="D1216" s="28">
        <v>7100</v>
      </c>
      <c r="E1216" s="28" t="str">
        <f>INDEX([1]道具配置表!$D:$D,MATCH(D1216,[1]道具配置表!$A:$A,0))</f>
        <v>联盟币</v>
      </c>
      <c r="F1216" s="28">
        <f>F1211+500</f>
        <v>9500</v>
      </c>
      <c r="G1216" s="28"/>
      <c r="H1216" s="28"/>
      <c r="I1216" s="28"/>
      <c r="J1216" s="28"/>
      <c r="K1216" s="119">
        <v>1</v>
      </c>
      <c r="L1216" s="119"/>
      <c r="M1216" s="119" t="b">
        <v>1</v>
      </c>
      <c r="N1216" s="28"/>
      <c r="V1216" s="20"/>
      <c r="W1216" s="20"/>
      <c r="X1216" s="20"/>
      <c r="Y1216" s="20"/>
      <c r="Z1216" s="20"/>
      <c r="AA1216" s="20"/>
      <c r="AB1216" s="20"/>
      <c r="AC1216" s="20"/>
      <c r="AD1216" s="20"/>
    </row>
    <row r="1217" spans="1:30" ht="13.5" customHeight="1" x14ac:dyDescent="0.25">
      <c r="A1217" s="45"/>
      <c r="B1217" s="45"/>
      <c r="C1217" s="45"/>
      <c r="D1217" s="45">
        <v>2061</v>
      </c>
      <c r="E1217" s="45" t="str">
        <f>INDEX([1]道具配置表!$D:$D,MATCH(D1217,[1]道具配置表!$A:$A,0))</f>
        <v>伟大蓝图</v>
      </c>
      <c r="F1217" s="45">
        <v>5</v>
      </c>
      <c r="G1217" s="45"/>
      <c r="H1217" s="45"/>
      <c r="I1217" s="45"/>
      <c r="J1217" s="45"/>
      <c r="K1217" s="119">
        <v>1</v>
      </c>
      <c r="L1217" s="119"/>
      <c r="M1217" s="119" t="b">
        <v>1</v>
      </c>
      <c r="N1217" s="45"/>
      <c r="V1217" s="20"/>
      <c r="W1217" s="20"/>
      <c r="X1217" s="20"/>
      <c r="Y1217" s="20"/>
      <c r="Z1217" s="20"/>
      <c r="AA1217" s="20"/>
      <c r="AB1217" s="20"/>
      <c r="AC1217" s="20"/>
      <c r="AD1217" s="20"/>
    </row>
    <row r="1218" spans="1:30" ht="13.5" customHeight="1" x14ac:dyDescent="0.25">
      <c r="A1218" s="28">
        <f>A1213+1</f>
        <v>6606220</v>
      </c>
      <c r="B1218" s="28" t="s">
        <v>367</v>
      </c>
      <c r="C1218" s="28" t="s">
        <v>119</v>
      </c>
      <c r="D1218" s="28">
        <v>7003</v>
      </c>
      <c r="E1218" s="28" t="str">
        <f>INDEX([1]道具配置表!$D:$D,MATCH(D1218,[1]道具配置表!$A:$A,0))</f>
        <v>1银币（立即使用，不进背包）</v>
      </c>
      <c r="F1218" s="28">
        <f>F1213+100</f>
        <v>2000</v>
      </c>
      <c r="G1218" s="28"/>
      <c r="H1218" s="28"/>
      <c r="I1218" s="28"/>
      <c r="J1218" s="28"/>
      <c r="K1218" s="119">
        <v>1</v>
      </c>
      <c r="L1218" s="119"/>
      <c r="M1218" s="119" t="b">
        <v>1</v>
      </c>
      <c r="N1218" s="28"/>
      <c r="V1218" s="20"/>
      <c r="W1218" s="20"/>
      <c r="X1218" s="20"/>
      <c r="Y1218" s="20"/>
      <c r="Z1218" s="20"/>
      <c r="AA1218" s="20"/>
      <c r="AB1218" s="20"/>
      <c r="AC1218" s="20"/>
      <c r="AD1218" s="20"/>
    </row>
    <row r="1219" spans="1:30" ht="13.5" customHeight="1" x14ac:dyDescent="0.25">
      <c r="A1219" s="28"/>
      <c r="B1219" s="28"/>
      <c r="C1219" s="28" t="s">
        <v>119</v>
      </c>
      <c r="D1219" s="28">
        <v>502</v>
      </c>
      <c r="E1219" s="28" t="str">
        <f>INDEX([1]道具配置表!$D:$D,MATCH(D1219,[1]道具配置表!$A:$A,0))</f>
        <v>1万资源自选宝箱</v>
      </c>
      <c r="F1219" s="28">
        <f>F1214+10</f>
        <v>200</v>
      </c>
      <c r="G1219" s="28"/>
      <c r="H1219" s="28"/>
      <c r="I1219" s="28"/>
      <c r="J1219" s="28"/>
      <c r="K1219" s="119">
        <v>1</v>
      </c>
      <c r="L1219" s="119"/>
      <c r="M1219" s="119" t="b">
        <v>1</v>
      </c>
      <c r="N1219" s="28"/>
      <c r="V1219" s="20"/>
      <c r="W1219" s="20"/>
      <c r="X1219" s="20"/>
      <c r="Y1219" s="20"/>
      <c r="Z1219" s="20"/>
      <c r="AA1219" s="20"/>
      <c r="AB1219" s="20"/>
      <c r="AC1219" s="20"/>
      <c r="AD1219" s="20"/>
    </row>
    <row r="1220" spans="1:30" ht="13.5" customHeight="1" x14ac:dyDescent="0.25">
      <c r="A1220" s="28"/>
      <c r="B1220" s="28"/>
      <c r="C1220" s="28" t="s">
        <v>119</v>
      </c>
      <c r="D1220" s="28">
        <v>6181</v>
      </c>
      <c r="E1220" s="28" t="str">
        <f>INDEX([1]道具配置表!$D:$D,MATCH(D1220,[1]道具配置表!$A:$A,0))</f>
        <v>5分钟治疗加速</v>
      </c>
      <c r="F1220" s="28">
        <f>F1215+1</f>
        <v>20</v>
      </c>
      <c r="G1220" s="28"/>
      <c r="H1220" s="28"/>
      <c r="I1220" s="28"/>
      <c r="J1220" s="28"/>
      <c r="K1220" s="119">
        <v>1</v>
      </c>
      <c r="L1220" s="119"/>
      <c r="M1220" s="119" t="b">
        <v>1</v>
      </c>
      <c r="N1220" s="28"/>
      <c r="V1220" s="20"/>
      <c r="W1220" s="20"/>
      <c r="X1220" s="20"/>
      <c r="Y1220" s="20"/>
      <c r="Z1220" s="20"/>
      <c r="AA1220" s="20"/>
      <c r="AB1220" s="20"/>
      <c r="AC1220" s="20"/>
      <c r="AD1220" s="20"/>
    </row>
    <row r="1221" spans="1:30" ht="13.5" customHeight="1" x14ac:dyDescent="0.25">
      <c r="A1221" s="28"/>
      <c r="B1221" s="28"/>
      <c r="C1221" s="28" t="s">
        <v>119</v>
      </c>
      <c r="D1221" s="28">
        <v>7100</v>
      </c>
      <c r="E1221" s="28" t="str">
        <f>INDEX([1]道具配置表!$D:$D,MATCH(D1221,[1]道具配置表!$A:$A,0))</f>
        <v>联盟币</v>
      </c>
      <c r="F1221" s="28">
        <f>F1216+500</f>
        <v>10000</v>
      </c>
      <c r="G1221" s="28"/>
      <c r="H1221" s="28"/>
      <c r="I1221" s="28"/>
      <c r="J1221" s="28"/>
      <c r="K1221" s="119">
        <v>1</v>
      </c>
      <c r="L1221" s="119"/>
      <c r="M1221" s="119" t="b">
        <v>1</v>
      </c>
      <c r="N1221" s="28"/>
      <c r="V1221" s="20"/>
      <c r="W1221" s="20"/>
      <c r="X1221" s="20"/>
      <c r="Y1221" s="20"/>
      <c r="Z1221" s="20"/>
      <c r="AA1221" s="20"/>
      <c r="AB1221" s="20"/>
      <c r="AC1221" s="20"/>
      <c r="AD1221" s="20"/>
    </row>
    <row r="1222" spans="1:30" ht="13.5" customHeight="1" x14ac:dyDescent="0.25">
      <c r="A1222" s="45"/>
      <c r="B1222" s="45"/>
      <c r="C1222" s="45"/>
      <c r="D1222" s="45">
        <v>2061</v>
      </c>
      <c r="E1222" s="45" t="str">
        <f>INDEX([1]道具配置表!$D:$D,MATCH(D1222,[1]道具配置表!$A:$A,0))</f>
        <v>伟大蓝图</v>
      </c>
      <c r="F1222" s="45">
        <v>5</v>
      </c>
      <c r="G1222" s="45"/>
      <c r="H1222" s="45"/>
      <c r="I1222" s="45"/>
      <c r="J1222" s="45"/>
      <c r="K1222" s="119">
        <v>1</v>
      </c>
      <c r="L1222" s="119"/>
      <c r="M1222" s="119" t="b">
        <v>1</v>
      </c>
      <c r="N1222" s="45"/>
      <c r="V1222" s="20"/>
      <c r="W1222" s="20"/>
      <c r="X1222" s="20"/>
      <c r="Y1222" s="20"/>
      <c r="Z1222" s="20"/>
      <c r="AA1222" s="20"/>
      <c r="AB1222" s="20"/>
      <c r="AC1222" s="20"/>
      <c r="AD1222" s="20"/>
    </row>
    <row r="1223" spans="1:30" ht="13.5" customHeight="1" x14ac:dyDescent="0.25">
      <c r="A1223" s="119">
        <f>A1218+1</f>
        <v>6606221</v>
      </c>
      <c r="B1223" s="119" t="s">
        <v>1704</v>
      </c>
      <c r="C1223" s="119"/>
      <c r="D1223" s="119">
        <v>7003</v>
      </c>
      <c r="E1223" s="119" t="str">
        <f>INDEX([1]道具配置表!$D:$D,MATCH(D1223,[1]道具配置表!$A:$A,0))</f>
        <v>1银币（立即使用，不进背包）</v>
      </c>
      <c r="F1223" s="119">
        <v>2100</v>
      </c>
      <c r="G1223" s="119"/>
      <c r="H1223" s="119"/>
      <c r="I1223" s="119"/>
      <c r="J1223" s="119"/>
      <c r="K1223" s="119">
        <v>1</v>
      </c>
      <c r="L1223" s="119"/>
      <c r="M1223" s="119" t="b">
        <v>1</v>
      </c>
      <c r="N1223" s="119"/>
      <c r="V1223" s="20"/>
      <c r="W1223" s="20"/>
      <c r="X1223" s="20"/>
      <c r="Y1223" s="20"/>
      <c r="Z1223" s="20"/>
      <c r="AA1223" s="20"/>
      <c r="AB1223" s="20"/>
      <c r="AC1223" s="20"/>
      <c r="AD1223" s="20"/>
    </row>
    <row r="1224" spans="1:30" ht="13.5" customHeight="1" x14ac:dyDescent="0.25">
      <c r="A1224" s="119"/>
      <c r="B1224" s="119"/>
      <c r="C1224" s="119"/>
      <c r="D1224" s="119">
        <v>502</v>
      </c>
      <c r="E1224" s="119" t="str">
        <f>INDEX([1]道具配置表!$D:$D,MATCH(D1224,[1]道具配置表!$A:$A,0))</f>
        <v>1万资源自选宝箱</v>
      </c>
      <c r="F1224" s="119">
        <v>210</v>
      </c>
      <c r="G1224" s="119"/>
      <c r="H1224" s="119"/>
      <c r="I1224" s="119"/>
      <c r="J1224" s="119"/>
      <c r="K1224" s="119">
        <v>1</v>
      </c>
      <c r="L1224" s="119"/>
      <c r="M1224" s="119" t="b">
        <v>1</v>
      </c>
      <c r="N1224" s="119"/>
      <c r="V1224" s="20"/>
      <c r="W1224" s="20"/>
      <c r="X1224" s="20"/>
      <c r="Y1224" s="20"/>
      <c r="Z1224" s="20"/>
      <c r="AA1224" s="20"/>
      <c r="AB1224" s="20"/>
      <c r="AC1224" s="20"/>
      <c r="AD1224" s="20"/>
    </row>
    <row r="1225" spans="1:30" ht="13.5" customHeight="1" x14ac:dyDescent="0.25">
      <c r="A1225" s="119"/>
      <c r="B1225" s="119"/>
      <c r="C1225" s="119"/>
      <c r="D1225" s="119">
        <v>6181</v>
      </c>
      <c r="E1225" s="119" t="str">
        <f>INDEX([1]道具配置表!$D:$D,MATCH(D1225,[1]道具配置表!$A:$A,0))</f>
        <v>5分钟治疗加速</v>
      </c>
      <c r="F1225" s="119">
        <v>20</v>
      </c>
      <c r="G1225" s="119"/>
      <c r="H1225" s="119"/>
      <c r="I1225" s="119"/>
      <c r="J1225" s="119"/>
      <c r="K1225" s="119">
        <v>1</v>
      </c>
      <c r="L1225" s="119"/>
      <c r="M1225" s="119" t="b">
        <v>1</v>
      </c>
      <c r="N1225" s="119"/>
      <c r="V1225" s="20"/>
      <c r="W1225" s="20"/>
      <c r="X1225" s="20"/>
      <c r="Y1225" s="20"/>
      <c r="Z1225" s="20"/>
      <c r="AA1225" s="20"/>
      <c r="AB1225" s="20"/>
      <c r="AC1225" s="20"/>
      <c r="AD1225" s="20"/>
    </row>
    <row r="1226" spans="1:30" ht="13.5" customHeight="1" x14ac:dyDescent="0.25">
      <c r="A1226" s="119"/>
      <c r="B1226" s="119"/>
      <c r="C1226" s="119"/>
      <c r="D1226" s="119">
        <v>7100</v>
      </c>
      <c r="E1226" s="119" t="str">
        <f>INDEX([1]道具配置表!$D:$D,MATCH(D1226,[1]道具配置表!$A:$A,0))</f>
        <v>联盟币</v>
      </c>
      <c r="F1226" s="119">
        <v>10500</v>
      </c>
      <c r="G1226" s="119"/>
      <c r="H1226" s="119"/>
      <c r="I1226" s="119"/>
      <c r="J1226" s="119"/>
      <c r="K1226" s="119">
        <v>1</v>
      </c>
      <c r="L1226" s="119"/>
      <c r="M1226" s="119" t="b">
        <v>1</v>
      </c>
      <c r="N1226" s="119"/>
      <c r="V1226" s="20"/>
      <c r="W1226" s="20"/>
      <c r="X1226" s="20"/>
      <c r="Y1226" s="20"/>
      <c r="Z1226" s="20"/>
      <c r="AA1226" s="20"/>
      <c r="AB1226" s="20"/>
      <c r="AC1226" s="20"/>
      <c r="AD1226" s="20"/>
    </row>
    <row r="1227" spans="1:30" ht="13.5" customHeight="1" x14ac:dyDescent="0.25">
      <c r="A1227" s="119"/>
      <c r="B1227" s="119"/>
      <c r="C1227" s="119"/>
      <c r="D1227" s="119">
        <v>2061</v>
      </c>
      <c r="E1227" s="119" t="str">
        <f>INDEX([1]道具配置表!$D:$D,MATCH(D1227,[1]道具配置表!$A:$A,0))</f>
        <v>伟大蓝图</v>
      </c>
      <c r="F1227" s="119">
        <v>5</v>
      </c>
      <c r="G1227" s="119"/>
      <c r="H1227" s="119"/>
      <c r="I1227" s="119"/>
      <c r="J1227" s="119"/>
      <c r="K1227" s="119">
        <v>1</v>
      </c>
      <c r="L1227" s="119"/>
      <c r="M1227" s="119" t="b">
        <v>1</v>
      </c>
      <c r="N1227" s="119"/>
      <c r="V1227" s="20"/>
      <c r="W1227" s="20"/>
      <c r="X1227" s="20"/>
      <c r="Y1227" s="20"/>
      <c r="Z1227" s="20"/>
      <c r="AA1227" s="20"/>
      <c r="AB1227" s="20"/>
      <c r="AC1227" s="20"/>
      <c r="AD1227" s="20"/>
    </row>
    <row r="1228" spans="1:30" ht="13.5" customHeight="1" x14ac:dyDescent="0.25">
      <c r="A1228" s="119">
        <f>A1223+1</f>
        <v>6606222</v>
      </c>
      <c r="B1228" s="119" t="s">
        <v>1705</v>
      </c>
      <c r="C1228" s="119"/>
      <c r="D1228" s="119">
        <v>7003</v>
      </c>
      <c r="E1228" s="119" t="str">
        <f>INDEX([1]道具配置表!$D:$D,MATCH(D1228,[1]道具配置表!$A:$A,0))</f>
        <v>1银币（立即使用，不进背包）</v>
      </c>
      <c r="F1228" s="119">
        <v>2200</v>
      </c>
      <c r="G1228" s="119"/>
      <c r="H1228" s="119"/>
      <c r="I1228" s="119"/>
      <c r="J1228" s="119"/>
      <c r="K1228" s="119">
        <v>1</v>
      </c>
      <c r="L1228" s="119"/>
      <c r="M1228" s="119" t="b">
        <v>1</v>
      </c>
      <c r="N1228" s="119"/>
      <c r="V1228" s="20"/>
      <c r="W1228" s="20"/>
      <c r="X1228" s="20"/>
      <c r="Y1228" s="20"/>
      <c r="Z1228" s="20"/>
      <c r="AA1228" s="20"/>
      <c r="AB1228" s="20"/>
      <c r="AC1228" s="20"/>
      <c r="AD1228" s="20"/>
    </row>
    <row r="1229" spans="1:30" ht="13.5" customHeight="1" x14ac:dyDescent="0.25">
      <c r="A1229" s="119"/>
      <c r="B1229" s="119"/>
      <c r="C1229" s="119"/>
      <c r="D1229" s="119">
        <v>502</v>
      </c>
      <c r="E1229" s="119" t="str">
        <f>INDEX([1]道具配置表!$D:$D,MATCH(D1229,[1]道具配置表!$A:$A,0))</f>
        <v>1万资源自选宝箱</v>
      </c>
      <c r="F1229" s="119">
        <v>220</v>
      </c>
      <c r="G1229" s="119"/>
      <c r="H1229" s="119"/>
      <c r="I1229" s="119"/>
      <c r="J1229" s="119"/>
      <c r="K1229" s="119">
        <v>1</v>
      </c>
      <c r="L1229" s="119"/>
      <c r="M1229" s="119" t="b">
        <v>1</v>
      </c>
      <c r="N1229" s="119"/>
      <c r="V1229" s="20"/>
      <c r="W1229" s="20"/>
      <c r="X1229" s="20"/>
      <c r="Y1229" s="20"/>
      <c r="Z1229" s="20"/>
      <c r="AA1229" s="20"/>
      <c r="AB1229" s="20"/>
      <c r="AC1229" s="20"/>
      <c r="AD1229" s="20"/>
    </row>
    <row r="1230" spans="1:30" ht="13.5" customHeight="1" x14ac:dyDescent="0.25">
      <c r="A1230" s="119"/>
      <c r="B1230" s="119"/>
      <c r="C1230" s="119"/>
      <c r="D1230" s="119">
        <v>6181</v>
      </c>
      <c r="E1230" s="119" t="str">
        <f>INDEX([1]道具配置表!$D:$D,MATCH(D1230,[1]道具配置表!$A:$A,0))</f>
        <v>5分钟治疗加速</v>
      </c>
      <c r="F1230" s="119">
        <v>20</v>
      </c>
      <c r="G1230" s="119"/>
      <c r="H1230" s="119"/>
      <c r="I1230" s="119"/>
      <c r="J1230" s="119"/>
      <c r="K1230" s="119">
        <v>1</v>
      </c>
      <c r="L1230" s="119"/>
      <c r="M1230" s="119" t="b">
        <v>1</v>
      </c>
      <c r="N1230" s="119"/>
      <c r="V1230" s="20"/>
      <c r="W1230" s="20"/>
      <c r="X1230" s="20"/>
      <c r="Y1230" s="20"/>
      <c r="Z1230" s="20"/>
      <c r="AA1230" s="20"/>
      <c r="AB1230" s="20"/>
      <c r="AC1230" s="20"/>
      <c r="AD1230" s="20"/>
    </row>
    <row r="1231" spans="1:30" ht="13.5" customHeight="1" x14ac:dyDescent="0.25">
      <c r="A1231" s="119"/>
      <c r="B1231" s="119"/>
      <c r="C1231" s="119"/>
      <c r="D1231" s="119">
        <v>7100</v>
      </c>
      <c r="E1231" s="119" t="str">
        <f>INDEX([1]道具配置表!$D:$D,MATCH(D1231,[1]道具配置表!$A:$A,0))</f>
        <v>联盟币</v>
      </c>
      <c r="F1231" s="119">
        <v>11000</v>
      </c>
      <c r="G1231" s="119"/>
      <c r="H1231" s="119"/>
      <c r="I1231" s="119"/>
      <c r="J1231" s="119"/>
      <c r="K1231" s="119">
        <v>1</v>
      </c>
      <c r="L1231" s="119"/>
      <c r="M1231" s="119" t="b">
        <v>1</v>
      </c>
      <c r="N1231" s="119"/>
      <c r="V1231" s="20"/>
      <c r="W1231" s="20"/>
      <c r="X1231" s="20"/>
      <c r="Y1231" s="20"/>
      <c r="Z1231" s="20"/>
      <c r="AA1231" s="20"/>
      <c r="AB1231" s="20"/>
      <c r="AC1231" s="20"/>
      <c r="AD1231" s="20"/>
    </row>
    <row r="1232" spans="1:30" ht="13.5" customHeight="1" x14ac:dyDescent="0.25">
      <c r="A1232" s="119"/>
      <c r="B1232" s="119"/>
      <c r="C1232" s="119"/>
      <c r="D1232" s="119">
        <v>2061</v>
      </c>
      <c r="E1232" s="119" t="str">
        <f>INDEX([1]道具配置表!$D:$D,MATCH(D1232,[1]道具配置表!$A:$A,0))</f>
        <v>伟大蓝图</v>
      </c>
      <c r="F1232" s="119">
        <v>5</v>
      </c>
      <c r="G1232" s="119"/>
      <c r="H1232" s="119"/>
      <c r="I1232" s="119"/>
      <c r="J1232" s="119"/>
      <c r="K1232" s="119">
        <v>1</v>
      </c>
      <c r="L1232" s="119"/>
      <c r="M1232" s="119" t="b">
        <v>1</v>
      </c>
      <c r="N1232" s="119"/>
      <c r="V1232" s="20"/>
      <c r="W1232" s="20"/>
      <c r="X1232" s="20"/>
      <c r="Y1232" s="20"/>
      <c r="Z1232" s="20"/>
      <c r="AA1232" s="20"/>
      <c r="AB1232" s="20"/>
      <c r="AC1232" s="20"/>
      <c r="AD1232" s="20"/>
    </row>
    <row r="1233" spans="1:30" ht="13.5" customHeight="1" x14ac:dyDescent="0.25">
      <c r="A1233" s="119">
        <f>A1228+1</f>
        <v>6606223</v>
      </c>
      <c r="B1233" s="119" t="s">
        <v>1706</v>
      </c>
      <c r="C1233" s="119"/>
      <c r="D1233" s="119">
        <v>7003</v>
      </c>
      <c r="E1233" s="119" t="str">
        <f>INDEX([1]道具配置表!$D:$D,MATCH(D1233,[1]道具配置表!$A:$A,0))</f>
        <v>1银币（立即使用，不进背包）</v>
      </c>
      <c r="F1233" s="119">
        <v>2300</v>
      </c>
      <c r="G1233" s="119"/>
      <c r="H1233" s="119"/>
      <c r="I1233" s="119"/>
      <c r="J1233" s="119"/>
      <c r="K1233" s="119">
        <v>1</v>
      </c>
      <c r="L1233" s="119"/>
      <c r="M1233" s="119" t="b">
        <v>1</v>
      </c>
      <c r="N1233" s="119"/>
      <c r="V1233" s="20"/>
      <c r="W1233" s="20"/>
      <c r="X1233" s="20"/>
      <c r="Y1233" s="20"/>
      <c r="Z1233" s="20"/>
      <c r="AA1233" s="20"/>
      <c r="AB1233" s="20"/>
      <c r="AC1233" s="20"/>
      <c r="AD1233" s="20"/>
    </row>
    <row r="1234" spans="1:30" ht="13.5" customHeight="1" x14ac:dyDescent="0.25">
      <c r="A1234" s="119"/>
      <c r="B1234" s="119"/>
      <c r="C1234" s="119"/>
      <c r="D1234" s="119">
        <v>502</v>
      </c>
      <c r="E1234" s="119" t="str">
        <f>INDEX([1]道具配置表!$D:$D,MATCH(D1234,[1]道具配置表!$A:$A,0))</f>
        <v>1万资源自选宝箱</v>
      </c>
      <c r="F1234" s="119">
        <v>230</v>
      </c>
      <c r="G1234" s="119"/>
      <c r="H1234" s="119"/>
      <c r="I1234" s="119"/>
      <c r="J1234" s="119"/>
      <c r="K1234" s="119">
        <v>1</v>
      </c>
      <c r="L1234" s="119"/>
      <c r="M1234" s="119" t="b">
        <v>1</v>
      </c>
      <c r="N1234" s="119"/>
      <c r="V1234" s="20"/>
      <c r="W1234" s="20"/>
      <c r="X1234" s="20"/>
      <c r="Y1234" s="20"/>
      <c r="Z1234" s="20"/>
      <c r="AA1234" s="20"/>
      <c r="AB1234" s="20"/>
      <c r="AC1234" s="20"/>
      <c r="AD1234" s="20"/>
    </row>
    <row r="1235" spans="1:30" ht="13.5" customHeight="1" x14ac:dyDescent="0.25">
      <c r="A1235" s="119"/>
      <c r="B1235" s="119"/>
      <c r="C1235" s="119"/>
      <c r="D1235" s="119">
        <v>6181</v>
      </c>
      <c r="E1235" s="119" t="str">
        <f>INDEX([1]道具配置表!$D:$D,MATCH(D1235,[1]道具配置表!$A:$A,0))</f>
        <v>5分钟治疗加速</v>
      </c>
      <c r="F1235" s="119">
        <v>20</v>
      </c>
      <c r="G1235" s="119"/>
      <c r="H1235" s="119"/>
      <c r="I1235" s="119"/>
      <c r="J1235" s="119"/>
      <c r="K1235" s="119">
        <v>1</v>
      </c>
      <c r="L1235" s="119"/>
      <c r="M1235" s="119" t="b">
        <v>1</v>
      </c>
      <c r="N1235" s="119"/>
      <c r="V1235" s="20"/>
      <c r="W1235" s="20"/>
      <c r="X1235" s="20"/>
      <c r="Y1235" s="20"/>
      <c r="Z1235" s="20"/>
      <c r="AA1235" s="20"/>
      <c r="AB1235" s="20"/>
      <c r="AC1235" s="20"/>
      <c r="AD1235" s="20"/>
    </row>
    <row r="1236" spans="1:30" ht="13.5" customHeight="1" x14ac:dyDescent="0.25">
      <c r="A1236" s="119"/>
      <c r="B1236" s="119"/>
      <c r="C1236" s="119"/>
      <c r="D1236" s="119">
        <v>7100</v>
      </c>
      <c r="E1236" s="119" t="str">
        <f>INDEX([1]道具配置表!$D:$D,MATCH(D1236,[1]道具配置表!$A:$A,0))</f>
        <v>联盟币</v>
      </c>
      <c r="F1236" s="119">
        <v>11500</v>
      </c>
      <c r="G1236" s="119"/>
      <c r="H1236" s="119"/>
      <c r="I1236" s="119"/>
      <c r="J1236" s="119"/>
      <c r="K1236" s="119">
        <v>1</v>
      </c>
      <c r="L1236" s="119"/>
      <c r="M1236" s="119" t="b">
        <v>1</v>
      </c>
      <c r="N1236" s="119"/>
      <c r="V1236" s="20"/>
      <c r="W1236" s="20"/>
      <c r="X1236" s="20"/>
      <c r="Y1236" s="20"/>
      <c r="Z1236" s="20"/>
      <c r="AA1236" s="20"/>
      <c r="AB1236" s="20"/>
      <c r="AC1236" s="20"/>
      <c r="AD1236" s="20"/>
    </row>
    <row r="1237" spans="1:30" ht="13.5" customHeight="1" x14ac:dyDescent="0.25">
      <c r="A1237" s="119"/>
      <c r="B1237" s="119"/>
      <c r="C1237" s="119"/>
      <c r="D1237" s="119">
        <v>2061</v>
      </c>
      <c r="E1237" s="119" t="str">
        <f>INDEX([1]道具配置表!$D:$D,MATCH(D1237,[1]道具配置表!$A:$A,0))</f>
        <v>伟大蓝图</v>
      </c>
      <c r="F1237" s="119">
        <v>5</v>
      </c>
      <c r="G1237" s="119"/>
      <c r="H1237" s="119"/>
      <c r="I1237" s="119"/>
      <c r="J1237" s="119"/>
      <c r="K1237" s="119">
        <v>1</v>
      </c>
      <c r="L1237" s="119"/>
      <c r="M1237" s="119" t="b">
        <v>1</v>
      </c>
      <c r="N1237" s="119"/>
      <c r="V1237" s="20"/>
      <c r="W1237" s="20"/>
      <c r="X1237" s="20"/>
      <c r="Y1237" s="20"/>
      <c r="Z1237" s="20"/>
      <c r="AA1237" s="20"/>
      <c r="AB1237" s="20"/>
      <c r="AC1237" s="20"/>
      <c r="AD1237" s="20"/>
    </row>
    <row r="1238" spans="1:30" ht="13.5" customHeight="1" x14ac:dyDescent="0.25">
      <c r="A1238" s="119">
        <f>A1233+1</f>
        <v>6606224</v>
      </c>
      <c r="B1238" s="119" t="s">
        <v>1707</v>
      </c>
      <c r="C1238" s="119"/>
      <c r="D1238" s="119">
        <v>7003</v>
      </c>
      <c r="E1238" s="119" t="str">
        <f>INDEX([1]道具配置表!$D:$D,MATCH(D1238,[1]道具配置表!$A:$A,0))</f>
        <v>1银币（立即使用，不进背包）</v>
      </c>
      <c r="F1238" s="119">
        <v>2400</v>
      </c>
      <c r="G1238" s="119"/>
      <c r="H1238" s="119"/>
      <c r="I1238" s="119"/>
      <c r="J1238" s="119"/>
      <c r="K1238" s="119">
        <v>1</v>
      </c>
      <c r="L1238" s="119"/>
      <c r="M1238" s="119" t="b">
        <v>1</v>
      </c>
      <c r="N1238" s="119"/>
      <c r="V1238" s="20"/>
      <c r="W1238" s="20"/>
      <c r="X1238" s="20"/>
      <c r="Y1238" s="20"/>
      <c r="Z1238" s="20"/>
      <c r="AA1238" s="20"/>
      <c r="AB1238" s="20"/>
      <c r="AC1238" s="20"/>
      <c r="AD1238" s="20"/>
    </row>
    <row r="1239" spans="1:30" ht="13.5" customHeight="1" x14ac:dyDescent="0.25">
      <c r="A1239" s="119"/>
      <c r="B1239" s="119"/>
      <c r="C1239" s="119"/>
      <c r="D1239" s="119">
        <v>502</v>
      </c>
      <c r="E1239" s="119" t="str">
        <f>INDEX([1]道具配置表!$D:$D,MATCH(D1239,[1]道具配置表!$A:$A,0))</f>
        <v>1万资源自选宝箱</v>
      </c>
      <c r="F1239" s="119">
        <v>240</v>
      </c>
      <c r="G1239" s="119"/>
      <c r="H1239" s="119"/>
      <c r="I1239" s="119"/>
      <c r="J1239" s="119"/>
      <c r="K1239" s="119">
        <v>1</v>
      </c>
      <c r="L1239" s="119"/>
      <c r="M1239" s="119" t="b">
        <v>1</v>
      </c>
      <c r="N1239" s="119"/>
      <c r="V1239" s="20"/>
      <c r="W1239" s="20"/>
      <c r="X1239" s="20"/>
      <c r="Y1239" s="20"/>
      <c r="Z1239" s="20"/>
      <c r="AA1239" s="20"/>
      <c r="AB1239" s="20"/>
      <c r="AC1239" s="20"/>
      <c r="AD1239" s="20"/>
    </row>
    <row r="1240" spans="1:30" ht="13.5" customHeight="1" x14ac:dyDescent="0.25">
      <c r="A1240" s="119"/>
      <c r="B1240" s="119"/>
      <c r="C1240" s="119"/>
      <c r="D1240" s="119">
        <v>6181</v>
      </c>
      <c r="E1240" s="119" t="str">
        <f>INDEX([1]道具配置表!$D:$D,MATCH(D1240,[1]道具配置表!$A:$A,0))</f>
        <v>5分钟治疗加速</v>
      </c>
      <c r="F1240" s="119">
        <v>20</v>
      </c>
      <c r="G1240" s="119"/>
      <c r="H1240" s="119"/>
      <c r="I1240" s="119"/>
      <c r="J1240" s="119"/>
      <c r="K1240" s="119">
        <v>1</v>
      </c>
      <c r="L1240" s="119"/>
      <c r="M1240" s="119" t="b">
        <v>1</v>
      </c>
      <c r="N1240" s="119"/>
      <c r="V1240" s="20"/>
      <c r="W1240" s="20"/>
      <c r="X1240" s="20"/>
      <c r="Y1240" s="20"/>
      <c r="Z1240" s="20"/>
      <c r="AA1240" s="20"/>
      <c r="AB1240" s="20"/>
      <c r="AC1240" s="20"/>
      <c r="AD1240" s="20"/>
    </row>
    <row r="1241" spans="1:30" ht="13.5" customHeight="1" x14ac:dyDescent="0.25">
      <c r="A1241" s="119"/>
      <c r="B1241" s="119"/>
      <c r="C1241" s="119"/>
      <c r="D1241" s="119">
        <v>7100</v>
      </c>
      <c r="E1241" s="119" t="str">
        <f>INDEX([1]道具配置表!$D:$D,MATCH(D1241,[1]道具配置表!$A:$A,0))</f>
        <v>联盟币</v>
      </c>
      <c r="F1241" s="119">
        <v>12000</v>
      </c>
      <c r="G1241" s="119"/>
      <c r="H1241" s="119"/>
      <c r="I1241" s="119"/>
      <c r="J1241" s="119"/>
      <c r="K1241" s="119">
        <v>1</v>
      </c>
      <c r="L1241" s="119"/>
      <c r="M1241" s="119" t="b">
        <v>1</v>
      </c>
      <c r="N1241" s="119"/>
      <c r="V1241" s="20"/>
      <c r="W1241" s="20"/>
      <c r="X1241" s="20"/>
      <c r="Y1241" s="20"/>
      <c r="Z1241" s="20"/>
      <c r="AA1241" s="20"/>
      <c r="AB1241" s="20"/>
      <c r="AC1241" s="20"/>
      <c r="AD1241" s="20"/>
    </row>
    <row r="1242" spans="1:30" ht="13.5" customHeight="1" x14ac:dyDescent="0.25">
      <c r="A1242" s="119"/>
      <c r="B1242" s="119"/>
      <c r="C1242" s="119"/>
      <c r="D1242" s="119">
        <v>2061</v>
      </c>
      <c r="E1242" s="119" t="str">
        <f>INDEX([1]道具配置表!$D:$D,MATCH(D1242,[1]道具配置表!$A:$A,0))</f>
        <v>伟大蓝图</v>
      </c>
      <c r="F1242" s="119">
        <v>5</v>
      </c>
      <c r="G1242" s="119"/>
      <c r="H1242" s="119"/>
      <c r="I1242" s="119"/>
      <c r="J1242" s="119"/>
      <c r="K1242" s="119">
        <v>1</v>
      </c>
      <c r="L1242" s="119"/>
      <c r="M1242" s="119" t="b">
        <v>1</v>
      </c>
      <c r="N1242" s="119"/>
      <c r="V1242" s="20"/>
      <c r="W1242" s="20"/>
      <c r="X1242" s="20"/>
      <c r="Y1242" s="20"/>
      <c r="Z1242" s="20"/>
      <c r="AA1242" s="20"/>
      <c r="AB1242" s="20"/>
      <c r="AC1242" s="20"/>
      <c r="AD1242" s="20"/>
    </row>
    <row r="1243" spans="1:30" ht="13.5" customHeight="1" x14ac:dyDescent="0.25">
      <c r="A1243" s="35">
        <v>6608001</v>
      </c>
      <c r="B1243" s="35" t="s">
        <v>598</v>
      </c>
      <c r="C1243" s="35"/>
      <c r="D1243" s="35">
        <v>221</v>
      </c>
      <c r="E1243" s="35" t="str">
        <f>INDEX([1]道具配置表!$D:$D,MATCH(D1243,[1]道具配置表!$A:$A,0))</f>
        <v>1千木材</v>
      </c>
      <c r="F1243" s="35">
        <v>2</v>
      </c>
      <c r="G1243" s="35">
        <v>1</v>
      </c>
      <c r="H1243" s="35">
        <v>1</v>
      </c>
      <c r="I1243" s="35" t="s">
        <v>599</v>
      </c>
      <c r="J1243" s="35">
        <v>1000</v>
      </c>
      <c r="K1243" s="35"/>
      <c r="L1243" s="35"/>
      <c r="M1243" s="35" t="b">
        <v>1</v>
      </c>
      <c r="N1243" s="35"/>
      <c r="V1243" s="20"/>
      <c r="W1243" s="20"/>
      <c r="X1243" s="20"/>
      <c r="Y1243" s="20"/>
      <c r="Z1243" s="20"/>
      <c r="AA1243" s="20"/>
      <c r="AB1243" s="20"/>
      <c r="AC1243" s="20"/>
      <c r="AD1243" s="20"/>
    </row>
    <row r="1244" spans="1:30" ht="13.5" customHeight="1" x14ac:dyDescent="0.25">
      <c r="A1244" s="35"/>
      <c r="B1244" s="35"/>
      <c r="C1244" s="35"/>
      <c r="D1244" s="35">
        <v>222</v>
      </c>
      <c r="E1244" s="35" t="str">
        <f>INDEX([1]道具配置表!$D:$D,MATCH(D1244,[1]道具配置表!$A:$A,0))</f>
        <v>1千食物</v>
      </c>
      <c r="F1244" s="35">
        <v>2</v>
      </c>
      <c r="G1244" s="35"/>
      <c r="H1244" s="35"/>
      <c r="I1244" s="35"/>
      <c r="J1244" s="35">
        <v>1000</v>
      </c>
      <c r="K1244" s="35"/>
      <c r="L1244" s="35"/>
      <c r="M1244" s="35" t="b">
        <v>1</v>
      </c>
      <c r="N1244" s="35"/>
      <c r="V1244" s="20"/>
      <c r="W1244" s="20"/>
      <c r="X1244" s="20"/>
      <c r="Y1244" s="20"/>
      <c r="Z1244" s="20"/>
      <c r="AA1244" s="20"/>
      <c r="AB1244" s="20"/>
      <c r="AC1244" s="20"/>
      <c r="AD1244" s="20"/>
    </row>
    <row r="1245" spans="1:30" ht="13.5" customHeight="1" x14ac:dyDescent="0.25">
      <c r="A1245" s="35"/>
      <c r="B1245" s="35"/>
      <c r="C1245" s="35"/>
      <c r="D1245" s="35">
        <v>223</v>
      </c>
      <c r="E1245" s="35" t="str">
        <f>INDEX([1]道具配置表!$D:$D,MATCH(D1245,[1]道具配置表!$A:$A,0))</f>
        <v>1千石头</v>
      </c>
      <c r="F1245" s="35">
        <v>2</v>
      </c>
      <c r="G1245" s="35"/>
      <c r="H1245" s="35"/>
      <c r="I1245" s="35"/>
      <c r="J1245" s="35">
        <v>1000</v>
      </c>
      <c r="K1245" s="35"/>
      <c r="L1245" s="35"/>
      <c r="M1245" s="35" t="b">
        <v>1</v>
      </c>
      <c r="N1245" s="35"/>
      <c r="V1245" s="20"/>
      <c r="W1245" s="20"/>
      <c r="X1245" s="20"/>
      <c r="Y1245" s="20"/>
      <c r="Z1245" s="20"/>
      <c r="AA1245" s="20"/>
      <c r="AB1245" s="20"/>
      <c r="AC1245" s="20"/>
      <c r="AD1245" s="20"/>
    </row>
    <row r="1246" spans="1:30" ht="13.5" customHeight="1" x14ac:dyDescent="0.25">
      <c r="A1246" s="35"/>
      <c r="B1246" s="35"/>
      <c r="C1246" s="35"/>
      <c r="D1246" s="35">
        <v>224</v>
      </c>
      <c r="E1246" s="35" t="str">
        <f>INDEX([1]道具配置表!$D:$D,MATCH(D1246,[1]道具配置表!$A:$A,0))</f>
        <v>1千黄金</v>
      </c>
      <c r="F1246" s="35">
        <v>2</v>
      </c>
      <c r="G1246" s="35"/>
      <c r="H1246" s="35"/>
      <c r="I1246" s="35"/>
      <c r="J1246" s="35">
        <v>1000</v>
      </c>
      <c r="K1246" s="35"/>
      <c r="L1246" s="35"/>
      <c r="M1246" s="35" t="b">
        <v>1</v>
      </c>
      <c r="N1246" s="35"/>
      <c r="V1246" s="20"/>
      <c r="W1246" s="20"/>
      <c r="X1246" s="20"/>
      <c r="Y1246" s="20"/>
      <c r="Z1246" s="20"/>
      <c r="AA1246" s="20"/>
      <c r="AB1246" s="20"/>
      <c r="AC1246" s="20"/>
      <c r="AD1246" s="20"/>
    </row>
    <row r="1247" spans="1:30" ht="13.5" customHeight="1" x14ac:dyDescent="0.25">
      <c r="A1247" s="35"/>
      <c r="B1247" s="35"/>
      <c r="C1247" s="35"/>
      <c r="D1247" s="35">
        <v>6180</v>
      </c>
      <c r="E1247" s="35" t="str">
        <f>INDEX([1]道具配置表!$D:$D,MATCH(D1247,[1]道具配置表!$A:$A,0))</f>
        <v>1分钟治疗加速</v>
      </c>
      <c r="F1247" s="35">
        <v>1</v>
      </c>
      <c r="G1247" s="35"/>
      <c r="H1247" s="35"/>
      <c r="I1247" s="35"/>
      <c r="J1247" s="35">
        <v>800</v>
      </c>
      <c r="K1247" s="35"/>
      <c r="L1247" s="35"/>
      <c r="M1247" s="35" t="b">
        <v>1</v>
      </c>
      <c r="N1247" s="35"/>
      <c r="V1247" s="20"/>
      <c r="W1247" s="20"/>
      <c r="X1247" s="20"/>
      <c r="Y1247" s="20"/>
      <c r="Z1247" s="20"/>
      <c r="AA1247" s="20"/>
      <c r="AB1247" s="20"/>
      <c r="AC1247" s="20"/>
      <c r="AD1247" s="20"/>
    </row>
    <row r="1248" spans="1:30" ht="13.5" customHeight="1" x14ac:dyDescent="0.25">
      <c r="A1248" s="35"/>
      <c r="B1248" s="35"/>
      <c r="C1248" s="35"/>
      <c r="D1248" s="35">
        <v>6120</v>
      </c>
      <c r="E1248" s="35" t="str">
        <f>INDEX([1]道具配置表!$D:$D,MATCH(D1248,[1]道具配置表!$A:$A,0))</f>
        <v>1分钟建造加速</v>
      </c>
      <c r="F1248" s="35">
        <v>1</v>
      </c>
      <c r="G1248" s="35"/>
      <c r="H1248" s="35"/>
      <c r="I1248" s="35"/>
      <c r="J1248" s="35">
        <v>800</v>
      </c>
      <c r="K1248" s="35"/>
      <c r="L1248" s="35"/>
      <c r="M1248" s="35" t="b">
        <v>1</v>
      </c>
      <c r="N1248" s="35"/>
      <c r="V1248" s="20"/>
      <c r="W1248" s="20"/>
      <c r="X1248" s="20"/>
      <c r="Y1248" s="20"/>
      <c r="Z1248" s="20"/>
      <c r="AA1248" s="20"/>
      <c r="AB1248" s="20"/>
      <c r="AC1248" s="20"/>
      <c r="AD1248" s="20"/>
    </row>
    <row r="1249" spans="1:30" ht="13.5" customHeight="1" x14ac:dyDescent="0.25">
      <c r="A1249" s="35"/>
      <c r="B1249" s="35"/>
      <c r="C1249" s="35"/>
      <c r="D1249" s="35">
        <v>6140</v>
      </c>
      <c r="E1249" s="35" t="str">
        <f>INDEX([1]道具配置表!$D:$D,MATCH(D1249,[1]道具配置表!$A:$A,0))</f>
        <v>1分钟科技加速</v>
      </c>
      <c r="F1249" s="35">
        <v>1</v>
      </c>
      <c r="G1249" s="35"/>
      <c r="H1249" s="35"/>
      <c r="I1249" s="35"/>
      <c r="J1249" s="35">
        <v>800</v>
      </c>
      <c r="K1249" s="35"/>
      <c r="L1249" s="35"/>
      <c r="M1249" s="35" t="b">
        <v>1</v>
      </c>
      <c r="N1249" s="35"/>
      <c r="V1249" s="20"/>
      <c r="W1249" s="20"/>
      <c r="X1249" s="20"/>
      <c r="Y1249" s="20"/>
      <c r="Z1249" s="20"/>
      <c r="AA1249" s="20"/>
      <c r="AB1249" s="20"/>
      <c r="AC1249" s="20"/>
      <c r="AD1249" s="20"/>
    </row>
    <row r="1250" spans="1:30" ht="13.5" customHeight="1" x14ac:dyDescent="0.25">
      <c r="A1250" s="35"/>
      <c r="B1250" s="35"/>
      <c r="C1250" s="35"/>
      <c r="D1250" s="35">
        <v>6160</v>
      </c>
      <c r="E1250" s="35" t="str">
        <f>INDEX([1]道具配置表!$D:$D,MATCH(D1250,[1]道具配置表!$A:$A,0))</f>
        <v>1分钟训练加速</v>
      </c>
      <c r="F1250" s="35">
        <v>1</v>
      </c>
      <c r="G1250" s="35"/>
      <c r="H1250" s="35"/>
      <c r="I1250" s="35"/>
      <c r="J1250" s="35">
        <v>800</v>
      </c>
      <c r="K1250" s="35"/>
      <c r="L1250" s="35"/>
      <c r="M1250" s="35" t="b">
        <v>1</v>
      </c>
      <c r="N1250" s="35"/>
      <c r="V1250" s="20"/>
      <c r="W1250" s="20"/>
      <c r="X1250" s="20"/>
      <c r="Y1250" s="20"/>
      <c r="Z1250" s="20"/>
      <c r="AA1250" s="20"/>
      <c r="AB1250" s="20"/>
      <c r="AC1250" s="20"/>
      <c r="AD1250" s="20"/>
    </row>
    <row r="1251" spans="1:30" ht="13.5" customHeight="1" x14ac:dyDescent="0.25">
      <c r="A1251" s="35"/>
      <c r="B1251" s="35"/>
      <c r="C1251" s="35"/>
      <c r="D1251" s="35">
        <v>6181</v>
      </c>
      <c r="E1251" s="35" t="str">
        <f>INDEX([1]道具配置表!$D:$D,MATCH(D1251,[1]道具配置表!$A:$A,0))</f>
        <v>5分钟治疗加速</v>
      </c>
      <c r="F1251" s="35">
        <v>1</v>
      </c>
      <c r="G1251" s="35"/>
      <c r="H1251" s="35"/>
      <c r="I1251" s="35"/>
      <c r="J1251" s="35">
        <v>80</v>
      </c>
      <c r="K1251" s="35"/>
      <c r="L1251" s="35"/>
      <c r="M1251" s="35" t="b">
        <v>1</v>
      </c>
      <c r="N1251" s="35"/>
      <c r="V1251" s="20"/>
      <c r="W1251" s="20"/>
      <c r="X1251" s="20"/>
      <c r="Y1251" s="20"/>
      <c r="Z1251" s="20"/>
      <c r="AA1251" s="20"/>
      <c r="AB1251" s="20"/>
      <c r="AC1251" s="20"/>
      <c r="AD1251" s="20"/>
    </row>
    <row r="1252" spans="1:30" ht="13.5" customHeight="1" x14ac:dyDescent="0.25">
      <c r="A1252" s="35"/>
      <c r="B1252" s="35"/>
      <c r="C1252" s="35"/>
      <c r="D1252" s="35">
        <v>6121</v>
      </c>
      <c r="E1252" s="35" t="str">
        <f>INDEX([1]道具配置表!$D:$D,MATCH(D1252,[1]道具配置表!$A:$A,0))</f>
        <v>5分钟建造加速</v>
      </c>
      <c r="F1252" s="35">
        <v>1</v>
      </c>
      <c r="G1252" s="35"/>
      <c r="H1252" s="35"/>
      <c r="I1252" s="35"/>
      <c r="J1252" s="35">
        <v>80</v>
      </c>
      <c r="K1252" s="35"/>
      <c r="L1252" s="35"/>
      <c r="M1252" s="35" t="b">
        <v>1</v>
      </c>
      <c r="N1252" s="35"/>
      <c r="V1252" s="20"/>
      <c r="W1252" s="20"/>
      <c r="X1252" s="20"/>
      <c r="Y1252" s="20"/>
      <c r="Z1252" s="20"/>
      <c r="AA1252" s="20"/>
      <c r="AB1252" s="20"/>
      <c r="AC1252" s="20"/>
      <c r="AD1252" s="20"/>
    </row>
    <row r="1253" spans="1:30" ht="13.5" customHeight="1" x14ac:dyDescent="0.25">
      <c r="A1253" s="35"/>
      <c r="B1253" s="35"/>
      <c r="C1253" s="35"/>
      <c r="D1253" s="35">
        <v>6141</v>
      </c>
      <c r="E1253" s="35" t="str">
        <f>INDEX([1]道具配置表!$D:$D,MATCH(D1253,[1]道具配置表!$A:$A,0))</f>
        <v>5分钟科技加速</v>
      </c>
      <c r="F1253" s="35">
        <v>1</v>
      </c>
      <c r="G1253" s="35"/>
      <c r="H1253" s="35"/>
      <c r="I1253" s="35"/>
      <c r="J1253" s="35">
        <v>80</v>
      </c>
      <c r="K1253" s="35"/>
      <c r="L1253" s="35"/>
      <c r="M1253" s="35" t="b">
        <v>1</v>
      </c>
      <c r="N1253" s="35"/>
      <c r="V1253" s="20"/>
      <c r="W1253" s="20"/>
      <c r="X1253" s="20"/>
      <c r="Y1253" s="20"/>
      <c r="Z1253" s="20"/>
      <c r="AA1253" s="20"/>
      <c r="AB1253" s="20"/>
      <c r="AC1253" s="20"/>
      <c r="AD1253" s="20"/>
    </row>
    <row r="1254" spans="1:30" ht="13.5" customHeight="1" x14ac:dyDescent="0.25">
      <c r="A1254" s="35"/>
      <c r="B1254" s="35"/>
      <c r="C1254" s="35"/>
      <c r="D1254" s="35">
        <v>6161</v>
      </c>
      <c r="E1254" s="35" t="str">
        <f>INDEX([1]道具配置表!$D:$D,MATCH(D1254,[1]道具配置表!$A:$A,0))</f>
        <v>5分钟训练加速</v>
      </c>
      <c r="F1254" s="35">
        <v>1</v>
      </c>
      <c r="G1254" s="35"/>
      <c r="H1254" s="35"/>
      <c r="I1254" s="35"/>
      <c r="J1254" s="35">
        <v>80</v>
      </c>
      <c r="K1254" s="35"/>
      <c r="L1254" s="35"/>
      <c r="M1254" s="35" t="b">
        <v>1</v>
      </c>
      <c r="N1254" s="35"/>
      <c r="V1254" s="20"/>
      <c r="W1254" s="20"/>
      <c r="X1254" s="20"/>
      <c r="Y1254" s="20"/>
      <c r="Z1254" s="20"/>
      <c r="AA1254" s="20"/>
      <c r="AB1254" s="20"/>
      <c r="AC1254" s="20"/>
      <c r="AD1254" s="20"/>
    </row>
    <row r="1255" spans="1:30" ht="13.5" customHeight="1" x14ac:dyDescent="0.25">
      <c r="A1255" s="35">
        <v>6608002</v>
      </c>
      <c r="B1255" s="35" t="s">
        <v>600</v>
      </c>
      <c r="C1255" s="35"/>
      <c r="D1255" s="35">
        <v>221</v>
      </c>
      <c r="E1255" s="35" t="str">
        <f>INDEX([1]道具配置表!$D:$D,MATCH(D1255,[1]道具配置表!$A:$A,0))</f>
        <v>1千木材</v>
      </c>
      <c r="F1255" s="35">
        <v>3</v>
      </c>
      <c r="G1255" s="35">
        <v>1</v>
      </c>
      <c r="H1255" s="35">
        <v>1</v>
      </c>
      <c r="I1255" s="35" t="s">
        <v>599</v>
      </c>
      <c r="J1255" s="35">
        <v>1000</v>
      </c>
      <c r="K1255" s="35"/>
      <c r="L1255" s="35"/>
      <c r="M1255" s="35" t="b">
        <v>1</v>
      </c>
      <c r="N1255" s="35"/>
      <c r="V1255" s="20"/>
      <c r="W1255" s="20"/>
      <c r="X1255" s="20"/>
      <c r="Y1255" s="20"/>
      <c r="Z1255" s="20"/>
      <c r="AA1255" s="20"/>
      <c r="AB1255" s="20"/>
      <c r="AC1255" s="20"/>
      <c r="AD1255" s="20"/>
    </row>
    <row r="1256" spans="1:30" ht="13.5" customHeight="1" x14ac:dyDescent="0.25">
      <c r="A1256" s="35"/>
      <c r="B1256" s="35"/>
      <c r="C1256" s="35"/>
      <c r="D1256" s="35">
        <v>222</v>
      </c>
      <c r="E1256" s="35" t="str">
        <f>INDEX([1]道具配置表!$D:$D,MATCH(D1256,[1]道具配置表!$A:$A,0))</f>
        <v>1千食物</v>
      </c>
      <c r="F1256" s="35">
        <v>3</v>
      </c>
      <c r="G1256" s="35"/>
      <c r="H1256" s="35"/>
      <c r="I1256" s="35"/>
      <c r="J1256" s="35">
        <v>1000</v>
      </c>
      <c r="K1256" s="35"/>
      <c r="L1256" s="35"/>
      <c r="M1256" s="35" t="b">
        <v>1</v>
      </c>
      <c r="N1256" s="35"/>
      <c r="V1256" s="20"/>
      <c r="W1256" s="20"/>
      <c r="X1256" s="20"/>
      <c r="Y1256" s="20"/>
      <c r="Z1256" s="20"/>
      <c r="AA1256" s="20"/>
      <c r="AB1256" s="20"/>
      <c r="AC1256" s="20"/>
      <c r="AD1256" s="20"/>
    </row>
    <row r="1257" spans="1:30" ht="13.5" customHeight="1" x14ac:dyDescent="0.25">
      <c r="A1257" s="35"/>
      <c r="B1257" s="35"/>
      <c r="C1257" s="35"/>
      <c r="D1257" s="35">
        <v>223</v>
      </c>
      <c r="E1257" s="35" t="str">
        <f>INDEX([1]道具配置表!$D:$D,MATCH(D1257,[1]道具配置表!$A:$A,0))</f>
        <v>1千石头</v>
      </c>
      <c r="F1257" s="35">
        <v>3</v>
      </c>
      <c r="G1257" s="35"/>
      <c r="H1257" s="35"/>
      <c r="I1257" s="35"/>
      <c r="J1257" s="35">
        <v>1000</v>
      </c>
      <c r="K1257" s="35"/>
      <c r="L1257" s="35"/>
      <c r="M1257" s="35" t="b">
        <v>1</v>
      </c>
      <c r="N1257" s="35"/>
      <c r="V1257" s="20"/>
      <c r="W1257" s="20"/>
      <c r="X1257" s="20"/>
      <c r="Y1257" s="20"/>
      <c r="Z1257" s="20"/>
      <c r="AA1257" s="20"/>
      <c r="AB1257" s="20"/>
      <c r="AC1257" s="20"/>
      <c r="AD1257" s="20"/>
    </row>
    <row r="1258" spans="1:30" ht="13.5" customHeight="1" x14ac:dyDescent="0.25">
      <c r="A1258" s="35"/>
      <c r="B1258" s="35"/>
      <c r="C1258" s="35"/>
      <c r="D1258" s="35">
        <v>224</v>
      </c>
      <c r="E1258" s="35" t="str">
        <f>INDEX([1]道具配置表!$D:$D,MATCH(D1258,[1]道具配置表!$A:$A,0))</f>
        <v>1千黄金</v>
      </c>
      <c r="F1258" s="35">
        <v>3</v>
      </c>
      <c r="G1258" s="35"/>
      <c r="H1258" s="35"/>
      <c r="I1258" s="35"/>
      <c r="J1258" s="35">
        <v>1000</v>
      </c>
      <c r="K1258" s="35"/>
      <c r="L1258" s="35"/>
      <c r="M1258" s="35" t="b">
        <v>1</v>
      </c>
      <c r="N1258" s="35"/>
      <c r="V1258" s="20"/>
      <c r="W1258" s="20"/>
      <c r="X1258" s="20"/>
      <c r="Y1258" s="20"/>
      <c r="Z1258" s="20"/>
      <c r="AA1258" s="20"/>
      <c r="AB1258" s="20"/>
      <c r="AC1258" s="20"/>
      <c r="AD1258" s="20"/>
    </row>
    <row r="1259" spans="1:30" ht="13.5" customHeight="1" x14ac:dyDescent="0.25">
      <c r="A1259" s="35"/>
      <c r="B1259" s="35"/>
      <c r="C1259" s="35"/>
      <c r="D1259" s="35">
        <v>6180</v>
      </c>
      <c r="E1259" s="35" t="str">
        <f>INDEX([1]道具配置表!$D:$D,MATCH(D1259,[1]道具配置表!$A:$A,0))</f>
        <v>1分钟治疗加速</v>
      </c>
      <c r="F1259" s="35">
        <v>2</v>
      </c>
      <c r="G1259" s="35"/>
      <c r="H1259" s="35"/>
      <c r="I1259" s="35"/>
      <c r="J1259" s="35">
        <v>800</v>
      </c>
      <c r="K1259" s="35"/>
      <c r="L1259" s="35"/>
      <c r="M1259" s="35" t="b">
        <v>1</v>
      </c>
      <c r="N1259" s="35"/>
      <c r="V1259" s="20"/>
      <c r="W1259" s="20"/>
      <c r="X1259" s="20"/>
      <c r="Y1259" s="20"/>
      <c r="Z1259" s="20"/>
      <c r="AA1259" s="20"/>
      <c r="AB1259" s="20"/>
      <c r="AC1259" s="20"/>
      <c r="AD1259" s="20"/>
    </row>
    <row r="1260" spans="1:30" ht="13.5" customHeight="1" x14ac:dyDescent="0.25">
      <c r="A1260" s="35"/>
      <c r="B1260" s="35"/>
      <c r="C1260" s="35"/>
      <c r="D1260" s="35">
        <v>6120</v>
      </c>
      <c r="E1260" s="35" t="str">
        <f>INDEX([1]道具配置表!$D:$D,MATCH(D1260,[1]道具配置表!$A:$A,0))</f>
        <v>1分钟建造加速</v>
      </c>
      <c r="F1260" s="35">
        <v>2</v>
      </c>
      <c r="G1260" s="35"/>
      <c r="H1260" s="35"/>
      <c r="I1260" s="35"/>
      <c r="J1260" s="35">
        <v>800</v>
      </c>
      <c r="K1260" s="35"/>
      <c r="L1260" s="35"/>
      <c r="M1260" s="35" t="b">
        <v>1</v>
      </c>
      <c r="N1260" s="35"/>
      <c r="V1260" s="20"/>
      <c r="W1260" s="20"/>
      <c r="X1260" s="20"/>
      <c r="Y1260" s="20"/>
      <c r="Z1260" s="20"/>
      <c r="AA1260" s="20"/>
      <c r="AB1260" s="20"/>
      <c r="AC1260" s="20"/>
      <c r="AD1260" s="20"/>
    </row>
    <row r="1261" spans="1:30" ht="13.5" customHeight="1" x14ac:dyDescent="0.25">
      <c r="A1261" s="35"/>
      <c r="B1261" s="35"/>
      <c r="C1261" s="35"/>
      <c r="D1261" s="35">
        <v>6140</v>
      </c>
      <c r="E1261" s="35" t="str">
        <f>INDEX([1]道具配置表!$D:$D,MATCH(D1261,[1]道具配置表!$A:$A,0))</f>
        <v>1分钟科技加速</v>
      </c>
      <c r="F1261" s="35">
        <v>2</v>
      </c>
      <c r="G1261" s="35"/>
      <c r="H1261" s="35"/>
      <c r="I1261" s="35"/>
      <c r="J1261" s="35">
        <v>800</v>
      </c>
      <c r="K1261" s="35"/>
      <c r="L1261" s="35"/>
      <c r="M1261" s="35" t="b">
        <v>1</v>
      </c>
      <c r="N1261" s="35"/>
      <c r="V1261" s="20"/>
      <c r="W1261" s="20"/>
      <c r="X1261" s="20"/>
      <c r="Y1261" s="20"/>
      <c r="Z1261" s="20"/>
      <c r="AA1261" s="20"/>
      <c r="AB1261" s="20"/>
      <c r="AC1261" s="20"/>
      <c r="AD1261" s="20"/>
    </row>
    <row r="1262" spans="1:30" ht="13.5" customHeight="1" x14ac:dyDescent="0.25">
      <c r="A1262" s="35"/>
      <c r="B1262" s="35"/>
      <c r="C1262" s="35"/>
      <c r="D1262" s="35">
        <v>6160</v>
      </c>
      <c r="E1262" s="35" t="str">
        <f>INDEX([1]道具配置表!$D:$D,MATCH(D1262,[1]道具配置表!$A:$A,0))</f>
        <v>1分钟训练加速</v>
      </c>
      <c r="F1262" s="35">
        <v>2</v>
      </c>
      <c r="G1262" s="35"/>
      <c r="H1262" s="35"/>
      <c r="I1262" s="35"/>
      <c r="J1262" s="35">
        <v>800</v>
      </c>
      <c r="K1262" s="35"/>
      <c r="L1262" s="35"/>
      <c r="M1262" s="35" t="b">
        <v>1</v>
      </c>
      <c r="N1262" s="35"/>
      <c r="V1262" s="20"/>
      <c r="W1262" s="20"/>
      <c r="X1262" s="20"/>
      <c r="Y1262" s="20"/>
      <c r="Z1262" s="20"/>
      <c r="AA1262" s="20"/>
      <c r="AB1262" s="20"/>
      <c r="AC1262" s="20"/>
      <c r="AD1262" s="20"/>
    </row>
    <row r="1263" spans="1:30" ht="13.5" customHeight="1" x14ac:dyDescent="0.25">
      <c r="A1263" s="35"/>
      <c r="B1263" s="35"/>
      <c r="C1263" s="35"/>
      <c r="D1263" s="35">
        <v>6181</v>
      </c>
      <c r="E1263" s="35" t="str">
        <f>INDEX([1]道具配置表!$D:$D,MATCH(D1263,[1]道具配置表!$A:$A,0))</f>
        <v>5分钟治疗加速</v>
      </c>
      <c r="F1263" s="35">
        <v>1</v>
      </c>
      <c r="G1263" s="35"/>
      <c r="H1263" s="35"/>
      <c r="I1263" s="35"/>
      <c r="J1263" s="35">
        <v>80</v>
      </c>
      <c r="K1263" s="35"/>
      <c r="L1263" s="35"/>
      <c r="M1263" s="35" t="b">
        <v>1</v>
      </c>
      <c r="N1263" s="35"/>
      <c r="V1263" s="20"/>
      <c r="W1263" s="20"/>
      <c r="X1263" s="20"/>
      <c r="Y1263" s="20"/>
      <c r="Z1263" s="20"/>
      <c r="AA1263" s="20"/>
      <c r="AB1263" s="20"/>
      <c r="AC1263" s="20"/>
      <c r="AD1263" s="20"/>
    </row>
    <row r="1264" spans="1:30" ht="13.5" customHeight="1" x14ac:dyDescent="0.25">
      <c r="A1264" s="35"/>
      <c r="B1264" s="35"/>
      <c r="C1264" s="35"/>
      <c r="D1264" s="35">
        <v>6121</v>
      </c>
      <c r="E1264" s="35" t="str">
        <f>INDEX([1]道具配置表!$D:$D,MATCH(D1264,[1]道具配置表!$A:$A,0))</f>
        <v>5分钟建造加速</v>
      </c>
      <c r="F1264" s="35">
        <v>1</v>
      </c>
      <c r="G1264" s="35"/>
      <c r="H1264" s="35"/>
      <c r="I1264" s="35"/>
      <c r="J1264" s="35">
        <v>80</v>
      </c>
      <c r="K1264" s="35"/>
      <c r="L1264" s="35"/>
      <c r="M1264" s="35" t="b">
        <v>1</v>
      </c>
      <c r="N1264" s="35"/>
      <c r="V1264" s="20"/>
      <c r="W1264" s="20"/>
      <c r="X1264" s="20"/>
      <c r="Y1264" s="20"/>
      <c r="Z1264" s="20"/>
      <c r="AA1264" s="20"/>
      <c r="AB1264" s="20"/>
      <c r="AC1264" s="20"/>
      <c r="AD1264" s="20"/>
    </row>
    <row r="1265" spans="1:30" ht="13.5" customHeight="1" x14ac:dyDescent="0.25">
      <c r="A1265" s="35"/>
      <c r="B1265" s="35"/>
      <c r="C1265" s="35"/>
      <c r="D1265" s="35">
        <v>6141</v>
      </c>
      <c r="E1265" s="35" t="str">
        <f>INDEX([1]道具配置表!$D:$D,MATCH(D1265,[1]道具配置表!$A:$A,0))</f>
        <v>5分钟科技加速</v>
      </c>
      <c r="F1265" s="35">
        <v>1</v>
      </c>
      <c r="G1265" s="35"/>
      <c r="H1265" s="35"/>
      <c r="I1265" s="35"/>
      <c r="J1265" s="35">
        <v>80</v>
      </c>
      <c r="K1265" s="35"/>
      <c r="L1265" s="35"/>
      <c r="M1265" s="35" t="b">
        <v>1</v>
      </c>
      <c r="N1265" s="35"/>
      <c r="V1265" s="20"/>
      <c r="W1265" s="20"/>
      <c r="X1265" s="20"/>
      <c r="Y1265" s="20"/>
      <c r="Z1265" s="20"/>
      <c r="AA1265" s="20"/>
      <c r="AB1265" s="20"/>
      <c r="AC1265" s="20"/>
      <c r="AD1265" s="20"/>
    </row>
    <row r="1266" spans="1:30" ht="13.5" customHeight="1" x14ac:dyDescent="0.25">
      <c r="A1266" s="35"/>
      <c r="B1266" s="35"/>
      <c r="C1266" s="35"/>
      <c r="D1266" s="35">
        <v>6161</v>
      </c>
      <c r="E1266" s="35" t="str">
        <f>INDEX([1]道具配置表!$D:$D,MATCH(D1266,[1]道具配置表!$A:$A,0))</f>
        <v>5分钟训练加速</v>
      </c>
      <c r="F1266" s="35">
        <v>1</v>
      </c>
      <c r="G1266" s="35"/>
      <c r="H1266" s="35"/>
      <c r="I1266" s="35"/>
      <c r="J1266" s="35">
        <v>80</v>
      </c>
      <c r="K1266" s="35"/>
      <c r="L1266" s="35"/>
      <c r="M1266" s="35" t="b">
        <v>1</v>
      </c>
      <c r="N1266" s="35"/>
      <c r="V1266" s="20"/>
      <c r="W1266" s="20"/>
      <c r="X1266" s="20"/>
      <c r="Y1266" s="20"/>
      <c r="Z1266" s="20"/>
      <c r="AA1266" s="20"/>
      <c r="AB1266" s="20"/>
      <c r="AC1266" s="20"/>
      <c r="AD1266" s="20"/>
    </row>
    <row r="1267" spans="1:30" ht="13.5" customHeight="1" x14ac:dyDescent="0.25">
      <c r="A1267" s="35">
        <v>6608003</v>
      </c>
      <c r="B1267" s="35" t="s">
        <v>601</v>
      </c>
      <c r="C1267" s="35"/>
      <c r="D1267" s="35">
        <v>221</v>
      </c>
      <c r="E1267" s="35" t="str">
        <f>INDEX([1]道具配置表!$D:$D,MATCH(D1267,[1]道具配置表!$A:$A,0))</f>
        <v>1千木材</v>
      </c>
      <c r="F1267" s="35">
        <v>4</v>
      </c>
      <c r="G1267" s="35">
        <v>1</v>
      </c>
      <c r="H1267" s="35">
        <v>1</v>
      </c>
      <c r="I1267" s="35" t="s">
        <v>599</v>
      </c>
      <c r="J1267" s="35">
        <v>1000</v>
      </c>
      <c r="K1267" s="35"/>
      <c r="L1267" s="35"/>
      <c r="M1267" s="35" t="b">
        <v>1</v>
      </c>
      <c r="N1267" s="35"/>
      <c r="V1267" s="20"/>
      <c r="W1267" s="20"/>
      <c r="X1267" s="20"/>
      <c r="Y1267" s="20"/>
      <c r="Z1267" s="20"/>
      <c r="AA1267" s="20"/>
      <c r="AB1267" s="20"/>
      <c r="AC1267" s="20"/>
      <c r="AD1267" s="20"/>
    </row>
    <row r="1268" spans="1:30" ht="13.5" customHeight="1" x14ac:dyDescent="0.25">
      <c r="A1268" s="35"/>
      <c r="B1268" s="35"/>
      <c r="C1268" s="35"/>
      <c r="D1268" s="35">
        <v>222</v>
      </c>
      <c r="E1268" s="35" t="str">
        <f>INDEX([1]道具配置表!$D:$D,MATCH(D1268,[1]道具配置表!$A:$A,0))</f>
        <v>1千食物</v>
      </c>
      <c r="F1268" s="35">
        <v>4</v>
      </c>
      <c r="G1268" s="35"/>
      <c r="H1268" s="35"/>
      <c r="I1268" s="35"/>
      <c r="J1268" s="35">
        <v>1000</v>
      </c>
      <c r="K1268" s="35"/>
      <c r="L1268" s="35"/>
      <c r="M1268" s="35" t="b">
        <v>1</v>
      </c>
      <c r="N1268" s="35"/>
      <c r="V1268" s="20"/>
      <c r="W1268" s="20"/>
      <c r="X1268" s="20"/>
      <c r="Y1268" s="20"/>
      <c r="Z1268" s="20"/>
      <c r="AA1268" s="20"/>
      <c r="AB1268" s="20"/>
      <c r="AC1268" s="20"/>
      <c r="AD1268" s="20"/>
    </row>
    <row r="1269" spans="1:30" ht="13.5" customHeight="1" x14ac:dyDescent="0.25">
      <c r="A1269" s="35"/>
      <c r="B1269" s="35"/>
      <c r="C1269" s="35"/>
      <c r="D1269" s="35">
        <v>223</v>
      </c>
      <c r="E1269" s="35" t="str">
        <f>INDEX([1]道具配置表!$D:$D,MATCH(D1269,[1]道具配置表!$A:$A,0))</f>
        <v>1千石头</v>
      </c>
      <c r="F1269" s="35">
        <v>4</v>
      </c>
      <c r="G1269" s="35"/>
      <c r="H1269" s="35"/>
      <c r="I1269" s="35"/>
      <c r="J1269" s="35">
        <v>1000</v>
      </c>
      <c r="K1269" s="35"/>
      <c r="L1269" s="35"/>
      <c r="M1269" s="35" t="b">
        <v>1</v>
      </c>
      <c r="N1269" s="35"/>
      <c r="V1269" s="20"/>
      <c r="W1269" s="20"/>
      <c r="X1269" s="20"/>
      <c r="Y1269" s="20"/>
      <c r="Z1269" s="20"/>
      <c r="AA1269" s="20"/>
      <c r="AB1269" s="20"/>
      <c r="AC1269" s="20"/>
      <c r="AD1269" s="20"/>
    </row>
    <row r="1270" spans="1:30" ht="13.5" customHeight="1" x14ac:dyDescent="0.25">
      <c r="A1270" s="35"/>
      <c r="B1270" s="35"/>
      <c r="C1270" s="35"/>
      <c r="D1270" s="35">
        <v>224</v>
      </c>
      <c r="E1270" s="35" t="str">
        <f>INDEX([1]道具配置表!$D:$D,MATCH(D1270,[1]道具配置表!$A:$A,0))</f>
        <v>1千黄金</v>
      </c>
      <c r="F1270" s="35">
        <v>4</v>
      </c>
      <c r="G1270" s="35"/>
      <c r="H1270" s="35"/>
      <c r="I1270" s="35"/>
      <c r="J1270" s="35">
        <v>1000</v>
      </c>
      <c r="K1270" s="35"/>
      <c r="L1270" s="35"/>
      <c r="M1270" s="35" t="b">
        <v>1</v>
      </c>
      <c r="N1270" s="35"/>
      <c r="V1270" s="20"/>
      <c r="W1270" s="20"/>
      <c r="X1270" s="20"/>
      <c r="Y1270" s="20"/>
      <c r="Z1270" s="20"/>
      <c r="AA1270" s="20"/>
      <c r="AB1270" s="20"/>
      <c r="AC1270" s="20"/>
      <c r="AD1270" s="20"/>
    </row>
    <row r="1271" spans="1:30" ht="13.5" customHeight="1" x14ac:dyDescent="0.25">
      <c r="A1271" s="35"/>
      <c r="B1271" s="35"/>
      <c r="C1271" s="35"/>
      <c r="D1271" s="35">
        <v>6180</v>
      </c>
      <c r="E1271" s="35" t="str">
        <f>INDEX([1]道具配置表!$D:$D,MATCH(D1271,[1]道具配置表!$A:$A,0))</f>
        <v>1分钟治疗加速</v>
      </c>
      <c r="F1271" s="35">
        <v>3</v>
      </c>
      <c r="G1271" s="35"/>
      <c r="H1271" s="35"/>
      <c r="I1271" s="35"/>
      <c r="J1271" s="35">
        <v>800</v>
      </c>
      <c r="K1271" s="35"/>
      <c r="L1271" s="35"/>
      <c r="M1271" s="35" t="b">
        <v>1</v>
      </c>
      <c r="N1271" s="35"/>
      <c r="V1271" s="20"/>
      <c r="W1271" s="20"/>
      <c r="X1271" s="20"/>
      <c r="Y1271" s="20"/>
      <c r="Z1271" s="20"/>
      <c r="AA1271" s="20"/>
      <c r="AB1271" s="20"/>
      <c r="AC1271" s="20"/>
      <c r="AD1271" s="20"/>
    </row>
    <row r="1272" spans="1:30" ht="13.5" customHeight="1" x14ac:dyDescent="0.25">
      <c r="A1272" s="35"/>
      <c r="B1272" s="35"/>
      <c r="C1272" s="35"/>
      <c r="D1272" s="35">
        <v>6120</v>
      </c>
      <c r="E1272" s="35" t="str">
        <f>INDEX([1]道具配置表!$D:$D,MATCH(D1272,[1]道具配置表!$A:$A,0))</f>
        <v>1分钟建造加速</v>
      </c>
      <c r="F1272" s="35">
        <v>3</v>
      </c>
      <c r="G1272" s="35"/>
      <c r="H1272" s="35"/>
      <c r="I1272" s="35"/>
      <c r="J1272" s="35">
        <v>800</v>
      </c>
      <c r="K1272" s="35"/>
      <c r="L1272" s="35"/>
      <c r="M1272" s="35" t="b">
        <v>1</v>
      </c>
      <c r="N1272" s="35"/>
      <c r="V1272" s="20"/>
      <c r="W1272" s="20"/>
      <c r="X1272" s="20"/>
      <c r="Y1272" s="20"/>
      <c r="Z1272" s="20"/>
      <c r="AA1272" s="20"/>
      <c r="AB1272" s="20"/>
      <c r="AC1272" s="20"/>
      <c r="AD1272" s="20"/>
    </row>
    <row r="1273" spans="1:30" ht="13.5" customHeight="1" x14ac:dyDescent="0.25">
      <c r="A1273" s="35"/>
      <c r="B1273" s="35"/>
      <c r="C1273" s="35"/>
      <c r="D1273" s="35">
        <v>6140</v>
      </c>
      <c r="E1273" s="35" t="str">
        <f>INDEX([1]道具配置表!$D:$D,MATCH(D1273,[1]道具配置表!$A:$A,0))</f>
        <v>1分钟科技加速</v>
      </c>
      <c r="F1273" s="35">
        <v>3</v>
      </c>
      <c r="G1273" s="35"/>
      <c r="H1273" s="35"/>
      <c r="I1273" s="35"/>
      <c r="J1273" s="35">
        <v>800</v>
      </c>
      <c r="K1273" s="35"/>
      <c r="L1273" s="35"/>
      <c r="M1273" s="35" t="b">
        <v>1</v>
      </c>
      <c r="N1273" s="35"/>
      <c r="V1273" s="20"/>
      <c r="W1273" s="20"/>
      <c r="X1273" s="20"/>
      <c r="Y1273" s="20"/>
      <c r="Z1273" s="20"/>
      <c r="AA1273" s="20"/>
      <c r="AB1273" s="20"/>
      <c r="AC1273" s="20"/>
      <c r="AD1273" s="20"/>
    </row>
    <row r="1274" spans="1:30" ht="13.5" customHeight="1" x14ac:dyDescent="0.25">
      <c r="A1274" s="35"/>
      <c r="B1274" s="35"/>
      <c r="C1274" s="35"/>
      <c r="D1274" s="35">
        <v>6160</v>
      </c>
      <c r="E1274" s="35" t="str">
        <f>INDEX([1]道具配置表!$D:$D,MATCH(D1274,[1]道具配置表!$A:$A,0))</f>
        <v>1分钟训练加速</v>
      </c>
      <c r="F1274" s="35">
        <v>3</v>
      </c>
      <c r="G1274" s="35"/>
      <c r="H1274" s="35"/>
      <c r="I1274" s="35"/>
      <c r="J1274" s="35">
        <v>800</v>
      </c>
      <c r="K1274" s="35"/>
      <c r="L1274" s="35"/>
      <c r="M1274" s="35" t="b">
        <v>1</v>
      </c>
      <c r="N1274" s="35"/>
      <c r="V1274" s="20"/>
      <c r="W1274" s="20"/>
      <c r="X1274" s="20"/>
      <c r="Y1274" s="20"/>
      <c r="Z1274" s="20"/>
      <c r="AA1274" s="20"/>
      <c r="AB1274" s="20"/>
      <c r="AC1274" s="20"/>
      <c r="AD1274" s="20"/>
    </row>
    <row r="1275" spans="1:30" ht="13.5" customHeight="1" x14ac:dyDescent="0.25">
      <c r="A1275" s="35"/>
      <c r="B1275" s="35"/>
      <c r="C1275" s="35"/>
      <c r="D1275" s="35">
        <v>6181</v>
      </c>
      <c r="E1275" s="35" t="str">
        <f>INDEX([1]道具配置表!$D:$D,MATCH(D1275,[1]道具配置表!$A:$A,0))</f>
        <v>5分钟治疗加速</v>
      </c>
      <c r="F1275" s="35">
        <v>1</v>
      </c>
      <c r="G1275" s="35"/>
      <c r="H1275" s="35"/>
      <c r="I1275" s="35"/>
      <c r="J1275" s="35">
        <v>80</v>
      </c>
      <c r="K1275" s="35"/>
      <c r="L1275" s="35"/>
      <c r="M1275" s="35" t="b">
        <v>1</v>
      </c>
      <c r="N1275" s="35"/>
      <c r="V1275" s="20"/>
      <c r="W1275" s="20"/>
      <c r="X1275" s="20"/>
      <c r="Y1275" s="20"/>
      <c r="Z1275" s="20"/>
      <c r="AA1275" s="20"/>
      <c r="AB1275" s="20"/>
      <c r="AC1275" s="20"/>
      <c r="AD1275" s="20"/>
    </row>
    <row r="1276" spans="1:30" ht="13.5" customHeight="1" x14ac:dyDescent="0.25">
      <c r="A1276" s="35"/>
      <c r="B1276" s="35"/>
      <c r="C1276" s="35"/>
      <c r="D1276" s="35">
        <v>6121</v>
      </c>
      <c r="E1276" s="35" t="str">
        <f>INDEX([1]道具配置表!$D:$D,MATCH(D1276,[1]道具配置表!$A:$A,0))</f>
        <v>5分钟建造加速</v>
      </c>
      <c r="F1276" s="35">
        <v>1</v>
      </c>
      <c r="G1276" s="35"/>
      <c r="H1276" s="35"/>
      <c r="I1276" s="35"/>
      <c r="J1276" s="35">
        <v>80</v>
      </c>
      <c r="K1276" s="35"/>
      <c r="L1276" s="35"/>
      <c r="M1276" s="35" t="b">
        <v>1</v>
      </c>
      <c r="N1276" s="35"/>
      <c r="V1276" s="20"/>
      <c r="W1276" s="20"/>
      <c r="X1276" s="20"/>
      <c r="Y1276" s="20"/>
      <c r="Z1276" s="20"/>
      <c r="AA1276" s="20"/>
      <c r="AB1276" s="20"/>
      <c r="AC1276" s="20"/>
      <c r="AD1276" s="20"/>
    </row>
    <row r="1277" spans="1:30" ht="13.5" customHeight="1" x14ac:dyDescent="0.25">
      <c r="A1277" s="35"/>
      <c r="B1277" s="35"/>
      <c r="C1277" s="35"/>
      <c r="D1277" s="35">
        <v>6141</v>
      </c>
      <c r="E1277" s="35" t="str">
        <f>INDEX([1]道具配置表!$D:$D,MATCH(D1277,[1]道具配置表!$A:$A,0))</f>
        <v>5分钟科技加速</v>
      </c>
      <c r="F1277" s="35">
        <v>1</v>
      </c>
      <c r="G1277" s="35"/>
      <c r="H1277" s="35"/>
      <c r="I1277" s="35"/>
      <c r="J1277" s="35">
        <v>80</v>
      </c>
      <c r="K1277" s="35"/>
      <c r="L1277" s="35"/>
      <c r="M1277" s="35" t="b">
        <v>1</v>
      </c>
      <c r="N1277" s="35"/>
      <c r="V1277" s="20"/>
      <c r="W1277" s="20"/>
      <c r="X1277" s="20"/>
      <c r="Y1277" s="20"/>
      <c r="Z1277" s="20"/>
      <c r="AA1277" s="20"/>
      <c r="AB1277" s="20"/>
      <c r="AC1277" s="20"/>
      <c r="AD1277" s="20"/>
    </row>
    <row r="1278" spans="1:30" ht="13.5" customHeight="1" x14ac:dyDescent="0.25">
      <c r="A1278" s="35"/>
      <c r="B1278" s="35"/>
      <c r="C1278" s="35"/>
      <c r="D1278" s="35">
        <v>6161</v>
      </c>
      <c r="E1278" s="35" t="str">
        <f>INDEX([1]道具配置表!$D:$D,MATCH(D1278,[1]道具配置表!$A:$A,0))</f>
        <v>5分钟训练加速</v>
      </c>
      <c r="F1278" s="35">
        <v>1</v>
      </c>
      <c r="G1278" s="35"/>
      <c r="H1278" s="35"/>
      <c r="I1278" s="35"/>
      <c r="J1278" s="35">
        <v>80</v>
      </c>
      <c r="K1278" s="35"/>
      <c r="L1278" s="35"/>
      <c r="M1278" s="35" t="b">
        <v>1</v>
      </c>
      <c r="N1278" s="35"/>
      <c r="V1278" s="20"/>
      <c r="W1278" s="20"/>
      <c r="X1278" s="20"/>
      <c r="Y1278" s="20"/>
      <c r="Z1278" s="20"/>
      <c r="AA1278" s="20"/>
      <c r="AB1278" s="20"/>
      <c r="AC1278" s="20"/>
      <c r="AD1278" s="20"/>
    </row>
    <row r="1279" spans="1:30" ht="13.5" customHeight="1" x14ac:dyDescent="0.25">
      <c r="A1279" s="35">
        <v>6608004</v>
      </c>
      <c r="B1279" s="35" t="s">
        <v>602</v>
      </c>
      <c r="C1279" s="35"/>
      <c r="D1279" s="35">
        <v>221</v>
      </c>
      <c r="E1279" s="35" t="str">
        <f>INDEX([1]道具配置表!$D:$D,MATCH(D1279,[1]道具配置表!$A:$A,0))</f>
        <v>1千木材</v>
      </c>
      <c r="F1279" s="35">
        <v>5</v>
      </c>
      <c r="G1279" s="35">
        <v>1</v>
      </c>
      <c r="H1279" s="35">
        <v>1</v>
      </c>
      <c r="I1279" s="35" t="s">
        <v>599</v>
      </c>
      <c r="J1279" s="35">
        <v>1000</v>
      </c>
      <c r="K1279" s="35"/>
      <c r="L1279" s="35"/>
      <c r="M1279" s="35" t="b">
        <v>1</v>
      </c>
      <c r="N1279" s="35"/>
      <c r="V1279" s="20"/>
      <c r="W1279" s="20"/>
      <c r="X1279" s="20"/>
      <c r="Y1279" s="20"/>
      <c r="Z1279" s="20"/>
      <c r="AA1279" s="20"/>
      <c r="AB1279" s="20"/>
      <c r="AC1279" s="20"/>
      <c r="AD1279" s="20"/>
    </row>
    <row r="1280" spans="1:30" ht="13.5" customHeight="1" x14ac:dyDescent="0.25">
      <c r="A1280" s="35"/>
      <c r="B1280" s="35"/>
      <c r="C1280" s="35"/>
      <c r="D1280" s="35">
        <v>222</v>
      </c>
      <c r="E1280" s="35" t="str">
        <f>INDEX([1]道具配置表!$D:$D,MATCH(D1280,[1]道具配置表!$A:$A,0))</f>
        <v>1千食物</v>
      </c>
      <c r="F1280" s="35">
        <v>5</v>
      </c>
      <c r="G1280" s="35"/>
      <c r="H1280" s="35"/>
      <c r="I1280" s="35"/>
      <c r="J1280" s="35">
        <v>1000</v>
      </c>
      <c r="K1280" s="35"/>
      <c r="L1280" s="35"/>
      <c r="M1280" s="35" t="b">
        <v>1</v>
      </c>
      <c r="N1280" s="35"/>
      <c r="V1280" s="20"/>
      <c r="W1280" s="20"/>
      <c r="X1280" s="20"/>
      <c r="Y1280" s="20"/>
      <c r="Z1280" s="20"/>
      <c r="AA1280" s="20"/>
      <c r="AB1280" s="20"/>
      <c r="AC1280" s="20"/>
      <c r="AD1280" s="20"/>
    </row>
    <row r="1281" spans="1:30" ht="13.5" customHeight="1" x14ac:dyDescent="0.25">
      <c r="A1281" s="35"/>
      <c r="B1281" s="35"/>
      <c r="C1281" s="35"/>
      <c r="D1281" s="35">
        <v>223</v>
      </c>
      <c r="E1281" s="35" t="str">
        <f>INDEX([1]道具配置表!$D:$D,MATCH(D1281,[1]道具配置表!$A:$A,0))</f>
        <v>1千石头</v>
      </c>
      <c r="F1281" s="35">
        <v>5</v>
      </c>
      <c r="G1281" s="35"/>
      <c r="H1281" s="35"/>
      <c r="I1281" s="35"/>
      <c r="J1281" s="35">
        <v>1000</v>
      </c>
      <c r="K1281" s="35"/>
      <c r="L1281" s="35"/>
      <c r="M1281" s="35" t="b">
        <v>1</v>
      </c>
      <c r="N1281" s="35"/>
      <c r="V1281" s="20"/>
      <c r="W1281" s="20"/>
      <c r="X1281" s="20"/>
      <c r="Y1281" s="20"/>
      <c r="Z1281" s="20"/>
      <c r="AA1281" s="20"/>
      <c r="AB1281" s="20"/>
      <c r="AC1281" s="20"/>
      <c r="AD1281" s="20"/>
    </row>
    <row r="1282" spans="1:30" ht="13.5" customHeight="1" x14ac:dyDescent="0.25">
      <c r="A1282" s="35"/>
      <c r="B1282" s="35"/>
      <c r="C1282" s="35"/>
      <c r="D1282" s="35">
        <v>224</v>
      </c>
      <c r="E1282" s="35" t="str">
        <f>INDEX([1]道具配置表!$D:$D,MATCH(D1282,[1]道具配置表!$A:$A,0))</f>
        <v>1千黄金</v>
      </c>
      <c r="F1282" s="35">
        <v>5</v>
      </c>
      <c r="G1282" s="35"/>
      <c r="H1282" s="35"/>
      <c r="I1282" s="35"/>
      <c r="J1282" s="35">
        <v>1000</v>
      </c>
      <c r="K1282" s="35"/>
      <c r="L1282" s="35"/>
      <c r="M1282" s="35" t="b">
        <v>1</v>
      </c>
      <c r="N1282" s="35"/>
      <c r="V1282" s="20"/>
      <c r="W1282" s="20"/>
      <c r="X1282" s="20"/>
      <c r="Y1282" s="20"/>
      <c r="Z1282" s="20"/>
      <c r="AA1282" s="20"/>
      <c r="AB1282" s="20"/>
      <c r="AC1282" s="20"/>
      <c r="AD1282" s="20"/>
    </row>
    <row r="1283" spans="1:30" ht="13.5" customHeight="1" x14ac:dyDescent="0.25">
      <c r="A1283" s="35"/>
      <c r="B1283" s="35"/>
      <c r="C1283" s="35"/>
      <c r="D1283" s="35">
        <v>6180</v>
      </c>
      <c r="E1283" s="35" t="str">
        <f>INDEX([1]道具配置表!$D:$D,MATCH(D1283,[1]道具配置表!$A:$A,0))</f>
        <v>1分钟治疗加速</v>
      </c>
      <c r="F1283" s="35">
        <v>4</v>
      </c>
      <c r="G1283" s="35"/>
      <c r="H1283" s="35"/>
      <c r="I1283" s="35"/>
      <c r="J1283" s="35">
        <v>800</v>
      </c>
      <c r="K1283" s="35"/>
      <c r="L1283" s="35"/>
      <c r="M1283" s="35" t="b">
        <v>1</v>
      </c>
      <c r="N1283" s="35"/>
      <c r="V1283" s="20"/>
      <c r="W1283" s="20"/>
      <c r="X1283" s="20"/>
      <c r="Y1283" s="20"/>
      <c r="Z1283" s="20"/>
      <c r="AA1283" s="20"/>
      <c r="AB1283" s="20"/>
      <c r="AC1283" s="20"/>
      <c r="AD1283" s="20"/>
    </row>
    <row r="1284" spans="1:30" ht="13.5" customHeight="1" x14ac:dyDescent="0.25">
      <c r="A1284" s="35"/>
      <c r="B1284" s="35"/>
      <c r="C1284" s="35"/>
      <c r="D1284" s="35">
        <v>6120</v>
      </c>
      <c r="E1284" s="35" t="str">
        <f>INDEX([1]道具配置表!$D:$D,MATCH(D1284,[1]道具配置表!$A:$A,0))</f>
        <v>1分钟建造加速</v>
      </c>
      <c r="F1284" s="35">
        <v>4</v>
      </c>
      <c r="G1284" s="35"/>
      <c r="H1284" s="35"/>
      <c r="I1284" s="35"/>
      <c r="J1284" s="35">
        <v>800</v>
      </c>
      <c r="K1284" s="35"/>
      <c r="L1284" s="35"/>
      <c r="M1284" s="35" t="b">
        <v>1</v>
      </c>
      <c r="N1284" s="35"/>
      <c r="V1284" s="20"/>
      <c r="W1284" s="20"/>
      <c r="X1284" s="20"/>
      <c r="Y1284" s="20"/>
      <c r="Z1284" s="20"/>
      <c r="AA1284" s="20"/>
      <c r="AB1284" s="20"/>
      <c r="AC1284" s="20"/>
      <c r="AD1284" s="20"/>
    </row>
    <row r="1285" spans="1:30" ht="13.5" customHeight="1" x14ac:dyDescent="0.25">
      <c r="A1285" s="35"/>
      <c r="B1285" s="35"/>
      <c r="C1285" s="35"/>
      <c r="D1285" s="35">
        <v>6140</v>
      </c>
      <c r="E1285" s="35" t="str">
        <f>INDEX([1]道具配置表!$D:$D,MATCH(D1285,[1]道具配置表!$A:$A,0))</f>
        <v>1分钟科技加速</v>
      </c>
      <c r="F1285" s="35">
        <v>4</v>
      </c>
      <c r="G1285" s="35"/>
      <c r="H1285" s="35"/>
      <c r="I1285" s="35"/>
      <c r="J1285" s="35">
        <v>800</v>
      </c>
      <c r="K1285" s="35"/>
      <c r="L1285" s="35"/>
      <c r="M1285" s="35" t="b">
        <v>1</v>
      </c>
      <c r="N1285" s="35"/>
      <c r="V1285" s="20"/>
      <c r="W1285" s="20"/>
      <c r="X1285" s="20"/>
      <c r="Y1285" s="20"/>
      <c r="Z1285" s="20"/>
      <c r="AA1285" s="20"/>
      <c r="AB1285" s="20"/>
      <c r="AC1285" s="20"/>
      <c r="AD1285" s="20"/>
    </row>
    <row r="1286" spans="1:30" ht="13.5" customHeight="1" x14ac:dyDescent="0.25">
      <c r="A1286" s="35"/>
      <c r="B1286" s="35"/>
      <c r="C1286" s="35"/>
      <c r="D1286" s="35">
        <v>6160</v>
      </c>
      <c r="E1286" s="35" t="str">
        <f>INDEX([1]道具配置表!$D:$D,MATCH(D1286,[1]道具配置表!$A:$A,0))</f>
        <v>1分钟训练加速</v>
      </c>
      <c r="F1286" s="35">
        <v>4</v>
      </c>
      <c r="G1286" s="35"/>
      <c r="H1286" s="35"/>
      <c r="I1286" s="35"/>
      <c r="J1286" s="35">
        <v>800</v>
      </c>
      <c r="K1286" s="35"/>
      <c r="L1286" s="35"/>
      <c r="M1286" s="35" t="b">
        <v>1</v>
      </c>
      <c r="N1286" s="35"/>
      <c r="V1286" s="20"/>
      <c r="W1286" s="20"/>
      <c r="X1286" s="20"/>
      <c r="Y1286" s="20"/>
      <c r="Z1286" s="20"/>
      <c r="AA1286" s="20"/>
      <c r="AB1286" s="20"/>
      <c r="AC1286" s="20"/>
      <c r="AD1286" s="20"/>
    </row>
    <row r="1287" spans="1:30" ht="13.5" customHeight="1" x14ac:dyDescent="0.25">
      <c r="A1287" s="35"/>
      <c r="B1287" s="35"/>
      <c r="C1287" s="35"/>
      <c r="D1287" s="35">
        <v>6181</v>
      </c>
      <c r="E1287" s="35" t="str">
        <f>INDEX([1]道具配置表!$D:$D,MATCH(D1287,[1]道具配置表!$A:$A,0))</f>
        <v>5分钟治疗加速</v>
      </c>
      <c r="F1287" s="35">
        <v>1</v>
      </c>
      <c r="G1287" s="35"/>
      <c r="H1287" s="35"/>
      <c r="I1287" s="35"/>
      <c r="J1287" s="35">
        <v>80</v>
      </c>
      <c r="K1287" s="35"/>
      <c r="L1287" s="35"/>
      <c r="M1287" s="35" t="b">
        <v>1</v>
      </c>
      <c r="N1287" s="35"/>
      <c r="V1287" s="20"/>
      <c r="W1287" s="20"/>
      <c r="X1287" s="20"/>
      <c r="Y1287" s="20"/>
      <c r="Z1287" s="20"/>
      <c r="AA1287" s="20"/>
      <c r="AB1287" s="20"/>
      <c r="AC1287" s="20"/>
      <c r="AD1287" s="20"/>
    </row>
    <row r="1288" spans="1:30" ht="13.5" customHeight="1" x14ac:dyDescent="0.25">
      <c r="A1288" s="35"/>
      <c r="B1288" s="35"/>
      <c r="C1288" s="35"/>
      <c r="D1288" s="35">
        <v>6121</v>
      </c>
      <c r="E1288" s="35" t="str">
        <f>INDEX([1]道具配置表!$D:$D,MATCH(D1288,[1]道具配置表!$A:$A,0))</f>
        <v>5分钟建造加速</v>
      </c>
      <c r="F1288" s="35">
        <v>1</v>
      </c>
      <c r="G1288" s="35"/>
      <c r="H1288" s="35"/>
      <c r="I1288" s="35"/>
      <c r="J1288" s="35">
        <v>80</v>
      </c>
      <c r="K1288" s="35"/>
      <c r="L1288" s="35"/>
      <c r="M1288" s="35" t="b">
        <v>1</v>
      </c>
      <c r="N1288" s="35"/>
      <c r="V1288" s="20"/>
      <c r="W1288" s="20"/>
      <c r="X1288" s="20"/>
      <c r="Y1288" s="20"/>
      <c r="Z1288" s="20"/>
      <c r="AA1288" s="20"/>
      <c r="AB1288" s="20"/>
      <c r="AC1288" s="20"/>
      <c r="AD1288" s="20"/>
    </row>
    <row r="1289" spans="1:30" ht="13.5" customHeight="1" x14ac:dyDescent="0.25">
      <c r="A1289" s="35"/>
      <c r="B1289" s="35"/>
      <c r="C1289" s="35"/>
      <c r="D1289" s="35">
        <v>6141</v>
      </c>
      <c r="E1289" s="35" t="str">
        <f>INDEX([1]道具配置表!$D:$D,MATCH(D1289,[1]道具配置表!$A:$A,0))</f>
        <v>5分钟科技加速</v>
      </c>
      <c r="F1289" s="35">
        <v>1</v>
      </c>
      <c r="G1289" s="35"/>
      <c r="H1289" s="35"/>
      <c r="I1289" s="35"/>
      <c r="J1289" s="35">
        <v>80</v>
      </c>
      <c r="K1289" s="35"/>
      <c r="L1289" s="35"/>
      <c r="M1289" s="35" t="b">
        <v>1</v>
      </c>
      <c r="N1289" s="35"/>
      <c r="V1289" s="20"/>
      <c r="W1289" s="20"/>
      <c r="X1289" s="20"/>
      <c r="Y1289" s="20"/>
      <c r="Z1289" s="20"/>
      <c r="AA1289" s="20"/>
      <c r="AB1289" s="20"/>
      <c r="AC1289" s="20"/>
      <c r="AD1289" s="20"/>
    </row>
    <row r="1290" spans="1:30" ht="13.5" customHeight="1" x14ac:dyDescent="0.25">
      <c r="A1290" s="35"/>
      <c r="B1290" s="35"/>
      <c r="C1290" s="35"/>
      <c r="D1290" s="35">
        <v>6161</v>
      </c>
      <c r="E1290" s="35" t="str">
        <f>INDEX([1]道具配置表!$D:$D,MATCH(D1290,[1]道具配置表!$A:$A,0))</f>
        <v>5分钟训练加速</v>
      </c>
      <c r="F1290" s="35">
        <v>1</v>
      </c>
      <c r="G1290" s="35"/>
      <c r="H1290" s="35"/>
      <c r="I1290" s="35"/>
      <c r="J1290" s="35">
        <v>80</v>
      </c>
      <c r="K1290" s="35"/>
      <c r="L1290" s="35"/>
      <c r="M1290" s="35" t="b">
        <v>1</v>
      </c>
      <c r="N1290" s="35"/>
      <c r="V1290" s="20"/>
      <c r="W1290" s="20"/>
      <c r="X1290" s="20"/>
      <c r="Y1290" s="20"/>
      <c r="Z1290" s="20"/>
      <c r="AA1290" s="20"/>
      <c r="AB1290" s="20"/>
      <c r="AC1290" s="20"/>
      <c r="AD1290" s="20"/>
    </row>
    <row r="1291" spans="1:30" ht="13.5" customHeight="1" x14ac:dyDescent="0.25">
      <c r="A1291" s="35">
        <v>6608005</v>
      </c>
      <c r="B1291" s="35" t="s">
        <v>603</v>
      </c>
      <c r="C1291" s="35"/>
      <c r="D1291" s="35">
        <v>221</v>
      </c>
      <c r="E1291" s="35" t="str">
        <f>INDEX([1]道具配置表!$D:$D,MATCH(D1291,[1]道具配置表!$A:$A,0))</f>
        <v>1千木材</v>
      </c>
      <c r="F1291" s="35">
        <v>7</v>
      </c>
      <c r="G1291" s="35">
        <v>1</v>
      </c>
      <c r="H1291" s="35">
        <v>1</v>
      </c>
      <c r="I1291" s="35" t="s">
        <v>599</v>
      </c>
      <c r="J1291" s="35">
        <v>1000</v>
      </c>
      <c r="K1291" s="35"/>
      <c r="L1291" s="35"/>
      <c r="M1291" s="35" t="b">
        <v>1</v>
      </c>
      <c r="N1291" s="35"/>
      <c r="V1291" s="20"/>
      <c r="W1291" s="20"/>
      <c r="X1291" s="20"/>
      <c r="Y1291" s="20"/>
      <c r="Z1291" s="20"/>
      <c r="AA1291" s="20"/>
      <c r="AB1291" s="20"/>
      <c r="AC1291" s="20"/>
      <c r="AD1291" s="20"/>
    </row>
    <row r="1292" spans="1:30" ht="13.5" customHeight="1" x14ac:dyDescent="0.25">
      <c r="A1292" s="35"/>
      <c r="B1292" s="35"/>
      <c r="C1292" s="35"/>
      <c r="D1292" s="35">
        <v>222</v>
      </c>
      <c r="E1292" s="35" t="str">
        <f>INDEX([1]道具配置表!$D:$D,MATCH(D1292,[1]道具配置表!$A:$A,0))</f>
        <v>1千食物</v>
      </c>
      <c r="F1292" s="35">
        <v>7</v>
      </c>
      <c r="G1292" s="35"/>
      <c r="H1292" s="35"/>
      <c r="I1292" s="35"/>
      <c r="J1292" s="35">
        <v>1000</v>
      </c>
      <c r="K1292" s="35"/>
      <c r="L1292" s="35"/>
      <c r="M1292" s="35" t="b">
        <v>1</v>
      </c>
      <c r="N1292" s="35"/>
      <c r="V1292" s="20"/>
      <c r="W1292" s="20"/>
      <c r="X1292" s="20"/>
      <c r="Y1292" s="20"/>
      <c r="Z1292" s="20"/>
      <c r="AA1292" s="20"/>
      <c r="AB1292" s="20"/>
      <c r="AC1292" s="20"/>
      <c r="AD1292" s="20"/>
    </row>
    <row r="1293" spans="1:30" ht="13.5" customHeight="1" x14ac:dyDescent="0.25">
      <c r="A1293" s="35"/>
      <c r="B1293" s="35"/>
      <c r="C1293" s="35"/>
      <c r="D1293" s="35">
        <v>223</v>
      </c>
      <c r="E1293" s="35" t="str">
        <f>INDEX([1]道具配置表!$D:$D,MATCH(D1293,[1]道具配置表!$A:$A,0))</f>
        <v>1千石头</v>
      </c>
      <c r="F1293" s="35">
        <v>7</v>
      </c>
      <c r="G1293" s="35"/>
      <c r="H1293" s="35"/>
      <c r="I1293" s="35"/>
      <c r="J1293" s="35">
        <v>1000</v>
      </c>
      <c r="K1293" s="35"/>
      <c r="L1293" s="35"/>
      <c r="M1293" s="35" t="b">
        <v>1</v>
      </c>
      <c r="N1293" s="35"/>
      <c r="V1293" s="20"/>
      <c r="W1293" s="20"/>
      <c r="X1293" s="20"/>
      <c r="Y1293" s="20"/>
      <c r="Z1293" s="20"/>
      <c r="AA1293" s="20"/>
      <c r="AB1293" s="20"/>
      <c r="AC1293" s="20"/>
      <c r="AD1293" s="20"/>
    </row>
    <row r="1294" spans="1:30" ht="13.5" customHeight="1" x14ac:dyDescent="0.25">
      <c r="A1294" s="35"/>
      <c r="B1294" s="35"/>
      <c r="C1294" s="35"/>
      <c r="D1294" s="35">
        <v>224</v>
      </c>
      <c r="E1294" s="35" t="str">
        <f>INDEX([1]道具配置表!$D:$D,MATCH(D1294,[1]道具配置表!$A:$A,0))</f>
        <v>1千黄金</v>
      </c>
      <c r="F1294" s="35">
        <v>7</v>
      </c>
      <c r="G1294" s="35"/>
      <c r="H1294" s="35"/>
      <c r="I1294" s="35"/>
      <c r="J1294" s="35">
        <v>1000</v>
      </c>
      <c r="K1294" s="35"/>
      <c r="L1294" s="35"/>
      <c r="M1294" s="35" t="b">
        <v>1</v>
      </c>
      <c r="N1294" s="35"/>
      <c r="V1294" s="20"/>
      <c r="W1294" s="20"/>
      <c r="X1294" s="20"/>
      <c r="Y1294" s="20"/>
      <c r="Z1294" s="20"/>
      <c r="AA1294" s="20"/>
      <c r="AB1294" s="20"/>
      <c r="AC1294" s="20"/>
      <c r="AD1294" s="20"/>
    </row>
    <row r="1295" spans="1:30" ht="13.5" customHeight="1" x14ac:dyDescent="0.25">
      <c r="A1295" s="35"/>
      <c r="B1295" s="35"/>
      <c r="C1295" s="35"/>
      <c r="D1295" s="35">
        <v>6180</v>
      </c>
      <c r="E1295" s="35" t="str">
        <f>INDEX([1]道具配置表!$D:$D,MATCH(D1295,[1]道具配置表!$A:$A,0))</f>
        <v>1分钟治疗加速</v>
      </c>
      <c r="F1295" s="35">
        <v>5</v>
      </c>
      <c r="G1295" s="35"/>
      <c r="H1295" s="35"/>
      <c r="I1295" s="35"/>
      <c r="J1295" s="35">
        <v>800</v>
      </c>
      <c r="K1295" s="35"/>
      <c r="L1295" s="35"/>
      <c r="M1295" s="35" t="b">
        <v>1</v>
      </c>
      <c r="N1295" s="35"/>
      <c r="V1295" s="20"/>
      <c r="W1295" s="20"/>
      <c r="X1295" s="20"/>
      <c r="Y1295" s="20"/>
      <c r="Z1295" s="20"/>
      <c r="AA1295" s="20"/>
      <c r="AB1295" s="20"/>
      <c r="AC1295" s="20"/>
      <c r="AD1295" s="20"/>
    </row>
    <row r="1296" spans="1:30" ht="13.5" customHeight="1" x14ac:dyDescent="0.25">
      <c r="A1296" s="35"/>
      <c r="B1296" s="35"/>
      <c r="C1296" s="35"/>
      <c r="D1296" s="35">
        <v>6120</v>
      </c>
      <c r="E1296" s="35" t="str">
        <f>INDEX([1]道具配置表!$D:$D,MATCH(D1296,[1]道具配置表!$A:$A,0))</f>
        <v>1分钟建造加速</v>
      </c>
      <c r="F1296" s="35">
        <v>5</v>
      </c>
      <c r="G1296" s="35"/>
      <c r="H1296" s="35"/>
      <c r="I1296" s="35"/>
      <c r="J1296" s="35">
        <v>800</v>
      </c>
      <c r="K1296" s="35"/>
      <c r="L1296" s="35"/>
      <c r="M1296" s="35" t="b">
        <v>1</v>
      </c>
      <c r="N1296" s="35"/>
      <c r="V1296" s="20"/>
      <c r="W1296" s="20"/>
      <c r="X1296" s="20"/>
      <c r="Y1296" s="20"/>
      <c r="Z1296" s="20"/>
      <c r="AA1296" s="20"/>
      <c r="AB1296" s="20"/>
      <c r="AC1296" s="20"/>
      <c r="AD1296" s="20"/>
    </row>
    <row r="1297" spans="1:30" ht="13.5" customHeight="1" x14ac:dyDescent="0.25">
      <c r="A1297" s="35"/>
      <c r="B1297" s="35"/>
      <c r="C1297" s="35"/>
      <c r="D1297" s="35">
        <v>6140</v>
      </c>
      <c r="E1297" s="35" t="str">
        <f>INDEX([1]道具配置表!$D:$D,MATCH(D1297,[1]道具配置表!$A:$A,0))</f>
        <v>1分钟科技加速</v>
      </c>
      <c r="F1297" s="35">
        <v>5</v>
      </c>
      <c r="G1297" s="35"/>
      <c r="H1297" s="35"/>
      <c r="I1297" s="35"/>
      <c r="J1297" s="35">
        <v>800</v>
      </c>
      <c r="K1297" s="35"/>
      <c r="L1297" s="35"/>
      <c r="M1297" s="35" t="b">
        <v>1</v>
      </c>
      <c r="N1297" s="35"/>
      <c r="V1297" s="20"/>
      <c r="W1297" s="20"/>
      <c r="X1297" s="20"/>
      <c r="Y1297" s="20"/>
      <c r="Z1297" s="20"/>
      <c r="AA1297" s="20"/>
      <c r="AB1297" s="20"/>
      <c r="AC1297" s="20"/>
      <c r="AD1297" s="20"/>
    </row>
    <row r="1298" spans="1:30" ht="13.5" customHeight="1" x14ac:dyDescent="0.25">
      <c r="A1298" s="35"/>
      <c r="B1298" s="35"/>
      <c r="C1298" s="35"/>
      <c r="D1298" s="35">
        <v>6160</v>
      </c>
      <c r="E1298" s="35" t="str">
        <f>INDEX([1]道具配置表!$D:$D,MATCH(D1298,[1]道具配置表!$A:$A,0))</f>
        <v>1分钟训练加速</v>
      </c>
      <c r="F1298" s="35">
        <v>5</v>
      </c>
      <c r="G1298" s="35"/>
      <c r="H1298" s="35"/>
      <c r="I1298" s="35"/>
      <c r="J1298" s="35">
        <v>800</v>
      </c>
      <c r="K1298" s="35"/>
      <c r="L1298" s="35"/>
      <c r="M1298" s="35" t="b">
        <v>1</v>
      </c>
      <c r="N1298" s="35"/>
      <c r="V1298" s="20"/>
      <c r="W1298" s="20"/>
      <c r="X1298" s="20"/>
      <c r="Y1298" s="20"/>
      <c r="Z1298" s="20"/>
      <c r="AA1298" s="20"/>
      <c r="AB1298" s="20"/>
      <c r="AC1298" s="20"/>
      <c r="AD1298" s="20"/>
    </row>
    <row r="1299" spans="1:30" ht="13.5" customHeight="1" x14ac:dyDescent="0.25">
      <c r="A1299" s="35"/>
      <c r="B1299" s="35"/>
      <c r="C1299" s="35"/>
      <c r="D1299" s="35">
        <v>6181</v>
      </c>
      <c r="E1299" s="35" t="str">
        <f>INDEX([1]道具配置表!$D:$D,MATCH(D1299,[1]道具配置表!$A:$A,0))</f>
        <v>5分钟治疗加速</v>
      </c>
      <c r="F1299" s="35">
        <v>1</v>
      </c>
      <c r="G1299" s="35"/>
      <c r="H1299" s="35"/>
      <c r="I1299" s="35"/>
      <c r="J1299" s="35">
        <v>80</v>
      </c>
      <c r="K1299" s="35"/>
      <c r="L1299" s="35"/>
      <c r="M1299" s="35" t="b">
        <v>1</v>
      </c>
      <c r="N1299" s="35"/>
      <c r="V1299" s="20"/>
      <c r="W1299" s="20"/>
      <c r="X1299" s="20"/>
      <c r="Y1299" s="20"/>
      <c r="Z1299" s="20"/>
      <c r="AA1299" s="20"/>
      <c r="AB1299" s="20"/>
      <c r="AC1299" s="20"/>
      <c r="AD1299" s="20"/>
    </row>
    <row r="1300" spans="1:30" ht="13.5" customHeight="1" x14ac:dyDescent="0.25">
      <c r="A1300" s="35"/>
      <c r="B1300" s="35"/>
      <c r="C1300" s="35"/>
      <c r="D1300" s="35">
        <v>6121</v>
      </c>
      <c r="E1300" s="35" t="str">
        <f>INDEX([1]道具配置表!$D:$D,MATCH(D1300,[1]道具配置表!$A:$A,0))</f>
        <v>5分钟建造加速</v>
      </c>
      <c r="F1300" s="35">
        <v>1</v>
      </c>
      <c r="G1300" s="35"/>
      <c r="H1300" s="35"/>
      <c r="I1300" s="35"/>
      <c r="J1300" s="35">
        <v>80</v>
      </c>
      <c r="K1300" s="35"/>
      <c r="L1300" s="35"/>
      <c r="M1300" s="35" t="b">
        <v>1</v>
      </c>
      <c r="N1300" s="35"/>
      <c r="V1300" s="20"/>
      <c r="W1300" s="20"/>
      <c r="X1300" s="20"/>
      <c r="Y1300" s="20"/>
      <c r="Z1300" s="20"/>
      <c r="AA1300" s="20"/>
      <c r="AB1300" s="20"/>
      <c r="AC1300" s="20"/>
      <c r="AD1300" s="20"/>
    </row>
    <row r="1301" spans="1:30" ht="13.5" customHeight="1" x14ac:dyDescent="0.25">
      <c r="A1301" s="35"/>
      <c r="B1301" s="35"/>
      <c r="C1301" s="35"/>
      <c r="D1301" s="35">
        <v>6141</v>
      </c>
      <c r="E1301" s="35" t="str">
        <f>INDEX([1]道具配置表!$D:$D,MATCH(D1301,[1]道具配置表!$A:$A,0))</f>
        <v>5分钟科技加速</v>
      </c>
      <c r="F1301" s="35">
        <v>1</v>
      </c>
      <c r="G1301" s="35"/>
      <c r="H1301" s="35"/>
      <c r="I1301" s="35"/>
      <c r="J1301" s="35">
        <v>80</v>
      </c>
      <c r="K1301" s="35"/>
      <c r="L1301" s="35"/>
      <c r="M1301" s="35" t="b">
        <v>1</v>
      </c>
      <c r="N1301" s="35"/>
      <c r="V1301" s="20"/>
      <c r="W1301" s="20"/>
      <c r="X1301" s="20"/>
      <c r="Y1301" s="20"/>
      <c r="Z1301" s="20"/>
      <c r="AA1301" s="20"/>
      <c r="AB1301" s="20"/>
      <c r="AC1301" s="20"/>
      <c r="AD1301" s="20"/>
    </row>
    <row r="1302" spans="1:30" ht="13.5" customHeight="1" x14ac:dyDescent="0.25">
      <c r="A1302" s="35"/>
      <c r="B1302" s="35"/>
      <c r="C1302" s="35"/>
      <c r="D1302" s="35">
        <v>6161</v>
      </c>
      <c r="E1302" s="35" t="str">
        <f>INDEX([1]道具配置表!$D:$D,MATCH(D1302,[1]道具配置表!$A:$A,0))</f>
        <v>5分钟训练加速</v>
      </c>
      <c r="F1302" s="35">
        <v>1</v>
      </c>
      <c r="G1302" s="35"/>
      <c r="H1302" s="35"/>
      <c r="I1302" s="35"/>
      <c r="J1302" s="35">
        <v>80</v>
      </c>
      <c r="K1302" s="35"/>
      <c r="L1302" s="35"/>
      <c r="M1302" s="35" t="b">
        <v>1</v>
      </c>
      <c r="N1302" s="35"/>
      <c r="V1302" s="20"/>
      <c r="W1302" s="20"/>
      <c r="X1302" s="20"/>
      <c r="Y1302" s="20"/>
      <c r="Z1302" s="20"/>
      <c r="AA1302" s="20"/>
      <c r="AB1302" s="20"/>
      <c r="AC1302" s="20"/>
      <c r="AD1302" s="20"/>
    </row>
    <row r="1303" spans="1:30" ht="13.5" customHeight="1" x14ac:dyDescent="0.25">
      <c r="A1303" s="35">
        <v>6608101</v>
      </c>
      <c r="B1303" s="35" t="s">
        <v>604</v>
      </c>
      <c r="C1303" s="35"/>
      <c r="D1303" s="35">
        <v>7003</v>
      </c>
      <c r="E1303" s="35" t="str">
        <f>INDEX([1]道具配置表!$D:$D,MATCH(D1303,[1]道具配置表!$A:$A,0))</f>
        <v>1银币（立即使用，不进背包）</v>
      </c>
      <c r="F1303" s="35">
        <v>10</v>
      </c>
      <c r="G1303" s="35">
        <v>1</v>
      </c>
      <c r="H1303" s="35">
        <v>1</v>
      </c>
      <c r="I1303" s="35" t="s">
        <v>599</v>
      </c>
      <c r="J1303" s="35">
        <v>1000</v>
      </c>
      <c r="K1303" s="35"/>
      <c r="L1303" s="35"/>
      <c r="M1303" s="35" t="b">
        <v>1</v>
      </c>
      <c r="N1303" s="35"/>
      <c r="V1303" s="20"/>
      <c r="W1303" s="20"/>
      <c r="X1303" s="20"/>
      <c r="Y1303" s="20"/>
      <c r="Z1303" s="20"/>
      <c r="AA1303" s="20"/>
      <c r="AB1303" s="20"/>
      <c r="AC1303" s="20"/>
      <c r="AD1303" s="20"/>
    </row>
    <row r="1304" spans="1:30" ht="13.5" customHeight="1" x14ac:dyDescent="0.25">
      <c r="A1304" s="35"/>
      <c r="B1304" s="35"/>
      <c r="C1304" s="35"/>
      <c r="D1304" s="35">
        <v>6181</v>
      </c>
      <c r="E1304" s="35" t="str">
        <f>INDEX([1]道具配置表!$D:$D,MATCH(D1304,[1]道具配置表!$A:$A,0))</f>
        <v>5分钟治疗加速</v>
      </c>
      <c r="F1304" s="35">
        <v>1</v>
      </c>
      <c r="G1304" s="35"/>
      <c r="H1304" s="35"/>
      <c r="I1304" s="35"/>
      <c r="J1304" s="35">
        <v>500</v>
      </c>
      <c r="K1304" s="35"/>
      <c r="L1304" s="35"/>
      <c r="M1304" s="35" t="b">
        <v>1</v>
      </c>
      <c r="N1304" s="35"/>
      <c r="V1304" s="20"/>
      <c r="W1304" s="20"/>
      <c r="X1304" s="20"/>
      <c r="Y1304" s="20"/>
      <c r="Z1304" s="20"/>
      <c r="AA1304" s="20"/>
      <c r="AB1304" s="20"/>
      <c r="AC1304" s="20"/>
      <c r="AD1304" s="20"/>
    </row>
    <row r="1305" spans="1:30" ht="13.5" customHeight="1" x14ac:dyDescent="0.25">
      <c r="A1305" s="35"/>
      <c r="B1305" s="35"/>
      <c r="C1305" s="35"/>
      <c r="D1305" s="35">
        <v>6121</v>
      </c>
      <c r="E1305" s="35" t="str">
        <f>INDEX([1]道具配置表!$D:$D,MATCH(D1305,[1]道具配置表!$A:$A,0))</f>
        <v>5分钟建造加速</v>
      </c>
      <c r="F1305" s="35">
        <v>1</v>
      </c>
      <c r="G1305" s="35"/>
      <c r="H1305" s="35"/>
      <c r="I1305" s="35"/>
      <c r="J1305" s="35">
        <v>500</v>
      </c>
      <c r="K1305" s="35"/>
      <c r="L1305" s="35"/>
      <c r="M1305" s="35" t="b">
        <v>1</v>
      </c>
      <c r="N1305" s="35"/>
      <c r="V1305" s="20"/>
      <c r="W1305" s="20"/>
      <c r="X1305" s="20"/>
      <c r="Y1305" s="20"/>
      <c r="Z1305" s="20"/>
      <c r="AA1305" s="20"/>
      <c r="AB1305" s="20"/>
      <c r="AC1305" s="20"/>
      <c r="AD1305" s="20"/>
    </row>
    <row r="1306" spans="1:30" ht="13.5" customHeight="1" x14ac:dyDescent="0.25">
      <c r="A1306" s="35"/>
      <c r="B1306" s="35"/>
      <c r="C1306" s="35"/>
      <c r="D1306" s="35">
        <v>6141</v>
      </c>
      <c r="E1306" s="35" t="str">
        <f>INDEX([1]道具配置表!$D:$D,MATCH(D1306,[1]道具配置表!$A:$A,0))</f>
        <v>5分钟科技加速</v>
      </c>
      <c r="F1306" s="35">
        <v>1</v>
      </c>
      <c r="G1306" s="35"/>
      <c r="H1306" s="35"/>
      <c r="I1306" s="35"/>
      <c r="J1306" s="35">
        <v>500</v>
      </c>
      <c r="K1306" s="35"/>
      <c r="L1306" s="35"/>
      <c r="M1306" s="35" t="b">
        <v>1</v>
      </c>
      <c r="N1306" s="35"/>
      <c r="V1306" s="20"/>
      <c r="W1306" s="20"/>
      <c r="X1306" s="20"/>
      <c r="Y1306" s="20"/>
      <c r="Z1306" s="20"/>
      <c r="AA1306" s="20"/>
      <c r="AB1306" s="20"/>
      <c r="AC1306" s="20"/>
      <c r="AD1306" s="20"/>
    </row>
    <row r="1307" spans="1:30" ht="13.5" customHeight="1" x14ac:dyDescent="0.25">
      <c r="A1307" s="35"/>
      <c r="B1307" s="35"/>
      <c r="C1307" s="35"/>
      <c r="D1307" s="35">
        <v>6161</v>
      </c>
      <c r="E1307" s="35" t="str">
        <f>INDEX([1]道具配置表!$D:$D,MATCH(D1307,[1]道具配置表!$A:$A,0))</f>
        <v>5分钟训练加速</v>
      </c>
      <c r="F1307" s="35">
        <v>1</v>
      </c>
      <c r="G1307" s="35"/>
      <c r="H1307" s="35"/>
      <c r="I1307" s="35"/>
      <c r="J1307" s="35">
        <v>500</v>
      </c>
      <c r="K1307" s="35"/>
      <c r="L1307" s="35"/>
      <c r="M1307" s="35" t="b">
        <v>1</v>
      </c>
      <c r="N1307" s="35"/>
      <c r="V1307" s="20"/>
      <c r="W1307" s="20"/>
      <c r="X1307" s="20"/>
      <c r="Y1307" s="20"/>
      <c r="Z1307" s="20"/>
      <c r="AA1307" s="20"/>
      <c r="AB1307" s="20"/>
      <c r="AC1307" s="20"/>
      <c r="AD1307" s="20"/>
    </row>
    <row r="1308" spans="1:30" ht="13.5" customHeight="1" x14ac:dyDescent="0.25">
      <c r="A1308" s="35"/>
      <c r="B1308" s="35"/>
      <c r="C1308" s="35"/>
      <c r="D1308" s="35">
        <v>231</v>
      </c>
      <c r="E1308" s="35" t="str">
        <f>INDEX([1]道具配置表!$D:$D,MATCH(D1308,[1]道具配置表!$A:$A,0))</f>
        <v>1万木材</v>
      </c>
      <c r="F1308" s="35">
        <v>1</v>
      </c>
      <c r="G1308" s="35"/>
      <c r="H1308" s="35"/>
      <c r="I1308" s="35"/>
      <c r="J1308" s="35">
        <v>200</v>
      </c>
      <c r="K1308" s="35"/>
      <c r="L1308" s="35"/>
      <c r="M1308" s="35" t="b">
        <v>1</v>
      </c>
      <c r="N1308" s="35"/>
      <c r="V1308" s="20"/>
      <c r="W1308" s="20"/>
      <c r="X1308" s="20"/>
      <c r="Y1308" s="20"/>
      <c r="Z1308" s="20"/>
      <c r="AA1308" s="20"/>
      <c r="AB1308" s="20"/>
      <c r="AC1308" s="20"/>
      <c r="AD1308" s="20"/>
    </row>
    <row r="1309" spans="1:30" ht="13.5" customHeight="1" x14ac:dyDescent="0.25">
      <c r="A1309" s="35"/>
      <c r="B1309" s="35"/>
      <c r="C1309" s="35"/>
      <c r="D1309" s="35">
        <v>232</v>
      </c>
      <c r="E1309" s="35" t="str">
        <f>INDEX([1]道具配置表!$D:$D,MATCH(D1309,[1]道具配置表!$A:$A,0))</f>
        <v>1万食物</v>
      </c>
      <c r="F1309" s="35">
        <v>1</v>
      </c>
      <c r="G1309" s="35"/>
      <c r="H1309" s="35"/>
      <c r="I1309" s="35"/>
      <c r="J1309" s="35">
        <v>200</v>
      </c>
      <c r="K1309" s="35"/>
      <c r="L1309" s="35"/>
      <c r="M1309" s="35" t="b">
        <v>1</v>
      </c>
      <c r="N1309" s="35"/>
      <c r="V1309" s="20"/>
      <c r="W1309" s="20"/>
      <c r="X1309" s="20"/>
      <c r="Y1309" s="20"/>
      <c r="Z1309" s="20"/>
      <c r="AA1309" s="20"/>
      <c r="AB1309" s="20"/>
      <c r="AC1309" s="20"/>
      <c r="AD1309" s="20"/>
    </row>
    <row r="1310" spans="1:30" ht="13.5" customHeight="1" x14ac:dyDescent="0.25">
      <c r="A1310" s="35"/>
      <c r="B1310" s="35"/>
      <c r="C1310" s="35"/>
      <c r="D1310" s="35">
        <v>233</v>
      </c>
      <c r="E1310" s="35" t="str">
        <f>INDEX([1]道具配置表!$D:$D,MATCH(D1310,[1]道具配置表!$A:$A,0))</f>
        <v>1万石头</v>
      </c>
      <c r="F1310" s="35">
        <v>1</v>
      </c>
      <c r="G1310" s="35"/>
      <c r="H1310" s="35"/>
      <c r="I1310" s="35"/>
      <c r="J1310" s="35">
        <v>200</v>
      </c>
      <c r="K1310" s="35"/>
      <c r="L1310" s="35"/>
      <c r="M1310" s="35" t="b">
        <v>1</v>
      </c>
      <c r="N1310" s="35"/>
      <c r="V1310" s="20"/>
      <c r="W1310" s="20"/>
      <c r="X1310" s="20"/>
      <c r="Y1310" s="20"/>
      <c r="Z1310" s="20"/>
      <c r="AA1310" s="20"/>
      <c r="AB1310" s="20"/>
      <c r="AC1310" s="20"/>
      <c r="AD1310" s="20"/>
    </row>
    <row r="1311" spans="1:30" ht="13.5" customHeight="1" x14ac:dyDescent="0.25">
      <c r="A1311" s="35"/>
      <c r="B1311" s="35"/>
      <c r="C1311" s="35"/>
      <c r="D1311" s="35">
        <v>234</v>
      </c>
      <c r="E1311" s="35" t="str">
        <f>INDEX([1]道具配置表!$D:$D,MATCH(D1311,[1]道具配置表!$A:$A,0))</f>
        <v>1万黄金</v>
      </c>
      <c r="F1311" s="35">
        <v>1</v>
      </c>
      <c r="G1311" s="35"/>
      <c r="H1311" s="35"/>
      <c r="I1311" s="35"/>
      <c r="J1311" s="35">
        <v>200</v>
      </c>
      <c r="K1311" s="35"/>
      <c r="L1311" s="35"/>
      <c r="M1311" s="35" t="b">
        <v>1</v>
      </c>
      <c r="N1311" s="35"/>
      <c r="V1311" s="20"/>
      <c r="W1311" s="20"/>
      <c r="X1311" s="20"/>
      <c r="Y1311" s="20"/>
      <c r="Z1311" s="20"/>
      <c r="AA1311" s="20"/>
      <c r="AB1311" s="20"/>
      <c r="AC1311" s="20"/>
      <c r="AD1311" s="20"/>
    </row>
    <row r="1312" spans="1:30" ht="13.5" customHeight="1" x14ac:dyDescent="0.25">
      <c r="A1312" s="35">
        <v>6608102</v>
      </c>
      <c r="B1312" s="35" t="s">
        <v>605</v>
      </c>
      <c r="C1312" s="35"/>
      <c r="D1312" s="36">
        <v>7003</v>
      </c>
      <c r="E1312" s="35" t="str">
        <f>INDEX([1]道具配置表!$D:$D,MATCH(D1312,[1]道具配置表!$A:$A,0))</f>
        <v>1银币（立即使用，不进背包）</v>
      </c>
      <c r="F1312" s="35">
        <v>20</v>
      </c>
      <c r="G1312" s="35">
        <v>1</v>
      </c>
      <c r="H1312" s="35">
        <v>1</v>
      </c>
      <c r="I1312" s="35" t="s">
        <v>599</v>
      </c>
      <c r="J1312" s="35">
        <v>1000</v>
      </c>
      <c r="K1312" s="35"/>
      <c r="L1312" s="35"/>
      <c r="M1312" s="35" t="b">
        <v>1</v>
      </c>
      <c r="N1312" s="35"/>
      <c r="V1312" s="20"/>
      <c r="W1312" s="20"/>
      <c r="X1312" s="20"/>
      <c r="Y1312" s="20"/>
      <c r="Z1312" s="20"/>
      <c r="AA1312" s="20"/>
      <c r="AB1312" s="20"/>
      <c r="AC1312" s="20"/>
      <c r="AD1312" s="20"/>
    </row>
    <row r="1313" spans="1:30" ht="13.5" customHeight="1" x14ac:dyDescent="0.25">
      <c r="A1313" s="35"/>
      <c r="B1313" s="35"/>
      <c r="C1313" s="35"/>
      <c r="D1313" s="35">
        <v>6181</v>
      </c>
      <c r="E1313" s="35" t="str">
        <f>INDEX([1]道具配置表!$D:$D,MATCH(D1313,[1]道具配置表!$A:$A,0))</f>
        <v>5分钟治疗加速</v>
      </c>
      <c r="F1313" s="35">
        <v>2</v>
      </c>
      <c r="G1313" s="35"/>
      <c r="H1313" s="35"/>
      <c r="I1313" s="35"/>
      <c r="J1313" s="35">
        <v>500</v>
      </c>
      <c r="K1313" s="35"/>
      <c r="L1313" s="35"/>
      <c r="M1313" s="35" t="b">
        <v>1</v>
      </c>
      <c r="N1313" s="35"/>
      <c r="V1313" s="20"/>
      <c r="W1313" s="20"/>
      <c r="X1313" s="20"/>
      <c r="Y1313" s="20"/>
      <c r="Z1313" s="20"/>
      <c r="AA1313" s="20"/>
      <c r="AB1313" s="20"/>
      <c r="AC1313" s="20"/>
      <c r="AD1313" s="20"/>
    </row>
    <row r="1314" spans="1:30" ht="13.5" customHeight="1" x14ac:dyDescent="0.25">
      <c r="A1314" s="35"/>
      <c r="B1314" s="35"/>
      <c r="C1314" s="35"/>
      <c r="D1314" s="35">
        <v>6121</v>
      </c>
      <c r="E1314" s="35" t="str">
        <f>INDEX([1]道具配置表!$D:$D,MATCH(D1314,[1]道具配置表!$A:$A,0))</f>
        <v>5分钟建造加速</v>
      </c>
      <c r="F1314" s="35">
        <v>2</v>
      </c>
      <c r="G1314" s="35"/>
      <c r="H1314" s="35"/>
      <c r="I1314" s="35"/>
      <c r="J1314" s="35">
        <v>500</v>
      </c>
      <c r="K1314" s="35"/>
      <c r="L1314" s="35"/>
      <c r="M1314" s="35" t="b">
        <v>1</v>
      </c>
      <c r="N1314" s="35"/>
      <c r="V1314" s="20"/>
      <c r="W1314" s="20"/>
      <c r="X1314" s="20"/>
      <c r="Y1314" s="20"/>
      <c r="Z1314" s="20"/>
      <c r="AA1314" s="20"/>
      <c r="AB1314" s="20"/>
      <c r="AC1314" s="20"/>
      <c r="AD1314" s="20"/>
    </row>
    <row r="1315" spans="1:30" ht="13.5" customHeight="1" x14ac:dyDescent="0.25">
      <c r="A1315" s="35"/>
      <c r="B1315" s="35"/>
      <c r="C1315" s="35"/>
      <c r="D1315" s="35">
        <v>6141</v>
      </c>
      <c r="E1315" s="35" t="str">
        <f>INDEX([1]道具配置表!$D:$D,MATCH(D1315,[1]道具配置表!$A:$A,0))</f>
        <v>5分钟科技加速</v>
      </c>
      <c r="F1315" s="35">
        <v>2</v>
      </c>
      <c r="G1315" s="35"/>
      <c r="H1315" s="35"/>
      <c r="I1315" s="35"/>
      <c r="J1315" s="35">
        <v>500</v>
      </c>
      <c r="K1315" s="35"/>
      <c r="L1315" s="35"/>
      <c r="M1315" s="35" t="b">
        <v>1</v>
      </c>
      <c r="N1315" s="35"/>
      <c r="V1315" s="20"/>
      <c r="W1315" s="20"/>
      <c r="X1315" s="20"/>
      <c r="Y1315" s="20"/>
      <c r="Z1315" s="20"/>
      <c r="AA1315" s="20"/>
      <c r="AB1315" s="20"/>
      <c r="AC1315" s="20"/>
      <c r="AD1315" s="20"/>
    </row>
    <row r="1316" spans="1:30" ht="13.5" customHeight="1" x14ac:dyDescent="0.25">
      <c r="A1316" s="35"/>
      <c r="B1316" s="35"/>
      <c r="C1316" s="35"/>
      <c r="D1316" s="35">
        <v>6161</v>
      </c>
      <c r="E1316" s="35" t="str">
        <f>INDEX([1]道具配置表!$D:$D,MATCH(D1316,[1]道具配置表!$A:$A,0))</f>
        <v>5分钟训练加速</v>
      </c>
      <c r="F1316" s="35">
        <v>2</v>
      </c>
      <c r="G1316" s="35"/>
      <c r="H1316" s="35"/>
      <c r="I1316" s="35"/>
      <c r="J1316" s="35">
        <v>500</v>
      </c>
      <c r="K1316" s="35"/>
      <c r="L1316" s="35"/>
      <c r="M1316" s="35" t="b">
        <v>1</v>
      </c>
      <c r="N1316" s="35"/>
      <c r="V1316" s="20"/>
      <c r="W1316" s="20"/>
      <c r="X1316" s="20"/>
      <c r="Y1316" s="20"/>
      <c r="Z1316" s="20"/>
      <c r="AA1316" s="20"/>
      <c r="AB1316" s="20"/>
      <c r="AC1316" s="20"/>
      <c r="AD1316" s="20"/>
    </row>
    <row r="1317" spans="1:30" ht="13.5" customHeight="1" x14ac:dyDescent="0.25">
      <c r="A1317" s="35"/>
      <c r="B1317" s="35"/>
      <c r="C1317" s="35"/>
      <c r="D1317" s="35">
        <v>231</v>
      </c>
      <c r="E1317" s="35" t="str">
        <f>INDEX([1]道具配置表!$D:$D,MATCH(D1317,[1]道具配置表!$A:$A,0))</f>
        <v>1万木材</v>
      </c>
      <c r="F1317" s="35">
        <v>2</v>
      </c>
      <c r="G1317" s="35"/>
      <c r="H1317" s="35"/>
      <c r="I1317" s="35"/>
      <c r="J1317" s="35">
        <v>200</v>
      </c>
      <c r="K1317" s="35"/>
      <c r="L1317" s="35"/>
      <c r="M1317" s="35" t="b">
        <v>1</v>
      </c>
      <c r="N1317" s="35"/>
      <c r="V1317" s="20"/>
      <c r="W1317" s="20"/>
      <c r="X1317" s="20"/>
      <c r="Y1317" s="20"/>
      <c r="Z1317" s="20"/>
      <c r="AA1317" s="20"/>
      <c r="AB1317" s="20"/>
      <c r="AC1317" s="20"/>
      <c r="AD1317" s="20"/>
    </row>
    <row r="1318" spans="1:30" ht="13.5" customHeight="1" x14ac:dyDescent="0.25">
      <c r="A1318" s="35"/>
      <c r="B1318" s="35"/>
      <c r="C1318" s="35"/>
      <c r="D1318" s="35">
        <v>232</v>
      </c>
      <c r="E1318" s="35" t="str">
        <f>INDEX([1]道具配置表!$D:$D,MATCH(D1318,[1]道具配置表!$A:$A,0))</f>
        <v>1万食物</v>
      </c>
      <c r="F1318" s="35">
        <v>2</v>
      </c>
      <c r="G1318" s="35"/>
      <c r="H1318" s="35"/>
      <c r="I1318" s="35"/>
      <c r="J1318" s="35">
        <v>200</v>
      </c>
      <c r="K1318" s="35"/>
      <c r="L1318" s="35"/>
      <c r="M1318" s="35" t="b">
        <v>1</v>
      </c>
      <c r="N1318" s="35"/>
      <c r="V1318" s="20"/>
      <c r="W1318" s="20"/>
      <c r="X1318" s="20"/>
      <c r="Y1318" s="20"/>
      <c r="Z1318" s="20"/>
      <c r="AA1318" s="20"/>
      <c r="AB1318" s="20"/>
      <c r="AC1318" s="20"/>
      <c r="AD1318" s="20"/>
    </row>
    <row r="1319" spans="1:30" ht="13.5" customHeight="1" x14ac:dyDescent="0.25">
      <c r="A1319" s="35"/>
      <c r="B1319" s="35"/>
      <c r="C1319" s="35"/>
      <c r="D1319" s="35">
        <v>233</v>
      </c>
      <c r="E1319" s="35" t="str">
        <f>INDEX([1]道具配置表!$D:$D,MATCH(D1319,[1]道具配置表!$A:$A,0))</f>
        <v>1万石头</v>
      </c>
      <c r="F1319" s="35">
        <v>2</v>
      </c>
      <c r="G1319" s="35"/>
      <c r="H1319" s="35"/>
      <c r="I1319" s="35"/>
      <c r="J1319" s="35">
        <v>200</v>
      </c>
      <c r="K1319" s="35"/>
      <c r="L1319" s="35"/>
      <c r="M1319" s="35" t="b">
        <v>1</v>
      </c>
      <c r="N1319" s="35"/>
      <c r="V1319" s="20"/>
      <c r="W1319" s="20"/>
      <c r="X1319" s="20"/>
      <c r="Y1319" s="20"/>
      <c r="Z1319" s="20"/>
      <c r="AA1319" s="20"/>
      <c r="AB1319" s="20"/>
      <c r="AC1319" s="20"/>
      <c r="AD1319" s="20"/>
    </row>
    <row r="1320" spans="1:30" ht="13.5" customHeight="1" x14ac:dyDescent="0.25">
      <c r="A1320" s="35"/>
      <c r="B1320" s="35"/>
      <c r="C1320" s="35"/>
      <c r="D1320" s="35">
        <v>234</v>
      </c>
      <c r="E1320" s="35" t="str">
        <f>INDEX([1]道具配置表!$D:$D,MATCH(D1320,[1]道具配置表!$A:$A,0))</f>
        <v>1万黄金</v>
      </c>
      <c r="F1320" s="35">
        <v>2</v>
      </c>
      <c r="G1320" s="35"/>
      <c r="H1320" s="35"/>
      <c r="I1320" s="35"/>
      <c r="J1320" s="35">
        <v>200</v>
      </c>
      <c r="K1320" s="35"/>
      <c r="L1320" s="35"/>
      <c r="M1320" s="35" t="b">
        <v>1</v>
      </c>
      <c r="N1320" s="35"/>
      <c r="V1320" s="20"/>
      <c r="W1320" s="20"/>
      <c r="X1320" s="20"/>
      <c r="Y1320" s="20"/>
      <c r="Z1320" s="20"/>
      <c r="AA1320" s="20"/>
      <c r="AB1320" s="20"/>
      <c r="AC1320" s="20"/>
      <c r="AD1320" s="20"/>
    </row>
    <row r="1321" spans="1:30" ht="13.5" customHeight="1" x14ac:dyDescent="0.25">
      <c r="A1321" s="35">
        <v>6608103</v>
      </c>
      <c r="B1321" s="35" t="s">
        <v>606</v>
      </c>
      <c r="C1321" s="35"/>
      <c r="D1321" s="36">
        <v>7003</v>
      </c>
      <c r="E1321" s="35" t="str">
        <f>INDEX([1]道具配置表!$D:$D,MATCH(D1321,[1]道具配置表!$A:$A,0))</f>
        <v>1银币（立即使用，不进背包）</v>
      </c>
      <c r="F1321" s="35">
        <v>30</v>
      </c>
      <c r="G1321" s="35">
        <v>1</v>
      </c>
      <c r="H1321" s="35">
        <v>1</v>
      </c>
      <c r="I1321" s="35" t="s">
        <v>599</v>
      </c>
      <c r="J1321" s="35">
        <v>1000</v>
      </c>
      <c r="K1321" s="35"/>
      <c r="L1321" s="35"/>
      <c r="M1321" s="35" t="b">
        <v>1</v>
      </c>
      <c r="N1321" s="35"/>
      <c r="V1321" s="20"/>
      <c r="W1321" s="20"/>
      <c r="X1321" s="20"/>
      <c r="Y1321" s="20"/>
      <c r="Z1321" s="20"/>
      <c r="AA1321" s="20"/>
      <c r="AB1321" s="20"/>
      <c r="AC1321" s="20"/>
      <c r="AD1321" s="20"/>
    </row>
    <row r="1322" spans="1:30" ht="13.5" customHeight="1" x14ac:dyDescent="0.25">
      <c r="A1322" s="35"/>
      <c r="B1322" s="35"/>
      <c r="C1322" s="35"/>
      <c r="D1322" s="35">
        <v>6181</v>
      </c>
      <c r="E1322" s="35" t="str">
        <f>INDEX([1]道具配置表!$D:$D,MATCH(D1322,[1]道具配置表!$A:$A,0))</f>
        <v>5分钟治疗加速</v>
      </c>
      <c r="F1322" s="35">
        <v>4</v>
      </c>
      <c r="G1322" s="35"/>
      <c r="H1322" s="35"/>
      <c r="I1322" s="35"/>
      <c r="J1322" s="35">
        <v>500</v>
      </c>
      <c r="K1322" s="35"/>
      <c r="L1322" s="35"/>
      <c r="M1322" s="35" t="b">
        <v>1</v>
      </c>
      <c r="N1322" s="35"/>
      <c r="V1322" s="20"/>
      <c r="W1322" s="20"/>
      <c r="X1322" s="20"/>
      <c r="Y1322" s="20"/>
      <c r="Z1322" s="20"/>
      <c r="AA1322" s="20"/>
      <c r="AB1322" s="20"/>
      <c r="AC1322" s="20"/>
      <c r="AD1322" s="20"/>
    </row>
    <row r="1323" spans="1:30" ht="13.5" customHeight="1" x14ac:dyDescent="0.25">
      <c r="A1323" s="35"/>
      <c r="B1323" s="35"/>
      <c r="C1323" s="35"/>
      <c r="D1323" s="35">
        <v>6121</v>
      </c>
      <c r="E1323" s="35" t="str">
        <f>INDEX([1]道具配置表!$D:$D,MATCH(D1323,[1]道具配置表!$A:$A,0))</f>
        <v>5分钟建造加速</v>
      </c>
      <c r="F1323" s="35">
        <v>4</v>
      </c>
      <c r="G1323" s="35"/>
      <c r="H1323" s="35"/>
      <c r="I1323" s="35"/>
      <c r="J1323" s="35">
        <v>500</v>
      </c>
      <c r="K1323" s="35"/>
      <c r="L1323" s="35"/>
      <c r="M1323" s="35" t="b">
        <v>1</v>
      </c>
      <c r="N1323" s="35"/>
      <c r="V1323" s="20"/>
      <c r="W1323" s="20"/>
      <c r="X1323" s="20"/>
      <c r="Y1323" s="20"/>
      <c r="Z1323" s="20"/>
      <c r="AA1323" s="20"/>
      <c r="AB1323" s="20"/>
      <c r="AC1323" s="20"/>
      <c r="AD1323" s="20"/>
    </row>
    <row r="1324" spans="1:30" ht="13.5" customHeight="1" x14ac:dyDescent="0.25">
      <c r="A1324" s="35"/>
      <c r="B1324" s="35"/>
      <c r="C1324" s="35"/>
      <c r="D1324" s="35">
        <v>6141</v>
      </c>
      <c r="E1324" s="35" t="str">
        <f>INDEX([1]道具配置表!$D:$D,MATCH(D1324,[1]道具配置表!$A:$A,0))</f>
        <v>5分钟科技加速</v>
      </c>
      <c r="F1324" s="35">
        <v>4</v>
      </c>
      <c r="G1324" s="35"/>
      <c r="H1324" s="35"/>
      <c r="I1324" s="35"/>
      <c r="J1324" s="35">
        <v>500</v>
      </c>
      <c r="K1324" s="35"/>
      <c r="L1324" s="35"/>
      <c r="M1324" s="35" t="b">
        <v>1</v>
      </c>
      <c r="N1324" s="35"/>
      <c r="V1324" s="20"/>
      <c r="W1324" s="20"/>
      <c r="X1324" s="20"/>
      <c r="Y1324" s="20"/>
      <c r="Z1324" s="20"/>
      <c r="AA1324" s="20"/>
      <c r="AB1324" s="20"/>
      <c r="AC1324" s="20"/>
      <c r="AD1324" s="20"/>
    </row>
    <row r="1325" spans="1:30" ht="13.5" customHeight="1" x14ac:dyDescent="0.25">
      <c r="A1325" s="35"/>
      <c r="B1325" s="35"/>
      <c r="C1325" s="35"/>
      <c r="D1325" s="35">
        <v>6161</v>
      </c>
      <c r="E1325" s="35" t="str">
        <f>INDEX([1]道具配置表!$D:$D,MATCH(D1325,[1]道具配置表!$A:$A,0))</f>
        <v>5分钟训练加速</v>
      </c>
      <c r="F1325" s="35">
        <v>4</v>
      </c>
      <c r="G1325" s="35"/>
      <c r="H1325" s="35"/>
      <c r="I1325" s="35"/>
      <c r="J1325" s="35">
        <v>500</v>
      </c>
      <c r="K1325" s="35"/>
      <c r="L1325" s="35"/>
      <c r="M1325" s="35" t="b">
        <v>1</v>
      </c>
      <c r="N1325" s="35"/>
      <c r="V1325" s="20"/>
      <c r="W1325" s="20"/>
      <c r="X1325" s="20"/>
      <c r="Y1325" s="20"/>
      <c r="Z1325" s="20"/>
      <c r="AA1325" s="20"/>
      <c r="AB1325" s="20"/>
      <c r="AC1325" s="20"/>
      <c r="AD1325" s="20"/>
    </row>
    <row r="1326" spans="1:30" ht="13.5" customHeight="1" x14ac:dyDescent="0.25">
      <c r="A1326" s="35"/>
      <c r="B1326" s="35"/>
      <c r="C1326" s="35"/>
      <c r="D1326" s="35">
        <v>231</v>
      </c>
      <c r="E1326" s="35" t="str">
        <f>INDEX([1]道具配置表!$D:$D,MATCH(D1326,[1]道具配置表!$A:$A,0))</f>
        <v>1万木材</v>
      </c>
      <c r="F1326" s="35">
        <v>4</v>
      </c>
      <c r="G1326" s="35"/>
      <c r="H1326" s="35"/>
      <c r="I1326" s="35"/>
      <c r="J1326" s="35">
        <v>200</v>
      </c>
      <c r="K1326" s="35"/>
      <c r="L1326" s="35"/>
      <c r="M1326" s="35" t="b">
        <v>1</v>
      </c>
      <c r="N1326" s="35"/>
      <c r="V1326" s="20"/>
      <c r="W1326" s="20"/>
      <c r="X1326" s="20"/>
      <c r="Y1326" s="20"/>
      <c r="Z1326" s="20"/>
      <c r="AA1326" s="20"/>
      <c r="AB1326" s="20"/>
      <c r="AC1326" s="20"/>
      <c r="AD1326" s="20"/>
    </row>
    <row r="1327" spans="1:30" ht="13.5" customHeight="1" x14ac:dyDescent="0.25">
      <c r="A1327" s="35"/>
      <c r="B1327" s="35"/>
      <c r="C1327" s="35"/>
      <c r="D1327" s="35">
        <v>232</v>
      </c>
      <c r="E1327" s="35" t="str">
        <f>INDEX([1]道具配置表!$D:$D,MATCH(D1327,[1]道具配置表!$A:$A,0))</f>
        <v>1万食物</v>
      </c>
      <c r="F1327" s="35">
        <v>4</v>
      </c>
      <c r="G1327" s="35"/>
      <c r="H1327" s="35"/>
      <c r="I1327" s="35"/>
      <c r="J1327" s="35">
        <v>200</v>
      </c>
      <c r="K1327" s="35"/>
      <c r="L1327" s="35"/>
      <c r="M1327" s="35" t="b">
        <v>1</v>
      </c>
      <c r="N1327" s="35"/>
      <c r="V1327" s="20"/>
      <c r="W1327" s="20"/>
      <c r="X1327" s="20"/>
      <c r="Y1327" s="20"/>
      <c r="Z1327" s="20"/>
      <c r="AA1327" s="20"/>
      <c r="AB1327" s="20"/>
      <c r="AC1327" s="20"/>
      <c r="AD1327" s="20"/>
    </row>
    <row r="1328" spans="1:30" ht="13.5" customHeight="1" x14ac:dyDescent="0.25">
      <c r="A1328" s="35"/>
      <c r="B1328" s="35"/>
      <c r="C1328" s="35"/>
      <c r="D1328" s="35">
        <v>233</v>
      </c>
      <c r="E1328" s="35" t="str">
        <f>INDEX([1]道具配置表!$D:$D,MATCH(D1328,[1]道具配置表!$A:$A,0))</f>
        <v>1万石头</v>
      </c>
      <c r="F1328" s="35">
        <v>4</v>
      </c>
      <c r="G1328" s="35"/>
      <c r="H1328" s="35"/>
      <c r="I1328" s="35"/>
      <c r="J1328" s="35">
        <v>200</v>
      </c>
      <c r="K1328" s="35"/>
      <c r="L1328" s="35"/>
      <c r="M1328" s="35" t="b">
        <v>1</v>
      </c>
      <c r="N1328" s="35"/>
      <c r="V1328" s="20"/>
      <c r="W1328" s="20"/>
      <c r="X1328" s="20"/>
      <c r="Y1328" s="20"/>
      <c r="Z1328" s="20"/>
      <c r="AA1328" s="20"/>
      <c r="AB1328" s="20"/>
      <c r="AC1328" s="20"/>
      <c r="AD1328" s="20"/>
    </row>
    <row r="1329" spans="1:30" ht="13.5" customHeight="1" x14ac:dyDescent="0.25">
      <c r="A1329" s="35"/>
      <c r="B1329" s="35"/>
      <c r="C1329" s="35"/>
      <c r="D1329" s="35">
        <v>234</v>
      </c>
      <c r="E1329" s="35" t="str">
        <f>INDEX([1]道具配置表!$D:$D,MATCH(D1329,[1]道具配置表!$A:$A,0))</f>
        <v>1万黄金</v>
      </c>
      <c r="F1329" s="35">
        <v>4</v>
      </c>
      <c r="G1329" s="35"/>
      <c r="H1329" s="35"/>
      <c r="I1329" s="35"/>
      <c r="J1329" s="35">
        <v>200</v>
      </c>
      <c r="K1329" s="35"/>
      <c r="L1329" s="35"/>
      <c r="M1329" s="35" t="b">
        <v>1</v>
      </c>
      <c r="N1329" s="35"/>
      <c r="V1329" s="20"/>
      <c r="W1329" s="20"/>
      <c r="X1329" s="20"/>
      <c r="Y1329" s="20"/>
      <c r="Z1329" s="20"/>
      <c r="AA1329" s="20"/>
      <c r="AB1329" s="20"/>
      <c r="AC1329" s="20"/>
      <c r="AD1329" s="20"/>
    </row>
    <row r="1330" spans="1:30" ht="13.5" customHeight="1" x14ac:dyDescent="0.25">
      <c r="A1330" s="35">
        <v>6608104</v>
      </c>
      <c r="B1330" s="35" t="s">
        <v>607</v>
      </c>
      <c r="C1330" s="35"/>
      <c r="D1330" s="36">
        <v>7003</v>
      </c>
      <c r="E1330" s="35" t="str">
        <f>INDEX([1]道具配置表!$D:$D,MATCH(D1330,[1]道具配置表!$A:$A,0))</f>
        <v>1银币（立即使用，不进背包）</v>
      </c>
      <c r="F1330" s="35">
        <v>100</v>
      </c>
      <c r="G1330" s="35">
        <v>1</v>
      </c>
      <c r="H1330" s="35">
        <v>1</v>
      </c>
      <c r="I1330" s="35" t="s">
        <v>599</v>
      </c>
      <c r="J1330" s="35">
        <v>1000</v>
      </c>
      <c r="K1330" s="35"/>
      <c r="L1330" s="35"/>
      <c r="M1330" s="35" t="b">
        <v>1</v>
      </c>
      <c r="N1330" s="35"/>
      <c r="V1330" s="20"/>
      <c r="W1330" s="20"/>
      <c r="X1330" s="20"/>
      <c r="Y1330" s="20"/>
      <c r="Z1330" s="20"/>
      <c r="AA1330" s="20"/>
      <c r="AB1330" s="20"/>
      <c r="AC1330" s="20"/>
      <c r="AD1330" s="20"/>
    </row>
    <row r="1331" spans="1:30" ht="13.5" customHeight="1" x14ac:dyDescent="0.25">
      <c r="A1331" s="35"/>
      <c r="B1331" s="35"/>
      <c r="C1331" s="35"/>
      <c r="D1331" s="35">
        <v>6181</v>
      </c>
      <c r="E1331" s="35" t="str">
        <f>INDEX([1]道具配置表!$D:$D,MATCH(D1331,[1]道具配置表!$A:$A,0))</f>
        <v>5分钟治疗加速</v>
      </c>
      <c r="F1331" s="35">
        <v>6</v>
      </c>
      <c r="G1331" s="35"/>
      <c r="H1331" s="35"/>
      <c r="I1331" s="35"/>
      <c r="J1331" s="35">
        <v>500</v>
      </c>
      <c r="K1331" s="35"/>
      <c r="L1331" s="35"/>
      <c r="M1331" s="35" t="b">
        <v>1</v>
      </c>
      <c r="N1331" s="35"/>
      <c r="V1331" s="20"/>
      <c r="W1331" s="20"/>
      <c r="X1331" s="20"/>
      <c r="Y1331" s="20"/>
      <c r="Z1331" s="20"/>
      <c r="AA1331" s="20"/>
      <c r="AB1331" s="20"/>
      <c r="AC1331" s="20"/>
      <c r="AD1331" s="20"/>
    </row>
    <row r="1332" spans="1:30" ht="13.5" customHeight="1" x14ac:dyDescent="0.25">
      <c r="A1332" s="35"/>
      <c r="B1332" s="35"/>
      <c r="C1332" s="35"/>
      <c r="D1332" s="35">
        <v>6121</v>
      </c>
      <c r="E1332" s="35" t="str">
        <f>INDEX([1]道具配置表!$D:$D,MATCH(D1332,[1]道具配置表!$A:$A,0))</f>
        <v>5分钟建造加速</v>
      </c>
      <c r="F1332" s="35">
        <v>6</v>
      </c>
      <c r="G1332" s="35"/>
      <c r="H1332" s="35"/>
      <c r="I1332" s="35"/>
      <c r="J1332" s="35">
        <v>500</v>
      </c>
      <c r="K1332" s="35"/>
      <c r="L1332" s="35"/>
      <c r="M1332" s="35" t="b">
        <v>1</v>
      </c>
      <c r="N1332" s="35"/>
      <c r="V1332" s="20"/>
      <c r="W1332" s="20"/>
      <c r="X1332" s="20"/>
      <c r="Y1332" s="20"/>
      <c r="Z1332" s="20"/>
      <c r="AA1332" s="20"/>
      <c r="AB1332" s="20"/>
      <c r="AC1332" s="20"/>
      <c r="AD1332" s="20"/>
    </row>
    <row r="1333" spans="1:30" ht="13.5" customHeight="1" x14ac:dyDescent="0.25">
      <c r="A1333" s="35"/>
      <c r="B1333" s="35"/>
      <c r="C1333" s="35"/>
      <c r="D1333" s="35">
        <v>6141</v>
      </c>
      <c r="E1333" s="35" t="str">
        <f>INDEX([1]道具配置表!$D:$D,MATCH(D1333,[1]道具配置表!$A:$A,0))</f>
        <v>5分钟科技加速</v>
      </c>
      <c r="F1333" s="35">
        <v>6</v>
      </c>
      <c r="G1333" s="35"/>
      <c r="H1333" s="35"/>
      <c r="I1333" s="35"/>
      <c r="J1333" s="35">
        <v>500</v>
      </c>
      <c r="K1333" s="35"/>
      <c r="L1333" s="35"/>
      <c r="M1333" s="35" t="b">
        <v>1</v>
      </c>
      <c r="N1333" s="35"/>
      <c r="V1333" s="20"/>
      <c r="W1333" s="20"/>
      <c r="X1333" s="20"/>
      <c r="Y1333" s="20"/>
      <c r="Z1333" s="20"/>
      <c r="AA1333" s="20"/>
      <c r="AB1333" s="20"/>
      <c r="AC1333" s="20"/>
      <c r="AD1333" s="20"/>
    </row>
    <row r="1334" spans="1:30" ht="13.5" customHeight="1" x14ac:dyDescent="0.25">
      <c r="A1334" s="35"/>
      <c r="B1334" s="35"/>
      <c r="C1334" s="35"/>
      <c r="D1334" s="35">
        <v>6161</v>
      </c>
      <c r="E1334" s="35" t="str">
        <f>INDEX([1]道具配置表!$D:$D,MATCH(D1334,[1]道具配置表!$A:$A,0))</f>
        <v>5分钟训练加速</v>
      </c>
      <c r="F1334" s="35">
        <v>6</v>
      </c>
      <c r="G1334" s="35"/>
      <c r="H1334" s="35"/>
      <c r="I1334" s="35"/>
      <c r="J1334" s="35">
        <v>500</v>
      </c>
      <c r="K1334" s="35"/>
      <c r="L1334" s="35"/>
      <c r="M1334" s="35" t="b">
        <v>1</v>
      </c>
      <c r="N1334" s="35"/>
      <c r="V1334" s="20"/>
      <c r="W1334" s="20"/>
      <c r="X1334" s="20"/>
      <c r="Y1334" s="20"/>
      <c r="Z1334" s="20"/>
      <c r="AA1334" s="20"/>
      <c r="AB1334" s="20"/>
      <c r="AC1334" s="20"/>
      <c r="AD1334" s="20"/>
    </row>
    <row r="1335" spans="1:30" ht="13.5" customHeight="1" x14ac:dyDescent="0.25">
      <c r="A1335" s="35"/>
      <c r="B1335" s="35"/>
      <c r="C1335" s="35"/>
      <c r="D1335" s="35">
        <v>231</v>
      </c>
      <c r="E1335" s="35" t="str">
        <f>INDEX([1]道具配置表!$D:$D,MATCH(D1335,[1]道具配置表!$A:$A,0))</f>
        <v>1万木材</v>
      </c>
      <c r="F1335" s="35">
        <v>6</v>
      </c>
      <c r="G1335" s="35"/>
      <c r="H1335" s="35"/>
      <c r="I1335" s="35"/>
      <c r="J1335" s="35">
        <v>200</v>
      </c>
      <c r="K1335" s="35"/>
      <c r="L1335" s="35"/>
      <c r="M1335" s="35" t="b">
        <v>1</v>
      </c>
      <c r="N1335" s="35"/>
      <c r="V1335" s="20"/>
      <c r="W1335" s="20"/>
      <c r="X1335" s="20"/>
      <c r="Y1335" s="20"/>
      <c r="Z1335" s="20"/>
      <c r="AA1335" s="20"/>
      <c r="AB1335" s="20"/>
      <c r="AC1335" s="20"/>
      <c r="AD1335" s="20"/>
    </row>
    <row r="1336" spans="1:30" ht="13.5" customHeight="1" x14ac:dyDescent="0.25">
      <c r="A1336" s="35"/>
      <c r="B1336" s="35"/>
      <c r="C1336" s="35"/>
      <c r="D1336" s="35">
        <v>232</v>
      </c>
      <c r="E1336" s="35" t="str">
        <f>INDEX([1]道具配置表!$D:$D,MATCH(D1336,[1]道具配置表!$A:$A,0))</f>
        <v>1万食物</v>
      </c>
      <c r="F1336" s="35">
        <v>6</v>
      </c>
      <c r="G1336" s="35"/>
      <c r="H1336" s="35"/>
      <c r="I1336" s="35"/>
      <c r="J1336" s="35">
        <v>200</v>
      </c>
      <c r="K1336" s="35"/>
      <c r="L1336" s="35"/>
      <c r="M1336" s="35" t="b">
        <v>1</v>
      </c>
      <c r="N1336" s="35"/>
      <c r="V1336" s="20"/>
      <c r="W1336" s="20"/>
      <c r="X1336" s="20"/>
      <c r="Y1336" s="20"/>
      <c r="Z1336" s="20"/>
      <c r="AA1336" s="20"/>
      <c r="AB1336" s="20"/>
      <c r="AC1336" s="20"/>
      <c r="AD1336" s="20"/>
    </row>
    <row r="1337" spans="1:30" ht="13.5" customHeight="1" x14ac:dyDescent="0.25">
      <c r="A1337" s="35"/>
      <c r="B1337" s="35"/>
      <c r="C1337" s="35"/>
      <c r="D1337" s="35">
        <v>233</v>
      </c>
      <c r="E1337" s="35" t="str">
        <f>INDEX([1]道具配置表!$D:$D,MATCH(D1337,[1]道具配置表!$A:$A,0))</f>
        <v>1万石头</v>
      </c>
      <c r="F1337" s="35">
        <v>6</v>
      </c>
      <c r="G1337" s="35"/>
      <c r="H1337" s="35"/>
      <c r="I1337" s="35"/>
      <c r="J1337" s="35">
        <v>200</v>
      </c>
      <c r="K1337" s="35"/>
      <c r="L1337" s="35"/>
      <c r="M1337" s="35" t="b">
        <v>1</v>
      </c>
      <c r="N1337" s="35"/>
      <c r="V1337" s="20"/>
      <c r="W1337" s="20"/>
      <c r="X1337" s="20"/>
      <c r="Y1337" s="20"/>
      <c r="Z1337" s="20"/>
      <c r="AA1337" s="20"/>
      <c r="AB1337" s="20"/>
      <c r="AC1337" s="20"/>
      <c r="AD1337" s="20"/>
    </row>
    <row r="1338" spans="1:30" ht="13.5" customHeight="1" x14ac:dyDescent="0.25">
      <c r="A1338" s="35"/>
      <c r="B1338" s="35"/>
      <c r="C1338" s="35"/>
      <c r="D1338" s="35">
        <v>234</v>
      </c>
      <c r="E1338" s="35" t="str">
        <f>INDEX([1]道具配置表!$D:$D,MATCH(D1338,[1]道具配置表!$A:$A,0))</f>
        <v>1万黄金</v>
      </c>
      <c r="F1338" s="35">
        <v>6</v>
      </c>
      <c r="G1338" s="35"/>
      <c r="H1338" s="35"/>
      <c r="I1338" s="35"/>
      <c r="J1338" s="35">
        <v>200</v>
      </c>
      <c r="K1338" s="35"/>
      <c r="L1338" s="35"/>
      <c r="M1338" s="35" t="b">
        <v>1</v>
      </c>
      <c r="N1338" s="35"/>
      <c r="V1338" s="20"/>
      <c r="W1338" s="20"/>
      <c r="X1338" s="20"/>
      <c r="Y1338" s="20"/>
      <c r="Z1338" s="20"/>
      <c r="AA1338" s="20"/>
      <c r="AB1338" s="20"/>
      <c r="AC1338" s="20"/>
      <c r="AD1338" s="20"/>
    </row>
    <row r="1339" spans="1:30" ht="13.5" customHeight="1" x14ac:dyDescent="0.25">
      <c r="A1339" s="35">
        <v>6608105</v>
      </c>
      <c r="B1339" s="35" t="s">
        <v>608</v>
      </c>
      <c r="C1339" s="35"/>
      <c r="D1339" s="36">
        <v>7003</v>
      </c>
      <c r="E1339" s="35" t="str">
        <f>INDEX([1]道具配置表!$D:$D,MATCH(D1339,[1]道具配置表!$A:$A,0))</f>
        <v>1银币（立即使用，不进背包）</v>
      </c>
      <c r="F1339" s="35">
        <v>150</v>
      </c>
      <c r="G1339" s="35">
        <v>1</v>
      </c>
      <c r="H1339" s="35">
        <v>1</v>
      </c>
      <c r="I1339" s="35" t="s">
        <v>599</v>
      </c>
      <c r="J1339" s="35">
        <v>1000</v>
      </c>
      <c r="K1339" s="35"/>
      <c r="L1339" s="35"/>
      <c r="M1339" s="35" t="b">
        <v>1</v>
      </c>
      <c r="N1339" s="35"/>
      <c r="V1339" s="20"/>
      <c r="W1339" s="20"/>
      <c r="X1339" s="20"/>
      <c r="Y1339" s="20"/>
      <c r="Z1339" s="20"/>
      <c r="AA1339" s="20"/>
      <c r="AB1339" s="20"/>
      <c r="AC1339" s="20"/>
      <c r="AD1339" s="20"/>
    </row>
    <row r="1340" spans="1:30" ht="13.5" customHeight="1" x14ac:dyDescent="0.25">
      <c r="A1340" s="35"/>
      <c r="B1340" s="35"/>
      <c r="C1340" s="35"/>
      <c r="D1340" s="35">
        <v>6124</v>
      </c>
      <c r="E1340" s="35" t="str">
        <f>INDEX([1]道具配置表!$D:$D,MATCH(D1340,[1]道具配置表!$A:$A,0))</f>
        <v>30分钟建造加速</v>
      </c>
      <c r="F1340" s="35">
        <v>1</v>
      </c>
      <c r="G1340" s="35"/>
      <c r="H1340" s="35"/>
      <c r="I1340" s="35"/>
      <c r="J1340" s="35">
        <v>500</v>
      </c>
      <c r="K1340" s="35"/>
      <c r="L1340" s="35"/>
      <c r="M1340" s="35" t="b">
        <v>1</v>
      </c>
      <c r="N1340" s="35"/>
      <c r="V1340" s="20"/>
      <c r="W1340" s="20"/>
      <c r="X1340" s="20"/>
      <c r="Y1340" s="20"/>
      <c r="Z1340" s="20"/>
      <c r="AA1340" s="20"/>
      <c r="AB1340" s="20"/>
      <c r="AC1340" s="20"/>
      <c r="AD1340" s="20"/>
    </row>
    <row r="1341" spans="1:30" ht="13.5" customHeight="1" x14ac:dyDescent="0.25">
      <c r="A1341" s="35"/>
      <c r="B1341" s="35"/>
      <c r="C1341" s="35"/>
      <c r="D1341" s="35">
        <v>6144</v>
      </c>
      <c r="E1341" s="35" t="str">
        <f>INDEX([1]道具配置表!$D:$D,MATCH(D1341,[1]道具配置表!$A:$A,0))</f>
        <v>30分钟科技加速</v>
      </c>
      <c r="F1341" s="35">
        <v>1</v>
      </c>
      <c r="G1341" s="35"/>
      <c r="H1341" s="35"/>
      <c r="I1341" s="35"/>
      <c r="J1341" s="35">
        <v>500</v>
      </c>
      <c r="K1341" s="35"/>
      <c r="L1341" s="35"/>
      <c r="M1341" s="35" t="b">
        <v>1</v>
      </c>
      <c r="N1341" s="35"/>
      <c r="V1341" s="20"/>
      <c r="W1341" s="20"/>
      <c r="X1341" s="20"/>
      <c r="Y1341" s="20"/>
      <c r="Z1341" s="20"/>
      <c r="AA1341" s="20"/>
      <c r="AB1341" s="20"/>
      <c r="AC1341" s="20"/>
      <c r="AD1341" s="20"/>
    </row>
    <row r="1342" spans="1:30" ht="13.5" customHeight="1" x14ac:dyDescent="0.25">
      <c r="A1342" s="35"/>
      <c r="B1342" s="35"/>
      <c r="C1342" s="35"/>
      <c r="D1342" s="35">
        <v>6164</v>
      </c>
      <c r="E1342" s="35" t="str">
        <f>INDEX([1]道具配置表!$D:$D,MATCH(D1342,[1]道具配置表!$A:$A,0))</f>
        <v>30分钟训练加速</v>
      </c>
      <c r="F1342" s="35">
        <v>1</v>
      </c>
      <c r="G1342" s="35"/>
      <c r="H1342" s="35"/>
      <c r="I1342" s="35"/>
      <c r="J1342" s="35">
        <v>500</v>
      </c>
      <c r="K1342" s="35"/>
      <c r="L1342" s="35"/>
      <c r="M1342" s="35" t="b">
        <v>1</v>
      </c>
      <c r="N1342" s="35"/>
      <c r="V1342" s="20"/>
      <c r="W1342" s="20"/>
      <c r="X1342" s="20"/>
      <c r="Y1342" s="20"/>
      <c r="Z1342" s="20"/>
      <c r="AA1342" s="20"/>
      <c r="AB1342" s="20"/>
      <c r="AC1342" s="20"/>
      <c r="AD1342" s="20"/>
    </row>
    <row r="1343" spans="1:30" ht="13.5" customHeight="1" x14ac:dyDescent="0.25">
      <c r="A1343" s="35"/>
      <c r="B1343" s="35"/>
      <c r="C1343" s="35"/>
      <c r="D1343" s="35">
        <v>6184</v>
      </c>
      <c r="E1343" s="35" t="str">
        <f>INDEX([1]道具配置表!$D:$D,MATCH(D1343,[1]道具配置表!$A:$A,0))</f>
        <v>30分钟治疗加速</v>
      </c>
      <c r="F1343" s="35">
        <v>1</v>
      </c>
      <c r="G1343" s="35"/>
      <c r="H1343" s="35"/>
      <c r="I1343" s="35"/>
      <c r="J1343" s="35">
        <v>500</v>
      </c>
      <c r="K1343" s="35"/>
      <c r="L1343" s="35"/>
      <c r="M1343" s="35" t="b">
        <v>1</v>
      </c>
      <c r="N1343" s="35"/>
      <c r="V1343" s="20"/>
      <c r="W1343" s="20"/>
      <c r="X1343" s="20"/>
      <c r="Y1343" s="20"/>
      <c r="Z1343" s="20"/>
      <c r="AA1343" s="20"/>
      <c r="AB1343" s="20"/>
      <c r="AC1343" s="20"/>
      <c r="AD1343" s="20"/>
    </row>
    <row r="1344" spans="1:30" ht="13.5" customHeight="1" x14ac:dyDescent="0.25">
      <c r="A1344" s="35"/>
      <c r="B1344" s="35"/>
      <c r="C1344" s="35"/>
      <c r="D1344" s="35">
        <v>231</v>
      </c>
      <c r="E1344" s="35" t="str">
        <f>INDEX([1]道具配置表!$D:$D,MATCH(D1344,[1]道具配置表!$A:$A,0))</f>
        <v>1万木材</v>
      </c>
      <c r="F1344" s="35">
        <v>10</v>
      </c>
      <c r="G1344" s="35"/>
      <c r="H1344" s="35"/>
      <c r="I1344" s="35"/>
      <c r="J1344" s="35">
        <v>200</v>
      </c>
      <c r="K1344" s="35"/>
      <c r="L1344" s="35"/>
      <c r="M1344" s="35" t="b">
        <v>1</v>
      </c>
      <c r="N1344" s="35"/>
      <c r="V1344" s="20"/>
      <c r="W1344" s="20"/>
      <c r="X1344" s="20"/>
      <c r="Y1344" s="20"/>
      <c r="Z1344" s="20"/>
      <c r="AA1344" s="20"/>
      <c r="AB1344" s="20"/>
      <c r="AC1344" s="20"/>
      <c r="AD1344" s="20"/>
    </row>
    <row r="1345" spans="1:30" ht="13.5" customHeight="1" x14ac:dyDescent="0.25">
      <c r="A1345" s="35"/>
      <c r="B1345" s="35"/>
      <c r="C1345" s="35"/>
      <c r="D1345" s="35">
        <v>232</v>
      </c>
      <c r="E1345" s="35" t="str">
        <f>INDEX([1]道具配置表!$D:$D,MATCH(D1345,[1]道具配置表!$A:$A,0))</f>
        <v>1万食物</v>
      </c>
      <c r="F1345" s="35">
        <v>10</v>
      </c>
      <c r="G1345" s="35"/>
      <c r="H1345" s="35"/>
      <c r="I1345" s="35"/>
      <c r="J1345" s="35">
        <v>200</v>
      </c>
      <c r="K1345" s="35"/>
      <c r="L1345" s="35"/>
      <c r="M1345" s="35" t="b">
        <v>1</v>
      </c>
      <c r="N1345" s="35"/>
      <c r="V1345" s="20"/>
      <c r="W1345" s="20"/>
      <c r="X1345" s="20"/>
      <c r="Y1345" s="20"/>
      <c r="Z1345" s="20"/>
      <c r="AA1345" s="20"/>
      <c r="AB1345" s="20"/>
      <c r="AC1345" s="20"/>
      <c r="AD1345" s="20"/>
    </row>
    <row r="1346" spans="1:30" ht="13.5" customHeight="1" x14ac:dyDescent="0.25">
      <c r="A1346" s="35"/>
      <c r="B1346" s="35"/>
      <c r="C1346" s="35"/>
      <c r="D1346" s="35">
        <v>233</v>
      </c>
      <c r="E1346" s="35" t="str">
        <f>INDEX([1]道具配置表!$D:$D,MATCH(D1346,[1]道具配置表!$A:$A,0))</f>
        <v>1万石头</v>
      </c>
      <c r="F1346" s="35">
        <v>10</v>
      </c>
      <c r="G1346" s="35"/>
      <c r="H1346" s="35"/>
      <c r="I1346" s="35"/>
      <c r="J1346" s="35">
        <v>200</v>
      </c>
      <c r="K1346" s="35"/>
      <c r="L1346" s="35"/>
      <c r="M1346" s="35" t="b">
        <v>1</v>
      </c>
      <c r="N1346" s="35"/>
      <c r="V1346" s="20"/>
      <c r="W1346" s="20"/>
      <c r="X1346" s="20"/>
      <c r="Y1346" s="20"/>
      <c r="Z1346" s="20"/>
      <c r="AA1346" s="20"/>
      <c r="AB1346" s="20"/>
      <c r="AC1346" s="20"/>
      <c r="AD1346" s="20"/>
    </row>
    <row r="1347" spans="1:30" ht="13.5" customHeight="1" x14ac:dyDescent="0.25">
      <c r="A1347" s="35"/>
      <c r="B1347" s="35"/>
      <c r="C1347" s="35"/>
      <c r="D1347" s="35">
        <v>234</v>
      </c>
      <c r="E1347" s="35" t="str">
        <f>INDEX([1]道具配置表!$D:$D,MATCH(D1347,[1]道具配置表!$A:$A,0))</f>
        <v>1万黄金</v>
      </c>
      <c r="F1347" s="35">
        <v>10</v>
      </c>
      <c r="G1347" s="35"/>
      <c r="H1347" s="35"/>
      <c r="I1347" s="35"/>
      <c r="J1347" s="35">
        <v>200</v>
      </c>
      <c r="K1347" s="35"/>
      <c r="L1347" s="35"/>
      <c r="M1347" s="35" t="b">
        <v>1</v>
      </c>
      <c r="N1347" s="35"/>
      <c r="V1347" s="20"/>
      <c r="W1347" s="20"/>
      <c r="X1347" s="20"/>
      <c r="Y1347" s="20"/>
      <c r="Z1347" s="20"/>
      <c r="AA1347" s="20"/>
      <c r="AB1347" s="20"/>
      <c r="AC1347" s="20"/>
      <c r="AD1347" s="20"/>
    </row>
    <row r="1348" spans="1:30" ht="13.5" customHeight="1" x14ac:dyDescent="0.25">
      <c r="A1348" s="35"/>
      <c r="B1348" s="35"/>
      <c r="C1348" s="35"/>
      <c r="D1348" s="35">
        <v>6125</v>
      </c>
      <c r="E1348" s="35" t="str">
        <f>INDEX([1]道具配置表!$D:$D,MATCH(D1348,[1]道具配置表!$A:$A,0))</f>
        <v>60分钟建造加速</v>
      </c>
      <c r="F1348" s="35">
        <v>1</v>
      </c>
      <c r="G1348" s="35"/>
      <c r="H1348" s="35"/>
      <c r="I1348" s="35"/>
      <c r="J1348" s="35">
        <v>500</v>
      </c>
      <c r="K1348" s="35"/>
      <c r="L1348" s="35"/>
      <c r="M1348" s="35" t="b">
        <v>1</v>
      </c>
      <c r="N1348" s="35"/>
      <c r="V1348" s="20"/>
      <c r="W1348" s="20"/>
      <c r="X1348" s="20"/>
      <c r="Y1348" s="20"/>
      <c r="Z1348" s="20"/>
      <c r="AA1348" s="20"/>
      <c r="AB1348" s="20"/>
      <c r="AC1348" s="20"/>
      <c r="AD1348" s="20"/>
    </row>
    <row r="1349" spans="1:30" ht="13.5" customHeight="1" x14ac:dyDescent="0.25">
      <c r="A1349" s="35"/>
      <c r="B1349" s="35"/>
      <c r="C1349" s="35"/>
      <c r="D1349" s="35">
        <v>6145</v>
      </c>
      <c r="E1349" s="35" t="str">
        <f>INDEX([1]道具配置表!$D:$D,MATCH(D1349,[1]道具配置表!$A:$A,0))</f>
        <v>60分钟科技加速</v>
      </c>
      <c r="F1349" s="35">
        <v>1</v>
      </c>
      <c r="G1349" s="35"/>
      <c r="H1349" s="35"/>
      <c r="I1349" s="35"/>
      <c r="J1349" s="35">
        <v>500</v>
      </c>
      <c r="K1349" s="35"/>
      <c r="L1349" s="35"/>
      <c r="M1349" s="35" t="b">
        <v>1</v>
      </c>
      <c r="N1349" s="35"/>
      <c r="V1349" s="20"/>
      <c r="W1349" s="20"/>
      <c r="X1349" s="20"/>
      <c r="Y1349" s="20"/>
      <c r="Z1349" s="20"/>
      <c r="AA1349" s="20"/>
      <c r="AB1349" s="20"/>
      <c r="AC1349" s="20"/>
      <c r="AD1349" s="20"/>
    </row>
    <row r="1350" spans="1:30" ht="13.5" customHeight="1" x14ac:dyDescent="0.25">
      <c r="A1350" s="35"/>
      <c r="B1350" s="35"/>
      <c r="C1350" s="35"/>
      <c r="D1350" s="35">
        <v>6165</v>
      </c>
      <c r="E1350" s="35" t="str">
        <f>INDEX([1]道具配置表!$D:$D,MATCH(D1350,[1]道具配置表!$A:$A,0))</f>
        <v>60分钟训练加速</v>
      </c>
      <c r="F1350" s="35">
        <v>1</v>
      </c>
      <c r="G1350" s="35"/>
      <c r="H1350" s="35"/>
      <c r="I1350" s="35"/>
      <c r="J1350" s="35">
        <v>500</v>
      </c>
      <c r="K1350" s="35"/>
      <c r="L1350" s="35"/>
      <c r="M1350" s="35" t="b">
        <v>1</v>
      </c>
      <c r="N1350" s="35"/>
      <c r="V1350" s="20"/>
      <c r="W1350" s="20"/>
      <c r="X1350" s="20"/>
      <c r="Y1350" s="20"/>
      <c r="Z1350" s="20"/>
      <c r="AA1350" s="20"/>
      <c r="AB1350" s="20"/>
      <c r="AC1350" s="20"/>
      <c r="AD1350" s="20"/>
    </row>
    <row r="1351" spans="1:30" ht="13.5" customHeight="1" x14ac:dyDescent="0.25">
      <c r="A1351" s="106"/>
      <c r="B1351" s="106"/>
      <c r="C1351" s="106"/>
      <c r="D1351" s="106">
        <v>49023</v>
      </c>
      <c r="E1351" s="106" t="str">
        <f>INDEX([1]道具配置表!$D:$D,MATCH(D1351,[1]道具配置表!$A:$A,0))</f>
        <v>vip经验100</v>
      </c>
      <c r="F1351" s="106">
        <v>1</v>
      </c>
      <c r="G1351" s="106"/>
      <c r="H1351" s="106"/>
      <c r="I1351" s="106"/>
      <c r="J1351" s="106">
        <v>200</v>
      </c>
      <c r="K1351" s="106"/>
      <c r="L1351" s="106"/>
      <c r="M1351" s="106" t="b">
        <v>1</v>
      </c>
      <c r="N1351" s="106"/>
      <c r="V1351" s="20"/>
      <c r="W1351" s="20"/>
      <c r="X1351" s="20"/>
      <c r="Y1351" s="20"/>
      <c r="Z1351" s="20"/>
      <c r="AA1351" s="20"/>
      <c r="AB1351" s="20"/>
      <c r="AC1351" s="20"/>
      <c r="AD1351" s="20"/>
    </row>
    <row r="1352" spans="1:30" ht="13.5" customHeight="1" x14ac:dyDescent="0.25">
      <c r="A1352" s="35">
        <v>6608201</v>
      </c>
      <c r="B1352" s="35" t="s">
        <v>609</v>
      </c>
      <c r="C1352" s="35"/>
      <c r="D1352" s="48">
        <v>7003</v>
      </c>
      <c r="E1352" s="35" t="str">
        <f>INDEX([1]道具配置表!$D:$D,MATCH(D1352,[1]道具配置表!$A:$A,0))</f>
        <v>1银币（立即使用，不进背包）</v>
      </c>
      <c r="F1352" s="35">
        <v>10</v>
      </c>
      <c r="G1352" s="35"/>
      <c r="H1352" s="35"/>
      <c r="I1352" s="35"/>
      <c r="J1352" s="35"/>
      <c r="K1352" s="35">
        <v>1</v>
      </c>
      <c r="L1352" s="35"/>
      <c r="M1352" s="35" t="b">
        <v>1</v>
      </c>
      <c r="N1352" s="35"/>
      <c r="V1352" s="20"/>
      <c r="W1352" s="20"/>
      <c r="X1352" s="20"/>
      <c r="Y1352" s="20"/>
      <c r="Z1352" s="20"/>
      <c r="AA1352" s="20"/>
      <c r="AB1352" s="20"/>
      <c r="AC1352" s="20"/>
      <c r="AD1352" s="20"/>
    </row>
    <row r="1353" spans="1:30" ht="13.5" customHeight="1" x14ac:dyDescent="0.25">
      <c r="A1353" s="48"/>
      <c r="B1353" s="48"/>
      <c r="C1353" s="48"/>
      <c r="D1353" s="48">
        <v>6104</v>
      </c>
      <c r="E1353" s="48" t="str">
        <f>INDEX([1]道具配置表!$D:$D,MATCH(D1353,[1]道具配置表!$A:$A,0))</f>
        <v>30分钟通用加速</v>
      </c>
      <c r="F1353" s="48">
        <v>1</v>
      </c>
      <c r="G1353" s="48"/>
      <c r="H1353" s="48"/>
      <c r="I1353" s="48"/>
      <c r="J1353" s="48"/>
      <c r="K1353" s="48">
        <v>1</v>
      </c>
      <c r="L1353" s="48"/>
      <c r="M1353" s="48" t="b">
        <v>1</v>
      </c>
      <c r="N1353" s="48"/>
      <c r="V1353" s="20"/>
      <c r="W1353" s="20"/>
      <c r="X1353" s="20"/>
      <c r="Y1353" s="20"/>
      <c r="Z1353" s="20"/>
      <c r="AA1353" s="20"/>
      <c r="AB1353" s="20"/>
      <c r="AC1353" s="20"/>
      <c r="AD1353" s="20"/>
    </row>
    <row r="1354" spans="1:30" ht="13.5" customHeight="1" x14ac:dyDescent="0.25">
      <c r="A1354" s="35"/>
      <c r="B1354" s="35"/>
      <c r="C1354" s="35"/>
      <c r="D1354" s="35">
        <v>231</v>
      </c>
      <c r="E1354" s="35" t="str">
        <f>INDEX([1]道具配置表!$D:$D,MATCH(D1354,[1]道具配置表!$A:$A,0))</f>
        <v>1万木材</v>
      </c>
      <c r="F1354" s="35">
        <v>1</v>
      </c>
      <c r="G1354" s="35"/>
      <c r="H1354" s="35"/>
      <c r="I1354" s="35"/>
      <c r="J1354" s="35"/>
      <c r="K1354" s="35">
        <v>1</v>
      </c>
      <c r="L1354" s="35"/>
      <c r="M1354" s="35" t="b">
        <v>1</v>
      </c>
      <c r="N1354" s="35"/>
      <c r="V1354" s="20"/>
      <c r="W1354" s="20"/>
      <c r="X1354" s="20"/>
      <c r="Y1354" s="20"/>
      <c r="Z1354" s="20"/>
      <c r="AA1354" s="20"/>
      <c r="AB1354" s="20"/>
      <c r="AC1354" s="20"/>
      <c r="AD1354" s="20"/>
    </row>
    <row r="1355" spans="1:30" ht="13.5" customHeight="1" x14ac:dyDescent="0.25">
      <c r="A1355" s="35"/>
      <c r="B1355" s="35"/>
      <c r="C1355" s="35"/>
      <c r="D1355" s="35">
        <v>232</v>
      </c>
      <c r="E1355" s="35" t="str">
        <f>INDEX([1]道具配置表!$D:$D,MATCH(D1355,[1]道具配置表!$A:$A,0))</f>
        <v>1万食物</v>
      </c>
      <c r="F1355" s="35">
        <v>1</v>
      </c>
      <c r="G1355" s="35"/>
      <c r="H1355" s="35"/>
      <c r="I1355" s="35"/>
      <c r="J1355" s="35"/>
      <c r="K1355" s="35">
        <v>1</v>
      </c>
      <c r="L1355" s="35"/>
      <c r="M1355" s="35" t="b">
        <v>1</v>
      </c>
      <c r="N1355" s="35"/>
      <c r="V1355" s="20"/>
      <c r="W1355" s="20"/>
      <c r="X1355" s="20"/>
      <c r="Y1355" s="20"/>
      <c r="Z1355" s="20"/>
      <c r="AA1355" s="20"/>
      <c r="AB1355" s="20"/>
      <c r="AC1355" s="20"/>
      <c r="AD1355" s="20"/>
    </row>
    <row r="1356" spans="1:30" ht="13.5" customHeight="1" x14ac:dyDescent="0.25">
      <c r="A1356" s="35"/>
      <c r="B1356" s="35"/>
      <c r="C1356" s="35"/>
      <c r="D1356" s="35">
        <v>233</v>
      </c>
      <c r="E1356" s="35" t="str">
        <f>INDEX([1]道具配置表!$D:$D,MATCH(D1356,[1]道具配置表!$A:$A,0))</f>
        <v>1万石头</v>
      </c>
      <c r="F1356" s="35">
        <v>1</v>
      </c>
      <c r="G1356" s="35"/>
      <c r="H1356" s="35"/>
      <c r="I1356" s="35"/>
      <c r="J1356" s="35"/>
      <c r="K1356" s="35">
        <v>1</v>
      </c>
      <c r="L1356" s="35"/>
      <c r="M1356" s="35" t="b">
        <v>1</v>
      </c>
      <c r="N1356" s="35"/>
      <c r="V1356" s="20"/>
      <c r="W1356" s="20"/>
      <c r="X1356" s="20"/>
      <c r="Y1356" s="20"/>
      <c r="Z1356" s="20"/>
      <c r="AA1356" s="20"/>
      <c r="AB1356" s="20"/>
      <c r="AC1356" s="20"/>
      <c r="AD1356" s="20"/>
    </row>
    <row r="1357" spans="1:30" ht="13.5" customHeight="1" x14ac:dyDescent="0.25">
      <c r="A1357" s="35"/>
      <c r="B1357" s="35"/>
      <c r="C1357" s="35"/>
      <c r="D1357" s="35">
        <v>234</v>
      </c>
      <c r="E1357" s="35" t="str">
        <f>INDEX([1]道具配置表!$D:$D,MATCH(D1357,[1]道具配置表!$A:$A,0))</f>
        <v>1万黄金</v>
      </c>
      <c r="F1357" s="35">
        <v>1</v>
      </c>
      <c r="G1357" s="35"/>
      <c r="H1357" s="35"/>
      <c r="I1357" s="35"/>
      <c r="J1357" s="35"/>
      <c r="K1357" s="35">
        <v>1</v>
      </c>
      <c r="L1357" s="35"/>
      <c r="M1357" s="35" t="b">
        <v>1</v>
      </c>
      <c r="N1357" s="35"/>
      <c r="V1357" s="20"/>
      <c r="W1357" s="20"/>
      <c r="X1357" s="20"/>
      <c r="Y1357" s="20"/>
      <c r="Z1357" s="20"/>
      <c r="AA1357" s="20"/>
      <c r="AB1357" s="20"/>
      <c r="AC1357" s="20"/>
      <c r="AD1357" s="20"/>
    </row>
    <row r="1358" spans="1:30" ht="13.5" customHeight="1" x14ac:dyDescent="0.25">
      <c r="A1358" s="35">
        <v>6608202</v>
      </c>
      <c r="B1358" s="35" t="s">
        <v>610</v>
      </c>
      <c r="C1358" s="35"/>
      <c r="D1358" s="48">
        <v>7003</v>
      </c>
      <c r="E1358" s="48" t="str">
        <f>INDEX([1]道具配置表!$D:$D,MATCH(D1358,[1]道具配置表!$A:$A,0))</f>
        <v>1银币（立即使用，不进背包）</v>
      </c>
      <c r="F1358" s="35">
        <v>20</v>
      </c>
      <c r="G1358" s="35"/>
      <c r="H1358" s="35"/>
      <c r="I1358" s="35"/>
      <c r="J1358" s="35"/>
      <c r="K1358" s="35">
        <v>1</v>
      </c>
      <c r="L1358" s="35"/>
      <c r="M1358" s="35" t="b">
        <v>1</v>
      </c>
      <c r="N1358" s="35"/>
      <c r="V1358" s="20"/>
      <c r="W1358" s="20"/>
      <c r="X1358" s="20"/>
      <c r="Y1358" s="20"/>
      <c r="Z1358" s="20"/>
      <c r="AA1358" s="20"/>
      <c r="AB1358" s="20"/>
      <c r="AC1358" s="20"/>
      <c r="AD1358" s="20"/>
    </row>
    <row r="1359" spans="1:30" ht="13.5" customHeight="1" x14ac:dyDescent="0.25">
      <c r="A1359" s="48"/>
      <c r="B1359" s="48"/>
      <c r="C1359" s="48"/>
      <c r="D1359" s="48">
        <v>6104</v>
      </c>
      <c r="E1359" s="48" t="str">
        <f>INDEX([1]道具配置表!$D:$D,MATCH(D1359,[1]道具配置表!$A:$A,0))</f>
        <v>30分钟通用加速</v>
      </c>
      <c r="F1359" s="48">
        <v>2</v>
      </c>
      <c r="G1359" s="48"/>
      <c r="H1359" s="48"/>
      <c r="I1359" s="48"/>
      <c r="J1359" s="48"/>
      <c r="K1359" s="48">
        <v>1</v>
      </c>
      <c r="L1359" s="48"/>
      <c r="M1359" s="48" t="b">
        <v>1</v>
      </c>
      <c r="N1359" s="48"/>
      <c r="V1359" s="20"/>
      <c r="W1359" s="20"/>
      <c r="X1359" s="20"/>
      <c r="Y1359" s="20"/>
      <c r="Z1359" s="20"/>
      <c r="AA1359" s="20"/>
      <c r="AB1359" s="20"/>
      <c r="AC1359" s="20"/>
      <c r="AD1359" s="20"/>
    </row>
    <row r="1360" spans="1:30" ht="13.5" customHeight="1" x14ac:dyDescent="0.25">
      <c r="A1360" s="35"/>
      <c r="B1360" s="35"/>
      <c r="C1360" s="35"/>
      <c r="D1360" s="35">
        <v>231</v>
      </c>
      <c r="E1360" s="40" t="str">
        <f>INDEX([1]道具配置表!$D:$D,MATCH(D1360,[1]道具配置表!$A:$A,0))</f>
        <v>1万木材</v>
      </c>
      <c r="F1360" s="35">
        <v>3</v>
      </c>
      <c r="G1360" s="35"/>
      <c r="H1360" s="35"/>
      <c r="I1360" s="35"/>
      <c r="J1360" s="35"/>
      <c r="K1360" s="35">
        <v>1</v>
      </c>
      <c r="L1360" s="35"/>
      <c r="M1360" s="48" t="b">
        <v>1</v>
      </c>
      <c r="N1360" s="35"/>
      <c r="V1360" s="20"/>
      <c r="W1360" s="20"/>
      <c r="X1360" s="20"/>
      <c r="Y1360" s="20"/>
      <c r="Z1360" s="20"/>
      <c r="AA1360" s="20"/>
      <c r="AB1360" s="20"/>
      <c r="AC1360" s="20"/>
      <c r="AD1360" s="20"/>
    </row>
    <row r="1361" spans="1:30" ht="13.5" customHeight="1" x14ac:dyDescent="0.25">
      <c r="A1361" s="35"/>
      <c r="B1361" s="35"/>
      <c r="C1361" s="35"/>
      <c r="D1361" s="35">
        <v>232</v>
      </c>
      <c r="E1361" s="40" t="str">
        <f>INDEX([1]道具配置表!$D:$D,MATCH(D1361,[1]道具配置表!$A:$A,0))</f>
        <v>1万食物</v>
      </c>
      <c r="F1361" s="35">
        <v>3</v>
      </c>
      <c r="G1361" s="35"/>
      <c r="H1361" s="35"/>
      <c r="I1361" s="35"/>
      <c r="J1361" s="35"/>
      <c r="K1361" s="35">
        <v>1</v>
      </c>
      <c r="L1361" s="35"/>
      <c r="M1361" s="35" t="b">
        <v>1</v>
      </c>
      <c r="N1361" s="35"/>
      <c r="V1361" s="20"/>
      <c r="W1361" s="20"/>
      <c r="X1361" s="20"/>
      <c r="Y1361" s="20"/>
      <c r="Z1361" s="20"/>
      <c r="AA1361" s="20"/>
      <c r="AB1361" s="20"/>
      <c r="AC1361" s="20"/>
      <c r="AD1361" s="20"/>
    </row>
    <row r="1362" spans="1:30" ht="13.5" customHeight="1" x14ac:dyDescent="0.25">
      <c r="A1362" s="35"/>
      <c r="B1362" s="35"/>
      <c r="C1362" s="35"/>
      <c r="D1362" s="35">
        <v>233</v>
      </c>
      <c r="E1362" s="40" t="str">
        <f>INDEX([1]道具配置表!$D:$D,MATCH(D1362,[1]道具配置表!$A:$A,0))</f>
        <v>1万石头</v>
      </c>
      <c r="F1362" s="35">
        <v>3</v>
      </c>
      <c r="G1362" s="35"/>
      <c r="H1362" s="35"/>
      <c r="I1362" s="35"/>
      <c r="J1362" s="35"/>
      <c r="K1362" s="35">
        <v>1</v>
      </c>
      <c r="L1362" s="35"/>
      <c r="M1362" s="35" t="b">
        <v>1</v>
      </c>
      <c r="N1362" s="35"/>
      <c r="V1362" s="20"/>
      <c r="W1362" s="20"/>
      <c r="X1362" s="20"/>
      <c r="Y1362" s="20"/>
      <c r="Z1362" s="20"/>
      <c r="AA1362" s="20"/>
      <c r="AB1362" s="20"/>
      <c r="AC1362" s="20"/>
      <c r="AD1362" s="20"/>
    </row>
    <row r="1363" spans="1:30" ht="13.5" customHeight="1" x14ac:dyDescent="0.25">
      <c r="A1363" s="35"/>
      <c r="B1363" s="35"/>
      <c r="C1363" s="35"/>
      <c r="D1363" s="35">
        <v>234</v>
      </c>
      <c r="E1363" s="40" t="str">
        <f>INDEX([1]道具配置表!$D:$D,MATCH(D1363,[1]道具配置表!$A:$A,0))</f>
        <v>1万黄金</v>
      </c>
      <c r="F1363" s="35">
        <v>3</v>
      </c>
      <c r="G1363" s="35"/>
      <c r="H1363" s="35"/>
      <c r="I1363" s="35"/>
      <c r="J1363" s="35"/>
      <c r="K1363" s="35">
        <v>1</v>
      </c>
      <c r="L1363" s="35"/>
      <c r="M1363" s="35" t="b">
        <v>1</v>
      </c>
      <c r="N1363" s="35"/>
      <c r="V1363" s="20"/>
      <c r="W1363" s="20"/>
      <c r="X1363" s="20"/>
      <c r="Y1363" s="20"/>
      <c r="Z1363" s="20"/>
      <c r="AA1363" s="20"/>
      <c r="AB1363" s="20"/>
      <c r="AC1363" s="20"/>
      <c r="AD1363" s="20"/>
    </row>
    <row r="1364" spans="1:30" ht="13.5" customHeight="1" x14ac:dyDescent="0.25">
      <c r="A1364" s="35">
        <v>6608203</v>
      </c>
      <c r="B1364" s="35" t="s">
        <v>611</v>
      </c>
      <c r="C1364" s="35"/>
      <c r="D1364" s="48">
        <v>7003</v>
      </c>
      <c r="E1364" s="35" t="str">
        <f>INDEX([1]道具配置表!$D:$D,MATCH(D1364,[1]道具配置表!$A:$A,0))</f>
        <v>1银币（立即使用，不进背包）</v>
      </c>
      <c r="F1364" s="35">
        <v>30</v>
      </c>
      <c r="G1364" s="35"/>
      <c r="H1364" s="35"/>
      <c r="I1364" s="35"/>
      <c r="J1364" s="35"/>
      <c r="K1364" s="35">
        <v>1</v>
      </c>
      <c r="L1364" s="35"/>
      <c r="M1364" s="35" t="b">
        <v>1</v>
      </c>
      <c r="N1364" s="35"/>
      <c r="V1364" s="20"/>
      <c r="W1364" s="20"/>
      <c r="X1364" s="20"/>
      <c r="Y1364" s="20"/>
      <c r="Z1364" s="20"/>
      <c r="AA1364" s="20"/>
      <c r="AB1364" s="20"/>
      <c r="AC1364" s="20"/>
      <c r="AD1364" s="20"/>
    </row>
    <row r="1365" spans="1:30" ht="13.5" customHeight="1" x14ac:dyDescent="0.25">
      <c r="A1365" s="48"/>
      <c r="B1365" s="48"/>
      <c r="C1365" s="48"/>
      <c r="D1365" s="48">
        <v>6104</v>
      </c>
      <c r="E1365" s="48" t="str">
        <f>INDEX([1]道具配置表!$D:$D,MATCH(D1365,[1]道具配置表!$A:$A,0))</f>
        <v>30分钟通用加速</v>
      </c>
      <c r="F1365" s="48">
        <v>3</v>
      </c>
      <c r="G1365" s="48"/>
      <c r="H1365" s="48"/>
      <c r="I1365" s="48"/>
      <c r="J1365" s="48"/>
      <c r="K1365" s="48">
        <v>1</v>
      </c>
      <c r="L1365" s="48"/>
      <c r="M1365" s="48" t="b">
        <v>1</v>
      </c>
      <c r="N1365" s="48"/>
      <c r="V1365" s="20"/>
      <c r="W1365" s="20"/>
      <c r="X1365" s="20"/>
      <c r="Y1365" s="20"/>
      <c r="Z1365" s="20"/>
      <c r="AA1365" s="20"/>
      <c r="AB1365" s="20"/>
      <c r="AC1365" s="20"/>
      <c r="AD1365" s="20"/>
    </row>
    <row r="1366" spans="1:30" ht="13.5" customHeight="1" x14ac:dyDescent="0.25">
      <c r="A1366" s="35"/>
      <c r="B1366" s="35"/>
      <c r="C1366" s="35"/>
      <c r="D1366" s="35">
        <v>231</v>
      </c>
      <c r="E1366" s="35" t="str">
        <f>INDEX([1]道具配置表!$D:$D,MATCH(D1366,[1]道具配置表!$A:$A,0))</f>
        <v>1万木材</v>
      </c>
      <c r="F1366" s="35">
        <v>5</v>
      </c>
      <c r="G1366" s="35"/>
      <c r="H1366" s="35"/>
      <c r="I1366" s="35"/>
      <c r="J1366" s="35"/>
      <c r="K1366" s="35">
        <v>1</v>
      </c>
      <c r="L1366" s="35"/>
      <c r="M1366" s="35" t="b">
        <v>1</v>
      </c>
      <c r="N1366" s="35"/>
      <c r="V1366" s="20"/>
      <c r="W1366" s="20"/>
      <c r="X1366" s="20"/>
      <c r="Y1366" s="20"/>
      <c r="Z1366" s="20"/>
      <c r="AA1366" s="20"/>
      <c r="AB1366" s="20"/>
      <c r="AC1366" s="20"/>
      <c r="AD1366" s="20"/>
    </row>
    <row r="1367" spans="1:30" ht="13.5" customHeight="1" x14ac:dyDescent="0.25">
      <c r="A1367" s="35"/>
      <c r="B1367" s="35"/>
      <c r="C1367" s="35"/>
      <c r="D1367" s="35">
        <v>232</v>
      </c>
      <c r="E1367" s="35" t="str">
        <f>INDEX([1]道具配置表!$D:$D,MATCH(D1367,[1]道具配置表!$A:$A,0))</f>
        <v>1万食物</v>
      </c>
      <c r="F1367" s="35">
        <v>5</v>
      </c>
      <c r="G1367" s="35"/>
      <c r="H1367" s="35"/>
      <c r="I1367" s="35"/>
      <c r="J1367" s="35"/>
      <c r="K1367" s="35">
        <v>1</v>
      </c>
      <c r="L1367" s="35"/>
      <c r="M1367" s="35" t="b">
        <v>1</v>
      </c>
      <c r="N1367" s="35"/>
      <c r="V1367" s="20"/>
      <c r="W1367" s="20"/>
      <c r="X1367" s="20"/>
      <c r="Y1367" s="20"/>
      <c r="Z1367" s="20"/>
      <c r="AA1367" s="20"/>
      <c r="AB1367" s="20"/>
      <c r="AC1367" s="20"/>
      <c r="AD1367" s="20"/>
    </row>
    <row r="1368" spans="1:30" ht="13.5" customHeight="1" x14ac:dyDescent="0.25">
      <c r="A1368" s="35"/>
      <c r="B1368" s="35"/>
      <c r="C1368" s="35"/>
      <c r="D1368" s="35">
        <v>233</v>
      </c>
      <c r="E1368" s="35" t="str">
        <f>INDEX([1]道具配置表!$D:$D,MATCH(D1368,[1]道具配置表!$A:$A,0))</f>
        <v>1万石头</v>
      </c>
      <c r="F1368" s="35">
        <v>5</v>
      </c>
      <c r="G1368" s="35"/>
      <c r="H1368" s="35"/>
      <c r="I1368" s="35"/>
      <c r="J1368" s="35"/>
      <c r="K1368" s="35">
        <v>1</v>
      </c>
      <c r="L1368" s="35"/>
      <c r="M1368" s="35" t="b">
        <v>1</v>
      </c>
      <c r="N1368" s="35"/>
      <c r="V1368" s="20"/>
      <c r="W1368" s="20"/>
      <c r="X1368" s="20"/>
      <c r="Y1368" s="20"/>
      <c r="Z1368" s="20"/>
      <c r="AA1368" s="20"/>
      <c r="AB1368" s="20"/>
      <c r="AC1368" s="20"/>
      <c r="AD1368" s="20"/>
    </row>
    <row r="1369" spans="1:30" ht="13.5" customHeight="1" x14ac:dyDescent="0.25">
      <c r="A1369" s="35"/>
      <c r="B1369" s="35"/>
      <c r="C1369" s="35"/>
      <c r="D1369" s="35">
        <v>234</v>
      </c>
      <c r="E1369" s="35" t="str">
        <f>INDEX([1]道具配置表!$D:$D,MATCH(D1369,[1]道具配置表!$A:$A,0))</f>
        <v>1万黄金</v>
      </c>
      <c r="F1369" s="35">
        <v>5</v>
      </c>
      <c r="G1369" s="35"/>
      <c r="H1369" s="35"/>
      <c r="I1369" s="35"/>
      <c r="J1369" s="35"/>
      <c r="K1369" s="35">
        <v>1</v>
      </c>
      <c r="L1369" s="35"/>
      <c r="M1369" s="35" t="b">
        <v>1</v>
      </c>
      <c r="N1369" s="35"/>
      <c r="V1369" s="20"/>
      <c r="W1369" s="20"/>
      <c r="X1369" s="20"/>
      <c r="Y1369" s="20"/>
      <c r="Z1369" s="20"/>
      <c r="AA1369" s="20"/>
      <c r="AB1369" s="20"/>
      <c r="AC1369" s="20"/>
      <c r="AD1369" s="20"/>
    </row>
    <row r="1370" spans="1:30" ht="13.5" customHeight="1" x14ac:dyDescent="0.25">
      <c r="A1370" s="32">
        <v>6607101</v>
      </c>
      <c r="B1370" s="32" t="s">
        <v>369</v>
      </c>
      <c r="D1370" s="13">
        <v>501</v>
      </c>
      <c r="E1370" s="32" t="str">
        <f>INDEX([1]道具配置表!$D:$D,MATCH(D1370,[1]道具配置表!$A:$A,0))</f>
        <v>1千资源自选宝箱</v>
      </c>
      <c r="F1370" s="59" t="s">
        <v>866</v>
      </c>
      <c r="K1370" s="13">
        <v>1</v>
      </c>
      <c r="M1370" s="32" t="b">
        <v>1</v>
      </c>
      <c r="V1370" s="20"/>
      <c r="W1370" s="20"/>
      <c r="X1370" s="20"/>
      <c r="Y1370" s="20"/>
      <c r="Z1370" s="20"/>
      <c r="AA1370" s="20"/>
      <c r="AB1370" s="20"/>
      <c r="AC1370" s="20"/>
      <c r="AD1370" s="20"/>
    </row>
    <row r="1371" spans="1:30" ht="13.5" customHeight="1" x14ac:dyDescent="0.25">
      <c r="A1371" s="32"/>
      <c r="B1371" s="32"/>
      <c r="D1371" s="13">
        <v>6120</v>
      </c>
      <c r="E1371" s="32" t="str">
        <f>INDEX([1]道具配置表!$D:$D,MATCH(D1371,[1]道具配置表!$A:$A,0))</f>
        <v>1分钟建造加速</v>
      </c>
      <c r="F1371" s="59" t="s">
        <v>861</v>
      </c>
      <c r="K1371" s="13">
        <v>1</v>
      </c>
      <c r="M1371" s="32" t="b">
        <v>1</v>
      </c>
      <c r="V1371" s="20"/>
      <c r="W1371" s="20"/>
      <c r="X1371" s="20"/>
      <c r="Y1371" s="20"/>
      <c r="Z1371" s="20"/>
      <c r="AA1371" s="20"/>
      <c r="AB1371" s="20"/>
      <c r="AC1371" s="20"/>
      <c r="AD1371" s="20"/>
    </row>
    <row r="1372" spans="1:30" ht="13.5" customHeight="1" x14ac:dyDescent="0.25">
      <c r="A1372" s="32"/>
      <c r="B1372" s="32"/>
      <c r="D1372" s="13">
        <v>6160</v>
      </c>
      <c r="E1372" s="32" t="str">
        <f>INDEX([1]道具配置表!$D:$D,MATCH(D1372,[1]道具配置表!$A:$A,0))</f>
        <v>1分钟训练加速</v>
      </c>
      <c r="F1372" s="59" t="s">
        <v>861</v>
      </c>
      <c r="K1372" s="13">
        <v>1</v>
      </c>
      <c r="M1372" s="32" t="b">
        <v>1</v>
      </c>
      <c r="V1372" s="20"/>
      <c r="W1372" s="20"/>
      <c r="X1372" s="20"/>
      <c r="Y1372" s="20"/>
      <c r="Z1372" s="20"/>
      <c r="AA1372" s="20"/>
      <c r="AB1372" s="20"/>
      <c r="AC1372" s="20"/>
      <c r="AD1372" s="20"/>
    </row>
    <row r="1373" spans="1:30" s="4" customFormat="1" x14ac:dyDescent="0.25">
      <c r="A1373" s="32">
        <v>6607102</v>
      </c>
      <c r="B1373" s="32" t="s">
        <v>370</v>
      </c>
      <c r="D1373" s="13">
        <v>501</v>
      </c>
      <c r="E1373" s="32" t="str">
        <f>INDEX([1]道具配置表!$D:$D,MATCH(D1373,[1]道具配置表!$A:$A,0))</f>
        <v>1千资源自选宝箱</v>
      </c>
      <c r="F1373" s="59" t="s">
        <v>867</v>
      </c>
      <c r="K1373" s="13">
        <v>1</v>
      </c>
      <c r="L1373" s="13"/>
      <c r="M1373" s="32" t="b">
        <v>1</v>
      </c>
    </row>
    <row r="1374" spans="1:30" s="4" customFormat="1" x14ac:dyDescent="0.25">
      <c r="A1374" s="32"/>
      <c r="B1374" s="32"/>
      <c r="D1374" s="13">
        <v>6120</v>
      </c>
      <c r="E1374" s="32" t="str">
        <f>INDEX([1]道具配置表!$D:$D,MATCH(D1374,[1]道具配置表!$A:$A,0))</f>
        <v>1分钟建造加速</v>
      </c>
      <c r="F1374" s="59" t="s">
        <v>861</v>
      </c>
      <c r="K1374" s="13">
        <v>1</v>
      </c>
      <c r="L1374" s="13"/>
      <c r="M1374" s="32" t="b">
        <v>1</v>
      </c>
    </row>
    <row r="1375" spans="1:30" s="4" customFormat="1" x14ac:dyDescent="0.25">
      <c r="A1375" s="32"/>
      <c r="B1375" s="32"/>
      <c r="D1375" s="13">
        <v>6160</v>
      </c>
      <c r="E1375" s="32" t="str">
        <f>INDEX([1]道具配置表!$D:$D,MATCH(D1375,[1]道具配置表!$A:$A,0))</f>
        <v>1分钟训练加速</v>
      </c>
      <c r="F1375" s="59" t="s">
        <v>861</v>
      </c>
      <c r="K1375" s="13">
        <v>1</v>
      </c>
      <c r="L1375" s="13"/>
      <c r="M1375" s="32" t="b">
        <v>1</v>
      </c>
    </row>
    <row r="1376" spans="1:30" s="4" customFormat="1" x14ac:dyDescent="0.25">
      <c r="A1376" s="32">
        <v>6607103</v>
      </c>
      <c r="B1376" s="32" t="s">
        <v>371</v>
      </c>
      <c r="D1376" s="13">
        <v>501</v>
      </c>
      <c r="E1376" s="32" t="str">
        <f>INDEX([1]道具配置表!$D:$D,MATCH(D1376,[1]道具配置表!$A:$A,0))</f>
        <v>1千资源自选宝箱</v>
      </c>
      <c r="F1376" s="59" t="s">
        <v>875</v>
      </c>
      <c r="K1376" s="13">
        <v>1</v>
      </c>
      <c r="L1376" s="13"/>
      <c r="M1376" s="32" t="b">
        <v>1</v>
      </c>
    </row>
    <row r="1377" spans="1:13" s="4" customFormat="1" x14ac:dyDescent="0.25">
      <c r="A1377" s="32"/>
      <c r="B1377" s="32"/>
      <c r="D1377" s="13">
        <v>6120</v>
      </c>
      <c r="E1377" s="32" t="str">
        <f>INDEX([1]道具配置表!$D:$D,MATCH(D1377,[1]道具配置表!$A:$A,0))</f>
        <v>1分钟建造加速</v>
      </c>
      <c r="F1377" s="59" t="s">
        <v>861</v>
      </c>
      <c r="K1377" s="13">
        <v>1</v>
      </c>
      <c r="L1377" s="13"/>
      <c r="M1377" s="32" t="b">
        <v>1</v>
      </c>
    </row>
    <row r="1378" spans="1:13" s="4" customFormat="1" x14ac:dyDescent="0.25">
      <c r="A1378" s="32"/>
      <c r="B1378" s="32"/>
      <c r="D1378" s="13">
        <v>6160</v>
      </c>
      <c r="E1378" s="32" t="str">
        <f>INDEX([1]道具配置表!$D:$D,MATCH(D1378,[1]道具配置表!$A:$A,0))</f>
        <v>1分钟训练加速</v>
      </c>
      <c r="F1378" s="59" t="s">
        <v>861</v>
      </c>
      <c r="K1378" s="13">
        <v>1</v>
      </c>
      <c r="L1378" s="13"/>
      <c r="M1378" s="32" t="b">
        <v>1</v>
      </c>
    </row>
    <row r="1379" spans="1:13" s="4" customFormat="1" x14ac:dyDescent="0.25">
      <c r="A1379" s="32">
        <v>6607104</v>
      </c>
      <c r="B1379" s="32" t="s">
        <v>372</v>
      </c>
      <c r="D1379" s="13">
        <v>501</v>
      </c>
      <c r="E1379" s="32" t="str">
        <f>INDEX([1]道具配置表!$D:$D,MATCH(D1379,[1]道具配置表!$A:$A,0))</f>
        <v>1千资源自选宝箱</v>
      </c>
      <c r="F1379" s="59" t="s">
        <v>868</v>
      </c>
      <c r="K1379" s="13">
        <v>1</v>
      </c>
      <c r="L1379" s="13"/>
      <c r="M1379" s="32" t="b">
        <v>1</v>
      </c>
    </row>
    <row r="1380" spans="1:13" s="4" customFormat="1" x14ac:dyDescent="0.25">
      <c r="A1380" s="32"/>
      <c r="B1380" s="32"/>
      <c r="D1380" s="13">
        <v>6120</v>
      </c>
      <c r="E1380" s="32" t="str">
        <f>INDEX([1]道具配置表!$D:$D,MATCH(D1380,[1]道具配置表!$A:$A,0))</f>
        <v>1分钟建造加速</v>
      </c>
      <c r="F1380" s="59" t="s">
        <v>861</v>
      </c>
      <c r="K1380" s="13">
        <v>1</v>
      </c>
      <c r="L1380" s="13"/>
      <c r="M1380" s="32" t="b">
        <v>1</v>
      </c>
    </row>
    <row r="1381" spans="1:13" s="4" customFormat="1" x14ac:dyDescent="0.25">
      <c r="A1381" s="32"/>
      <c r="B1381" s="32"/>
      <c r="D1381" s="13">
        <v>6160</v>
      </c>
      <c r="E1381" s="32" t="str">
        <f>INDEX([1]道具配置表!$D:$D,MATCH(D1381,[1]道具配置表!$A:$A,0))</f>
        <v>1分钟训练加速</v>
      </c>
      <c r="F1381" s="59" t="s">
        <v>861</v>
      </c>
      <c r="K1381" s="13">
        <v>1</v>
      </c>
      <c r="L1381" s="13"/>
      <c r="M1381" s="32" t="b">
        <v>1</v>
      </c>
    </row>
    <row r="1382" spans="1:13" s="4" customFormat="1" x14ac:dyDescent="0.25">
      <c r="A1382" s="32">
        <v>6607105</v>
      </c>
      <c r="B1382" s="32" t="s">
        <v>373</v>
      </c>
      <c r="D1382" s="13">
        <v>501</v>
      </c>
      <c r="E1382" s="32" t="str">
        <f>INDEX([1]道具配置表!$D:$D,MATCH(D1382,[1]道具配置表!$A:$A,0))</f>
        <v>1千资源自选宝箱</v>
      </c>
      <c r="F1382" s="59" t="s">
        <v>876</v>
      </c>
      <c r="K1382" s="13">
        <v>1</v>
      </c>
      <c r="L1382" s="13"/>
      <c r="M1382" s="32" t="b">
        <v>1</v>
      </c>
    </row>
    <row r="1383" spans="1:13" s="4" customFormat="1" x14ac:dyDescent="0.25">
      <c r="A1383" s="32"/>
      <c r="B1383" s="32"/>
      <c r="D1383" s="13">
        <v>6120</v>
      </c>
      <c r="E1383" s="32" t="str">
        <f>INDEX([1]道具配置表!$D:$D,MATCH(D1383,[1]道具配置表!$A:$A,0))</f>
        <v>1分钟建造加速</v>
      </c>
      <c r="F1383" s="59" t="s">
        <v>861</v>
      </c>
      <c r="K1383" s="13">
        <v>1</v>
      </c>
      <c r="L1383" s="13"/>
      <c r="M1383" s="32" t="b">
        <v>1</v>
      </c>
    </row>
    <row r="1384" spans="1:13" s="4" customFormat="1" x14ac:dyDescent="0.25">
      <c r="A1384" s="32"/>
      <c r="B1384" s="32"/>
      <c r="D1384" s="13">
        <v>6160</v>
      </c>
      <c r="E1384" s="32" t="str">
        <f>INDEX([1]道具配置表!$D:$D,MATCH(D1384,[1]道具配置表!$A:$A,0))</f>
        <v>1分钟训练加速</v>
      </c>
      <c r="F1384" s="59" t="s">
        <v>861</v>
      </c>
      <c r="K1384" s="13">
        <v>1</v>
      </c>
      <c r="L1384" s="13"/>
      <c r="M1384" s="32" t="b">
        <v>1</v>
      </c>
    </row>
    <row r="1385" spans="1:13" s="4" customFormat="1" x14ac:dyDescent="0.25">
      <c r="A1385" s="32">
        <v>6607106</v>
      </c>
      <c r="B1385" s="32" t="s">
        <v>374</v>
      </c>
      <c r="D1385" s="13">
        <v>501</v>
      </c>
      <c r="E1385" s="32" t="str">
        <f>INDEX([1]道具配置表!$D:$D,MATCH(D1385,[1]道具配置表!$A:$A,0))</f>
        <v>1千资源自选宝箱</v>
      </c>
      <c r="F1385" s="59" t="s">
        <v>869</v>
      </c>
      <c r="K1385" s="13">
        <v>1</v>
      </c>
      <c r="L1385" s="13"/>
      <c r="M1385" s="32" t="b">
        <v>1</v>
      </c>
    </row>
    <row r="1386" spans="1:13" s="4" customFormat="1" x14ac:dyDescent="0.25">
      <c r="A1386" s="32"/>
      <c r="B1386" s="32"/>
      <c r="D1386" s="13">
        <v>6120</v>
      </c>
      <c r="E1386" s="32" t="str">
        <f>INDEX([1]道具配置表!$D:$D,MATCH(D1386,[1]道具配置表!$A:$A,0))</f>
        <v>1分钟建造加速</v>
      </c>
      <c r="F1386" s="59" t="s">
        <v>861</v>
      </c>
      <c r="K1386" s="13">
        <v>1</v>
      </c>
      <c r="L1386" s="13"/>
      <c r="M1386" s="32" t="b">
        <v>1</v>
      </c>
    </row>
    <row r="1387" spans="1:13" s="4" customFormat="1" x14ac:dyDescent="0.25">
      <c r="A1387" s="32"/>
      <c r="B1387" s="32"/>
      <c r="D1387" s="13">
        <v>6160</v>
      </c>
      <c r="E1387" s="32" t="str">
        <f>INDEX([1]道具配置表!$D:$D,MATCH(D1387,[1]道具配置表!$A:$A,0))</f>
        <v>1分钟训练加速</v>
      </c>
      <c r="F1387" s="59" t="s">
        <v>861</v>
      </c>
      <c r="K1387" s="13">
        <v>1</v>
      </c>
      <c r="L1387" s="13"/>
      <c r="M1387" s="32" t="b">
        <v>1</v>
      </c>
    </row>
    <row r="1388" spans="1:13" s="4" customFormat="1" x14ac:dyDescent="0.25">
      <c r="A1388" s="32">
        <v>6607107</v>
      </c>
      <c r="B1388" s="32" t="s">
        <v>375</v>
      </c>
      <c r="D1388" s="13">
        <v>501</v>
      </c>
      <c r="E1388" s="32" t="str">
        <f>INDEX([1]道具配置表!$D:$D,MATCH(D1388,[1]道具配置表!$A:$A,0))</f>
        <v>1千资源自选宝箱</v>
      </c>
      <c r="F1388" s="59" t="s">
        <v>877</v>
      </c>
      <c r="K1388" s="13">
        <v>1</v>
      </c>
      <c r="L1388" s="13"/>
      <c r="M1388" s="32" t="b">
        <v>1</v>
      </c>
    </row>
    <row r="1389" spans="1:13" s="4" customFormat="1" x14ac:dyDescent="0.25">
      <c r="A1389" s="32"/>
      <c r="B1389" s="32"/>
      <c r="D1389" s="13">
        <v>6120</v>
      </c>
      <c r="E1389" s="32" t="str">
        <f>INDEX([1]道具配置表!$D:$D,MATCH(D1389,[1]道具配置表!$A:$A,0))</f>
        <v>1分钟建造加速</v>
      </c>
      <c r="F1389" s="59" t="s">
        <v>861</v>
      </c>
      <c r="K1389" s="13">
        <v>1</v>
      </c>
      <c r="L1389" s="13"/>
      <c r="M1389" s="32" t="b">
        <v>1</v>
      </c>
    </row>
    <row r="1390" spans="1:13" s="4" customFormat="1" x14ac:dyDescent="0.25">
      <c r="A1390" s="32"/>
      <c r="B1390" s="32"/>
      <c r="D1390" s="13">
        <v>6160</v>
      </c>
      <c r="E1390" s="32" t="str">
        <f>INDEX([1]道具配置表!$D:$D,MATCH(D1390,[1]道具配置表!$A:$A,0))</f>
        <v>1分钟训练加速</v>
      </c>
      <c r="F1390" s="59" t="s">
        <v>861</v>
      </c>
      <c r="K1390" s="13">
        <v>1</v>
      </c>
      <c r="L1390" s="13"/>
      <c r="M1390" s="32" t="b">
        <v>1</v>
      </c>
    </row>
    <row r="1391" spans="1:13" s="4" customFormat="1" x14ac:dyDescent="0.25">
      <c r="A1391" s="32">
        <v>6607108</v>
      </c>
      <c r="B1391" s="32" t="s">
        <v>376</v>
      </c>
      <c r="D1391" s="13">
        <v>501</v>
      </c>
      <c r="E1391" s="32" t="str">
        <f>INDEX([1]道具配置表!$D:$D,MATCH(D1391,[1]道具配置表!$A:$A,0))</f>
        <v>1千资源自选宝箱</v>
      </c>
      <c r="F1391" s="59" t="s">
        <v>870</v>
      </c>
      <c r="K1391" s="13">
        <v>1</v>
      </c>
      <c r="L1391" s="13"/>
      <c r="M1391" s="32" t="b">
        <v>1</v>
      </c>
    </row>
    <row r="1392" spans="1:13" s="4" customFormat="1" x14ac:dyDescent="0.25">
      <c r="A1392" s="32"/>
      <c r="B1392" s="32"/>
      <c r="D1392" s="13">
        <v>6120</v>
      </c>
      <c r="E1392" s="32" t="str">
        <f>INDEX([1]道具配置表!$D:$D,MATCH(D1392,[1]道具配置表!$A:$A,0))</f>
        <v>1分钟建造加速</v>
      </c>
      <c r="F1392" s="59" t="s">
        <v>861</v>
      </c>
      <c r="K1392" s="13">
        <v>1</v>
      </c>
      <c r="L1392" s="13"/>
      <c r="M1392" s="32" t="b">
        <v>1</v>
      </c>
    </row>
    <row r="1393" spans="1:13" s="4" customFormat="1" x14ac:dyDescent="0.25">
      <c r="A1393" s="32"/>
      <c r="B1393" s="32"/>
      <c r="D1393" s="13">
        <v>6160</v>
      </c>
      <c r="E1393" s="32" t="str">
        <f>INDEX([1]道具配置表!$D:$D,MATCH(D1393,[1]道具配置表!$A:$A,0))</f>
        <v>1分钟训练加速</v>
      </c>
      <c r="F1393" s="59" t="s">
        <v>861</v>
      </c>
      <c r="K1393" s="13">
        <v>1</v>
      </c>
      <c r="L1393" s="13"/>
      <c r="M1393" s="32" t="b">
        <v>1</v>
      </c>
    </row>
    <row r="1394" spans="1:13" s="4" customFormat="1" x14ac:dyDescent="0.25">
      <c r="A1394" s="32">
        <v>6607109</v>
      </c>
      <c r="B1394" s="32" t="s">
        <v>377</v>
      </c>
      <c r="D1394" s="13">
        <v>501</v>
      </c>
      <c r="E1394" s="32" t="str">
        <f>INDEX([1]道具配置表!$D:$D,MATCH(D1394,[1]道具配置表!$A:$A,0))</f>
        <v>1千资源自选宝箱</v>
      </c>
      <c r="F1394" s="59" t="s">
        <v>878</v>
      </c>
      <c r="K1394" s="13">
        <v>1</v>
      </c>
      <c r="L1394" s="13"/>
      <c r="M1394" s="32" t="b">
        <v>1</v>
      </c>
    </row>
    <row r="1395" spans="1:13" s="4" customFormat="1" x14ac:dyDescent="0.25">
      <c r="A1395" s="32"/>
      <c r="B1395" s="32"/>
      <c r="D1395" s="13">
        <v>6120</v>
      </c>
      <c r="E1395" s="32" t="str">
        <f>INDEX([1]道具配置表!$D:$D,MATCH(D1395,[1]道具配置表!$A:$A,0))</f>
        <v>1分钟建造加速</v>
      </c>
      <c r="F1395" s="59" t="s">
        <v>861</v>
      </c>
      <c r="K1395" s="13">
        <v>1</v>
      </c>
      <c r="L1395" s="13"/>
      <c r="M1395" s="32" t="b">
        <v>1</v>
      </c>
    </row>
    <row r="1396" spans="1:13" s="4" customFormat="1" x14ac:dyDescent="0.25">
      <c r="A1396" s="32"/>
      <c r="B1396" s="32"/>
      <c r="D1396" s="13">
        <v>6160</v>
      </c>
      <c r="E1396" s="32" t="str">
        <f>INDEX([1]道具配置表!$D:$D,MATCH(D1396,[1]道具配置表!$A:$A,0))</f>
        <v>1分钟训练加速</v>
      </c>
      <c r="F1396" s="59" t="s">
        <v>861</v>
      </c>
      <c r="K1396" s="13">
        <v>1</v>
      </c>
      <c r="L1396" s="13"/>
      <c r="M1396" s="32" t="b">
        <v>1</v>
      </c>
    </row>
    <row r="1397" spans="1:13" s="4" customFormat="1" x14ac:dyDescent="0.25">
      <c r="A1397" s="32">
        <v>6607110</v>
      </c>
      <c r="B1397" s="32" t="s">
        <v>378</v>
      </c>
      <c r="D1397" s="13">
        <v>501</v>
      </c>
      <c r="E1397" s="32" t="str">
        <f>INDEX([1]道具配置表!$D:$D,MATCH(D1397,[1]道具配置表!$A:$A,0))</f>
        <v>1千资源自选宝箱</v>
      </c>
      <c r="F1397" s="59" t="s">
        <v>871</v>
      </c>
      <c r="K1397" s="13">
        <v>1</v>
      </c>
      <c r="L1397" s="13"/>
      <c r="M1397" s="32" t="b">
        <v>1</v>
      </c>
    </row>
    <row r="1398" spans="1:13" s="4" customFormat="1" x14ac:dyDescent="0.25">
      <c r="A1398" s="32"/>
      <c r="B1398" s="32"/>
      <c r="D1398" s="13">
        <v>6120</v>
      </c>
      <c r="E1398" s="32" t="str">
        <f>INDEX([1]道具配置表!$D:$D,MATCH(D1398,[1]道具配置表!$A:$A,0))</f>
        <v>1分钟建造加速</v>
      </c>
      <c r="F1398" s="59" t="s">
        <v>861</v>
      </c>
      <c r="K1398" s="13">
        <v>1</v>
      </c>
      <c r="L1398" s="13"/>
      <c r="M1398" s="32" t="b">
        <v>1</v>
      </c>
    </row>
    <row r="1399" spans="1:13" s="4" customFormat="1" x14ac:dyDescent="0.25">
      <c r="A1399" s="32"/>
      <c r="B1399" s="32"/>
      <c r="D1399" s="13">
        <v>6160</v>
      </c>
      <c r="E1399" s="32" t="str">
        <f>INDEX([1]道具配置表!$D:$D,MATCH(D1399,[1]道具配置表!$A:$A,0))</f>
        <v>1分钟训练加速</v>
      </c>
      <c r="F1399" s="59" t="s">
        <v>862</v>
      </c>
      <c r="K1399" s="13">
        <v>1</v>
      </c>
      <c r="L1399" s="13"/>
      <c r="M1399" s="32" t="b">
        <v>1</v>
      </c>
    </row>
    <row r="1400" spans="1:13" s="4" customFormat="1" x14ac:dyDescent="0.25">
      <c r="A1400" s="32">
        <v>6607111</v>
      </c>
      <c r="B1400" s="32" t="s">
        <v>379</v>
      </c>
      <c r="D1400" s="13">
        <v>501</v>
      </c>
      <c r="E1400" s="32" t="str">
        <f>INDEX([1]道具配置表!$D:$D,MATCH(D1400,[1]道具配置表!$A:$A,0))</f>
        <v>1千资源自选宝箱</v>
      </c>
      <c r="F1400" s="59" t="s">
        <v>879</v>
      </c>
      <c r="K1400" s="13">
        <v>1</v>
      </c>
      <c r="L1400" s="13"/>
      <c r="M1400" s="32" t="b">
        <v>1</v>
      </c>
    </row>
    <row r="1401" spans="1:13" s="4" customFormat="1" x14ac:dyDescent="0.25">
      <c r="A1401" s="32"/>
      <c r="B1401" s="32"/>
      <c r="D1401" s="13">
        <v>6120</v>
      </c>
      <c r="E1401" s="32" t="str">
        <f>INDEX([1]道具配置表!$D:$D,MATCH(D1401,[1]道具配置表!$A:$A,0))</f>
        <v>1分钟建造加速</v>
      </c>
      <c r="F1401" s="59" t="s">
        <v>861</v>
      </c>
      <c r="K1401" s="13">
        <v>1</v>
      </c>
      <c r="L1401" s="13"/>
      <c r="M1401" s="32" t="b">
        <v>1</v>
      </c>
    </row>
    <row r="1402" spans="1:13" s="4" customFormat="1" x14ac:dyDescent="0.25">
      <c r="A1402" s="32"/>
      <c r="B1402" s="32"/>
      <c r="D1402" s="13">
        <v>6160</v>
      </c>
      <c r="E1402" s="32" t="str">
        <f>INDEX([1]道具配置表!$D:$D,MATCH(D1402,[1]道具配置表!$A:$A,0))</f>
        <v>1分钟训练加速</v>
      </c>
      <c r="F1402" s="59" t="s">
        <v>862</v>
      </c>
      <c r="K1402" s="13">
        <v>1</v>
      </c>
      <c r="L1402" s="13"/>
      <c r="M1402" s="32" t="b">
        <v>1</v>
      </c>
    </row>
    <row r="1403" spans="1:13" s="4" customFormat="1" x14ac:dyDescent="0.25">
      <c r="A1403" s="32">
        <v>6607112</v>
      </c>
      <c r="B1403" s="32" t="s">
        <v>380</v>
      </c>
      <c r="D1403" s="13">
        <v>501</v>
      </c>
      <c r="E1403" s="32" t="str">
        <f>INDEX([1]道具配置表!$D:$D,MATCH(D1403,[1]道具配置表!$A:$A,0))</f>
        <v>1千资源自选宝箱</v>
      </c>
      <c r="F1403" s="59" t="s">
        <v>872</v>
      </c>
      <c r="K1403" s="13">
        <v>1</v>
      </c>
      <c r="L1403" s="13"/>
      <c r="M1403" s="32" t="b">
        <v>1</v>
      </c>
    </row>
    <row r="1404" spans="1:13" s="4" customFormat="1" x14ac:dyDescent="0.25">
      <c r="A1404" s="32"/>
      <c r="B1404" s="32"/>
      <c r="D1404" s="13">
        <v>6120</v>
      </c>
      <c r="E1404" s="32" t="str">
        <f>INDEX([1]道具配置表!$D:$D,MATCH(D1404,[1]道具配置表!$A:$A,0))</f>
        <v>1分钟建造加速</v>
      </c>
      <c r="F1404" s="59" t="s">
        <v>861</v>
      </c>
      <c r="K1404" s="13">
        <v>1</v>
      </c>
      <c r="L1404" s="13"/>
      <c r="M1404" s="32" t="b">
        <v>1</v>
      </c>
    </row>
    <row r="1405" spans="1:13" s="4" customFormat="1" x14ac:dyDescent="0.25">
      <c r="A1405" s="32"/>
      <c r="B1405" s="32"/>
      <c r="D1405" s="13">
        <v>6160</v>
      </c>
      <c r="E1405" s="32" t="str">
        <f>INDEX([1]道具配置表!$D:$D,MATCH(D1405,[1]道具配置表!$A:$A,0))</f>
        <v>1分钟训练加速</v>
      </c>
      <c r="F1405" s="59" t="s">
        <v>862</v>
      </c>
      <c r="K1405" s="13">
        <v>1</v>
      </c>
      <c r="L1405" s="13"/>
      <c r="M1405" s="32" t="b">
        <v>1</v>
      </c>
    </row>
    <row r="1406" spans="1:13" s="4" customFormat="1" x14ac:dyDescent="0.25">
      <c r="A1406" s="32">
        <v>6607113</v>
      </c>
      <c r="B1406" s="32" t="s">
        <v>381</v>
      </c>
      <c r="D1406" s="13">
        <v>501</v>
      </c>
      <c r="E1406" s="32" t="str">
        <f>INDEX([1]道具配置表!$D:$D,MATCH(D1406,[1]道具配置表!$A:$A,0))</f>
        <v>1千资源自选宝箱</v>
      </c>
      <c r="F1406" s="59" t="s">
        <v>880</v>
      </c>
      <c r="K1406" s="13">
        <v>1</v>
      </c>
      <c r="L1406" s="13"/>
      <c r="M1406" s="32" t="b">
        <v>1</v>
      </c>
    </row>
    <row r="1407" spans="1:13" s="4" customFormat="1" x14ac:dyDescent="0.25">
      <c r="A1407" s="32"/>
      <c r="B1407" s="32"/>
      <c r="D1407" s="13">
        <v>6120</v>
      </c>
      <c r="E1407" s="32" t="str">
        <f>INDEX([1]道具配置表!$D:$D,MATCH(D1407,[1]道具配置表!$A:$A,0))</f>
        <v>1分钟建造加速</v>
      </c>
      <c r="F1407" s="59" t="s">
        <v>861</v>
      </c>
      <c r="K1407" s="13">
        <v>1</v>
      </c>
      <c r="L1407" s="13"/>
      <c r="M1407" s="32" t="b">
        <v>1</v>
      </c>
    </row>
    <row r="1408" spans="1:13" s="4" customFormat="1" x14ac:dyDescent="0.25">
      <c r="A1408" s="32"/>
      <c r="B1408" s="32"/>
      <c r="D1408" s="13">
        <v>6160</v>
      </c>
      <c r="E1408" s="32" t="str">
        <f>INDEX([1]道具配置表!$D:$D,MATCH(D1408,[1]道具配置表!$A:$A,0))</f>
        <v>1分钟训练加速</v>
      </c>
      <c r="F1408" s="59" t="s">
        <v>862</v>
      </c>
      <c r="K1408" s="13">
        <v>1</v>
      </c>
      <c r="L1408" s="13"/>
      <c r="M1408" s="32" t="b">
        <v>1</v>
      </c>
    </row>
    <row r="1409" spans="1:13" s="4" customFormat="1" x14ac:dyDescent="0.25">
      <c r="A1409" s="32">
        <v>6607114</v>
      </c>
      <c r="B1409" s="32" t="s">
        <v>382</v>
      </c>
      <c r="D1409" s="13">
        <v>501</v>
      </c>
      <c r="E1409" s="32" t="str">
        <f>INDEX([1]道具配置表!$D:$D,MATCH(D1409,[1]道具配置表!$A:$A,0))</f>
        <v>1千资源自选宝箱</v>
      </c>
      <c r="F1409" s="59" t="s">
        <v>873</v>
      </c>
      <c r="K1409" s="13">
        <v>1</v>
      </c>
      <c r="L1409" s="13"/>
      <c r="M1409" s="32" t="b">
        <v>1</v>
      </c>
    </row>
    <row r="1410" spans="1:13" s="4" customFormat="1" x14ac:dyDescent="0.25">
      <c r="A1410" s="32"/>
      <c r="B1410" s="32"/>
      <c r="D1410" s="13">
        <v>6120</v>
      </c>
      <c r="E1410" s="32" t="str">
        <f>INDEX([1]道具配置表!$D:$D,MATCH(D1410,[1]道具配置表!$A:$A,0))</f>
        <v>1分钟建造加速</v>
      </c>
      <c r="F1410" s="59" t="s">
        <v>861</v>
      </c>
      <c r="K1410" s="13">
        <v>1</v>
      </c>
      <c r="L1410" s="13"/>
      <c r="M1410" s="32" t="b">
        <v>1</v>
      </c>
    </row>
    <row r="1411" spans="1:13" s="4" customFormat="1" x14ac:dyDescent="0.25">
      <c r="A1411" s="32"/>
      <c r="B1411" s="32"/>
      <c r="D1411" s="13">
        <v>6160</v>
      </c>
      <c r="E1411" s="32" t="str">
        <f>INDEX([1]道具配置表!$D:$D,MATCH(D1411,[1]道具配置表!$A:$A,0))</f>
        <v>1分钟训练加速</v>
      </c>
      <c r="F1411" s="59" t="s">
        <v>862</v>
      </c>
      <c r="K1411" s="13">
        <v>1</v>
      </c>
      <c r="L1411" s="13"/>
      <c r="M1411" s="32" t="b">
        <v>1</v>
      </c>
    </row>
    <row r="1412" spans="1:13" s="4" customFormat="1" x14ac:dyDescent="0.25">
      <c r="A1412" s="32">
        <v>6607115</v>
      </c>
      <c r="B1412" s="32" t="s">
        <v>383</v>
      </c>
      <c r="D1412" s="13">
        <v>501</v>
      </c>
      <c r="E1412" s="32" t="str">
        <f>INDEX([1]道具配置表!$D:$D,MATCH(D1412,[1]道具配置表!$A:$A,0))</f>
        <v>1千资源自选宝箱</v>
      </c>
      <c r="F1412" s="59" t="s">
        <v>881</v>
      </c>
      <c r="K1412" s="13">
        <v>1</v>
      </c>
      <c r="L1412" s="13"/>
      <c r="M1412" s="32" t="b">
        <v>1</v>
      </c>
    </row>
    <row r="1413" spans="1:13" s="4" customFormat="1" x14ac:dyDescent="0.25">
      <c r="A1413" s="32"/>
      <c r="B1413" s="32"/>
      <c r="D1413" s="13">
        <v>6120</v>
      </c>
      <c r="E1413" s="32" t="str">
        <f>INDEX([1]道具配置表!$D:$D,MATCH(D1413,[1]道具配置表!$A:$A,0))</f>
        <v>1分钟建造加速</v>
      </c>
      <c r="F1413" s="59" t="s">
        <v>862</v>
      </c>
      <c r="K1413" s="13">
        <v>1</v>
      </c>
      <c r="L1413" s="13"/>
      <c r="M1413" s="32" t="b">
        <v>1</v>
      </c>
    </row>
    <row r="1414" spans="1:13" s="4" customFormat="1" x14ac:dyDescent="0.25">
      <c r="A1414" s="32"/>
      <c r="B1414" s="32"/>
      <c r="D1414" s="13">
        <v>6160</v>
      </c>
      <c r="E1414" s="32" t="str">
        <f>INDEX([1]道具配置表!$D:$D,MATCH(D1414,[1]道具配置表!$A:$A,0))</f>
        <v>1分钟训练加速</v>
      </c>
      <c r="F1414" s="59" t="s">
        <v>862</v>
      </c>
      <c r="K1414" s="13">
        <v>1</v>
      </c>
      <c r="L1414" s="13"/>
      <c r="M1414" s="32" t="b">
        <v>1</v>
      </c>
    </row>
    <row r="1415" spans="1:13" s="4" customFormat="1" x14ac:dyDescent="0.25">
      <c r="A1415" s="32">
        <v>6607116</v>
      </c>
      <c r="B1415" s="32" t="s">
        <v>384</v>
      </c>
      <c r="D1415" s="13">
        <v>501</v>
      </c>
      <c r="E1415" s="32" t="str">
        <f>INDEX([1]道具配置表!$D:$D,MATCH(D1415,[1]道具配置表!$A:$A,0))</f>
        <v>1千资源自选宝箱</v>
      </c>
      <c r="F1415" s="59" t="s">
        <v>874</v>
      </c>
      <c r="K1415" s="13">
        <v>1</v>
      </c>
      <c r="L1415" s="13"/>
      <c r="M1415" s="32" t="b">
        <v>1</v>
      </c>
    </row>
    <row r="1416" spans="1:13" s="4" customFormat="1" x14ac:dyDescent="0.25">
      <c r="A1416" s="32"/>
      <c r="B1416" s="32"/>
      <c r="D1416" s="13">
        <v>6120</v>
      </c>
      <c r="E1416" s="32" t="str">
        <f>INDEX([1]道具配置表!$D:$D,MATCH(D1416,[1]道具配置表!$A:$A,0))</f>
        <v>1分钟建造加速</v>
      </c>
      <c r="F1416" s="59" t="s">
        <v>862</v>
      </c>
      <c r="K1416" s="13">
        <v>1</v>
      </c>
      <c r="L1416" s="13"/>
      <c r="M1416" s="32" t="b">
        <v>1</v>
      </c>
    </row>
    <row r="1417" spans="1:13" s="4" customFormat="1" x14ac:dyDescent="0.25">
      <c r="A1417" s="32"/>
      <c r="B1417" s="32"/>
      <c r="D1417" s="13">
        <v>6160</v>
      </c>
      <c r="E1417" s="32" t="str">
        <f>INDEX([1]道具配置表!$D:$D,MATCH(D1417,[1]道具配置表!$A:$A,0))</f>
        <v>1分钟训练加速</v>
      </c>
      <c r="F1417" s="59" t="s">
        <v>862</v>
      </c>
      <c r="K1417" s="13">
        <v>1</v>
      </c>
      <c r="L1417" s="13"/>
      <c r="M1417" s="32" t="b">
        <v>1</v>
      </c>
    </row>
    <row r="1418" spans="1:13" s="4" customFormat="1" x14ac:dyDescent="0.25">
      <c r="A1418" s="32">
        <v>6607117</v>
      </c>
      <c r="B1418" s="32" t="s">
        <v>385</v>
      </c>
      <c r="D1418" s="13">
        <v>501</v>
      </c>
      <c r="E1418" s="32" t="str">
        <f>INDEX([1]道具配置表!$D:$D,MATCH(D1418,[1]道具配置表!$A:$A,0))</f>
        <v>1千资源自选宝箱</v>
      </c>
      <c r="F1418" s="59" t="s">
        <v>886</v>
      </c>
      <c r="K1418" s="13">
        <v>1</v>
      </c>
      <c r="L1418" s="13"/>
      <c r="M1418" s="32" t="b">
        <v>1</v>
      </c>
    </row>
    <row r="1419" spans="1:13" s="4" customFormat="1" x14ac:dyDescent="0.25">
      <c r="A1419" s="32"/>
      <c r="B1419" s="32"/>
      <c r="D1419" s="13">
        <v>6120</v>
      </c>
      <c r="E1419" s="32" t="str">
        <f>INDEX([1]道具配置表!$D:$D,MATCH(D1419,[1]道具配置表!$A:$A,0))</f>
        <v>1分钟建造加速</v>
      </c>
      <c r="F1419" s="59" t="s">
        <v>862</v>
      </c>
      <c r="K1419" s="13">
        <v>1</v>
      </c>
      <c r="L1419" s="13"/>
      <c r="M1419" s="32" t="b">
        <v>1</v>
      </c>
    </row>
    <row r="1420" spans="1:13" s="4" customFormat="1" x14ac:dyDescent="0.25">
      <c r="A1420" s="32"/>
      <c r="B1420" s="32"/>
      <c r="D1420" s="13">
        <v>6160</v>
      </c>
      <c r="E1420" s="32" t="str">
        <f>INDEX([1]道具配置表!$D:$D,MATCH(D1420,[1]道具配置表!$A:$A,0))</f>
        <v>1分钟训练加速</v>
      </c>
      <c r="F1420" s="59" t="s">
        <v>862</v>
      </c>
      <c r="K1420" s="13">
        <v>1</v>
      </c>
      <c r="L1420" s="13"/>
      <c r="M1420" s="32" t="b">
        <v>1</v>
      </c>
    </row>
    <row r="1421" spans="1:13" s="4" customFormat="1" x14ac:dyDescent="0.25">
      <c r="A1421" s="32">
        <v>6607118</v>
      </c>
      <c r="B1421" s="32" t="s">
        <v>386</v>
      </c>
      <c r="D1421" s="13">
        <v>501</v>
      </c>
      <c r="E1421" s="32" t="str">
        <f>INDEX([1]道具配置表!$D:$D,MATCH(D1421,[1]道具配置表!$A:$A,0))</f>
        <v>1千资源自选宝箱</v>
      </c>
      <c r="F1421" s="59" t="s">
        <v>887</v>
      </c>
      <c r="K1421" s="13">
        <v>1</v>
      </c>
      <c r="L1421" s="13"/>
      <c r="M1421" s="32" t="b">
        <v>1</v>
      </c>
    </row>
    <row r="1422" spans="1:13" s="4" customFormat="1" x14ac:dyDescent="0.25">
      <c r="A1422" s="32"/>
      <c r="B1422" s="32"/>
      <c r="D1422" s="13">
        <v>6120</v>
      </c>
      <c r="E1422" s="32" t="str">
        <f>INDEX([1]道具配置表!$D:$D,MATCH(D1422,[1]道具配置表!$A:$A,0))</f>
        <v>1分钟建造加速</v>
      </c>
      <c r="F1422" s="59" t="s">
        <v>862</v>
      </c>
      <c r="K1422" s="13">
        <v>1</v>
      </c>
      <c r="L1422" s="13"/>
      <c r="M1422" s="32" t="b">
        <v>1</v>
      </c>
    </row>
    <row r="1423" spans="1:13" s="4" customFormat="1" x14ac:dyDescent="0.25">
      <c r="A1423" s="32"/>
      <c r="B1423" s="32"/>
      <c r="D1423" s="13">
        <v>6160</v>
      </c>
      <c r="E1423" s="32" t="str">
        <f>INDEX([1]道具配置表!$D:$D,MATCH(D1423,[1]道具配置表!$A:$A,0))</f>
        <v>1分钟训练加速</v>
      </c>
      <c r="F1423" s="59" t="s">
        <v>862</v>
      </c>
      <c r="K1423" s="13">
        <v>1</v>
      </c>
      <c r="L1423" s="13"/>
      <c r="M1423" s="32" t="b">
        <v>1</v>
      </c>
    </row>
    <row r="1424" spans="1:13" s="4" customFormat="1" x14ac:dyDescent="0.25">
      <c r="A1424" s="32">
        <v>6607119</v>
      </c>
      <c r="B1424" s="32" t="s">
        <v>387</v>
      </c>
      <c r="D1424" s="13">
        <v>501</v>
      </c>
      <c r="E1424" s="32" t="str">
        <f>INDEX([1]道具配置表!$D:$D,MATCH(D1424,[1]道具配置表!$A:$A,0))</f>
        <v>1千资源自选宝箱</v>
      </c>
      <c r="F1424" s="59" t="s">
        <v>888</v>
      </c>
      <c r="K1424" s="13">
        <v>1</v>
      </c>
      <c r="L1424" s="13"/>
      <c r="M1424" s="32" t="b">
        <v>1</v>
      </c>
    </row>
    <row r="1425" spans="1:13" s="4" customFormat="1" x14ac:dyDescent="0.25">
      <c r="A1425" s="32"/>
      <c r="B1425" s="32"/>
      <c r="D1425" s="13">
        <v>6120</v>
      </c>
      <c r="E1425" s="32" t="str">
        <f>INDEX([1]道具配置表!$D:$D,MATCH(D1425,[1]道具配置表!$A:$A,0))</f>
        <v>1分钟建造加速</v>
      </c>
      <c r="F1425" s="59" t="s">
        <v>862</v>
      </c>
      <c r="K1425" s="13">
        <v>1</v>
      </c>
      <c r="L1425" s="13"/>
      <c r="M1425" s="32" t="b">
        <v>1</v>
      </c>
    </row>
    <row r="1426" spans="1:13" s="4" customFormat="1" x14ac:dyDescent="0.25">
      <c r="A1426" s="32"/>
      <c r="B1426" s="32"/>
      <c r="D1426" s="13">
        <v>6160</v>
      </c>
      <c r="E1426" s="32" t="str">
        <f>INDEX([1]道具配置表!$D:$D,MATCH(D1426,[1]道具配置表!$A:$A,0))</f>
        <v>1分钟训练加速</v>
      </c>
      <c r="F1426" s="59" t="s">
        <v>862</v>
      </c>
      <c r="K1426" s="13">
        <v>1</v>
      </c>
      <c r="L1426" s="13"/>
      <c r="M1426" s="32" t="b">
        <v>1</v>
      </c>
    </row>
    <row r="1427" spans="1:13" s="4" customFormat="1" x14ac:dyDescent="0.25">
      <c r="A1427" s="32">
        <v>6607120</v>
      </c>
      <c r="B1427" s="32" t="s">
        <v>388</v>
      </c>
      <c r="D1427" s="13">
        <v>501</v>
      </c>
      <c r="E1427" s="32" t="str">
        <f>INDEX([1]道具配置表!$D:$D,MATCH(D1427,[1]道具配置表!$A:$A,0))</f>
        <v>1千资源自选宝箱</v>
      </c>
      <c r="F1427" s="59" t="s">
        <v>889</v>
      </c>
      <c r="K1427" s="13">
        <v>1</v>
      </c>
      <c r="L1427" s="13"/>
      <c r="M1427" s="32" t="b">
        <v>1</v>
      </c>
    </row>
    <row r="1428" spans="1:13" s="4" customFormat="1" x14ac:dyDescent="0.25">
      <c r="A1428" s="32"/>
      <c r="B1428" s="32"/>
      <c r="D1428" s="13">
        <v>6120</v>
      </c>
      <c r="E1428" s="32" t="str">
        <f>INDEX([1]道具配置表!$D:$D,MATCH(D1428,[1]道具配置表!$A:$A,0))</f>
        <v>1分钟建造加速</v>
      </c>
      <c r="F1428" s="59" t="s">
        <v>862</v>
      </c>
      <c r="K1428" s="13">
        <v>1</v>
      </c>
      <c r="L1428" s="13"/>
      <c r="M1428" s="32" t="b">
        <v>1</v>
      </c>
    </row>
    <row r="1429" spans="1:13" s="4" customFormat="1" x14ac:dyDescent="0.25">
      <c r="A1429" s="32"/>
      <c r="B1429" s="32"/>
      <c r="D1429" s="13">
        <v>6160</v>
      </c>
      <c r="E1429" s="32" t="str">
        <f>INDEX([1]道具配置表!$D:$D,MATCH(D1429,[1]道具配置表!$A:$A,0))</f>
        <v>1分钟训练加速</v>
      </c>
      <c r="F1429" s="59" t="s">
        <v>865</v>
      </c>
      <c r="K1429" s="13">
        <v>1</v>
      </c>
      <c r="L1429" s="13"/>
      <c r="M1429" s="32" t="b">
        <v>1</v>
      </c>
    </row>
    <row r="1430" spans="1:13" s="4" customFormat="1" x14ac:dyDescent="0.25">
      <c r="A1430" s="32">
        <v>6607121</v>
      </c>
      <c r="B1430" s="32" t="s">
        <v>389</v>
      </c>
      <c r="D1430" s="13">
        <v>501</v>
      </c>
      <c r="E1430" s="32" t="str">
        <f>INDEX([1]道具配置表!$D:$D,MATCH(D1430,[1]道具配置表!$A:$A,0))</f>
        <v>1千资源自选宝箱</v>
      </c>
      <c r="F1430" s="59" t="s">
        <v>890</v>
      </c>
      <c r="K1430" s="13">
        <v>1</v>
      </c>
      <c r="L1430" s="13"/>
      <c r="M1430" s="32" t="b">
        <v>1</v>
      </c>
    </row>
    <row r="1431" spans="1:13" s="4" customFormat="1" x14ac:dyDescent="0.25">
      <c r="A1431" s="32"/>
      <c r="B1431" s="32"/>
      <c r="D1431" s="13">
        <v>6120</v>
      </c>
      <c r="E1431" s="32" t="str">
        <f>INDEX([1]道具配置表!$D:$D,MATCH(D1431,[1]道具配置表!$A:$A,0))</f>
        <v>1分钟建造加速</v>
      </c>
      <c r="F1431" s="59" t="s">
        <v>862</v>
      </c>
      <c r="K1431" s="13">
        <v>1</v>
      </c>
      <c r="L1431" s="13"/>
      <c r="M1431" s="32" t="b">
        <v>1</v>
      </c>
    </row>
    <row r="1432" spans="1:13" s="4" customFormat="1" x14ac:dyDescent="0.25">
      <c r="A1432" s="32"/>
      <c r="B1432" s="32"/>
      <c r="D1432" s="13">
        <v>6160</v>
      </c>
      <c r="E1432" s="32" t="str">
        <f>INDEX([1]道具配置表!$D:$D,MATCH(D1432,[1]道具配置表!$A:$A,0))</f>
        <v>1分钟训练加速</v>
      </c>
      <c r="F1432" s="59" t="s">
        <v>865</v>
      </c>
      <c r="K1432" s="13">
        <v>1</v>
      </c>
      <c r="L1432" s="13"/>
      <c r="M1432" s="32" t="b">
        <v>1</v>
      </c>
    </row>
    <row r="1433" spans="1:13" s="4" customFormat="1" x14ac:dyDescent="0.25">
      <c r="A1433" s="32">
        <v>6607122</v>
      </c>
      <c r="B1433" s="32" t="s">
        <v>390</v>
      </c>
      <c r="D1433" s="13">
        <v>501</v>
      </c>
      <c r="E1433" s="32" t="str">
        <f>INDEX([1]道具配置表!$D:$D,MATCH(D1433,[1]道具配置表!$A:$A,0))</f>
        <v>1千资源自选宝箱</v>
      </c>
      <c r="F1433" s="59" t="s">
        <v>891</v>
      </c>
      <c r="K1433" s="13">
        <v>1</v>
      </c>
      <c r="L1433" s="13"/>
      <c r="M1433" s="32" t="b">
        <v>1</v>
      </c>
    </row>
    <row r="1434" spans="1:13" s="4" customFormat="1" x14ac:dyDescent="0.25">
      <c r="A1434" s="32"/>
      <c r="B1434" s="32"/>
      <c r="D1434" s="13">
        <v>6120</v>
      </c>
      <c r="E1434" s="32" t="str">
        <f>INDEX([1]道具配置表!$D:$D,MATCH(D1434,[1]道具配置表!$A:$A,0))</f>
        <v>1分钟建造加速</v>
      </c>
      <c r="F1434" s="59" t="s">
        <v>862</v>
      </c>
      <c r="K1434" s="13">
        <v>1</v>
      </c>
      <c r="L1434" s="13"/>
      <c r="M1434" s="32" t="b">
        <v>1</v>
      </c>
    </row>
    <row r="1435" spans="1:13" s="4" customFormat="1" x14ac:dyDescent="0.25">
      <c r="A1435" s="32"/>
      <c r="B1435" s="32"/>
      <c r="D1435" s="13">
        <v>6160</v>
      </c>
      <c r="E1435" s="32" t="str">
        <f>INDEX([1]道具配置表!$D:$D,MATCH(D1435,[1]道具配置表!$A:$A,0))</f>
        <v>1分钟训练加速</v>
      </c>
      <c r="F1435" s="59" t="s">
        <v>865</v>
      </c>
      <c r="K1435" s="13">
        <v>1</v>
      </c>
      <c r="L1435" s="13"/>
      <c r="M1435" s="32" t="b">
        <v>1</v>
      </c>
    </row>
    <row r="1436" spans="1:13" s="4" customFormat="1" x14ac:dyDescent="0.25">
      <c r="A1436" s="32">
        <v>6607123</v>
      </c>
      <c r="B1436" s="32" t="s">
        <v>391</v>
      </c>
      <c r="D1436" s="13">
        <v>501</v>
      </c>
      <c r="E1436" s="32" t="str">
        <f>INDEX([1]道具配置表!$D:$D,MATCH(D1436,[1]道具配置表!$A:$A,0))</f>
        <v>1千资源自选宝箱</v>
      </c>
      <c r="F1436" s="59" t="s">
        <v>892</v>
      </c>
      <c r="K1436" s="13">
        <v>1</v>
      </c>
      <c r="L1436" s="13"/>
      <c r="M1436" s="32" t="b">
        <v>1</v>
      </c>
    </row>
    <row r="1437" spans="1:13" s="4" customFormat="1" x14ac:dyDescent="0.25">
      <c r="A1437" s="32"/>
      <c r="B1437" s="32"/>
      <c r="D1437" s="13">
        <v>6120</v>
      </c>
      <c r="E1437" s="32" t="str">
        <f>INDEX([1]道具配置表!$D:$D,MATCH(D1437,[1]道具配置表!$A:$A,0))</f>
        <v>1分钟建造加速</v>
      </c>
      <c r="F1437" s="59" t="s">
        <v>862</v>
      </c>
      <c r="K1437" s="13">
        <v>1</v>
      </c>
      <c r="L1437" s="13"/>
      <c r="M1437" s="32" t="b">
        <v>1</v>
      </c>
    </row>
    <row r="1438" spans="1:13" s="4" customFormat="1" x14ac:dyDescent="0.25">
      <c r="A1438" s="32"/>
      <c r="B1438" s="32"/>
      <c r="D1438" s="13">
        <v>6160</v>
      </c>
      <c r="E1438" s="32" t="str">
        <f>INDEX([1]道具配置表!$D:$D,MATCH(D1438,[1]道具配置表!$A:$A,0))</f>
        <v>1分钟训练加速</v>
      </c>
      <c r="F1438" s="59" t="s">
        <v>865</v>
      </c>
      <c r="K1438" s="13">
        <v>1</v>
      </c>
      <c r="L1438" s="13"/>
      <c r="M1438" s="32" t="b">
        <v>1</v>
      </c>
    </row>
    <row r="1439" spans="1:13" s="4" customFormat="1" x14ac:dyDescent="0.25">
      <c r="A1439" s="32">
        <v>6607124</v>
      </c>
      <c r="B1439" s="32" t="s">
        <v>392</v>
      </c>
      <c r="D1439" s="13">
        <v>501</v>
      </c>
      <c r="E1439" s="32" t="str">
        <f>INDEX([1]道具配置表!$D:$D,MATCH(D1439,[1]道具配置表!$A:$A,0))</f>
        <v>1千资源自选宝箱</v>
      </c>
      <c r="F1439" s="59" t="s">
        <v>893</v>
      </c>
      <c r="K1439" s="13">
        <v>1</v>
      </c>
      <c r="L1439" s="13"/>
      <c r="M1439" s="32" t="b">
        <v>1</v>
      </c>
    </row>
    <row r="1440" spans="1:13" s="4" customFormat="1" x14ac:dyDescent="0.25">
      <c r="A1440" s="32"/>
      <c r="B1440" s="32"/>
      <c r="D1440" s="13">
        <v>6120</v>
      </c>
      <c r="E1440" s="32" t="str">
        <f>INDEX([1]道具配置表!$D:$D,MATCH(D1440,[1]道具配置表!$A:$A,0))</f>
        <v>1分钟建造加速</v>
      </c>
      <c r="F1440" s="59" t="s">
        <v>862</v>
      </c>
      <c r="K1440" s="13">
        <v>1</v>
      </c>
      <c r="L1440" s="13"/>
      <c r="M1440" s="32" t="b">
        <v>1</v>
      </c>
    </row>
    <row r="1441" spans="1:13" s="4" customFormat="1" x14ac:dyDescent="0.25">
      <c r="A1441" s="32"/>
      <c r="B1441" s="32"/>
      <c r="D1441" s="13">
        <v>6160</v>
      </c>
      <c r="E1441" s="32" t="str">
        <f>INDEX([1]道具配置表!$D:$D,MATCH(D1441,[1]道具配置表!$A:$A,0))</f>
        <v>1分钟训练加速</v>
      </c>
      <c r="F1441" s="59" t="s">
        <v>865</v>
      </c>
      <c r="K1441" s="13">
        <v>1</v>
      </c>
      <c r="L1441" s="13"/>
      <c r="M1441" s="32" t="b">
        <v>1</v>
      </c>
    </row>
    <row r="1442" spans="1:13" s="4" customFormat="1" x14ac:dyDescent="0.25">
      <c r="A1442" s="32">
        <v>6607125</v>
      </c>
      <c r="B1442" s="32" t="s">
        <v>393</v>
      </c>
      <c r="D1442" s="13">
        <v>501</v>
      </c>
      <c r="E1442" s="32" t="str">
        <f>INDEX([1]道具配置表!$D:$D,MATCH(D1442,[1]道具配置表!$A:$A,0))</f>
        <v>1千资源自选宝箱</v>
      </c>
      <c r="F1442" s="59" t="s">
        <v>894</v>
      </c>
      <c r="K1442" s="13">
        <v>1</v>
      </c>
      <c r="L1442" s="13"/>
      <c r="M1442" s="32" t="b">
        <v>1</v>
      </c>
    </row>
    <row r="1443" spans="1:13" s="4" customFormat="1" x14ac:dyDescent="0.25">
      <c r="A1443" s="32"/>
      <c r="B1443" s="32"/>
      <c r="D1443" s="13">
        <v>6120</v>
      </c>
      <c r="E1443" s="32" t="str">
        <f>INDEX([1]道具配置表!$D:$D,MATCH(D1443,[1]道具配置表!$A:$A,0))</f>
        <v>1分钟建造加速</v>
      </c>
      <c r="F1443" s="59" t="s">
        <v>862</v>
      </c>
      <c r="K1443" s="13">
        <v>1</v>
      </c>
      <c r="L1443" s="13"/>
      <c r="M1443" s="32" t="b">
        <v>1</v>
      </c>
    </row>
    <row r="1444" spans="1:13" s="4" customFormat="1" x14ac:dyDescent="0.25">
      <c r="A1444" s="32"/>
      <c r="B1444" s="32"/>
      <c r="D1444" s="13">
        <v>6160</v>
      </c>
      <c r="E1444" s="32" t="str">
        <f>INDEX([1]道具配置表!$D:$D,MATCH(D1444,[1]道具配置表!$A:$A,0))</f>
        <v>1分钟训练加速</v>
      </c>
      <c r="F1444" s="59" t="s">
        <v>865</v>
      </c>
      <c r="K1444" s="13">
        <v>1</v>
      </c>
      <c r="L1444" s="13"/>
      <c r="M1444" s="32" t="b">
        <v>1</v>
      </c>
    </row>
    <row r="1445" spans="1:13" s="4" customFormat="1" x14ac:dyDescent="0.25">
      <c r="A1445" s="32">
        <v>6607126</v>
      </c>
      <c r="B1445" s="32" t="s">
        <v>394</v>
      </c>
      <c r="D1445" s="13">
        <v>501</v>
      </c>
      <c r="E1445" s="32" t="str">
        <f>INDEX([1]道具配置表!$D:$D,MATCH(D1445,[1]道具配置表!$A:$A,0))</f>
        <v>1千资源自选宝箱</v>
      </c>
      <c r="F1445" s="59" t="s">
        <v>895</v>
      </c>
      <c r="K1445" s="13">
        <v>1</v>
      </c>
      <c r="L1445" s="13"/>
      <c r="M1445" s="32" t="b">
        <v>1</v>
      </c>
    </row>
    <row r="1446" spans="1:13" s="4" customFormat="1" x14ac:dyDescent="0.25">
      <c r="A1446" s="32"/>
      <c r="B1446" s="32"/>
      <c r="D1446" s="13">
        <v>6120</v>
      </c>
      <c r="E1446" s="32" t="str">
        <f>INDEX([1]道具配置表!$D:$D,MATCH(D1446,[1]道具配置表!$A:$A,0))</f>
        <v>1分钟建造加速</v>
      </c>
      <c r="F1446" s="59" t="s">
        <v>862</v>
      </c>
      <c r="K1446" s="13">
        <v>1</v>
      </c>
      <c r="L1446" s="13"/>
      <c r="M1446" s="32" t="b">
        <v>1</v>
      </c>
    </row>
    <row r="1447" spans="1:13" s="4" customFormat="1" x14ac:dyDescent="0.25">
      <c r="A1447" s="32"/>
      <c r="B1447" s="32"/>
      <c r="D1447" s="13">
        <v>6160</v>
      </c>
      <c r="E1447" s="32" t="str">
        <f>INDEX([1]道具配置表!$D:$D,MATCH(D1447,[1]道具配置表!$A:$A,0))</f>
        <v>1分钟训练加速</v>
      </c>
      <c r="F1447" s="59" t="s">
        <v>865</v>
      </c>
      <c r="K1447" s="13">
        <v>1</v>
      </c>
      <c r="L1447" s="13"/>
      <c r="M1447" s="32" t="b">
        <v>1</v>
      </c>
    </row>
    <row r="1448" spans="1:13" s="4" customFormat="1" x14ac:dyDescent="0.25">
      <c r="A1448" s="32">
        <v>6607127</v>
      </c>
      <c r="B1448" s="32" t="s">
        <v>395</v>
      </c>
      <c r="D1448" s="13">
        <v>501</v>
      </c>
      <c r="E1448" s="32" t="str">
        <f>INDEX([1]道具配置表!$D:$D,MATCH(D1448,[1]道具配置表!$A:$A,0))</f>
        <v>1千资源自选宝箱</v>
      </c>
      <c r="F1448" s="59" t="s">
        <v>896</v>
      </c>
      <c r="K1448" s="13">
        <v>1</v>
      </c>
      <c r="L1448" s="13"/>
      <c r="M1448" s="32" t="b">
        <v>1</v>
      </c>
    </row>
    <row r="1449" spans="1:13" s="4" customFormat="1" x14ac:dyDescent="0.25">
      <c r="A1449" s="32"/>
      <c r="B1449" s="32"/>
      <c r="D1449" s="13">
        <v>6120</v>
      </c>
      <c r="E1449" s="32" t="str">
        <f>INDEX([1]道具配置表!$D:$D,MATCH(D1449,[1]道具配置表!$A:$A,0))</f>
        <v>1分钟建造加速</v>
      </c>
      <c r="F1449" s="59" t="s">
        <v>862</v>
      </c>
      <c r="K1449" s="13">
        <v>1</v>
      </c>
      <c r="L1449" s="13"/>
      <c r="M1449" s="32" t="b">
        <v>1</v>
      </c>
    </row>
    <row r="1450" spans="1:13" s="4" customFormat="1" x14ac:dyDescent="0.25">
      <c r="A1450" s="32"/>
      <c r="B1450" s="32"/>
      <c r="D1450" s="13">
        <v>6160</v>
      </c>
      <c r="E1450" s="32" t="str">
        <f>INDEX([1]道具配置表!$D:$D,MATCH(D1450,[1]道具配置表!$A:$A,0))</f>
        <v>1分钟训练加速</v>
      </c>
      <c r="F1450" s="59" t="s">
        <v>865</v>
      </c>
      <c r="K1450" s="13">
        <v>1</v>
      </c>
      <c r="L1450" s="13"/>
      <c r="M1450" s="32" t="b">
        <v>1</v>
      </c>
    </row>
    <row r="1451" spans="1:13" s="4" customFormat="1" x14ac:dyDescent="0.25">
      <c r="A1451" s="32">
        <v>6607128</v>
      </c>
      <c r="B1451" s="32" t="s">
        <v>396</v>
      </c>
      <c r="D1451" s="13">
        <v>501</v>
      </c>
      <c r="E1451" s="32" t="str">
        <f>INDEX([1]道具配置表!$D:$D,MATCH(D1451,[1]道具配置表!$A:$A,0))</f>
        <v>1千资源自选宝箱</v>
      </c>
      <c r="F1451" s="59" t="s">
        <v>897</v>
      </c>
      <c r="K1451" s="13">
        <v>1</v>
      </c>
      <c r="L1451" s="13"/>
      <c r="M1451" s="32" t="b">
        <v>1</v>
      </c>
    </row>
    <row r="1452" spans="1:13" s="4" customFormat="1" x14ac:dyDescent="0.25">
      <c r="A1452" s="32"/>
      <c r="B1452" s="32"/>
      <c r="D1452" s="13">
        <v>6120</v>
      </c>
      <c r="E1452" s="32" t="str">
        <f>INDEX([1]道具配置表!$D:$D,MATCH(D1452,[1]道具配置表!$A:$A,0))</f>
        <v>1分钟建造加速</v>
      </c>
      <c r="F1452" s="59" t="s">
        <v>862</v>
      </c>
      <c r="K1452" s="13">
        <v>1</v>
      </c>
      <c r="L1452" s="13"/>
      <c r="M1452" s="32" t="b">
        <v>1</v>
      </c>
    </row>
    <row r="1453" spans="1:13" s="4" customFormat="1" x14ac:dyDescent="0.25">
      <c r="A1453" s="32"/>
      <c r="B1453" s="32"/>
      <c r="D1453" s="13">
        <v>6160</v>
      </c>
      <c r="E1453" s="32" t="str">
        <f>INDEX([1]道具配置表!$D:$D,MATCH(D1453,[1]道具配置表!$A:$A,0))</f>
        <v>1分钟训练加速</v>
      </c>
      <c r="F1453" s="59" t="s">
        <v>865</v>
      </c>
      <c r="K1453" s="13">
        <v>1</v>
      </c>
      <c r="L1453" s="13"/>
      <c r="M1453" s="32" t="b">
        <v>1</v>
      </c>
    </row>
    <row r="1454" spans="1:13" s="4" customFormat="1" x14ac:dyDescent="0.25">
      <c r="A1454" s="32">
        <v>6607129</v>
      </c>
      <c r="B1454" s="32" t="s">
        <v>397</v>
      </c>
      <c r="D1454" s="13">
        <v>501</v>
      </c>
      <c r="E1454" s="32" t="str">
        <f>INDEX([1]道具配置表!$D:$D,MATCH(D1454,[1]道具配置表!$A:$A,0))</f>
        <v>1千资源自选宝箱</v>
      </c>
      <c r="F1454" s="59" t="s">
        <v>898</v>
      </c>
      <c r="K1454" s="13">
        <v>1</v>
      </c>
      <c r="L1454" s="13"/>
      <c r="M1454" s="32" t="b">
        <v>1</v>
      </c>
    </row>
    <row r="1455" spans="1:13" s="4" customFormat="1" x14ac:dyDescent="0.25">
      <c r="A1455" s="32"/>
      <c r="B1455" s="32"/>
      <c r="D1455" s="13">
        <v>6120</v>
      </c>
      <c r="E1455" s="32" t="str">
        <f>INDEX([1]道具配置表!$D:$D,MATCH(D1455,[1]道具配置表!$A:$A,0))</f>
        <v>1分钟建造加速</v>
      </c>
      <c r="F1455" s="59" t="s">
        <v>862</v>
      </c>
      <c r="K1455" s="13">
        <v>1</v>
      </c>
      <c r="L1455" s="13"/>
      <c r="M1455" s="32" t="b">
        <v>1</v>
      </c>
    </row>
    <row r="1456" spans="1:13" s="4" customFormat="1" x14ac:dyDescent="0.25">
      <c r="A1456" s="32"/>
      <c r="B1456" s="32"/>
      <c r="D1456" s="13">
        <v>6160</v>
      </c>
      <c r="E1456" s="32" t="str">
        <f>INDEX([1]道具配置表!$D:$D,MATCH(D1456,[1]道具配置表!$A:$A,0))</f>
        <v>1分钟训练加速</v>
      </c>
      <c r="F1456" s="59" t="s">
        <v>865</v>
      </c>
      <c r="K1456" s="13">
        <v>1</v>
      </c>
      <c r="L1456" s="13"/>
      <c r="M1456" s="32" t="b">
        <v>1</v>
      </c>
    </row>
    <row r="1457" spans="1:13" s="4" customFormat="1" x14ac:dyDescent="0.25">
      <c r="A1457" s="32">
        <v>6607130</v>
      </c>
      <c r="B1457" s="32" t="s">
        <v>398</v>
      </c>
      <c r="D1457" s="13">
        <v>501</v>
      </c>
      <c r="E1457" s="32" t="str">
        <f>INDEX([1]道具配置表!$D:$D,MATCH(D1457,[1]道具配置表!$A:$A,0))</f>
        <v>1千资源自选宝箱</v>
      </c>
      <c r="F1457" s="59" t="s">
        <v>899</v>
      </c>
      <c r="K1457" s="13">
        <v>1</v>
      </c>
      <c r="L1457" s="13"/>
      <c r="M1457" s="32" t="b">
        <v>1</v>
      </c>
    </row>
    <row r="1458" spans="1:13" s="4" customFormat="1" x14ac:dyDescent="0.25">
      <c r="A1458" s="32"/>
      <c r="B1458" s="32"/>
      <c r="D1458" s="13">
        <v>6120</v>
      </c>
      <c r="E1458" s="32" t="str">
        <f>INDEX([1]道具配置表!$D:$D,MATCH(D1458,[1]道具配置表!$A:$A,0))</f>
        <v>1分钟建造加速</v>
      </c>
      <c r="F1458" s="59" t="s">
        <v>865</v>
      </c>
      <c r="K1458" s="13">
        <v>1</v>
      </c>
      <c r="L1458" s="13"/>
      <c r="M1458" s="32" t="b">
        <v>1</v>
      </c>
    </row>
    <row r="1459" spans="1:13" s="4" customFormat="1" x14ac:dyDescent="0.25">
      <c r="A1459" s="32"/>
      <c r="B1459" s="32"/>
      <c r="D1459" s="13">
        <v>6160</v>
      </c>
      <c r="E1459" s="32" t="str">
        <f>INDEX([1]道具配置表!$D:$D,MATCH(D1459,[1]道具配置表!$A:$A,0))</f>
        <v>1分钟训练加速</v>
      </c>
      <c r="F1459" s="59" t="s">
        <v>863</v>
      </c>
      <c r="K1459" s="13">
        <v>1</v>
      </c>
      <c r="L1459" s="13"/>
      <c r="M1459" s="32" t="b">
        <v>1</v>
      </c>
    </row>
    <row r="1460" spans="1:13" s="4" customFormat="1" x14ac:dyDescent="0.25">
      <c r="A1460" s="32">
        <v>6607131</v>
      </c>
      <c r="B1460" s="32" t="s">
        <v>399</v>
      </c>
      <c r="D1460" s="13">
        <v>501</v>
      </c>
      <c r="E1460" s="32" t="str">
        <f>INDEX([1]道具配置表!$D:$D,MATCH(D1460,[1]道具配置表!$A:$A,0))</f>
        <v>1千资源自选宝箱</v>
      </c>
      <c r="F1460" s="59" t="s">
        <v>900</v>
      </c>
      <c r="K1460" s="13">
        <v>1</v>
      </c>
      <c r="L1460" s="13"/>
      <c r="M1460" s="32" t="b">
        <v>1</v>
      </c>
    </row>
    <row r="1461" spans="1:13" s="4" customFormat="1" x14ac:dyDescent="0.25">
      <c r="A1461" s="32"/>
      <c r="B1461" s="32"/>
      <c r="D1461" s="13">
        <v>6120</v>
      </c>
      <c r="E1461" s="32" t="str">
        <f>INDEX([1]道具配置表!$D:$D,MATCH(D1461,[1]道具配置表!$A:$A,0))</f>
        <v>1分钟建造加速</v>
      </c>
      <c r="F1461" s="59" t="s">
        <v>865</v>
      </c>
      <c r="K1461" s="13">
        <v>1</v>
      </c>
      <c r="L1461" s="13"/>
      <c r="M1461" s="32" t="b">
        <v>1</v>
      </c>
    </row>
    <row r="1462" spans="1:13" s="4" customFormat="1" x14ac:dyDescent="0.25">
      <c r="A1462" s="32"/>
      <c r="B1462" s="32"/>
      <c r="D1462" s="13">
        <v>6160</v>
      </c>
      <c r="E1462" s="32" t="str">
        <f>INDEX([1]道具配置表!$D:$D,MATCH(D1462,[1]道具配置表!$A:$A,0))</f>
        <v>1分钟训练加速</v>
      </c>
      <c r="F1462" s="59" t="s">
        <v>863</v>
      </c>
      <c r="K1462" s="13">
        <v>1</v>
      </c>
      <c r="L1462" s="13"/>
      <c r="M1462" s="32" t="b">
        <v>1</v>
      </c>
    </row>
    <row r="1463" spans="1:13" s="4" customFormat="1" x14ac:dyDescent="0.25">
      <c r="A1463" s="32">
        <v>6607132</v>
      </c>
      <c r="B1463" s="32" t="s">
        <v>400</v>
      </c>
      <c r="D1463" s="13">
        <v>501</v>
      </c>
      <c r="E1463" s="32" t="str">
        <f>INDEX([1]道具配置表!$D:$D,MATCH(D1463,[1]道具配置表!$A:$A,0))</f>
        <v>1千资源自选宝箱</v>
      </c>
      <c r="F1463" s="59" t="s">
        <v>901</v>
      </c>
      <c r="K1463" s="13">
        <v>1</v>
      </c>
      <c r="L1463" s="13"/>
      <c r="M1463" s="32" t="b">
        <v>1</v>
      </c>
    </row>
    <row r="1464" spans="1:13" s="4" customFormat="1" x14ac:dyDescent="0.25">
      <c r="A1464" s="32"/>
      <c r="B1464" s="32"/>
      <c r="D1464" s="13">
        <v>6120</v>
      </c>
      <c r="E1464" s="32" t="str">
        <f>INDEX([1]道具配置表!$D:$D,MATCH(D1464,[1]道具配置表!$A:$A,0))</f>
        <v>1分钟建造加速</v>
      </c>
      <c r="F1464" s="59" t="s">
        <v>865</v>
      </c>
      <c r="K1464" s="13">
        <v>1</v>
      </c>
      <c r="L1464" s="13"/>
      <c r="M1464" s="32" t="b">
        <v>1</v>
      </c>
    </row>
    <row r="1465" spans="1:13" s="4" customFormat="1" x14ac:dyDescent="0.25">
      <c r="A1465" s="32"/>
      <c r="B1465" s="32"/>
      <c r="D1465" s="13">
        <v>6160</v>
      </c>
      <c r="E1465" s="32" t="str">
        <f>INDEX([1]道具配置表!$D:$D,MATCH(D1465,[1]道具配置表!$A:$A,0))</f>
        <v>1分钟训练加速</v>
      </c>
      <c r="F1465" s="59" t="s">
        <v>863</v>
      </c>
      <c r="K1465" s="13">
        <v>1</v>
      </c>
      <c r="L1465" s="13"/>
      <c r="M1465" s="32" t="b">
        <v>1</v>
      </c>
    </row>
    <row r="1466" spans="1:13" s="4" customFormat="1" x14ac:dyDescent="0.25">
      <c r="A1466" s="32">
        <v>6607133</v>
      </c>
      <c r="B1466" s="32" t="s">
        <v>401</v>
      </c>
      <c r="D1466" s="13">
        <v>501</v>
      </c>
      <c r="E1466" s="32" t="str">
        <f>INDEX([1]道具配置表!$D:$D,MATCH(D1466,[1]道具配置表!$A:$A,0))</f>
        <v>1千资源自选宝箱</v>
      </c>
      <c r="F1466" s="59" t="s">
        <v>902</v>
      </c>
      <c r="K1466" s="13">
        <v>1</v>
      </c>
      <c r="L1466" s="13"/>
      <c r="M1466" s="32" t="b">
        <v>1</v>
      </c>
    </row>
    <row r="1467" spans="1:13" s="4" customFormat="1" x14ac:dyDescent="0.25">
      <c r="A1467" s="32"/>
      <c r="B1467" s="32"/>
      <c r="D1467" s="13">
        <v>6120</v>
      </c>
      <c r="E1467" s="32" t="str">
        <f>INDEX([1]道具配置表!$D:$D,MATCH(D1467,[1]道具配置表!$A:$A,0))</f>
        <v>1分钟建造加速</v>
      </c>
      <c r="F1467" s="59" t="s">
        <v>865</v>
      </c>
      <c r="K1467" s="13">
        <v>1</v>
      </c>
      <c r="L1467" s="13"/>
      <c r="M1467" s="32" t="b">
        <v>1</v>
      </c>
    </row>
    <row r="1468" spans="1:13" s="4" customFormat="1" x14ac:dyDescent="0.25">
      <c r="A1468" s="32"/>
      <c r="B1468" s="32"/>
      <c r="D1468" s="13">
        <v>6160</v>
      </c>
      <c r="E1468" s="32" t="str">
        <f>INDEX([1]道具配置表!$D:$D,MATCH(D1468,[1]道具配置表!$A:$A,0))</f>
        <v>1分钟训练加速</v>
      </c>
      <c r="F1468" s="59" t="s">
        <v>863</v>
      </c>
      <c r="K1468" s="13">
        <v>1</v>
      </c>
      <c r="L1468" s="13"/>
      <c r="M1468" s="32" t="b">
        <v>1</v>
      </c>
    </row>
    <row r="1469" spans="1:13" s="4" customFormat="1" x14ac:dyDescent="0.25">
      <c r="A1469" s="32">
        <v>6607134</v>
      </c>
      <c r="B1469" s="32" t="s">
        <v>402</v>
      </c>
      <c r="D1469" s="13">
        <v>501</v>
      </c>
      <c r="E1469" s="32" t="str">
        <f>INDEX([1]道具配置表!$D:$D,MATCH(D1469,[1]道具配置表!$A:$A,0))</f>
        <v>1千资源自选宝箱</v>
      </c>
      <c r="F1469" s="59" t="s">
        <v>903</v>
      </c>
      <c r="K1469" s="13">
        <v>1</v>
      </c>
      <c r="L1469" s="13"/>
      <c r="M1469" s="32" t="b">
        <v>1</v>
      </c>
    </row>
    <row r="1470" spans="1:13" s="4" customFormat="1" x14ac:dyDescent="0.25">
      <c r="A1470" s="32"/>
      <c r="B1470" s="32"/>
      <c r="D1470" s="13">
        <v>6120</v>
      </c>
      <c r="E1470" s="32" t="str">
        <f>INDEX([1]道具配置表!$D:$D,MATCH(D1470,[1]道具配置表!$A:$A,0))</f>
        <v>1分钟建造加速</v>
      </c>
      <c r="F1470" s="59" t="s">
        <v>865</v>
      </c>
      <c r="K1470" s="13">
        <v>1</v>
      </c>
      <c r="L1470" s="13"/>
      <c r="M1470" s="32" t="b">
        <v>1</v>
      </c>
    </row>
    <row r="1471" spans="1:13" s="4" customFormat="1" x14ac:dyDescent="0.25">
      <c r="A1471" s="32"/>
      <c r="B1471" s="32"/>
      <c r="D1471" s="13">
        <v>6160</v>
      </c>
      <c r="E1471" s="32" t="str">
        <f>INDEX([1]道具配置表!$D:$D,MATCH(D1471,[1]道具配置表!$A:$A,0))</f>
        <v>1分钟训练加速</v>
      </c>
      <c r="F1471" s="59" t="s">
        <v>863</v>
      </c>
      <c r="K1471" s="13">
        <v>1</v>
      </c>
      <c r="L1471" s="13"/>
      <c r="M1471" s="32" t="b">
        <v>1</v>
      </c>
    </row>
    <row r="1472" spans="1:13" s="4" customFormat="1" x14ac:dyDescent="0.25">
      <c r="A1472" s="32">
        <v>6607135</v>
      </c>
      <c r="B1472" s="32" t="s">
        <v>403</v>
      </c>
      <c r="D1472" s="13">
        <v>501</v>
      </c>
      <c r="E1472" s="32" t="str">
        <f>INDEX([1]道具配置表!$D:$D,MATCH(D1472,[1]道具配置表!$A:$A,0))</f>
        <v>1千资源自选宝箱</v>
      </c>
      <c r="F1472" s="59" t="s">
        <v>904</v>
      </c>
      <c r="K1472" s="13">
        <v>1</v>
      </c>
      <c r="L1472" s="13"/>
      <c r="M1472" s="32" t="b">
        <v>1</v>
      </c>
    </row>
    <row r="1473" spans="1:13" s="4" customFormat="1" x14ac:dyDescent="0.25">
      <c r="A1473" s="32"/>
      <c r="B1473" s="32"/>
      <c r="D1473" s="13">
        <v>6120</v>
      </c>
      <c r="E1473" s="32" t="str">
        <f>INDEX([1]道具配置表!$D:$D,MATCH(D1473,[1]道具配置表!$A:$A,0))</f>
        <v>1分钟建造加速</v>
      </c>
      <c r="F1473" s="59" t="s">
        <v>865</v>
      </c>
      <c r="K1473" s="13">
        <v>1</v>
      </c>
      <c r="L1473" s="13"/>
      <c r="M1473" s="32" t="b">
        <v>1</v>
      </c>
    </row>
    <row r="1474" spans="1:13" s="4" customFormat="1" x14ac:dyDescent="0.25">
      <c r="A1474" s="32"/>
      <c r="B1474" s="32"/>
      <c r="D1474" s="13">
        <v>6160</v>
      </c>
      <c r="E1474" s="32" t="str">
        <f>INDEX([1]道具配置表!$D:$D,MATCH(D1474,[1]道具配置表!$A:$A,0))</f>
        <v>1分钟训练加速</v>
      </c>
      <c r="F1474" s="59" t="s">
        <v>863</v>
      </c>
      <c r="K1474" s="13">
        <v>1</v>
      </c>
      <c r="L1474" s="13"/>
      <c r="M1474" s="32" t="b">
        <v>1</v>
      </c>
    </row>
    <row r="1475" spans="1:13" s="4" customFormat="1" x14ac:dyDescent="0.25">
      <c r="A1475" s="32">
        <v>6607136</v>
      </c>
      <c r="B1475" s="32" t="s">
        <v>404</v>
      </c>
      <c r="D1475" s="13">
        <v>501</v>
      </c>
      <c r="E1475" s="32" t="str">
        <f>INDEX([1]道具配置表!$D:$D,MATCH(D1475,[1]道具配置表!$A:$A,0))</f>
        <v>1千资源自选宝箱</v>
      </c>
      <c r="F1475" s="59" t="s">
        <v>905</v>
      </c>
      <c r="K1475" s="13">
        <v>1</v>
      </c>
      <c r="L1475" s="13"/>
      <c r="M1475" s="32" t="b">
        <v>1</v>
      </c>
    </row>
    <row r="1476" spans="1:13" s="4" customFormat="1" x14ac:dyDescent="0.25">
      <c r="A1476" s="32"/>
      <c r="B1476" s="32"/>
      <c r="D1476" s="13">
        <v>6120</v>
      </c>
      <c r="E1476" s="32" t="str">
        <f>INDEX([1]道具配置表!$D:$D,MATCH(D1476,[1]道具配置表!$A:$A,0))</f>
        <v>1分钟建造加速</v>
      </c>
      <c r="F1476" s="59" t="s">
        <v>865</v>
      </c>
      <c r="K1476" s="13">
        <v>1</v>
      </c>
      <c r="L1476" s="13"/>
      <c r="M1476" s="32" t="b">
        <v>1</v>
      </c>
    </row>
    <row r="1477" spans="1:13" s="4" customFormat="1" x14ac:dyDescent="0.25">
      <c r="A1477" s="32"/>
      <c r="B1477" s="32"/>
      <c r="D1477" s="13">
        <v>6160</v>
      </c>
      <c r="E1477" s="32" t="str">
        <f>INDEX([1]道具配置表!$D:$D,MATCH(D1477,[1]道具配置表!$A:$A,0))</f>
        <v>1分钟训练加速</v>
      </c>
      <c r="F1477" s="59" t="s">
        <v>863</v>
      </c>
      <c r="K1477" s="13">
        <v>1</v>
      </c>
      <c r="L1477" s="13"/>
      <c r="M1477" s="32" t="b">
        <v>1</v>
      </c>
    </row>
    <row r="1478" spans="1:13" s="4" customFormat="1" x14ac:dyDescent="0.25">
      <c r="A1478" s="32">
        <v>6607137</v>
      </c>
      <c r="B1478" s="32" t="s">
        <v>405</v>
      </c>
      <c r="D1478" s="13">
        <v>501</v>
      </c>
      <c r="E1478" s="32" t="str">
        <f>INDEX([1]道具配置表!$D:$D,MATCH(D1478,[1]道具配置表!$A:$A,0))</f>
        <v>1千资源自选宝箱</v>
      </c>
      <c r="F1478" s="59" t="s">
        <v>906</v>
      </c>
      <c r="K1478" s="13">
        <v>1</v>
      </c>
      <c r="L1478" s="13"/>
      <c r="M1478" s="32" t="b">
        <v>1</v>
      </c>
    </row>
    <row r="1479" spans="1:13" s="4" customFormat="1" x14ac:dyDescent="0.25">
      <c r="A1479" s="32"/>
      <c r="B1479" s="32"/>
      <c r="D1479" s="13">
        <v>6120</v>
      </c>
      <c r="E1479" s="32" t="str">
        <f>INDEX([1]道具配置表!$D:$D,MATCH(D1479,[1]道具配置表!$A:$A,0))</f>
        <v>1分钟建造加速</v>
      </c>
      <c r="F1479" s="59" t="s">
        <v>865</v>
      </c>
      <c r="K1479" s="13">
        <v>1</v>
      </c>
      <c r="L1479" s="13"/>
      <c r="M1479" s="32" t="b">
        <v>1</v>
      </c>
    </row>
    <row r="1480" spans="1:13" s="4" customFormat="1" x14ac:dyDescent="0.25">
      <c r="A1480" s="32"/>
      <c r="B1480" s="32"/>
      <c r="D1480" s="13">
        <v>6160</v>
      </c>
      <c r="E1480" s="32" t="str">
        <f>INDEX([1]道具配置表!$D:$D,MATCH(D1480,[1]道具配置表!$A:$A,0))</f>
        <v>1分钟训练加速</v>
      </c>
      <c r="F1480" s="59" t="s">
        <v>863</v>
      </c>
      <c r="K1480" s="13">
        <v>1</v>
      </c>
      <c r="L1480" s="13"/>
      <c r="M1480" s="32" t="b">
        <v>1</v>
      </c>
    </row>
    <row r="1481" spans="1:13" s="4" customFormat="1" x14ac:dyDescent="0.25">
      <c r="A1481" s="32">
        <v>6607138</v>
      </c>
      <c r="B1481" s="32" t="s">
        <v>406</v>
      </c>
      <c r="D1481" s="13">
        <v>501</v>
      </c>
      <c r="E1481" s="32" t="str">
        <f>INDEX([1]道具配置表!$D:$D,MATCH(D1481,[1]道具配置表!$A:$A,0))</f>
        <v>1千资源自选宝箱</v>
      </c>
      <c r="F1481" s="59" t="s">
        <v>907</v>
      </c>
      <c r="K1481" s="13">
        <v>1</v>
      </c>
      <c r="L1481" s="13"/>
      <c r="M1481" s="32" t="b">
        <v>1</v>
      </c>
    </row>
    <row r="1482" spans="1:13" s="4" customFormat="1" x14ac:dyDescent="0.25">
      <c r="A1482" s="32"/>
      <c r="B1482" s="32"/>
      <c r="D1482" s="13">
        <v>6120</v>
      </c>
      <c r="E1482" s="32" t="str">
        <f>INDEX([1]道具配置表!$D:$D,MATCH(D1482,[1]道具配置表!$A:$A,0))</f>
        <v>1分钟建造加速</v>
      </c>
      <c r="F1482" s="59" t="s">
        <v>865</v>
      </c>
      <c r="K1482" s="13">
        <v>1</v>
      </c>
      <c r="L1482" s="13"/>
      <c r="M1482" s="32" t="b">
        <v>1</v>
      </c>
    </row>
    <row r="1483" spans="1:13" s="4" customFormat="1" x14ac:dyDescent="0.25">
      <c r="A1483" s="32"/>
      <c r="B1483" s="32"/>
      <c r="D1483" s="13">
        <v>6160</v>
      </c>
      <c r="E1483" s="32" t="str">
        <f>INDEX([1]道具配置表!$D:$D,MATCH(D1483,[1]道具配置表!$A:$A,0))</f>
        <v>1分钟训练加速</v>
      </c>
      <c r="F1483" s="59" t="s">
        <v>863</v>
      </c>
      <c r="K1483" s="13">
        <v>1</v>
      </c>
      <c r="L1483" s="13"/>
      <c r="M1483" s="32" t="b">
        <v>1</v>
      </c>
    </row>
    <row r="1484" spans="1:13" s="4" customFormat="1" x14ac:dyDescent="0.25">
      <c r="A1484" s="32">
        <v>6607139</v>
      </c>
      <c r="B1484" s="32" t="s">
        <v>407</v>
      </c>
      <c r="D1484" s="13">
        <v>501</v>
      </c>
      <c r="E1484" s="32" t="str">
        <f>INDEX([1]道具配置表!$D:$D,MATCH(D1484,[1]道具配置表!$A:$A,0))</f>
        <v>1千资源自选宝箱</v>
      </c>
      <c r="F1484" s="59" t="s">
        <v>908</v>
      </c>
      <c r="K1484" s="13">
        <v>1</v>
      </c>
      <c r="L1484" s="13"/>
      <c r="M1484" s="32" t="b">
        <v>1</v>
      </c>
    </row>
    <row r="1485" spans="1:13" s="4" customFormat="1" x14ac:dyDescent="0.25">
      <c r="A1485" s="32"/>
      <c r="B1485" s="32"/>
      <c r="D1485" s="13">
        <v>6120</v>
      </c>
      <c r="E1485" s="32" t="str">
        <f>INDEX([1]道具配置表!$D:$D,MATCH(D1485,[1]道具配置表!$A:$A,0))</f>
        <v>1分钟建造加速</v>
      </c>
      <c r="F1485" s="59" t="s">
        <v>865</v>
      </c>
      <c r="K1485" s="13">
        <v>1</v>
      </c>
      <c r="L1485" s="13"/>
      <c r="M1485" s="32" t="b">
        <v>1</v>
      </c>
    </row>
    <row r="1486" spans="1:13" s="4" customFormat="1" x14ac:dyDescent="0.25">
      <c r="A1486" s="32"/>
      <c r="B1486" s="32"/>
      <c r="D1486" s="13">
        <v>6160</v>
      </c>
      <c r="E1486" s="32" t="str">
        <f>INDEX([1]道具配置表!$D:$D,MATCH(D1486,[1]道具配置表!$A:$A,0))</f>
        <v>1分钟训练加速</v>
      </c>
      <c r="F1486" s="59" t="s">
        <v>863</v>
      </c>
      <c r="K1486" s="13">
        <v>1</v>
      </c>
      <c r="L1486" s="13"/>
      <c r="M1486" s="32" t="b">
        <v>1</v>
      </c>
    </row>
    <row r="1487" spans="1:13" s="4" customFormat="1" x14ac:dyDescent="0.25">
      <c r="A1487" s="32">
        <v>6607140</v>
      </c>
      <c r="B1487" s="32" t="s">
        <v>408</v>
      </c>
      <c r="D1487" s="13">
        <v>501</v>
      </c>
      <c r="E1487" s="32" t="str">
        <f>INDEX([1]道具配置表!$D:$D,MATCH(D1487,[1]道具配置表!$A:$A,0))</f>
        <v>1千资源自选宝箱</v>
      </c>
      <c r="F1487" s="59" t="s">
        <v>909</v>
      </c>
      <c r="K1487" s="13">
        <v>1</v>
      </c>
      <c r="L1487" s="13"/>
      <c r="M1487" s="32" t="b">
        <v>1</v>
      </c>
    </row>
    <row r="1488" spans="1:13" s="4" customFormat="1" x14ac:dyDescent="0.25">
      <c r="A1488" s="32"/>
      <c r="B1488" s="32"/>
      <c r="D1488" s="13">
        <v>6120</v>
      </c>
      <c r="E1488" s="32" t="str">
        <f>INDEX([1]道具配置表!$D:$D,MATCH(D1488,[1]道具配置表!$A:$A,0))</f>
        <v>1分钟建造加速</v>
      </c>
      <c r="F1488" s="59" t="s">
        <v>865</v>
      </c>
      <c r="K1488" s="13">
        <v>1</v>
      </c>
      <c r="L1488" s="13"/>
      <c r="M1488" s="32" t="b">
        <v>1</v>
      </c>
    </row>
    <row r="1489" spans="1:13" s="4" customFormat="1" x14ac:dyDescent="0.25">
      <c r="A1489" s="32"/>
      <c r="B1489" s="32"/>
      <c r="D1489" s="13">
        <v>6160</v>
      </c>
      <c r="E1489" s="32" t="str">
        <f>INDEX([1]道具配置表!$D:$D,MATCH(D1489,[1]道具配置表!$A:$A,0))</f>
        <v>1分钟训练加速</v>
      </c>
      <c r="F1489" s="59" t="s">
        <v>864</v>
      </c>
      <c r="K1489" s="13">
        <v>1</v>
      </c>
      <c r="L1489" s="13"/>
      <c r="M1489" s="32" t="b">
        <v>1</v>
      </c>
    </row>
    <row r="1490" spans="1:13" s="4" customFormat="1" x14ac:dyDescent="0.25">
      <c r="A1490" s="32">
        <v>6607141</v>
      </c>
      <c r="B1490" s="32" t="s">
        <v>409</v>
      </c>
      <c r="D1490" s="13">
        <v>501</v>
      </c>
      <c r="E1490" s="32" t="str">
        <f>INDEX([1]道具配置表!$D:$D,MATCH(D1490,[1]道具配置表!$A:$A,0))</f>
        <v>1千资源自选宝箱</v>
      </c>
      <c r="F1490" s="59" t="s">
        <v>910</v>
      </c>
      <c r="K1490" s="13">
        <v>1</v>
      </c>
      <c r="L1490" s="13"/>
      <c r="M1490" s="32" t="b">
        <v>1</v>
      </c>
    </row>
    <row r="1491" spans="1:13" s="4" customFormat="1" x14ac:dyDescent="0.25">
      <c r="A1491" s="32"/>
      <c r="B1491" s="32"/>
      <c r="D1491" s="13">
        <v>6120</v>
      </c>
      <c r="E1491" s="32" t="str">
        <f>INDEX([1]道具配置表!$D:$D,MATCH(D1491,[1]道具配置表!$A:$A,0))</f>
        <v>1分钟建造加速</v>
      </c>
      <c r="F1491" s="59" t="s">
        <v>865</v>
      </c>
      <c r="K1491" s="13">
        <v>1</v>
      </c>
      <c r="L1491" s="13"/>
      <c r="M1491" s="32" t="b">
        <v>1</v>
      </c>
    </row>
    <row r="1492" spans="1:13" s="4" customFormat="1" x14ac:dyDescent="0.25">
      <c r="A1492" s="32"/>
      <c r="B1492" s="32"/>
      <c r="D1492" s="13">
        <v>6160</v>
      </c>
      <c r="E1492" s="32" t="str">
        <f>INDEX([1]道具配置表!$D:$D,MATCH(D1492,[1]道具配置表!$A:$A,0))</f>
        <v>1分钟训练加速</v>
      </c>
      <c r="F1492" s="59" t="s">
        <v>864</v>
      </c>
      <c r="K1492" s="13">
        <v>1</v>
      </c>
      <c r="L1492" s="13"/>
      <c r="M1492" s="32" t="b">
        <v>1</v>
      </c>
    </row>
    <row r="1493" spans="1:13" s="4" customFormat="1" x14ac:dyDescent="0.25">
      <c r="A1493" s="32">
        <v>6607142</v>
      </c>
      <c r="B1493" s="32" t="s">
        <v>410</v>
      </c>
      <c r="D1493" s="13">
        <v>501</v>
      </c>
      <c r="E1493" s="32" t="str">
        <f>INDEX([1]道具配置表!$D:$D,MATCH(D1493,[1]道具配置表!$A:$A,0))</f>
        <v>1千资源自选宝箱</v>
      </c>
      <c r="F1493" s="59" t="s">
        <v>911</v>
      </c>
      <c r="K1493" s="13">
        <v>1</v>
      </c>
      <c r="L1493" s="13"/>
      <c r="M1493" s="32" t="b">
        <v>1</v>
      </c>
    </row>
    <row r="1494" spans="1:13" s="4" customFormat="1" x14ac:dyDescent="0.25">
      <c r="A1494" s="32"/>
      <c r="B1494" s="32"/>
      <c r="D1494" s="13">
        <v>6120</v>
      </c>
      <c r="E1494" s="32" t="str">
        <f>INDEX([1]道具配置表!$D:$D,MATCH(D1494,[1]道具配置表!$A:$A,0))</f>
        <v>1分钟建造加速</v>
      </c>
      <c r="F1494" s="59" t="s">
        <v>865</v>
      </c>
      <c r="K1494" s="13">
        <v>1</v>
      </c>
      <c r="L1494" s="13"/>
      <c r="M1494" s="32" t="b">
        <v>1</v>
      </c>
    </row>
    <row r="1495" spans="1:13" s="4" customFormat="1" x14ac:dyDescent="0.25">
      <c r="A1495" s="32"/>
      <c r="B1495" s="32"/>
      <c r="D1495" s="13">
        <v>6160</v>
      </c>
      <c r="E1495" s="32" t="str">
        <f>INDEX([1]道具配置表!$D:$D,MATCH(D1495,[1]道具配置表!$A:$A,0))</f>
        <v>1分钟训练加速</v>
      </c>
      <c r="F1495" s="59" t="s">
        <v>864</v>
      </c>
      <c r="K1495" s="13">
        <v>1</v>
      </c>
      <c r="L1495" s="13"/>
      <c r="M1495" s="32" t="b">
        <v>1</v>
      </c>
    </row>
    <row r="1496" spans="1:13" s="4" customFormat="1" x14ac:dyDescent="0.25">
      <c r="A1496" s="32">
        <v>6607143</v>
      </c>
      <c r="B1496" s="32" t="s">
        <v>411</v>
      </c>
      <c r="D1496" s="13">
        <v>501</v>
      </c>
      <c r="E1496" s="32" t="str">
        <f>INDEX([1]道具配置表!$D:$D,MATCH(D1496,[1]道具配置表!$A:$A,0))</f>
        <v>1千资源自选宝箱</v>
      </c>
      <c r="F1496" s="59" t="s">
        <v>912</v>
      </c>
      <c r="K1496" s="13">
        <v>1</v>
      </c>
      <c r="L1496" s="13"/>
      <c r="M1496" s="32" t="b">
        <v>1</v>
      </c>
    </row>
    <row r="1497" spans="1:13" s="4" customFormat="1" x14ac:dyDescent="0.25">
      <c r="A1497" s="32"/>
      <c r="B1497" s="32"/>
      <c r="D1497" s="13">
        <v>6120</v>
      </c>
      <c r="E1497" s="32" t="str">
        <f>INDEX([1]道具配置表!$D:$D,MATCH(D1497,[1]道具配置表!$A:$A,0))</f>
        <v>1分钟建造加速</v>
      </c>
      <c r="F1497" s="59" t="s">
        <v>865</v>
      </c>
      <c r="K1497" s="13">
        <v>1</v>
      </c>
      <c r="L1497" s="13"/>
      <c r="M1497" s="32" t="b">
        <v>1</v>
      </c>
    </row>
    <row r="1498" spans="1:13" s="4" customFormat="1" x14ac:dyDescent="0.25">
      <c r="A1498" s="32"/>
      <c r="B1498" s="32"/>
      <c r="D1498" s="13">
        <v>6160</v>
      </c>
      <c r="E1498" s="32" t="str">
        <f>INDEX([1]道具配置表!$D:$D,MATCH(D1498,[1]道具配置表!$A:$A,0))</f>
        <v>1分钟训练加速</v>
      </c>
      <c r="F1498" s="59" t="s">
        <v>864</v>
      </c>
      <c r="K1498" s="13">
        <v>1</v>
      </c>
      <c r="L1498" s="13"/>
      <c r="M1498" s="32" t="b">
        <v>1</v>
      </c>
    </row>
    <row r="1499" spans="1:13" s="4" customFormat="1" x14ac:dyDescent="0.25">
      <c r="A1499" s="32">
        <v>6607144</v>
      </c>
      <c r="B1499" s="32" t="s">
        <v>412</v>
      </c>
      <c r="D1499" s="13">
        <v>501</v>
      </c>
      <c r="E1499" s="32" t="str">
        <f>INDEX([1]道具配置表!$D:$D,MATCH(D1499,[1]道具配置表!$A:$A,0))</f>
        <v>1千资源自选宝箱</v>
      </c>
      <c r="F1499" s="59" t="s">
        <v>913</v>
      </c>
      <c r="K1499" s="13">
        <v>1</v>
      </c>
      <c r="L1499" s="13"/>
      <c r="M1499" s="32" t="b">
        <v>1</v>
      </c>
    </row>
    <row r="1500" spans="1:13" s="4" customFormat="1" x14ac:dyDescent="0.25">
      <c r="A1500" s="32"/>
      <c r="B1500" s="32"/>
      <c r="D1500" s="13">
        <v>6120</v>
      </c>
      <c r="E1500" s="32" t="str">
        <f>INDEX([1]道具配置表!$D:$D,MATCH(D1500,[1]道具配置表!$A:$A,0))</f>
        <v>1分钟建造加速</v>
      </c>
      <c r="F1500" s="59" t="s">
        <v>865</v>
      </c>
      <c r="K1500" s="13">
        <v>1</v>
      </c>
      <c r="L1500" s="13"/>
      <c r="M1500" s="32" t="b">
        <v>1</v>
      </c>
    </row>
    <row r="1501" spans="1:13" s="4" customFormat="1" x14ac:dyDescent="0.25">
      <c r="A1501" s="32"/>
      <c r="B1501" s="32"/>
      <c r="D1501" s="13">
        <v>6160</v>
      </c>
      <c r="E1501" s="32" t="str">
        <f>INDEX([1]道具配置表!$D:$D,MATCH(D1501,[1]道具配置表!$A:$A,0))</f>
        <v>1分钟训练加速</v>
      </c>
      <c r="F1501" s="59" t="s">
        <v>864</v>
      </c>
      <c r="K1501" s="13">
        <v>1</v>
      </c>
      <c r="L1501" s="13"/>
      <c r="M1501" s="32" t="b">
        <v>1</v>
      </c>
    </row>
    <row r="1502" spans="1:13" s="4" customFormat="1" x14ac:dyDescent="0.25">
      <c r="A1502" s="32">
        <v>6607145</v>
      </c>
      <c r="B1502" s="32" t="s">
        <v>413</v>
      </c>
      <c r="D1502" s="13">
        <v>501</v>
      </c>
      <c r="E1502" s="32" t="str">
        <f>INDEX([1]道具配置表!$D:$D,MATCH(D1502,[1]道具配置表!$A:$A,0))</f>
        <v>1千资源自选宝箱</v>
      </c>
      <c r="F1502" s="59" t="s">
        <v>914</v>
      </c>
      <c r="K1502" s="13">
        <v>1</v>
      </c>
      <c r="L1502" s="13"/>
      <c r="M1502" s="32" t="b">
        <v>1</v>
      </c>
    </row>
    <row r="1503" spans="1:13" s="4" customFormat="1" x14ac:dyDescent="0.25">
      <c r="A1503" s="32"/>
      <c r="B1503" s="32"/>
      <c r="D1503" s="13">
        <v>6120</v>
      </c>
      <c r="E1503" s="32" t="str">
        <f>INDEX([1]道具配置表!$D:$D,MATCH(D1503,[1]道具配置表!$A:$A,0))</f>
        <v>1分钟建造加速</v>
      </c>
      <c r="F1503" s="59" t="s">
        <v>863</v>
      </c>
      <c r="K1503" s="13">
        <v>1</v>
      </c>
      <c r="L1503" s="13"/>
      <c r="M1503" s="32" t="b">
        <v>1</v>
      </c>
    </row>
    <row r="1504" spans="1:13" s="4" customFormat="1" x14ac:dyDescent="0.25">
      <c r="A1504" s="32"/>
      <c r="B1504" s="32"/>
      <c r="D1504" s="13">
        <v>6160</v>
      </c>
      <c r="E1504" s="32" t="str">
        <f>INDEX([1]道具配置表!$D:$D,MATCH(D1504,[1]道具配置表!$A:$A,0))</f>
        <v>1分钟训练加速</v>
      </c>
      <c r="F1504" s="59" t="s">
        <v>864</v>
      </c>
      <c r="K1504" s="13">
        <v>1</v>
      </c>
      <c r="L1504" s="13"/>
      <c r="M1504" s="32" t="b">
        <v>1</v>
      </c>
    </row>
    <row r="1505" spans="1:13" s="4" customFormat="1" x14ac:dyDescent="0.25">
      <c r="A1505" s="32">
        <v>6607146</v>
      </c>
      <c r="B1505" s="32" t="s">
        <v>414</v>
      </c>
      <c r="D1505" s="13">
        <v>501</v>
      </c>
      <c r="E1505" s="32" t="str">
        <f>INDEX([1]道具配置表!$D:$D,MATCH(D1505,[1]道具配置表!$A:$A,0))</f>
        <v>1千资源自选宝箱</v>
      </c>
      <c r="F1505" s="59" t="s">
        <v>915</v>
      </c>
      <c r="K1505" s="13">
        <v>1</v>
      </c>
      <c r="L1505" s="13"/>
      <c r="M1505" s="32" t="b">
        <v>1</v>
      </c>
    </row>
    <row r="1506" spans="1:13" s="4" customFormat="1" x14ac:dyDescent="0.25">
      <c r="A1506" s="32"/>
      <c r="B1506" s="32"/>
      <c r="D1506" s="13">
        <v>6120</v>
      </c>
      <c r="E1506" s="32" t="str">
        <f>INDEX([1]道具配置表!$D:$D,MATCH(D1506,[1]道具配置表!$A:$A,0))</f>
        <v>1分钟建造加速</v>
      </c>
      <c r="F1506" s="59" t="s">
        <v>863</v>
      </c>
      <c r="K1506" s="13">
        <v>1</v>
      </c>
      <c r="L1506" s="13"/>
      <c r="M1506" s="32" t="b">
        <v>1</v>
      </c>
    </row>
    <row r="1507" spans="1:13" s="4" customFormat="1" x14ac:dyDescent="0.25">
      <c r="A1507" s="32"/>
      <c r="B1507" s="32"/>
      <c r="D1507" s="13">
        <v>6160</v>
      </c>
      <c r="E1507" s="32" t="str">
        <f>INDEX([1]道具配置表!$D:$D,MATCH(D1507,[1]道具配置表!$A:$A,0))</f>
        <v>1分钟训练加速</v>
      </c>
      <c r="F1507" s="59" t="s">
        <v>864</v>
      </c>
      <c r="K1507" s="13">
        <v>1</v>
      </c>
      <c r="L1507" s="13"/>
      <c r="M1507" s="32" t="b">
        <v>1</v>
      </c>
    </row>
    <row r="1508" spans="1:13" s="4" customFormat="1" x14ac:dyDescent="0.25">
      <c r="A1508" s="32">
        <v>6607147</v>
      </c>
      <c r="B1508" s="32" t="s">
        <v>415</v>
      </c>
      <c r="D1508" s="13">
        <v>501</v>
      </c>
      <c r="E1508" s="32" t="str">
        <f>INDEX([1]道具配置表!$D:$D,MATCH(D1508,[1]道具配置表!$A:$A,0))</f>
        <v>1千资源自选宝箱</v>
      </c>
      <c r="F1508" s="59" t="s">
        <v>916</v>
      </c>
      <c r="K1508" s="13">
        <v>1</v>
      </c>
      <c r="L1508" s="13"/>
      <c r="M1508" s="32" t="b">
        <v>1</v>
      </c>
    </row>
    <row r="1509" spans="1:13" s="4" customFormat="1" x14ac:dyDescent="0.25">
      <c r="A1509" s="32"/>
      <c r="B1509" s="32"/>
      <c r="D1509" s="13">
        <v>6120</v>
      </c>
      <c r="E1509" s="32" t="str">
        <f>INDEX([1]道具配置表!$D:$D,MATCH(D1509,[1]道具配置表!$A:$A,0))</f>
        <v>1分钟建造加速</v>
      </c>
      <c r="F1509" s="59" t="s">
        <v>863</v>
      </c>
      <c r="K1509" s="13">
        <v>1</v>
      </c>
      <c r="L1509" s="13"/>
      <c r="M1509" s="32" t="b">
        <v>1</v>
      </c>
    </row>
    <row r="1510" spans="1:13" s="4" customFormat="1" x14ac:dyDescent="0.25">
      <c r="A1510" s="32"/>
      <c r="B1510" s="32"/>
      <c r="D1510" s="13">
        <v>6160</v>
      </c>
      <c r="E1510" s="32" t="str">
        <f>INDEX([1]道具配置表!$D:$D,MATCH(D1510,[1]道具配置表!$A:$A,0))</f>
        <v>1分钟训练加速</v>
      </c>
      <c r="F1510" s="59" t="s">
        <v>864</v>
      </c>
      <c r="K1510" s="13">
        <v>1</v>
      </c>
      <c r="L1510" s="13"/>
      <c r="M1510" s="32" t="b">
        <v>1</v>
      </c>
    </row>
    <row r="1511" spans="1:13" s="4" customFormat="1" x14ac:dyDescent="0.25">
      <c r="A1511" s="32">
        <v>6607148</v>
      </c>
      <c r="B1511" s="32" t="s">
        <v>416</v>
      </c>
      <c r="D1511" s="13">
        <v>501</v>
      </c>
      <c r="E1511" s="32" t="str">
        <f>INDEX([1]道具配置表!$D:$D,MATCH(D1511,[1]道具配置表!$A:$A,0))</f>
        <v>1千资源自选宝箱</v>
      </c>
      <c r="F1511" s="59" t="s">
        <v>917</v>
      </c>
      <c r="K1511" s="13">
        <v>1</v>
      </c>
      <c r="L1511" s="13"/>
      <c r="M1511" s="32" t="b">
        <v>1</v>
      </c>
    </row>
    <row r="1512" spans="1:13" s="4" customFormat="1" x14ac:dyDescent="0.25">
      <c r="A1512" s="32"/>
      <c r="B1512" s="32"/>
      <c r="D1512" s="13">
        <v>6120</v>
      </c>
      <c r="E1512" s="32" t="str">
        <f>INDEX([1]道具配置表!$D:$D,MATCH(D1512,[1]道具配置表!$A:$A,0))</f>
        <v>1分钟建造加速</v>
      </c>
      <c r="F1512" s="59" t="s">
        <v>863</v>
      </c>
      <c r="K1512" s="13">
        <v>1</v>
      </c>
      <c r="L1512" s="13"/>
      <c r="M1512" s="32" t="b">
        <v>1</v>
      </c>
    </row>
    <row r="1513" spans="1:13" s="4" customFormat="1" x14ac:dyDescent="0.25">
      <c r="A1513" s="32"/>
      <c r="B1513" s="32"/>
      <c r="D1513" s="13">
        <v>6160</v>
      </c>
      <c r="E1513" s="32" t="str">
        <f>INDEX([1]道具配置表!$D:$D,MATCH(D1513,[1]道具配置表!$A:$A,0))</f>
        <v>1分钟训练加速</v>
      </c>
      <c r="F1513" s="59" t="s">
        <v>864</v>
      </c>
      <c r="K1513" s="13">
        <v>1</v>
      </c>
      <c r="L1513" s="13"/>
      <c r="M1513" s="32" t="b">
        <v>1</v>
      </c>
    </row>
    <row r="1514" spans="1:13" s="4" customFormat="1" x14ac:dyDescent="0.25">
      <c r="A1514" s="32">
        <v>6607149</v>
      </c>
      <c r="B1514" s="32" t="s">
        <v>417</v>
      </c>
      <c r="D1514" s="13">
        <v>501</v>
      </c>
      <c r="E1514" s="32" t="str">
        <f>INDEX([1]道具配置表!$D:$D,MATCH(D1514,[1]道具配置表!$A:$A,0))</f>
        <v>1千资源自选宝箱</v>
      </c>
      <c r="F1514" s="59" t="s">
        <v>918</v>
      </c>
      <c r="K1514" s="13">
        <v>1</v>
      </c>
      <c r="L1514" s="13"/>
      <c r="M1514" s="32" t="b">
        <v>1</v>
      </c>
    </row>
    <row r="1515" spans="1:13" s="4" customFormat="1" x14ac:dyDescent="0.25">
      <c r="A1515" s="32"/>
      <c r="B1515" s="32"/>
      <c r="D1515" s="13">
        <v>6120</v>
      </c>
      <c r="E1515" s="32" t="str">
        <f>INDEX([1]道具配置表!$D:$D,MATCH(D1515,[1]道具配置表!$A:$A,0))</f>
        <v>1分钟建造加速</v>
      </c>
      <c r="F1515" s="59" t="s">
        <v>863</v>
      </c>
      <c r="K1515" s="13">
        <v>1</v>
      </c>
      <c r="L1515" s="13"/>
      <c r="M1515" s="32" t="b">
        <v>1</v>
      </c>
    </row>
    <row r="1516" spans="1:13" s="4" customFormat="1" x14ac:dyDescent="0.25">
      <c r="A1516" s="32"/>
      <c r="B1516" s="32"/>
      <c r="D1516" s="13">
        <v>6160</v>
      </c>
      <c r="E1516" s="32" t="str">
        <f>INDEX([1]道具配置表!$D:$D,MATCH(D1516,[1]道具配置表!$A:$A,0))</f>
        <v>1分钟训练加速</v>
      </c>
      <c r="F1516" s="59" t="s">
        <v>864</v>
      </c>
      <c r="K1516" s="13">
        <v>1</v>
      </c>
      <c r="L1516" s="13"/>
      <c r="M1516" s="32" t="b">
        <v>1</v>
      </c>
    </row>
    <row r="1517" spans="1:13" s="4" customFormat="1" x14ac:dyDescent="0.25">
      <c r="A1517" s="32">
        <v>6607150</v>
      </c>
      <c r="B1517" s="32" t="s">
        <v>418</v>
      </c>
      <c r="D1517" s="13">
        <v>501</v>
      </c>
      <c r="E1517" s="32" t="str">
        <f>INDEX([1]道具配置表!$D:$D,MATCH(D1517,[1]道具配置表!$A:$A,0))</f>
        <v>1千资源自选宝箱</v>
      </c>
      <c r="F1517" s="59" t="s">
        <v>919</v>
      </c>
      <c r="K1517" s="13">
        <v>1</v>
      </c>
      <c r="L1517" s="13"/>
      <c r="M1517" s="32" t="b">
        <v>1</v>
      </c>
    </row>
    <row r="1518" spans="1:13" s="4" customFormat="1" x14ac:dyDescent="0.25">
      <c r="A1518" s="32"/>
      <c r="B1518" s="32"/>
      <c r="D1518" s="13">
        <v>6120</v>
      </c>
      <c r="E1518" s="32" t="str">
        <f>INDEX([1]道具配置表!$D:$D,MATCH(D1518,[1]道具配置表!$A:$A,0))</f>
        <v>1分钟建造加速</v>
      </c>
      <c r="F1518" s="59" t="s">
        <v>863</v>
      </c>
      <c r="K1518" s="13">
        <v>1</v>
      </c>
      <c r="L1518" s="13"/>
      <c r="M1518" s="32" t="b">
        <v>1</v>
      </c>
    </row>
    <row r="1519" spans="1:13" s="4" customFormat="1" x14ac:dyDescent="0.25">
      <c r="A1519" s="32"/>
      <c r="B1519" s="32"/>
      <c r="D1519" s="13">
        <v>6160</v>
      </c>
      <c r="E1519" s="32" t="str">
        <f>INDEX([1]道具配置表!$D:$D,MATCH(D1519,[1]道具配置表!$A:$A,0))</f>
        <v>1分钟训练加速</v>
      </c>
      <c r="F1519" s="59" t="s">
        <v>866</v>
      </c>
      <c r="K1519" s="13">
        <v>1</v>
      </c>
      <c r="L1519" s="13"/>
      <c r="M1519" s="32" t="b">
        <v>1</v>
      </c>
    </row>
    <row r="1520" spans="1:13" s="4" customFormat="1" x14ac:dyDescent="0.25">
      <c r="A1520" s="32">
        <v>6607151</v>
      </c>
      <c r="B1520" s="32" t="s">
        <v>419</v>
      </c>
      <c r="D1520" s="13">
        <v>501</v>
      </c>
      <c r="E1520" s="32" t="str">
        <f>INDEX([1]道具配置表!$D:$D,MATCH(D1520,[1]道具配置表!$A:$A,0))</f>
        <v>1千资源自选宝箱</v>
      </c>
      <c r="F1520" s="59" t="s">
        <v>920</v>
      </c>
      <c r="K1520" s="13">
        <v>1</v>
      </c>
      <c r="L1520" s="13"/>
      <c r="M1520" s="32" t="b">
        <v>1</v>
      </c>
    </row>
    <row r="1521" spans="1:13" s="4" customFormat="1" x14ac:dyDescent="0.25">
      <c r="A1521" s="32"/>
      <c r="B1521" s="32"/>
      <c r="D1521" s="13">
        <v>6120</v>
      </c>
      <c r="E1521" s="32" t="str">
        <f>INDEX([1]道具配置表!$D:$D,MATCH(D1521,[1]道具配置表!$A:$A,0))</f>
        <v>1分钟建造加速</v>
      </c>
      <c r="F1521" s="59" t="s">
        <v>863</v>
      </c>
      <c r="K1521" s="13">
        <v>1</v>
      </c>
      <c r="L1521" s="13"/>
      <c r="M1521" s="32" t="b">
        <v>1</v>
      </c>
    </row>
    <row r="1522" spans="1:13" s="4" customFormat="1" x14ac:dyDescent="0.25">
      <c r="A1522" s="32"/>
      <c r="B1522" s="32"/>
      <c r="D1522" s="13">
        <v>6160</v>
      </c>
      <c r="E1522" s="32" t="str">
        <f>INDEX([1]道具配置表!$D:$D,MATCH(D1522,[1]道具配置表!$A:$A,0))</f>
        <v>1分钟训练加速</v>
      </c>
      <c r="F1522" s="59" t="s">
        <v>866</v>
      </c>
      <c r="K1522" s="13">
        <v>1</v>
      </c>
      <c r="L1522" s="13"/>
      <c r="M1522" s="32" t="b">
        <v>1</v>
      </c>
    </row>
    <row r="1523" spans="1:13" s="4" customFormat="1" x14ac:dyDescent="0.25">
      <c r="A1523" s="32">
        <v>6607152</v>
      </c>
      <c r="B1523" s="32" t="s">
        <v>420</v>
      </c>
      <c r="D1523" s="13">
        <v>501</v>
      </c>
      <c r="E1523" s="32" t="str">
        <f>INDEX([1]道具配置表!$D:$D,MATCH(D1523,[1]道具配置表!$A:$A,0))</f>
        <v>1千资源自选宝箱</v>
      </c>
      <c r="F1523" s="59" t="s">
        <v>921</v>
      </c>
      <c r="K1523" s="13">
        <v>1</v>
      </c>
      <c r="L1523" s="13"/>
      <c r="M1523" s="32" t="b">
        <v>1</v>
      </c>
    </row>
    <row r="1524" spans="1:13" s="4" customFormat="1" x14ac:dyDescent="0.25">
      <c r="A1524" s="32"/>
      <c r="B1524" s="32"/>
      <c r="D1524" s="13">
        <v>6120</v>
      </c>
      <c r="E1524" s="32" t="str">
        <f>INDEX([1]道具配置表!$D:$D,MATCH(D1524,[1]道具配置表!$A:$A,0))</f>
        <v>1分钟建造加速</v>
      </c>
      <c r="F1524" s="59" t="s">
        <v>863</v>
      </c>
      <c r="K1524" s="13">
        <v>1</v>
      </c>
      <c r="L1524" s="13"/>
      <c r="M1524" s="32" t="b">
        <v>1</v>
      </c>
    </row>
    <row r="1525" spans="1:13" s="4" customFormat="1" x14ac:dyDescent="0.25">
      <c r="A1525" s="32"/>
      <c r="B1525" s="32"/>
      <c r="D1525" s="13">
        <v>6160</v>
      </c>
      <c r="E1525" s="32" t="str">
        <f>INDEX([1]道具配置表!$D:$D,MATCH(D1525,[1]道具配置表!$A:$A,0))</f>
        <v>1分钟训练加速</v>
      </c>
      <c r="F1525" s="59" t="s">
        <v>866</v>
      </c>
      <c r="K1525" s="13">
        <v>1</v>
      </c>
      <c r="L1525" s="13"/>
      <c r="M1525" s="32" t="b">
        <v>1</v>
      </c>
    </row>
    <row r="1526" spans="1:13" s="4" customFormat="1" x14ac:dyDescent="0.25">
      <c r="A1526" s="32">
        <v>6607153</v>
      </c>
      <c r="B1526" s="32" t="s">
        <v>421</v>
      </c>
      <c r="D1526" s="13">
        <v>501</v>
      </c>
      <c r="E1526" s="32" t="str">
        <f>INDEX([1]道具配置表!$D:$D,MATCH(D1526,[1]道具配置表!$A:$A,0))</f>
        <v>1千资源自选宝箱</v>
      </c>
      <c r="F1526" s="59" t="s">
        <v>922</v>
      </c>
      <c r="K1526" s="13">
        <v>1</v>
      </c>
      <c r="L1526" s="13"/>
      <c r="M1526" s="32" t="b">
        <v>1</v>
      </c>
    </row>
    <row r="1527" spans="1:13" s="4" customFormat="1" x14ac:dyDescent="0.25">
      <c r="A1527" s="32"/>
      <c r="B1527" s="32"/>
      <c r="D1527" s="13">
        <v>6120</v>
      </c>
      <c r="E1527" s="32" t="str">
        <f>INDEX([1]道具配置表!$D:$D,MATCH(D1527,[1]道具配置表!$A:$A,0))</f>
        <v>1分钟建造加速</v>
      </c>
      <c r="F1527" s="59" t="s">
        <v>863</v>
      </c>
      <c r="K1527" s="13">
        <v>1</v>
      </c>
      <c r="L1527" s="13"/>
      <c r="M1527" s="32" t="b">
        <v>1</v>
      </c>
    </row>
    <row r="1528" spans="1:13" s="4" customFormat="1" x14ac:dyDescent="0.25">
      <c r="A1528" s="32"/>
      <c r="B1528" s="32"/>
      <c r="D1528" s="13">
        <v>6160</v>
      </c>
      <c r="E1528" s="32" t="str">
        <f>INDEX([1]道具配置表!$D:$D,MATCH(D1528,[1]道具配置表!$A:$A,0))</f>
        <v>1分钟训练加速</v>
      </c>
      <c r="F1528" s="59" t="s">
        <v>866</v>
      </c>
      <c r="K1528" s="13">
        <v>1</v>
      </c>
      <c r="L1528" s="13"/>
      <c r="M1528" s="32" t="b">
        <v>1</v>
      </c>
    </row>
    <row r="1529" spans="1:13" s="4" customFormat="1" x14ac:dyDescent="0.25">
      <c r="A1529" s="32">
        <v>6607154</v>
      </c>
      <c r="B1529" s="32" t="s">
        <v>422</v>
      </c>
      <c r="D1529" s="13">
        <v>501</v>
      </c>
      <c r="E1529" s="32" t="str">
        <f>INDEX([1]道具配置表!$D:$D,MATCH(D1529,[1]道具配置表!$A:$A,0))</f>
        <v>1千资源自选宝箱</v>
      </c>
      <c r="F1529" s="59" t="s">
        <v>923</v>
      </c>
      <c r="K1529" s="13">
        <v>1</v>
      </c>
      <c r="L1529" s="13"/>
      <c r="M1529" s="32" t="b">
        <v>1</v>
      </c>
    </row>
    <row r="1530" spans="1:13" s="4" customFormat="1" x14ac:dyDescent="0.25">
      <c r="A1530" s="32"/>
      <c r="B1530" s="32"/>
      <c r="D1530" s="13">
        <v>6120</v>
      </c>
      <c r="E1530" s="32" t="str">
        <f>INDEX([1]道具配置表!$D:$D,MATCH(D1530,[1]道具配置表!$A:$A,0))</f>
        <v>1分钟建造加速</v>
      </c>
      <c r="F1530" s="59" t="s">
        <v>863</v>
      </c>
      <c r="K1530" s="13">
        <v>1</v>
      </c>
      <c r="L1530" s="13"/>
      <c r="M1530" s="32" t="b">
        <v>1</v>
      </c>
    </row>
    <row r="1531" spans="1:13" s="4" customFormat="1" x14ac:dyDescent="0.25">
      <c r="A1531" s="32"/>
      <c r="B1531" s="32"/>
      <c r="D1531" s="13">
        <v>6160</v>
      </c>
      <c r="E1531" s="32" t="str">
        <f>INDEX([1]道具配置表!$D:$D,MATCH(D1531,[1]道具配置表!$A:$A,0))</f>
        <v>1分钟训练加速</v>
      </c>
      <c r="F1531" s="59" t="s">
        <v>866</v>
      </c>
      <c r="K1531" s="13">
        <v>1</v>
      </c>
      <c r="L1531" s="13"/>
      <c r="M1531" s="32" t="b">
        <v>1</v>
      </c>
    </row>
    <row r="1532" spans="1:13" s="4" customFormat="1" x14ac:dyDescent="0.25">
      <c r="A1532" s="32">
        <v>6607155</v>
      </c>
      <c r="B1532" s="32" t="s">
        <v>423</v>
      </c>
      <c r="D1532" s="13">
        <v>501</v>
      </c>
      <c r="E1532" s="32" t="str">
        <f>INDEX([1]道具配置表!$D:$D,MATCH(D1532,[1]道具配置表!$A:$A,0))</f>
        <v>1千资源自选宝箱</v>
      </c>
      <c r="F1532" s="59" t="s">
        <v>924</v>
      </c>
      <c r="K1532" s="13">
        <v>1</v>
      </c>
      <c r="L1532" s="13"/>
      <c r="M1532" s="32" t="b">
        <v>1</v>
      </c>
    </row>
    <row r="1533" spans="1:13" s="4" customFormat="1" x14ac:dyDescent="0.25">
      <c r="A1533" s="32"/>
      <c r="B1533" s="32"/>
      <c r="D1533" s="13">
        <v>6120</v>
      </c>
      <c r="E1533" s="32" t="str">
        <f>INDEX([1]道具配置表!$D:$D,MATCH(D1533,[1]道具配置表!$A:$A,0))</f>
        <v>1分钟建造加速</v>
      </c>
      <c r="F1533" s="59" t="s">
        <v>863</v>
      </c>
      <c r="K1533" s="13">
        <v>1</v>
      </c>
      <c r="L1533" s="13"/>
      <c r="M1533" s="32" t="b">
        <v>1</v>
      </c>
    </row>
    <row r="1534" spans="1:13" s="4" customFormat="1" x14ac:dyDescent="0.25">
      <c r="A1534" s="32"/>
      <c r="B1534" s="32"/>
      <c r="D1534" s="13">
        <v>6160</v>
      </c>
      <c r="E1534" s="32" t="str">
        <f>INDEX([1]道具配置表!$D:$D,MATCH(D1534,[1]道具配置表!$A:$A,0))</f>
        <v>1分钟训练加速</v>
      </c>
      <c r="F1534" s="59" t="s">
        <v>866</v>
      </c>
      <c r="K1534" s="13">
        <v>1</v>
      </c>
      <c r="L1534" s="13"/>
      <c r="M1534" s="32" t="b">
        <v>1</v>
      </c>
    </row>
    <row r="1535" spans="1:13" s="4" customFormat="1" x14ac:dyDescent="0.25">
      <c r="A1535" s="32">
        <v>6607156</v>
      </c>
      <c r="B1535" s="32" t="s">
        <v>424</v>
      </c>
      <c r="D1535" s="13">
        <v>501</v>
      </c>
      <c r="E1535" s="32" t="str">
        <f>INDEX([1]道具配置表!$D:$D,MATCH(D1535,[1]道具配置表!$A:$A,0))</f>
        <v>1千资源自选宝箱</v>
      </c>
      <c r="F1535" s="59" t="s">
        <v>925</v>
      </c>
      <c r="K1535" s="13">
        <v>1</v>
      </c>
      <c r="L1535" s="13"/>
      <c r="M1535" s="32" t="b">
        <v>1</v>
      </c>
    </row>
    <row r="1536" spans="1:13" s="4" customFormat="1" x14ac:dyDescent="0.25">
      <c r="A1536" s="32"/>
      <c r="B1536" s="32"/>
      <c r="D1536" s="13">
        <v>6120</v>
      </c>
      <c r="E1536" s="32" t="str">
        <f>INDEX([1]道具配置表!$D:$D,MATCH(D1536,[1]道具配置表!$A:$A,0))</f>
        <v>1分钟建造加速</v>
      </c>
      <c r="F1536" s="59" t="s">
        <v>863</v>
      </c>
      <c r="K1536" s="13">
        <v>1</v>
      </c>
      <c r="L1536" s="13"/>
      <c r="M1536" s="32" t="b">
        <v>1</v>
      </c>
    </row>
    <row r="1537" spans="1:13" s="4" customFormat="1" x14ac:dyDescent="0.25">
      <c r="A1537" s="32"/>
      <c r="B1537" s="32"/>
      <c r="D1537" s="13">
        <v>6160</v>
      </c>
      <c r="E1537" s="32" t="str">
        <f>INDEX([1]道具配置表!$D:$D,MATCH(D1537,[1]道具配置表!$A:$A,0))</f>
        <v>1分钟训练加速</v>
      </c>
      <c r="F1537" s="59" t="s">
        <v>866</v>
      </c>
      <c r="K1537" s="13">
        <v>1</v>
      </c>
      <c r="L1537" s="13"/>
      <c r="M1537" s="32" t="b">
        <v>1</v>
      </c>
    </row>
    <row r="1538" spans="1:13" s="4" customFormat="1" x14ac:dyDescent="0.25">
      <c r="A1538" s="32">
        <v>6607157</v>
      </c>
      <c r="B1538" s="32" t="s">
        <v>425</v>
      </c>
      <c r="D1538" s="13">
        <v>501</v>
      </c>
      <c r="E1538" s="32" t="str">
        <f>INDEX([1]道具配置表!$D:$D,MATCH(D1538,[1]道具配置表!$A:$A,0))</f>
        <v>1千资源自选宝箱</v>
      </c>
      <c r="F1538" s="59" t="s">
        <v>926</v>
      </c>
      <c r="K1538" s="13">
        <v>1</v>
      </c>
      <c r="L1538" s="13"/>
      <c r="M1538" s="32" t="b">
        <v>1</v>
      </c>
    </row>
    <row r="1539" spans="1:13" s="4" customFormat="1" x14ac:dyDescent="0.25">
      <c r="A1539" s="32"/>
      <c r="B1539" s="32"/>
      <c r="D1539" s="13">
        <v>6120</v>
      </c>
      <c r="E1539" s="32" t="str">
        <f>INDEX([1]道具配置表!$D:$D,MATCH(D1539,[1]道具配置表!$A:$A,0))</f>
        <v>1分钟建造加速</v>
      </c>
      <c r="F1539" s="59" t="s">
        <v>863</v>
      </c>
      <c r="K1539" s="13">
        <v>1</v>
      </c>
      <c r="L1539" s="13"/>
      <c r="M1539" s="32" t="b">
        <v>1</v>
      </c>
    </row>
    <row r="1540" spans="1:13" s="4" customFormat="1" x14ac:dyDescent="0.25">
      <c r="A1540" s="32"/>
      <c r="B1540" s="32"/>
      <c r="D1540" s="13">
        <v>6160</v>
      </c>
      <c r="E1540" s="32" t="str">
        <f>INDEX([1]道具配置表!$D:$D,MATCH(D1540,[1]道具配置表!$A:$A,0))</f>
        <v>1分钟训练加速</v>
      </c>
      <c r="F1540" s="59" t="s">
        <v>866</v>
      </c>
      <c r="K1540" s="13">
        <v>1</v>
      </c>
      <c r="L1540" s="13"/>
      <c r="M1540" s="32" t="b">
        <v>1</v>
      </c>
    </row>
    <row r="1541" spans="1:13" s="4" customFormat="1" x14ac:dyDescent="0.25">
      <c r="A1541" s="32">
        <v>6607158</v>
      </c>
      <c r="B1541" s="32" t="s">
        <v>426</v>
      </c>
      <c r="D1541" s="13">
        <v>501</v>
      </c>
      <c r="E1541" s="32" t="str">
        <f>INDEX([1]道具配置表!$D:$D,MATCH(D1541,[1]道具配置表!$A:$A,0))</f>
        <v>1千资源自选宝箱</v>
      </c>
      <c r="F1541" s="59" t="s">
        <v>927</v>
      </c>
      <c r="K1541" s="13">
        <v>1</v>
      </c>
      <c r="L1541" s="13"/>
      <c r="M1541" s="32" t="b">
        <v>1</v>
      </c>
    </row>
    <row r="1542" spans="1:13" s="4" customFormat="1" x14ac:dyDescent="0.25">
      <c r="A1542" s="32"/>
      <c r="B1542" s="32"/>
      <c r="D1542" s="13">
        <v>6120</v>
      </c>
      <c r="E1542" s="32" t="str">
        <f>INDEX([1]道具配置表!$D:$D,MATCH(D1542,[1]道具配置表!$A:$A,0))</f>
        <v>1分钟建造加速</v>
      </c>
      <c r="F1542" s="59" t="s">
        <v>863</v>
      </c>
      <c r="K1542" s="13">
        <v>1</v>
      </c>
      <c r="L1542" s="13"/>
      <c r="M1542" s="32" t="b">
        <v>1</v>
      </c>
    </row>
    <row r="1543" spans="1:13" s="4" customFormat="1" x14ac:dyDescent="0.25">
      <c r="A1543" s="32"/>
      <c r="B1543" s="32"/>
      <c r="D1543" s="13">
        <v>6160</v>
      </c>
      <c r="E1543" s="32" t="str">
        <f>INDEX([1]道具配置表!$D:$D,MATCH(D1543,[1]道具配置表!$A:$A,0))</f>
        <v>1分钟训练加速</v>
      </c>
      <c r="F1543" s="59" t="s">
        <v>866</v>
      </c>
      <c r="K1543" s="13">
        <v>1</v>
      </c>
      <c r="L1543" s="13"/>
      <c r="M1543" s="32" t="b">
        <v>1</v>
      </c>
    </row>
    <row r="1544" spans="1:13" s="4" customFormat="1" x14ac:dyDescent="0.25">
      <c r="A1544" s="32">
        <v>6607159</v>
      </c>
      <c r="B1544" s="32" t="s">
        <v>427</v>
      </c>
      <c r="D1544" s="13">
        <v>501</v>
      </c>
      <c r="E1544" s="32" t="str">
        <f>INDEX([1]道具配置表!$D:$D,MATCH(D1544,[1]道具配置表!$A:$A,0))</f>
        <v>1千资源自选宝箱</v>
      </c>
      <c r="F1544" s="59" t="s">
        <v>928</v>
      </c>
      <c r="K1544" s="13">
        <v>1</v>
      </c>
      <c r="L1544" s="13"/>
      <c r="M1544" s="32" t="b">
        <v>1</v>
      </c>
    </row>
    <row r="1545" spans="1:13" s="4" customFormat="1" x14ac:dyDescent="0.25">
      <c r="A1545" s="32"/>
      <c r="B1545" s="32"/>
      <c r="D1545" s="13">
        <v>6120</v>
      </c>
      <c r="E1545" s="32" t="str">
        <f>INDEX([1]道具配置表!$D:$D,MATCH(D1545,[1]道具配置表!$A:$A,0))</f>
        <v>1分钟建造加速</v>
      </c>
      <c r="F1545" s="59" t="s">
        <v>863</v>
      </c>
      <c r="K1545" s="13">
        <v>1</v>
      </c>
      <c r="L1545" s="13"/>
      <c r="M1545" s="32" t="b">
        <v>1</v>
      </c>
    </row>
    <row r="1546" spans="1:13" s="4" customFormat="1" x14ac:dyDescent="0.25">
      <c r="A1546" s="32"/>
      <c r="B1546" s="32"/>
      <c r="D1546" s="13">
        <v>6160</v>
      </c>
      <c r="E1546" s="32" t="str">
        <f>INDEX([1]道具配置表!$D:$D,MATCH(D1546,[1]道具配置表!$A:$A,0))</f>
        <v>1分钟训练加速</v>
      </c>
      <c r="F1546" s="59" t="s">
        <v>866</v>
      </c>
      <c r="K1546" s="13">
        <v>1</v>
      </c>
      <c r="L1546" s="13"/>
      <c r="M1546" s="32" t="b">
        <v>1</v>
      </c>
    </row>
    <row r="1547" spans="1:13" s="4" customFormat="1" x14ac:dyDescent="0.25">
      <c r="A1547" s="32">
        <v>6607160</v>
      </c>
      <c r="B1547" s="32" t="s">
        <v>428</v>
      </c>
      <c r="D1547" s="13">
        <v>501</v>
      </c>
      <c r="E1547" s="32" t="str">
        <f>INDEX([1]道具配置表!$D:$D,MATCH(D1547,[1]道具配置表!$A:$A,0))</f>
        <v>1千资源自选宝箱</v>
      </c>
      <c r="F1547" s="59" t="s">
        <v>929</v>
      </c>
      <c r="K1547" s="13">
        <v>1</v>
      </c>
      <c r="L1547" s="13"/>
      <c r="M1547" s="32" t="b">
        <v>1</v>
      </c>
    </row>
    <row r="1548" spans="1:13" s="4" customFormat="1" x14ac:dyDescent="0.25">
      <c r="A1548" s="32"/>
      <c r="B1548" s="32"/>
      <c r="D1548" s="13">
        <v>6120</v>
      </c>
      <c r="E1548" s="32" t="str">
        <f>INDEX([1]道具配置表!$D:$D,MATCH(D1548,[1]道具配置表!$A:$A,0))</f>
        <v>1分钟建造加速</v>
      </c>
      <c r="F1548" s="59" t="s">
        <v>864</v>
      </c>
      <c r="K1548" s="13">
        <v>1</v>
      </c>
      <c r="L1548" s="13"/>
      <c r="M1548" s="32" t="b">
        <v>1</v>
      </c>
    </row>
    <row r="1549" spans="1:13" s="4" customFormat="1" x14ac:dyDescent="0.25">
      <c r="A1549" s="32"/>
      <c r="B1549" s="32"/>
      <c r="D1549" s="13">
        <v>6160</v>
      </c>
      <c r="E1549" s="32" t="str">
        <f>INDEX([1]道具配置表!$D:$D,MATCH(D1549,[1]道具配置表!$A:$A,0))</f>
        <v>1分钟训练加速</v>
      </c>
      <c r="F1549" s="59" t="s">
        <v>867</v>
      </c>
      <c r="K1549" s="13">
        <v>1</v>
      </c>
      <c r="L1549" s="13"/>
      <c r="M1549" s="32" t="b">
        <v>1</v>
      </c>
    </row>
    <row r="1550" spans="1:13" s="4" customFormat="1" x14ac:dyDescent="0.25">
      <c r="A1550" s="32">
        <v>6607161</v>
      </c>
      <c r="B1550" s="32" t="s">
        <v>429</v>
      </c>
      <c r="D1550" s="13">
        <v>501</v>
      </c>
      <c r="E1550" s="32" t="str">
        <f>INDEX([1]道具配置表!$D:$D,MATCH(D1550,[1]道具配置表!$A:$A,0))</f>
        <v>1千资源自选宝箱</v>
      </c>
      <c r="F1550" s="59" t="s">
        <v>930</v>
      </c>
      <c r="K1550" s="13">
        <v>1</v>
      </c>
      <c r="L1550" s="13"/>
      <c r="M1550" s="32" t="b">
        <v>1</v>
      </c>
    </row>
    <row r="1551" spans="1:13" s="4" customFormat="1" x14ac:dyDescent="0.25">
      <c r="A1551" s="32"/>
      <c r="B1551" s="32"/>
      <c r="D1551" s="13">
        <v>6120</v>
      </c>
      <c r="E1551" s="32" t="str">
        <f>INDEX([1]道具配置表!$D:$D,MATCH(D1551,[1]道具配置表!$A:$A,0))</f>
        <v>1分钟建造加速</v>
      </c>
      <c r="F1551" s="59" t="s">
        <v>864</v>
      </c>
      <c r="K1551" s="13">
        <v>1</v>
      </c>
      <c r="L1551" s="13"/>
      <c r="M1551" s="32" t="b">
        <v>1</v>
      </c>
    </row>
    <row r="1552" spans="1:13" s="4" customFormat="1" x14ac:dyDescent="0.25">
      <c r="A1552" s="32"/>
      <c r="B1552" s="32"/>
      <c r="D1552" s="13">
        <v>6160</v>
      </c>
      <c r="E1552" s="32" t="str">
        <f>INDEX([1]道具配置表!$D:$D,MATCH(D1552,[1]道具配置表!$A:$A,0))</f>
        <v>1分钟训练加速</v>
      </c>
      <c r="F1552" s="59" t="s">
        <v>867</v>
      </c>
      <c r="K1552" s="13">
        <v>1</v>
      </c>
      <c r="L1552" s="13"/>
      <c r="M1552" s="32" t="b">
        <v>1</v>
      </c>
    </row>
    <row r="1553" spans="1:13" s="4" customFormat="1" x14ac:dyDescent="0.25">
      <c r="A1553" s="32">
        <v>6607162</v>
      </c>
      <c r="B1553" s="32" t="s">
        <v>430</v>
      </c>
      <c r="D1553" s="13">
        <v>501</v>
      </c>
      <c r="E1553" s="32" t="str">
        <f>INDEX([1]道具配置表!$D:$D,MATCH(D1553,[1]道具配置表!$A:$A,0))</f>
        <v>1千资源自选宝箱</v>
      </c>
      <c r="F1553" s="59" t="s">
        <v>931</v>
      </c>
      <c r="K1553" s="13">
        <v>1</v>
      </c>
      <c r="L1553" s="13"/>
      <c r="M1553" s="32" t="b">
        <v>1</v>
      </c>
    </row>
    <row r="1554" spans="1:13" s="4" customFormat="1" x14ac:dyDescent="0.25">
      <c r="A1554" s="32"/>
      <c r="B1554" s="32"/>
      <c r="D1554" s="13">
        <v>6120</v>
      </c>
      <c r="E1554" s="32" t="str">
        <f>INDEX([1]道具配置表!$D:$D,MATCH(D1554,[1]道具配置表!$A:$A,0))</f>
        <v>1分钟建造加速</v>
      </c>
      <c r="F1554" s="59" t="s">
        <v>864</v>
      </c>
      <c r="K1554" s="13">
        <v>1</v>
      </c>
      <c r="L1554" s="13"/>
      <c r="M1554" s="32" t="b">
        <v>1</v>
      </c>
    </row>
    <row r="1555" spans="1:13" s="4" customFormat="1" x14ac:dyDescent="0.25">
      <c r="A1555" s="32"/>
      <c r="B1555" s="32"/>
      <c r="D1555" s="13">
        <v>6160</v>
      </c>
      <c r="E1555" s="32" t="str">
        <f>INDEX([1]道具配置表!$D:$D,MATCH(D1555,[1]道具配置表!$A:$A,0))</f>
        <v>1分钟训练加速</v>
      </c>
      <c r="F1555" s="59" t="s">
        <v>867</v>
      </c>
      <c r="K1555" s="13">
        <v>1</v>
      </c>
      <c r="L1555" s="13"/>
      <c r="M1555" s="32" t="b">
        <v>1</v>
      </c>
    </row>
    <row r="1556" spans="1:13" s="4" customFormat="1" x14ac:dyDescent="0.25">
      <c r="A1556" s="32">
        <v>6607163</v>
      </c>
      <c r="B1556" s="32" t="s">
        <v>431</v>
      </c>
      <c r="D1556" s="13">
        <v>501</v>
      </c>
      <c r="E1556" s="32" t="str">
        <f>INDEX([1]道具配置表!$D:$D,MATCH(D1556,[1]道具配置表!$A:$A,0))</f>
        <v>1千资源自选宝箱</v>
      </c>
      <c r="F1556" s="59" t="s">
        <v>932</v>
      </c>
      <c r="K1556" s="13">
        <v>1</v>
      </c>
      <c r="L1556" s="13"/>
      <c r="M1556" s="32" t="b">
        <v>1</v>
      </c>
    </row>
    <row r="1557" spans="1:13" s="4" customFormat="1" x14ac:dyDescent="0.25">
      <c r="A1557" s="32"/>
      <c r="B1557" s="32"/>
      <c r="D1557" s="13">
        <v>6120</v>
      </c>
      <c r="E1557" s="32" t="str">
        <f>INDEX([1]道具配置表!$D:$D,MATCH(D1557,[1]道具配置表!$A:$A,0))</f>
        <v>1分钟建造加速</v>
      </c>
      <c r="F1557" s="59" t="s">
        <v>864</v>
      </c>
      <c r="K1557" s="13">
        <v>1</v>
      </c>
      <c r="L1557" s="13"/>
      <c r="M1557" s="32" t="b">
        <v>1</v>
      </c>
    </row>
    <row r="1558" spans="1:13" s="4" customFormat="1" x14ac:dyDescent="0.25">
      <c r="A1558" s="32"/>
      <c r="B1558" s="32"/>
      <c r="D1558" s="13">
        <v>6160</v>
      </c>
      <c r="E1558" s="32" t="str">
        <f>INDEX([1]道具配置表!$D:$D,MATCH(D1558,[1]道具配置表!$A:$A,0))</f>
        <v>1分钟训练加速</v>
      </c>
      <c r="F1558" s="59" t="s">
        <v>867</v>
      </c>
      <c r="K1558" s="13">
        <v>1</v>
      </c>
      <c r="L1558" s="13"/>
      <c r="M1558" s="32" t="b">
        <v>1</v>
      </c>
    </row>
    <row r="1559" spans="1:13" s="4" customFormat="1" x14ac:dyDescent="0.25">
      <c r="A1559" s="32">
        <v>6607164</v>
      </c>
      <c r="B1559" s="32" t="s">
        <v>432</v>
      </c>
      <c r="D1559" s="13">
        <v>501</v>
      </c>
      <c r="E1559" s="32" t="str">
        <f>INDEX([1]道具配置表!$D:$D,MATCH(D1559,[1]道具配置表!$A:$A,0))</f>
        <v>1千资源自选宝箱</v>
      </c>
      <c r="F1559" s="59" t="s">
        <v>933</v>
      </c>
      <c r="K1559" s="13">
        <v>1</v>
      </c>
      <c r="L1559" s="13"/>
      <c r="M1559" s="32" t="b">
        <v>1</v>
      </c>
    </row>
    <row r="1560" spans="1:13" s="4" customFormat="1" x14ac:dyDescent="0.25">
      <c r="A1560" s="32"/>
      <c r="B1560" s="32"/>
      <c r="D1560" s="13">
        <v>6120</v>
      </c>
      <c r="E1560" s="32" t="str">
        <f>INDEX([1]道具配置表!$D:$D,MATCH(D1560,[1]道具配置表!$A:$A,0))</f>
        <v>1分钟建造加速</v>
      </c>
      <c r="F1560" s="59" t="s">
        <v>864</v>
      </c>
      <c r="K1560" s="13">
        <v>1</v>
      </c>
      <c r="L1560" s="13"/>
      <c r="M1560" s="32" t="b">
        <v>1</v>
      </c>
    </row>
    <row r="1561" spans="1:13" s="4" customFormat="1" x14ac:dyDescent="0.25">
      <c r="A1561" s="32"/>
      <c r="B1561" s="32"/>
      <c r="D1561" s="13">
        <v>6160</v>
      </c>
      <c r="E1561" s="32" t="str">
        <f>INDEX([1]道具配置表!$D:$D,MATCH(D1561,[1]道具配置表!$A:$A,0))</f>
        <v>1分钟训练加速</v>
      </c>
      <c r="F1561" s="59" t="s">
        <v>867</v>
      </c>
      <c r="K1561" s="13">
        <v>1</v>
      </c>
      <c r="L1561" s="13"/>
      <c r="M1561" s="32" t="b">
        <v>1</v>
      </c>
    </row>
    <row r="1562" spans="1:13" s="4" customFormat="1" x14ac:dyDescent="0.25">
      <c r="A1562" s="32">
        <v>6607165</v>
      </c>
      <c r="B1562" s="32" t="s">
        <v>433</v>
      </c>
      <c r="D1562" s="13">
        <v>501</v>
      </c>
      <c r="E1562" s="32" t="str">
        <f>INDEX([1]道具配置表!$D:$D,MATCH(D1562,[1]道具配置表!$A:$A,0))</f>
        <v>1千资源自选宝箱</v>
      </c>
      <c r="F1562" s="59" t="s">
        <v>934</v>
      </c>
      <c r="K1562" s="13">
        <v>1</v>
      </c>
      <c r="L1562" s="13"/>
      <c r="M1562" s="32" t="b">
        <v>1</v>
      </c>
    </row>
    <row r="1563" spans="1:13" s="4" customFormat="1" x14ac:dyDescent="0.25">
      <c r="A1563" s="32"/>
      <c r="B1563" s="32"/>
      <c r="D1563" s="13">
        <v>6120</v>
      </c>
      <c r="E1563" s="32" t="str">
        <f>INDEX([1]道具配置表!$D:$D,MATCH(D1563,[1]道具配置表!$A:$A,0))</f>
        <v>1分钟建造加速</v>
      </c>
      <c r="F1563" s="59" t="s">
        <v>864</v>
      </c>
      <c r="K1563" s="13">
        <v>1</v>
      </c>
      <c r="L1563" s="13"/>
      <c r="M1563" s="32" t="b">
        <v>1</v>
      </c>
    </row>
    <row r="1564" spans="1:13" s="4" customFormat="1" x14ac:dyDescent="0.25">
      <c r="A1564" s="32"/>
      <c r="B1564" s="32"/>
      <c r="D1564" s="13">
        <v>6160</v>
      </c>
      <c r="E1564" s="32" t="str">
        <f>INDEX([1]道具配置表!$D:$D,MATCH(D1564,[1]道具配置表!$A:$A,0))</f>
        <v>1分钟训练加速</v>
      </c>
      <c r="F1564" s="59" t="s">
        <v>867</v>
      </c>
      <c r="K1564" s="13">
        <v>1</v>
      </c>
      <c r="L1564" s="13"/>
      <c r="M1564" s="32" t="b">
        <v>1</v>
      </c>
    </row>
    <row r="1565" spans="1:13" s="4" customFormat="1" x14ac:dyDescent="0.25">
      <c r="A1565" s="32">
        <v>6607166</v>
      </c>
      <c r="B1565" s="32" t="s">
        <v>434</v>
      </c>
      <c r="D1565" s="13">
        <v>501</v>
      </c>
      <c r="E1565" s="32" t="str">
        <f>INDEX([1]道具配置表!$D:$D,MATCH(D1565,[1]道具配置表!$A:$A,0))</f>
        <v>1千资源自选宝箱</v>
      </c>
      <c r="F1565" s="59" t="s">
        <v>935</v>
      </c>
      <c r="K1565" s="13">
        <v>1</v>
      </c>
      <c r="L1565" s="13"/>
      <c r="M1565" s="32" t="b">
        <v>1</v>
      </c>
    </row>
    <row r="1566" spans="1:13" s="4" customFormat="1" x14ac:dyDescent="0.25">
      <c r="A1566" s="32"/>
      <c r="B1566" s="32"/>
      <c r="D1566" s="13">
        <v>6120</v>
      </c>
      <c r="E1566" s="32" t="str">
        <f>INDEX([1]道具配置表!$D:$D,MATCH(D1566,[1]道具配置表!$A:$A,0))</f>
        <v>1分钟建造加速</v>
      </c>
      <c r="F1566" s="59" t="s">
        <v>864</v>
      </c>
      <c r="K1566" s="13">
        <v>1</v>
      </c>
      <c r="L1566" s="13"/>
      <c r="M1566" s="32" t="b">
        <v>1</v>
      </c>
    </row>
    <row r="1567" spans="1:13" s="4" customFormat="1" x14ac:dyDescent="0.25">
      <c r="A1567" s="32"/>
      <c r="B1567" s="32"/>
      <c r="D1567" s="13">
        <v>6160</v>
      </c>
      <c r="E1567" s="32" t="str">
        <f>INDEX([1]道具配置表!$D:$D,MATCH(D1567,[1]道具配置表!$A:$A,0))</f>
        <v>1分钟训练加速</v>
      </c>
      <c r="F1567" s="59" t="s">
        <v>867</v>
      </c>
      <c r="K1567" s="13">
        <v>1</v>
      </c>
      <c r="L1567" s="13"/>
      <c r="M1567" s="32" t="b">
        <v>1</v>
      </c>
    </row>
    <row r="1568" spans="1:13" s="4" customFormat="1" x14ac:dyDescent="0.25">
      <c r="A1568" s="32">
        <v>6607167</v>
      </c>
      <c r="B1568" s="32" t="s">
        <v>435</v>
      </c>
      <c r="D1568" s="13">
        <v>501</v>
      </c>
      <c r="E1568" s="32" t="str">
        <f>INDEX([1]道具配置表!$D:$D,MATCH(D1568,[1]道具配置表!$A:$A,0))</f>
        <v>1千资源自选宝箱</v>
      </c>
      <c r="F1568" s="59" t="s">
        <v>936</v>
      </c>
      <c r="K1568" s="13">
        <v>1</v>
      </c>
      <c r="L1568" s="13"/>
      <c r="M1568" s="32" t="b">
        <v>1</v>
      </c>
    </row>
    <row r="1569" spans="1:13" s="4" customFormat="1" x14ac:dyDescent="0.25">
      <c r="A1569" s="32"/>
      <c r="B1569" s="32"/>
      <c r="D1569" s="13">
        <v>6120</v>
      </c>
      <c r="E1569" s="32" t="str">
        <f>INDEX([1]道具配置表!$D:$D,MATCH(D1569,[1]道具配置表!$A:$A,0))</f>
        <v>1分钟建造加速</v>
      </c>
      <c r="F1569" s="59" t="s">
        <v>864</v>
      </c>
      <c r="K1569" s="13">
        <v>1</v>
      </c>
      <c r="L1569" s="13"/>
      <c r="M1569" s="32" t="b">
        <v>1</v>
      </c>
    </row>
    <row r="1570" spans="1:13" s="4" customFormat="1" x14ac:dyDescent="0.25">
      <c r="A1570" s="32"/>
      <c r="B1570" s="32"/>
      <c r="D1570" s="13">
        <v>6160</v>
      </c>
      <c r="E1570" s="32" t="str">
        <f>INDEX([1]道具配置表!$D:$D,MATCH(D1570,[1]道具配置表!$A:$A,0))</f>
        <v>1分钟训练加速</v>
      </c>
      <c r="F1570" s="59" t="s">
        <v>867</v>
      </c>
      <c r="K1570" s="13">
        <v>1</v>
      </c>
      <c r="L1570" s="13"/>
      <c r="M1570" s="32" t="b">
        <v>1</v>
      </c>
    </row>
    <row r="1571" spans="1:13" s="4" customFormat="1" x14ac:dyDescent="0.25">
      <c r="A1571" s="32">
        <v>6607168</v>
      </c>
      <c r="B1571" s="32" t="s">
        <v>436</v>
      </c>
      <c r="D1571" s="13">
        <v>501</v>
      </c>
      <c r="E1571" s="32" t="str">
        <f>INDEX([1]道具配置表!$D:$D,MATCH(D1571,[1]道具配置表!$A:$A,0))</f>
        <v>1千资源自选宝箱</v>
      </c>
      <c r="F1571" s="59" t="s">
        <v>937</v>
      </c>
      <c r="K1571" s="13">
        <v>1</v>
      </c>
      <c r="L1571" s="13"/>
      <c r="M1571" s="32" t="b">
        <v>1</v>
      </c>
    </row>
    <row r="1572" spans="1:13" s="4" customFormat="1" x14ac:dyDescent="0.25">
      <c r="A1572" s="32"/>
      <c r="B1572" s="32"/>
      <c r="D1572" s="13">
        <v>6120</v>
      </c>
      <c r="E1572" s="32" t="str">
        <f>INDEX([1]道具配置表!$D:$D,MATCH(D1572,[1]道具配置表!$A:$A,0))</f>
        <v>1分钟建造加速</v>
      </c>
      <c r="F1572" s="59" t="s">
        <v>864</v>
      </c>
      <c r="K1572" s="13">
        <v>1</v>
      </c>
      <c r="L1572" s="13"/>
      <c r="M1572" s="32" t="b">
        <v>1</v>
      </c>
    </row>
    <row r="1573" spans="1:13" s="4" customFormat="1" x14ac:dyDescent="0.25">
      <c r="A1573" s="32"/>
      <c r="B1573" s="32"/>
      <c r="D1573" s="13">
        <v>6160</v>
      </c>
      <c r="E1573" s="32" t="str">
        <f>INDEX([1]道具配置表!$D:$D,MATCH(D1573,[1]道具配置表!$A:$A,0))</f>
        <v>1分钟训练加速</v>
      </c>
      <c r="F1573" s="59" t="s">
        <v>867</v>
      </c>
      <c r="K1573" s="13">
        <v>1</v>
      </c>
      <c r="L1573" s="13"/>
      <c r="M1573" s="32" t="b">
        <v>1</v>
      </c>
    </row>
    <row r="1574" spans="1:13" s="4" customFormat="1" x14ac:dyDescent="0.25">
      <c r="A1574" s="32">
        <v>6607169</v>
      </c>
      <c r="B1574" s="32" t="s">
        <v>437</v>
      </c>
      <c r="D1574" s="13">
        <v>501</v>
      </c>
      <c r="E1574" s="32" t="str">
        <f>INDEX([1]道具配置表!$D:$D,MATCH(D1574,[1]道具配置表!$A:$A,0))</f>
        <v>1千资源自选宝箱</v>
      </c>
      <c r="F1574" s="59" t="s">
        <v>938</v>
      </c>
      <c r="K1574" s="13">
        <v>1</v>
      </c>
      <c r="L1574" s="13"/>
      <c r="M1574" s="32" t="b">
        <v>1</v>
      </c>
    </row>
    <row r="1575" spans="1:13" s="4" customFormat="1" x14ac:dyDescent="0.25">
      <c r="A1575" s="32"/>
      <c r="B1575" s="32"/>
      <c r="D1575" s="13">
        <v>6120</v>
      </c>
      <c r="E1575" s="32" t="str">
        <f>INDEX([1]道具配置表!$D:$D,MATCH(D1575,[1]道具配置表!$A:$A,0))</f>
        <v>1分钟建造加速</v>
      </c>
      <c r="F1575" s="59" t="s">
        <v>864</v>
      </c>
      <c r="K1575" s="13">
        <v>1</v>
      </c>
      <c r="L1575" s="13"/>
      <c r="M1575" s="32" t="b">
        <v>1</v>
      </c>
    </row>
    <row r="1576" spans="1:13" s="4" customFormat="1" x14ac:dyDescent="0.25">
      <c r="A1576" s="32"/>
      <c r="B1576" s="32"/>
      <c r="D1576" s="13">
        <v>6160</v>
      </c>
      <c r="E1576" s="32" t="str">
        <f>INDEX([1]道具配置表!$D:$D,MATCH(D1576,[1]道具配置表!$A:$A,0))</f>
        <v>1分钟训练加速</v>
      </c>
      <c r="F1576" s="59" t="s">
        <v>867</v>
      </c>
      <c r="K1576" s="13">
        <v>1</v>
      </c>
      <c r="L1576" s="13"/>
      <c r="M1576" s="32" t="b">
        <v>1</v>
      </c>
    </row>
    <row r="1577" spans="1:13" s="4" customFormat="1" x14ac:dyDescent="0.25">
      <c r="A1577" s="32">
        <v>6607170</v>
      </c>
      <c r="B1577" s="32" t="s">
        <v>438</v>
      </c>
      <c r="D1577" s="13">
        <v>501</v>
      </c>
      <c r="E1577" s="32" t="str">
        <f>INDEX([1]道具配置表!$D:$D,MATCH(D1577,[1]道具配置表!$A:$A,0))</f>
        <v>1千资源自选宝箱</v>
      </c>
      <c r="F1577" s="59" t="s">
        <v>939</v>
      </c>
      <c r="K1577" s="13">
        <v>1</v>
      </c>
      <c r="L1577" s="13"/>
      <c r="M1577" s="32" t="b">
        <v>1</v>
      </c>
    </row>
    <row r="1578" spans="1:13" s="4" customFormat="1" x14ac:dyDescent="0.25">
      <c r="A1578" s="32"/>
      <c r="B1578" s="32"/>
      <c r="D1578" s="13">
        <v>6120</v>
      </c>
      <c r="E1578" s="32" t="str">
        <f>INDEX([1]道具配置表!$D:$D,MATCH(D1578,[1]道具配置表!$A:$A,0))</f>
        <v>1分钟建造加速</v>
      </c>
      <c r="F1578" s="59" t="s">
        <v>864</v>
      </c>
      <c r="K1578" s="13">
        <v>1</v>
      </c>
      <c r="L1578" s="13"/>
      <c r="M1578" s="32" t="b">
        <v>1</v>
      </c>
    </row>
    <row r="1579" spans="1:13" s="4" customFormat="1" x14ac:dyDescent="0.25">
      <c r="A1579" s="32"/>
      <c r="B1579" s="32"/>
      <c r="D1579" s="13">
        <v>6160</v>
      </c>
      <c r="E1579" s="32" t="str">
        <f>INDEX([1]道具配置表!$D:$D,MATCH(D1579,[1]道具配置表!$A:$A,0))</f>
        <v>1分钟训练加速</v>
      </c>
      <c r="F1579" s="59" t="s">
        <v>875</v>
      </c>
      <c r="K1579" s="13">
        <v>1</v>
      </c>
      <c r="L1579" s="13"/>
      <c r="M1579" s="32" t="b">
        <v>1</v>
      </c>
    </row>
    <row r="1580" spans="1:13" s="4" customFormat="1" x14ac:dyDescent="0.25">
      <c r="A1580" s="32">
        <v>6607171</v>
      </c>
      <c r="B1580" s="32" t="s">
        <v>439</v>
      </c>
      <c r="D1580" s="13">
        <v>501</v>
      </c>
      <c r="E1580" s="32" t="str">
        <f>INDEX([1]道具配置表!$D:$D,MATCH(D1580,[1]道具配置表!$A:$A,0))</f>
        <v>1千资源自选宝箱</v>
      </c>
      <c r="F1580" s="59" t="s">
        <v>940</v>
      </c>
      <c r="K1580" s="13">
        <v>1</v>
      </c>
      <c r="L1580" s="13"/>
      <c r="M1580" s="32" t="b">
        <v>1</v>
      </c>
    </row>
    <row r="1581" spans="1:13" s="4" customFormat="1" x14ac:dyDescent="0.25">
      <c r="A1581" s="32"/>
      <c r="B1581" s="32"/>
      <c r="D1581" s="13">
        <v>6120</v>
      </c>
      <c r="E1581" s="32" t="str">
        <f>INDEX([1]道具配置表!$D:$D,MATCH(D1581,[1]道具配置表!$A:$A,0))</f>
        <v>1分钟建造加速</v>
      </c>
      <c r="F1581" s="59" t="s">
        <v>864</v>
      </c>
      <c r="K1581" s="13">
        <v>1</v>
      </c>
      <c r="L1581" s="13"/>
      <c r="M1581" s="32" t="b">
        <v>1</v>
      </c>
    </row>
    <row r="1582" spans="1:13" s="4" customFormat="1" x14ac:dyDescent="0.25">
      <c r="A1582" s="32"/>
      <c r="B1582" s="32"/>
      <c r="D1582" s="13">
        <v>6160</v>
      </c>
      <c r="E1582" s="32" t="str">
        <f>INDEX([1]道具配置表!$D:$D,MATCH(D1582,[1]道具配置表!$A:$A,0))</f>
        <v>1分钟训练加速</v>
      </c>
      <c r="F1582" s="59" t="s">
        <v>875</v>
      </c>
      <c r="K1582" s="13">
        <v>1</v>
      </c>
      <c r="L1582" s="13"/>
      <c r="M1582" s="32" t="b">
        <v>1</v>
      </c>
    </row>
    <row r="1583" spans="1:13" s="4" customFormat="1" x14ac:dyDescent="0.25">
      <c r="A1583" s="32">
        <v>6607172</v>
      </c>
      <c r="B1583" s="32" t="s">
        <v>440</v>
      </c>
      <c r="D1583" s="13">
        <v>501</v>
      </c>
      <c r="E1583" s="32" t="str">
        <f>INDEX([1]道具配置表!$D:$D,MATCH(D1583,[1]道具配置表!$A:$A,0))</f>
        <v>1千资源自选宝箱</v>
      </c>
      <c r="F1583" s="59" t="s">
        <v>941</v>
      </c>
      <c r="K1583" s="13">
        <v>1</v>
      </c>
      <c r="L1583" s="13"/>
      <c r="M1583" s="32" t="b">
        <v>1</v>
      </c>
    </row>
    <row r="1584" spans="1:13" s="4" customFormat="1" x14ac:dyDescent="0.25">
      <c r="A1584" s="32"/>
      <c r="B1584" s="32"/>
      <c r="D1584" s="13">
        <v>6120</v>
      </c>
      <c r="E1584" s="32" t="str">
        <f>INDEX([1]道具配置表!$D:$D,MATCH(D1584,[1]道具配置表!$A:$A,0))</f>
        <v>1分钟建造加速</v>
      </c>
      <c r="F1584" s="59" t="s">
        <v>864</v>
      </c>
      <c r="K1584" s="13">
        <v>1</v>
      </c>
      <c r="L1584" s="13"/>
      <c r="M1584" s="32" t="b">
        <v>1</v>
      </c>
    </row>
    <row r="1585" spans="1:13" s="4" customFormat="1" x14ac:dyDescent="0.25">
      <c r="A1585" s="32"/>
      <c r="B1585" s="32"/>
      <c r="D1585" s="13">
        <v>6160</v>
      </c>
      <c r="E1585" s="32" t="str">
        <f>INDEX([1]道具配置表!$D:$D,MATCH(D1585,[1]道具配置表!$A:$A,0))</f>
        <v>1分钟训练加速</v>
      </c>
      <c r="F1585" s="59" t="s">
        <v>875</v>
      </c>
      <c r="K1585" s="13">
        <v>1</v>
      </c>
      <c r="L1585" s="13"/>
      <c r="M1585" s="32" t="b">
        <v>1</v>
      </c>
    </row>
    <row r="1586" spans="1:13" s="4" customFormat="1" x14ac:dyDescent="0.25">
      <c r="A1586" s="32">
        <v>6607173</v>
      </c>
      <c r="B1586" s="32" t="s">
        <v>441</v>
      </c>
      <c r="D1586" s="13">
        <v>501</v>
      </c>
      <c r="E1586" s="32" t="str">
        <f>INDEX([1]道具配置表!$D:$D,MATCH(D1586,[1]道具配置表!$A:$A,0))</f>
        <v>1千资源自选宝箱</v>
      </c>
      <c r="F1586" s="59" t="s">
        <v>942</v>
      </c>
      <c r="K1586" s="13">
        <v>1</v>
      </c>
      <c r="L1586" s="13"/>
      <c r="M1586" s="32" t="b">
        <v>1</v>
      </c>
    </row>
    <row r="1587" spans="1:13" s="4" customFormat="1" x14ac:dyDescent="0.25">
      <c r="A1587" s="32"/>
      <c r="B1587" s="32"/>
      <c r="D1587" s="13">
        <v>6120</v>
      </c>
      <c r="E1587" s="32" t="str">
        <f>INDEX([1]道具配置表!$D:$D,MATCH(D1587,[1]道具配置表!$A:$A,0))</f>
        <v>1分钟建造加速</v>
      </c>
      <c r="F1587" s="59" t="s">
        <v>864</v>
      </c>
      <c r="K1587" s="13">
        <v>1</v>
      </c>
      <c r="L1587" s="13"/>
      <c r="M1587" s="32" t="b">
        <v>1</v>
      </c>
    </row>
    <row r="1588" spans="1:13" s="4" customFormat="1" x14ac:dyDescent="0.25">
      <c r="A1588" s="32"/>
      <c r="B1588" s="32"/>
      <c r="D1588" s="13">
        <v>6160</v>
      </c>
      <c r="E1588" s="32" t="str">
        <f>INDEX([1]道具配置表!$D:$D,MATCH(D1588,[1]道具配置表!$A:$A,0))</f>
        <v>1分钟训练加速</v>
      </c>
      <c r="F1588" s="59" t="s">
        <v>875</v>
      </c>
      <c r="K1588" s="13">
        <v>1</v>
      </c>
      <c r="L1588" s="13"/>
      <c r="M1588" s="32" t="b">
        <v>1</v>
      </c>
    </row>
    <row r="1589" spans="1:13" s="4" customFormat="1" x14ac:dyDescent="0.25">
      <c r="A1589" s="32">
        <v>6607174</v>
      </c>
      <c r="B1589" s="32" t="s">
        <v>442</v>
      </c>
      <c r="D1589" s="13">
        <v>501</v>
      </c>
      <c r="E1589" s="32" t="str">
        <f>INDEX([1]道具配置表!$D:$D,MATCH(D1589,[1]道具配置表!$A:$A,0))</f>
        <v>1千资源自选宝箱</v>
      </c>
      <c r="F1589" s="59" t="s">
        <v>943</v>
      </c>
      <c r="K1589" s="13">
        <v>1</v>
      </c>
      <c r="L1589" s="13"/>
      <c r="M1589" s="32" t="b">
        <v>1</v>
      </c>
    </row>
    <row r="1590" spans="1:13" s="4" customFormat="1" x14ac:dyDescent="0.25">
      <c r="A1590" s="32"/>
      <c r="B1590" s="32"/>
      <c r="D1590" s="13">
        <v>6120</v>
      </c>
      <c r="E1590" s="32" t="str">
        <f>INDEX([1]道具配置表!$D:$D,MATCH(D1590,[1]道具配置表!$A:$A,0))</f>
        <v>1分钟建造加速</v>
      </c>
      <c r="F1590" s="59" t="s">
        <v>864</v>
      </c>
      <c r="K1590" s="13">
        <v>1</v>
      </c>
      <c r="L1590" s="13"/>
      <c r="M1590" s="32" t="b">
        <v>1</v>
      </c>
    </row>
    <row r="1591" spans="1:13" s="4" customFormat="1" x14ac:dyDescent="0.25">
      <c r="A1591" s="32"/>
      <c r="B1591" s="32"/>
      <c r="D1591" s="13">
        <v>6160</v>
      </c>
      <c r="E1591" s="32" t="str">
        <f>INDEX([1]道具配置表!$D:$D,MATCH(D1591,[1]道具配置表!$A:$A,0))</f>
        <v>1分钟训练加速</v>
      </c>
      <c r="F1591" s="59" t="s">
        <v>875</v>
      </c>
      <c r="K1591" s="13">
        <v>1</v>
      </c>
      <c r="L1591" s="13"/>
      <c r="M1591" s="32" t="b">
        <v>1</v>
      </c>
    </row>
    <row r="1592" spans="1:13" s="4" customFormat="1" x14ac:dyDescent="0.25">
      <c r="A1592" s="32">
        <v>6607175</v>
      </c>
      <c r="B1592" s="32" t="s">
        <v>443</v>
      </c>
      <c r="D1592" s="13">
        <v>501</v>
      </c>
      <c r="E1592" s="32" t="str">
        <f>INDEX([1]道具配置表!$D:$D,MATCH(D1592,[1]道具配置表!$A:$A,0))</f>
        <v>1千资源自选宝箱</v>
      </c>
      <c r="F1592" s="59" t="s">
        <v>944</v>
      </c>
      <c r="K1592" s="13">
        <v>1</v>
      </c>
      <c r="L1592" s="13"/>
      <c r="M1592" s="32" t="b">
        <v>1</v>
      </c>
    </row>
    <row r="1593" spans="1:13" s="4" customFormat="1" x14ac:dyDescent="0.25">
      <c r="A1593" s="32"/>
      <c r="B1593" s="32"/>
      <c r="D1593" s="13">
        <v>6120</v>
      </c>
      <c r="E1593" s="32" t="str">
        <f>INDEX([1]道具配置表!$D:$D,MATCH(D1593,[1]道具配置表!$A:$A,0))</f>
        <v>1分钟建造加速</v>
      </c>
      <c r="F1593" s="59" t="s">
        <v>866</v>
      </c>
      <c r="K1593" s="13">
        <v>1</v>
      </c>
      <c r="L1593" s="13"/>
      <c r="M1593" s="32" t="b">
        <v>1</v>
      </c>
    </row>
    <row r="1594" spans="1:13" s="4" customFormat="1" x14ac:dyDescent="0.25">
      <c r="A1594" s="32"/>
      <c r="B1594" s="32"/>
      <c r="D1594" s="13">
        <v>6160</v>
      </c>
      <c r="E1594" s="32" t="str">
        <f>INDEX([1]道具配置表!$D:$D,MATCH(D1594,[1]道具配置表!$A:$A,0))</f>
        <v>1分钟训练加速</v>
      </c>
      <c r="F1594" s="59" t="s">
        <v>875</v>
      </c>
      <c r="K1594" s="13">
        <v>1</v>
      </c>
      <c r="L1594" s="13"/>
      <c r="M1594" s="32" t="b">
        <v>1</v>
      </c>
    </row>
    <row r="1595" spans="1:13" s="4" customFormat="1" x14ac:dyDescent="0.25">
      <c r="A1595" s="32">
        <v>6607176</v>
      </c>
      <c r="B1595" s="32" t="s">
        <v>444</v>
      </c>
      <c r="D1595" s="13">
        <v>501</v>
      </c>
      <c r="E1595" s="32" t="str">
        <f>INDEX([1]道具配置表!$D:$D,MATCH(D1595,[1]道具配置表!$A:$A,0))</f>
        <v>1千资源自选宝箱</v>
      </c>
      <c r="F1595" s="59" t="s">
        <v>945</v>
      </c>
      <c r="K1595" s="13">
        <v>1</v>
      </c>
      <c r="L1595" s="13"/>
      <c r="M1595" s="32" t="b">
        <v>1</v>
      </c>
    </row>
    <row r="1596" spans="1:13" s="4" customFormat="1" x14ac:dyDescent="0.25">
      <c r="A1596" s="32"/>
      <c r="B1596" s="32"/>
      <c r="D1596" s="13">
        <v>6120</v>
      </c>
      <c r="E1596" s="32" t="str">
        <f>INDEX([1]道具配置表!$D:$D,MATCH(D1596,[1]道具配置表!$A:$A,0))</f>
        <v>1分钟建造加速</v>
      </c>
      <c r="F1596" s="59" t="s">
        <v>866</v>
      </c>
      <c r="K1596" s="13">
        <v>1</v>
      </c>
      <c r="L1596" s="13"/>
      <c r="M1596" s="32" t="b">
        <v>1</v>
      </c>
    </row>
    <row r="1597" spans="1:13" s="4" customFormat="1" x14ac:dyDescent="0.25">
      <c r="A1597" s="32"/>
      <c r="B1597" s="32"/>
      <c r="D1597" s="13">
        <v>6160</v>
      </c>
      <c r="E1597" s="32" t="str">
        <f>INDEX([1]道具配置表!$D:$D,MATCH(D1597,[1]道具配置表!$A:$A,0))</f>
        <v>1分钟训练加速</v>
      </c>
      <c r="F1597" s="59" t="s">
        <v>875</v>
      </c>
      <c r="K1597" s="13">
        <v>1</v>
      </c>
      <c r="L1597" s="13"/>
      <c r="M1597" s="32" t="b">
        <v>1</v>
      </c>
    </row>
    <row r="1598" spans="1:13" s="4" customFormat="1" x14ac:dyDescent="0.25">
      <c r="A1598" s="32">
        <v>6607177</v>
      </c>
      <c r="B1598" s="32" t="s">
        <v>445</v>
      </c>
      <c r="D1598" s="13">
        <v>501</v>
      </c>
      <c r="E1598" s="32" t="str">
        <f>INDEX([1]道具配置表!$D:$D,MATCH(D1598,[1]道具配置表!$A:$A,0))</f>
        <v>1千资源自选宝箱</v>
      </c>
      <c r="F1598" s="59" t="s">
        <v>946</v>
      </c>
      <c r="K1598" s="13">
        <v>1</v>
      </c>
      <c r="L1598" s="13"/>
      <c r="M1598" s="32" t="b">
        <v>1</v>
      </c>
    </row>
    <row r="1599" spans="1:13" s="4" customFormat="1" x14ac:dyDescent="0.25">
      <c r="A1599" s="32"/>
      <c r="B1599" s="32"/>
      <c r="D1599" s="13">
        <v>6120</v>
      </c>
      <c r="E1599" s="32" t="str">
        <f>INDEX([1]道具配置表!$D:$D,MATCH(D1599,[1]道具配置表!$A:$A,0))</f>
        <v>1分钟建造加速</v>
      </c>
      <c r="F1599" s="59" t="s">
        <v>866</v>
      </c>
      <c r="K1599" s="13">
        <v>1</v>
      </c>
      <c r="L1599" s="13"/>
      <c r="M1599" s="32" t="b">
        <v>1</v>
      </c>
    </row>
    <row r="1600" spans="1:13" s="4" customFormat="1" x14ac:dyDescent="0.25">
      <c r="A1600" s="32"/>
      <c r="B1600" s="32"/>
      <c r="D1600" s="13">
        <v>6160</v>
      </c>
      <c r="E1600" s="32" t="str">
        <f>INDEX([1]道具配置表!$D:$D,MATCH(D1600,[1]道具配置表!$A:$A,0))</f>
        <v>1分钟训练加速</v>
      </c>
      <c r="F1600" s="59" t="s">
        <v>875</v>
      </c>
      <c r="K1600" s="13">
        <v>1</v>
      </c>
      <c r="L1600" s="13"/>
      <c r="M1600" s="32" t="b">
        <v>1</v>
      </c>
    </row>
    <row r="1601" spans="1:13" s="4" customFormat="1" x14ac:dyDescent="0.25">
      <c r="A1601" s="32">
        <v>6607178</v>
      </c>
      <c r="B1601" s="32" t="s">
        <v>446</v>
      </c>
      <c r="D1601" s="13">
        <v>501</v>
      </c>
      <c r="E1601" s="32" t="str">
        <f>INDEX([1]道具配置表!$D:$D,MATCH(D1601,[1]道具配置表!$A:$A,0))</f>
        <v>1千资源自选宝箱</v>
      </c>
      <c r="F1601" s="59" t="s">
        <v>947</v>
      </c>
      <c r="K1601" s="13">
        <v>1</v>
      </c>
      <c r="L1601" s="13"/>
      <c r="M1601" s="32" t="b">
        <v>1</v>
      </c>
    </row>
    <row r="1602" spans="1:13" s="4" customFormat="1" x14ac:dyDescent="0.25">
      <c r="A1602" s="32"/>
      <c r="B1602" s="32"/>
      <c r="D1602" s="13">
        <v>6120</v>
      </c>
      <c r="E1602" s="32" t="str">
        <f>INDEX([1]道具配置表!$D:$D,MATCH(D1602,[1]道具配置表!$A:$A,0))</f>
        <v>1分钟建造加速</v>
      </c>
      <c r="F1602" s="59" t="s">
        <v>866</v>
      </c>
      <c r="K1602" s="13">
        <v>1</v>
      </c>
      <c r="L1602" s="13"/>
      <c r="M1602" s="32" t="b">
        <v>1</v>
      </c>
    </row>
    <row r="1603" spans="1:13" s="4" customFormat="1" x14ac:dyDescent="0.25">
      <c r="A1603" s="32"/>
      <c r="B1603" s="32"/>
      <c r="D1603" s="13">
        <v>6160</v>
      </c>
      <c r="E1603" s="32" t="str">
        <f>INDEX([1]道具配置表!$D:$D,MATCH(D1603,[1]道具配置表!$A:$A,0))</f>
        <v>1分钟训练加速</v>
      </c>
      <c r="F1603" s="59" t="s">
        <v>875</v>
      </c>
      <c r="K1603" s="13">
        <v>1</v>
      </c>
      <c r="L1603" s="13"/>
      <c r="M1603" s="32" t="b">
        <v>1</v>
      </c>
    </row>
    <row r="1604" spans="1:13" s="4" customFormat="1" x14ac:dyDescent="0.25">
      <c r="A1604" s="32">
        <v>6607179</v>
      </c>
      <c r="B1604" s="32" t="s">
        <v>447</v>
      </c>
      <c r="D1604" s="13">
        <v>501</v>
      </c>
      <c r="E1604" s="32" t="str">
        <f>INDEX([1]道具配置表!$D:$D,MATCH(D1604,[1]道具配置表!$A:$A,0))</f>
        <v>1千资源自选宝箱</v>
      </c>
      <c r="F1604" s="59" t="s">
        <v>948</v>
      </c>
      <c r="K1604" s="13">
        <v>1</v>
      </c>
      <c r="L1604" s="13"/>
      <c r="M1604" s="32" t="b">
        <v>1</v>
      </c>
    </row>
    <row r="1605" spans="1:13" s="4" customFormat="1" x14ac:dyDescent="0.25">
      <c r="A1605" s="32"/>
      <c r="B1605" s="32"/>
      <c r="D1605" s="13">
        <v>6120</v>
      </c>
      <c r="E1605" s="32" t="str">
        <f>INDEX([1]道具配置表!$D:$D,MATCH(D1605,[1]道具配置表!$A:$A,0))</f>
        <v>1分钟建造加速</v>
      </c>
      <c r="F1605" s="59" t="s">
        <v>866</v>
      </c>
      <c r="K1605" s="13">
        <v>1</v>
      </c>
      <c r="L1605" s="13"/>
      <c r="M1605" s="32" t="b">
        <v>1</v>
      </c>
    </row>
    <row r="1606" spans="1:13" s="4" customFormat="1" x14ac:dyDescent="0.25">
      <c r="A1606" s="32"/>
      <c r="B1606" s="32"/>
      <c r="D1606" s="13">
        <v>6160</v>
      </c>
      <c r="E1606" s="32" t="str">
        <f>INDEX([1]道具配置表!$D:$D,MATCH(D1606,[1]道具配置表!$A:$A,0))</f>
        <v>1分钟训练加速</v>
      </c>
      <c r="F1606" s="59" t="s">
        <v>875</v>
      </c>
      <c r="K1606" s="13">
        <v>1</v>
      </c>
      <c r="L1606" s="13"/>
      <c r="M1606" s="32" t="b">
        <v>1</v>
      </c>
    </row>
    <row r="1607" spans="1:13" s="4" customFormat="1" x14ac:dyDescent="0.25">
      <c r="A1607" s="32">
        <v>6607180</v>
      </c>
      <c r="B1607" s="32" t="s">
        <v>448</v>
      </c>
      <c r="D1607" s="13">
        <v>501</v>
      </c>
      <c r="E1607" s="32" t="str">
        <f>INDEX([1]道具配置表!$D:$D,MATCH(D1607,[1]道具配置表!$A:$A,0))</f>
        <v>1千资源自选宝箱</v>
      </c>
      <c r="F1607" s="59" t="s">
        <v>949</v>
      </c>
      <c r="K1607" s="13">
        <v>1</v>
      </c>
      <c r="L1607" s="13"/>
      <c r="M1607" s="32" t="b">
        <v>1</v>
      </c>
    </row>
    <row r="1608" spans="1:13" s="4" customFormat="1" x14ac:dyDescent="0.25">
      <c r="A1608" s="32"/>
      <c r="B1608" s="32"/>
      <c r="D1608" s="13">
        <v>6120</v>
      </c>
      <c r="E1608" s="32" t="str">
        <f>INDEX([1]道具配置表!$D:$D,MATCH(D1608,[1]道具配置表!$A:$A,0))</f>
        <v>1分钟建造加速</v>
      </c>
      <c r="F1608" s="59" t="s">
        <v>866</v>
      </c>
      <c r="K1608" s="13">
        <v>1</v>
      </c>
      <c r="L1608" s="13"/>
      <c r="M1608" s="32" t="b">
        <v>1</v>
      </c>
    </row>
    <row r="1609" spans="1:13" s="4" customFormat="1" x14ac:dyDescent="0.25">
      <c r="A1609" s="32"/>
      <c r="B1609" s="32"/>
      <c r="D1609" s="13">
        <v>6160</v>
      </c>
      <c r="E1609" s="32" t="str">
        <f>INDEX([1]道具配置表!$D:$D,MATCH(D1609,[1]道具配置表!$A:$A,0))</f>
        <v>1分钟训练加速</v>
      </c>
      <c r="F1609" s="59" t="s">
        <v>868</v>
      </c>
      <c r="K1609" s="13">
        <v>1</v>
      </c>
      <c r="L1609" s="13"/>
      <c r="M1609" s="32" t="b">
        <v>1</v>
      </c>
    </row>
    <row r="1610" spans="1:13" s="4" customFormat="1" x14ac:dyDescent="0.25">
      <c r="A1610" s="132">
        <v>6607181</v>
      </c>
      <c r="B1610" s="132" t="s">
        <v>1835</v>
      </c>
      <c r="D1610" s="13">
        <v>501</v>
      </c>
      <c r="E1610" s="132" t="str">
        <f>INDEX([1]道具配置表!$D:$D,MATCH(D1610,[1]道具配置表!$A:$A,0))</f>
        <v>1千资源自选宝箱</v>
      </c>
      <c r="F1610" s="134">
        <v>95</v>
      </c>
      <c r="K1610" s="13">
        <v>1</v>
      </c>
      <c r="L1610" s="13"/>
      <c r="M1610" s="132" t="b">
        <v>1</v>
      </c>
    </row>
    <row r="1611" spans="1:13" s="4" customFormat="1" x14ac:dyDescent="0.25">
      <c r="A1611" s="132"/>
      <c r="B1611" s="132"/>
      <c r="D1611" s="13">
        <v>6120</v>
      </c>
      <c r="E1611" s="132" t="str">
        <f>INDEX([1]道具配置表!$D:$D,MATCH(D1611,[1]道具配置表!$A:$A,0))</f>
        <v>1分钟建造加速</v>
      </c>
      <c r="F1611" s="134">
        <v>15</v>
      </c>
      <c r="K1611" s="13">
        <v>1</v>
      </c>
      <c r="L1611" s="13"/>
      <c r="M1611" s="132" t="b">
        <v>1</v>
      </c>
    </row>
    <row r="1612" spans="1:13" s="4" customFormat="1" x14ac:dyDescent="0.25">
      <c r="A1612" s="132"/>
      <c r="B1612" s="132"/>
      <c r="D1612" s="13">
        <v>6160</v>
      </c>
      <c r="E1612" s="132" t="str">
        <f>INDEX([1]道具配置表!$D:$D,MATCH(D1612,[1]道具配置表!$A:$A,0))</f>
        <v>1分钟训练加速</v>
      </c>
      <c r="F1612" s="134">
        <v>18</v>
      </c>
      <c r="K1612" s="13">
        <v>1</v>
      </c>
      <c r="L1612" s="13"/>
      <c r="M1612" s="132" t="b">
        <v>1</v>
      </c>
    </row>
    <row r="1613" spans="1:13" s="4" customFormat="1" x14ac:dyDescent="0.25">
      <c r="A1613" s="132">
        <v>6607182</v>
      </c>
      <c r="B1613" s="132" t="s">
        <v>1836</v>
      </c>
      <c r="D1613" s="13">
        <v>501</v>
      </c>
      <c r="E1613" s="132" t="str">
        <f>INDEX([1]道具配置表!$D:$D,MATCH(D1613,[1]道具配置表!$A:$A,0))</f>
        <v>1千资源自选宝箱</v>
      </c>
      <c r="F1613" s="134">
        <v>96</v>
      </c>
      <c r="K1613" s="13">
        <v>1</v>
      </c>
      <c r="L1613" s="13"/>
      <c r="M1613" s="132" t="b">
        <v>1</v>
      </c>
    </row>
    <row r="1614" spans="1:13" s="4" customFormat="1" x14ac:dyDescent="0.25">
      <c r="A1614" s="132"/>
      <c r="B1614" s="132"/>
      <c r="D1614" s="13">
        <v>6120</v>
      </c>
      <c r="E1614" s="132" t="str">
        <f>INDEX([1]道具配置表!$D:$D,MATCH(D1614,[1]道具配置表!$A:$A,0))</f>
        <v>1分钟建造加速</v>
      </c>
      <c r="F1614" s="134">
        <v>15</v>
      </c>
      <c r="K1614" s="13">
        <v>1</v>
      </c>
      <c r="L1614" s="13"/>
      <c r="M1614" s="132" t="b">
        <v>1</v>
      </c>
    </row>
    <row r="1615" spans="1:13" s="4" customFormat="1" x14ac:dyDescent="0.25">
      <c r="A1615" s="132"/>
      <c r="B1615" s="132"/>
      <c r="D1615" s="13">
        <v>6160</v>
      </c>
      <c r="E1615" s="132" t="str">
        <f>INDEX([1]道具配置表!$D:$D,MATCH(D1615,[1]道具配置表!$A:$A,0))</f>
        <v>1分钟训练加速</v>
      </c>
      <c r="F1615" s="134">
        <v>18</v>
      </c>
      <c r="K1615" s="13">
        <v>1</v>
      </c>
      <c r="L1615" s="13"/>
      <c r="M1615" s="132" t="b">
        <v>1</v>
      </c>
    </row>
    <row r="1616" spans="1:13" s="4" customFormat="1" x14ac:dyDescent="0.25">
      <c r="A1616" s="132">
        <v>6607183</v>
      </c>
      <c r="B1616" s="132" t="s">
        <v>1837</v>
      </c>
      <c r="D1616" s="13">
        <v>501</v>
      </c>
      <c r="E1616" s="132" t="str">
        <f>INDEX([1]道具配置表!$D:$D,MATCH(D1616,[1]道具配置表!$A:$A,0))</f>
        <v>1千资源自选宝箱</v>
      </c>
      <c r="F1616" s="134">
        <v>97</v>
      </c>
      <c r="K1616" s="13">
        <v>1</v>
      </c>
      <c r="L1616" s="13"/>
      <c r="M1616" s="132" t="b">
        <v>1</v>
      </c>
    </row>
    <row r="1617" spans="1:13" s="4" customFormat="1" x14ac:dyDescent="0.25">
      <c r="A1617" s="132"/>
      <c r="B1617" s="132"/>
      <c r="D1617" s="13">
        <v>6120</v>
      </c>
      <c r="E1617" s="132" t="str">
        <f>INDEX([1]道具配置表!$D:$D,MATCH(D1617,[1]道具配置表!$A:$A,0))</f>
        <v>1分钟建造加速</v>
      </c>
      <c r="F1617" s="134">
        <v>15</v>
      </c>
      <c r="K1617" s="13">
        <v>1</v>
      </c>
      <c r="L1617" s="13"/>
      <c r="M1617" s="132" t="b">
        <v>1</v>
      </c>
    </row>
    <row r="1618" spans="1:13" s="4" customFormat="1" x14ac:dyDescent="0.25">
      <c r="A1618" s="132"/>
      <c r="B1618" s="132"/>
      <c r="D1618" s="13">
        <v>6160</v>
      </c>
      <c r="E1618" s="132" t="str">
        <f>INDEX([1]道具配置表!$D:$D,MATCH(D1618,[1]道具配置表!$A:$A,0))</f>
        <v>1分钟训练加速</v>
      </c>
      <c r="F1618" s="134">
        <v>18</v>
      </c>
      <c r="K1618" s="13">
        <v>1</v>
      </c>
      <c r="L1618" s="13"/>
      <c r="M1618" s="132" t="b">
        <v>1</v>
      </c>
    </row>
    <row r="1619" spans="1:13" s="4" customFormat="1" x14ac:dyDescent="0.25">
      <c r="A1619" s="132">
        <v>6607184</v>
      </c>
      <c r="B1619" s="132" t="s">
        <v>1838</v>
      </c>
      <c r="D1619" s="13">
        <v>501</v>
      </c>
      <c r="E1619" s="132" t="str">
        <f>INDEX([1]道具配置表!$D:$D,MATCH(D1619,[1]道具配置表!$A:$A,0))</f>
        <v>1千资源自选宝箱</v>
      </c>
      <c r="F1619" s="134">
        <v>98</v>
      </c>
      <c r="K1619" s="13">
        <v>1</v>
      </c>
      <c r="L1619" s="13"/>
      <c r="M1619" s="132" t="b">
        <v>1</v>
      </c>
    </row>
    <row r="1620" spans="1:13" s="4" customFormat="1" x14ac:dyDescent="0.25">
      <c r="A1620" s="132"/>
      <c r="B1620" s="132"/>
      <c r="D1620" s="13">
        <v>6120</v>
      </c>
      <c r="E1620" s="132" t="str">
        <f>INDEX([1]道具配置表!$D:$D,MATCH(D1620,[1]道具配置表!$A:$A,0))</f>
        <v>1分钟建造加速</v>
      </c>
      <c r="F1620" s="134">
        <v>15</v>
      </c>
      <c r="K1620" s="13">
        <v>1</v>
      </c>
      <c r="L1620" s="13"/>
      <c r="M1620" s="132" t="b">
        <v>1</v>
      </c>
    </row>
    <row r="1621" spans="1:13" s="4" customFormat="1" x14ac:dyDescent="0.25">
      <c r="A1621" s="132"/>
      <c r="B1621" s="132"/>
      <c r="D1621" s="13">
        <v>6160</v>
      </c>
      <c r="E1621" s="132" t="str">
        <f>INDEX([1]道具配置表!$D:$D,MATCH(D1621,[1]道具配置表!$A:$A,0))</f>
        <v>1分钟训练加速</v>
      </c>
      <c r="F1621" s="134">
        <v>18</v>
      </c>
      <c r="K1621" s="13">
        <v>1</v>
      </c>
      <c r="L1621" s="13"/>
      <c r="M1621" s="132" t="b">
        <v>1</v>
      </c>
    </row>
    <row r="1622" spans="1:13" s="4" customFormat="1" x14ac:dyDescent="0.25">
      <c r="A1622" s="132">
        <v>6607185</v>
      </c>
      <c r="B1622" s="132" t="s">
        <v>1839</v>
      </c>
      <c r="D1622" s="13">
        <v>501</v>
      </c>
      <c r="E1622" s="132" t="str">
        <f>INDEX([1]道具配置表!$D:$D,MATCH(D1622,[1]道具配置表!$A:$A,0))</f>
        <v>1千资源自选宝箱</v>
      </c>
      <c r="F1622" s="134">
        <v>99</v>
      </c>
      <c r="K1622" s="13">
        <v>1</v>
      </c>
      <c r="L1622" s="13"/>
      <c r="M1622" s="132" t="b">
        <v>1</v>
      </c>
    </row>
    <row r="1623" spans="1:13" s="4" customFormat="1" x14ac:dyDescent="0.25">
      <c r="A1623" s="132"/>
      <c r="B1623" s="132"/>
      <c r="D1623" s="13">
        <v>6120</v>
      </c>
      <c r="E1623" s="132" t="str">
        <f>INDEX([1]道具配置表!$D:$D,MATCH(D1623,[1]道具配置表!$A:$A,0))</f>
        <v>1分钟建造加速</v>
      </c>
      <c r="F1623" s="134">
        <v>15</v>
      </c>
      <c r="K1623" s="13">
        <v>1</v>
      </c>
      <c r="L1623" s="13"/>
      <c r="M1623" s="132" t="b">
        <v>1</v>
      </c>
    </row>
    <row r="1624" spans="1:13" s="4" customFormat="1" x14ac:dyDescent="0.25">
      <c r="A1624" s="132"/>
      <c r="B1624" s="132"/>
      <c r="D1624" s="13">
        <v>6160</v>
      </c>
      <c r="E1624" s="132" t="str">
        <f>INDEX([1]道具配置表!$D:$D,MATCH(D1624,[1]道具配置表!$A:$A,0))</f>
        <v>1分钟训练加速</v>
      </c>
      <c r="F1624" s="134">
        <v>18</v>
      </c>
      <c r="K1624" s="13">
        <v>1</v>
      </c>
      <c r="L1624" s="13"/>
      <c r="M1624" s="132" t="b">
        <v>1</v>
      </c>
    </row>
    <row r="1625" spans="1:13" s="4" customFormat="1" x14ac:dyDescent="0.25">
      <c r="A1625" s="132">
        <v>6607186</v>
      </c>
      <c r="B1625" s="132" t="s">
        <v>1840</v>
      </c>
      <c r="D1625" s="13">
        <v>501</v>
      </c>
      <c r="E1625" s="132" t="str">
        <f>INDEX([1]道具配置表!$D:$D,MATCH(D1625,[1]道具配置表!$A:$A,0))</f>
        <v>1千资源自选宝箱</v>
      </c>
      <c r="F1625" s="134">
        <v>100</v>
      </c>
      <c r="K1625" s="13">
        <v>1</v>
      </c>
      <c r="L1625" s="13"/>
      <c r="M1625" s="132" t="b">
        <v>1</v>
      </c>
    </row>
    <row r="1626" spans="1:13" s="4" customFormat="1" x14ac:dyDescent="0.25">
      <c r="A1626" s="132"/>
      <c r="B1626" s="132"/>
      <c r="D1626" s="13">
        <v>6120</v>
      </c>
      <c r="E1626" s="132" t="str">
        <f>INDEX([1]道具配置表!$D:$D,MATCH(D1626,[1]道具配置表!$A:$A,0))</f>
        <v>1分钟建造加速</v>
      </c>
      <c r="F1626" s="134">
        <v>15</v>
      </c>
      <c r="K1626" s="13">
        <v>1</v>
      </c>
      <c r="L1626" s="13"/>
      <c r="M1626" s="132" t="b">
        <v>1</v>
      </c>
    </row>
    <row r="1627" spans="1:13" s="4" customFormat="1" x14ac:dyDescent="0.25">
      <c r="A1627" s="132"/>
      <c r="B1627" s="132"/>
      <c r="D1627" s="13">
        <v>6160</v>
      </c>
      <c r="E1627" s="132" t="str">
        <f>INDEX([1]道具配置表!$D:$D,MATCH(D1627,[1]道具配置表!$A:$A,0))</f>
        <v>1分钟训练加速</v>
      </c>
      <c r="F1627" s="134">
        <v>18</v>
      </c>
      <c r="K1627" s="13">
        <v>1</v>
      </c>
      <c r="L1627" s="13"/>
      <c r="M1627" s="132" t="b">
        <v>1</v>
      </c>
    </row>
    <row r="1628" spans="1:13" s="4" customFormat="1" x14ac:dyDescent="0.25">
      <c r="A1628" s="132">
        <v>6607187</v>
      </c>
      <c r="B1628" s="132" t="s">
        <v>1841</v>
      </c>
      <c r="D1628" s="13">
        <v>501</v>
      </c>
      <c r="E1628" s="132" t="str">
        <f>INDEX([1]道具配置表!$D:$D,MATCH(D1628,[1]道具配置表!$A:$A,0))</f>
        <v>1千资源自选宝箱</v>
      </c>
      <c r="F1628" s="134">
        <v>101</v>
      </c>
      <c r="K1628" s="13">
        <v>1</v>
      </c>
      <c r="L1628" s="13"/>
      <c r="M1628" s="132" t="b">
        <v>1</v>
      </c>
    </row>
    <row r="1629" spans="1:13" s="4" customFormat="1" x14ac:dyDescent="0.25">
      <c r="A1629" s="132"/>
      <c r="B1629" s="132"/>
      <c r="D1629" s="13">
        <v>6120</v>
      </c>
      <c r="E1629" s="132" t="str">
        <f>INDEX([1]道具配置表!$D:$D,MATCH(D1629,[1]道具配置表!$A:$A,0))</f>
        <v>1分钟建造加速</v>
      </c>
      <c r="F1629" s="134">
        <v>15</v>
      </c>
      <c r="K1629" s="13">
        <v>1</v>
      </c>
      <c r="L1629" s="13"/>
      <c r="M1629" s="132" t="b">
        <v>1</v>
      </c>
    </row>
    <row r="1630" spans="1:13" s="4" customFormat="1" x14ac:dyDescent="0.25">
      <c r="A1630" s="132"/>
      <c r="B1630" s="132"/>
      <c r="D1630" s="13">
        <v>6160</v>
      </c>
      <c r="E1630" s="132" t="str">
        <f>INDEX([1]道具配置表!$D:$D,MATCH(D1630,[1]道具配置表!$A:$A,0))</f>
        <v>1分钟训练加速</v>
      </c>
      <c r="F1630" s="134">
        <v>18</v>
      </c>
      <c r="K1630" s="13">
        <v>1</v>
      </c>
      <c r="L1630" s="13"/>
      <c r="M1630" s="132" t="b">
        <v>1</v>
      </c>
    </row>
    <row r="1631" spans="1:13" s="4" customFormat="1" x14ac:dyDescent="0.25">
      <c r="A1631" s="132">
        <v>6607188</v>
      </c>
      <c r="B1631" s="132" t="s">
        <v>1842</v>
      </c>
      <c r="D1631" s="13">
        <v>501</v>
      </c>
      <c r="E1631" s="132" t="str">
        <f>INDEX([1]道具配置表!$D:$D,MATCH(D1631,[1]道具配置表!$A:$A,0))</f>
        <v>1千资源自选宝箱</v>
      </c>
      <c r="F1631" s="134">
        <v>102</v>
      </c>
      <c r="K1631" s="13">
        <v>1</v>
      </c>
      <c r="L1631" s="13"/>
      <c r="M1631" s="132" t="b">
        <v>1</v>
      </c>
    </row>
    <row r="1632" spans="1:13" s="4" customFormat="1" x14ac:dyDescent="0.25">
      <c r="A1632" s="132"/>
      <c r="B1632" s="132"/>
      <c r="D1632" s="13">
        <v>6120</v>
      </c>
      <c r="E1632" s="132" t="str">
        <f>INDEX([1]道具配置表!$D:$D,MATCH(D1632,[1]道具配置表!$A:$A,0))</f>
        <v>1分钟建造加速</v>
      </c>
      <c r="F1632" s="134">
        <v>15</v>
      </c>
      <c r="K1632" s="13">
        <v>1</v>
      </c>
      <c r="L1632" s="13"/>
      <c r="M1632" s="132" t="b">
        <v>1</v>
      </c>
    </row>
    <row r="1633" spans="1:13" s="4" customFormat="1" x14ac:dyDescent="0.25">
      <c r="A1633" s="132"/>
      <c r="B1633" s="132"/>
      <c r="D1633" s="13">
        <v>6160</v>
      </c>
      <c r="E1633" s="132" t="str">
        <f>INDEX([1]道具配置表!$D:$D,MATCH(D1633,[1]道具配置表!$A:$A,0))</f>
        <v>1分钟训练加速</v>
      </c>
      <c r="F1633" s="134">
        <v>18</v>
      </c>
      <c r="K1633" s="13">
        <v>1</v>
      </c>
      <c r="L1633" s="13"/>
      <c r="M1633" s="132" t="b">
        <v>1</v>
      </c>
    </row>
    <row r="1634" spans="1:13" s="4" customFormat="1" x14ac:dyDescent="0.25">
      <c r="A1634" s="132">
        <v>6607189</v>
      </c>
      <c r="B1634" s="132" t="s">
        <v>1843</v>
      </c>
      <c r="D1634" s="13">
        <v>501</v>
      </c>
      <c r="E1634" s="132" t="str">
        <f>INDEX([1]道具配置表!$D:$D,MATCH(D1634,[1]道具配置表!$A:$A,0))</f>
        <v>1千资源自选宝箱</v>
      </c>
      <c r="F1634" s="134">
        <v>103</v>
      </c>
      <c r="K1634" s="13">
        <v>1</v>
      </c>
      <c r="L1634" s="13"/>
      <c r="M1634" s="132" t="b">
        <v>1</v>
      </c>
    </row>
    <row r="1635" spans="1:13" s="4" customFormat="1" x14ac:dyDescent="0.25">
      <c r="A1635" s="132"/>
      <c r="B1635" s="132"/>
      <c r="D1635" s="13">
        <v>6120</v>
      </c>
      <c r="E1635" s="132" t="str">
        <f>INDEX([1]道具配置表!$D:$D,MATCH(D1635,[1]道具配置表!$A:$A,0))</f>
        <v>1分钟建造加速</v>
      </c>
      <c r="F1635" s="134">
        <v>15</v>
      </c>
      <c r="K1635" s="13">
        <v>1</v>
      </c>
      <c r="L1635" s="13"/>
      <c r="M1635" s="132" t="b">
        <v>1</v>
      </c>
    </row>
    <row r="1636" spans="1:13" s="4" customFormat="1" x14ac:dyDescent="0.25">
      <c r="A1636" s="132"/>
      <c r="B1636" s="132"/>
      <c r="D1636" s="13">
        <v>6160</v>
      </c>
      <c r="E1636" s="132" t="str">
        <f>INDEX([1]道具配置表!$D:$D,MATCH(D1636,[1]道具配置表!$A:$A,0))</f>
        <v>1分钟训练加速</v>
      </c>
      <c r="F1636" s="134">
        <v>18</v>
      </c>
      <c r="K1636" s="13">
        <v>1</v>
      </c>
      <c r="L1636" s="13"/>
      <c r="M1636" s="132" t="b">
        <v>1</v>
      </c>
    </row>
    <row r="1637" spans="1:13" s="4" customFormat="1" x14ac:dyDescent="0.25">
      <c r="A1637" s="132">
        <v>6607190</v>
      </c>
      <c r="B1637" s="132" t="s">
        <v>1844</v>
      </c>
      <c r="D1637" s="13">
        <v>501</v>
      </c>
      <c r="E1637" s="132" t="str">
        <f>INDEX([1]道具配置表!$D:$D,MATCH(D1637,[1]道具配置表!$A:$A,0))</f>
        <v>1千资源自选宝箱</v>
      </c>
      <c r="F1637" s="134">
        <v>104</v>
      </c>
      <c r="K1637" s="13">
        <v>1</v>
      </c>
      <c r="L1637" s="13"/>
      <c r="M1637" s="132" t="b">
        <v>1</v>
      </c>
    </row>
    <row r="1638" spans="1:13" s="4" customFormat="1" x14ac:dyDescent="0.25">
      <c r="A1638" s="132"/>
      <c r="B1638" s="132"/>
      <c r="D1638" s="13">
        <v>6120</v>
      </c>
      <c r="E1638" s="132" t="str">
        <f>INDEX([1]道具配置表!$D:$D,MATCH(D1638,[1]道具配置表!$A:$A,0))</f>
        <v>1分钟建造加速</v>
      </c>
      <c r="F1638" s="134">
        <v>15</v>
      </c>
      <c r="K1638" s="13">
        <v>1</v>
      </c>
      <c r="L1638" s="13"/>
      <c r="M1638" s="132" t="b">
        <v>1</v>
      </c>
    </row>
    <row r="1639" spans="1:13" s="4" customFormat="1" x14ac:dyDescent="0.25">
      <c r="A1639" s="132"/>
      <c r="B1639" s="132"/>
      <c r="D1639" s="13">
        <v>6160</v>
      </c>
      <c r="E1639" s="132" t="str">
        <f>INDEX([1]道具配置表!$D:$D,MATCH(D1639,[1]道具配置表!$A:$A,0))</f>
        <v>1分钟训练加速</v>
      </c>
      <c r="F1639" s="134">
        <v>19</v>
      </c>
      <c r="K1639" s="13">
        <v>1</v>
      </c>
      <c r="L1639" s="13"/>
      <c r="M1639" s="132" t="b">
        <v>1</v>
      </c>
    </row>
    <row r="1640" spans="1:13" s="4" customFormat="1" x14ac:dyDescent="0.25">
      <c r="A1640" s="132">
        <v>6607191</v>
      </c>
      <c r="B1640" s="132" t="s">
        <v>1845</v>
      </c>
      <c r="D1640" s="13">
        <v>501</v>
      </c>
      <c r="E1640" s="132" t="str">
        <f>INDEX([1]道具配置表!$D:$D,MATCH(D1640,[1]道具配置表!$A:$A,0))</f>
        <v>1千资源自选宝箱</v>
      </c>
      <c r="F1640" s="134">
        <v>105</v>
      </c>
      <c r="K1640" s="13">
        <v>1</v>
      </c>
      <c r="L1640" s="13"/>
      <c r="M1640" s="132" t="b">
        <v>1</v>
      </c>
    </row>
    <row r="1641" spans="1:13" s="4" customFormat="1" x14ac:dyDescent="0.25">
      <c r="A1641" s="132"/>
      <c r="B1641" s="132"/>
      <c r="D1641" s="13">
        <v>6120</v>
      </c>
      <c r="E1641" s="132" t="str">
        <f>INDEX([1]道具配置表!$D:$D,MATCH(D1641,[1]道具配置表!$A:$A,0))</f>
        <v>1分钟建造加速</v>
      </c>
      <c r="F1641" s="134">
        <v>15</v>
      </c>
      <c r="K1641" s="13">
        <v>1</v>
      </c>
      <c r="L1641" s="13"/>
      <c r="M1641" s="132" t="b">
        <v>1</v>
      </c>
    </row>
    <row r="1642" spans="1:13" s="4" customFormat="1" x14ac:dyDescent="0.25">
      <c r="A1642" s="132"/>
      <c r="B1642" s="132"/>
      <c r="D1642" s="13">
        <v>6160</v>
      </c>
      <c r="E1642" s="132" t="str">
        <f>INDEX([1]道具配置表!$D:$D,MATCH(D1642,[1]道具配置表!$A:$A,0))</f>
        <v>1分钟训练加速</v>
      </c>
      <c r="F1642" s="134">
        <v>19</v>
      </c>
      <c r="K1642" s="13">
        <v>1</v>
      </c>
      <c r="L1642" s="13"/>
      <c r="M1642" s="132" t="b">
        <v>1</v>
      </c>
    </row>
    <row r="1643" spans="1:13" s="4" customFormat="1" x14ac:dyDescent="0.25">
      <c r="A1643" s="132">
        <v>6607192</v>
      </c>
      <c r="B1643" s="132" t="s">
        <v>1846</v>
      </c>
      <c r="D1643" s="13">
        <v>501</v>
      </c>
      <c r="E1643" s="132" t="str">
        <f>INDEX([1]道具配置表!$D:$D,MATCH(D1643,[1]道具配置表!$A:$A,0))</f>
        <v>1千资源自选宝箱</v>
      </c>
      <c r="F1643" s="134">
        <v>106</v>
      </c>
      <c r="K1643" s="13">
        <v>1</v>
      </c>
      <c r="L1643" s="13"/>
      <c r="M1643" s="132" t="b">
        <v>1</v>
      </c>
    </row>
    <row r="1644" spans="1:13" s="4" customFormat="1" x14ac:dyDescent="0.25">
      <c r="A1644" s="132"/>
      <c r="B1644" s="132"/>
      <c r="D1644" s="13">
        <v>6120</v>
      </c>
      <c r="E1644" s="132" t="str">
        <f>INDEX([1]道具配置表!$D:$D,MATCH(D1644,[1]道具配置表!$A:$A,0))</f>
        <v>1分钟建造加速</v>
      </c>
      <c r="F1644" s="134">
        <v>15</v>
      </c>
      <c r="K1644" s="13">
        <v>1</v>
      </c>
      <c r="L1644" s="13"/>
      <c r="M1644" s="132" t="b">
        <v>1</v>
      </c>
    </row>
    <row r="1645" spans="1:13" s="4" customFormat="1" x14ac:dyDescent="0.25">
      <c r="A1645" s="132"/>
      <c r="B1645" s="132"/>
      <c r="D1645" s="13">
        <v>6160</v>
      </c>
      <c r="E1645" s="132" t="str">
        <f>INDEX([1]道具配置表!$D:$D,MATCH(D1645,[1]道具配置表!$A:$A,0))</f>
        <v>1分钟训练加速</v>
      </c>
      <c r="F1645" s="134">
        <v>19</v>
      </c>
      <c r="K1645" s="13">
        <v>1</v>
      </c>
      <c r="L1645" s="13"/>
      <c r="M1645" s="132" t="b">
        <v>1</v>
      </c>
    </row>
    <row r="1646" spans="1:13" s="4" customFormat="1" x14ac:dyDescent="0.25">
      <c r="A1646" s="132">
        <v>6607193</v>
      </c>
      <c r="B1646" s="132" t="s">
        <v>1847</v>
      </c>
      <c r="D1646" s="13">
        <v>501</v>
      </c>
      <c r="E1646" s="132" t="str">
        <f>INDEX([1]道具配置表!$D:$D,MATCH(D1646,[1]道具配置表!$A:$A,0))</f>
        <v>1千资源自选宝箱</v>
      </c>
      <c r="F1646" s="134">
        <v>107</v>
      </c>
      <c r="K1646" s="13">
        <v>1</v>
      </c>
      <c r="L1646" s="13"/>
      <c r="M1646" s="132" t="b">
        <v>1</v>
      </c>
    </row>
    <row r="1647" spans="1:13" s="4" customFormat="1" x14ac:dyDescent="0.25">
      <c r="A1647" s="132"/>
      <c r="B1647" s="132"/>
      <c r="D1647" s="13">
        <v>6120</v>
      </c>
      <c r="E1647" s="132" t="str">
        <f>INDEX([1]道具配置表!$D:$D,MATCH(D1647,[1]道具配置表!$A:$A,0))</f>
        <v>1分钟建造加速</v>
      </c>
      <c r="F1647" s="134">
        <v>15</v>
      </c>
      <c r="K1647" s="13">
        <v>1</v>
      </c>
      <c r="L1647" s="13"/>
      <c r="M1647" s="132" t="b">
        <v>1</v>
      </c>
    </row>
    <row r="1648" spans="1:13" s="4" customFormat="1" x14ac:dyDescent="0.25">
      <c r="A1648" s="132"/>
      <c r="B1648" s="132"/>
      <c r="D1648" s="13">
        <v>6160</v>
      </c>
      <c r="E1648" s="132" t="str">
        <f>INDEX([1]道具配置表!$D:$D,MATCH(D1648,[1]道具配置表!$A:$A,0))</f>
        <v>1分钟训练加速</v>
      </c>
      <c r="F1648" s="134">
        <v>19</v>
      </c>
      <c r="K1648" s="13">
        <v>1</v>
      </c>
      <c r="L1648" s="13"/>
      <c r="M1648" s="132" t="b">
        <v>1</v>
      </c>
    </row>
    <row r="1649" spans="1:13" s="4" customFormat="1" x14ac:dyDescent="0.25">
      <c r="A1649" s="132">
        <v>6607194</v>
      </c>
      <c r="B1649" s="132" t="s">
        <v>1848</v>
      </c>
      <c r="D1649" s="13">
        <v>501</v>
      </c>
      <c r="E1649" s="132" t="str">
        <f>INDEX([1]道具配置表!$D:$D,MATCH(D1649,[1]道具配置表!$A:$A,0))</f>
        <v>1千资源自选宝箱</v>
      </c>
      <c r="F1649" s="134">
        <v>108</v>
      </c>
      <c r="K1649" s="13">
        <v>1</v>
      </c>
      <c r="L1649" s="13"/>
      <c r="M1649" s="132" t="b">
        <v>1</v>
      </c>
    </row>
    <row r="1650" spans="1:13" s="4" customFormat="1" x14ac:dyDescent="0.25">
      <c r="A1650" s="132"/>
      <c r="B1650" s="132"/>
      <c r="D1650" s="13">
        <v>6120</v>
      </c>
      <c r="E1650" s="132" t="str">
        <f>INDEX([1]道具配置表!$D:$D,MATCH(D1650,[1]道具配置表!$A:$A,0))</f>
        <v>1分钟建造加速</v>
      </c>
      <c r="F1650" s="134">
        <v>15</v>
      </c>
      <c r="K1650" s="13">
        <v>1</v>
      </c>
      <c r="L1650" s="13"/>
      <c r="M1650" s="132" t="b">
        <v>1</v>
      </c>
    </row>
    <row r="1651" spans="1:13" s="4" customFormat="1" x14ac:dyDescent="0.25">
      <c r="A1651" s="132"/>
      <c r="B1651" s="132"/>
      <c r="D1651" s="13">
        <v>6160</v>
      </c>
      <c r="E1651" s="132" t="str">
        <f>INDEX([1]道具配置表!$D:$D,MATCH(D1651,[1]道具配置表!$A:$A,0))</f>
        <v>1分钟训练加速</v>
      </c>
      <c r="F1651" s="134">
        <v>19</v>
      </c>
      <c r="K1651" s="13">
        <v>1</v>
      </c>
      <c r="L1651" s="13"/>
      <c r="M1651" s="132" t="b">
        <v>1</v>
      </c>
    </row>
    <row r="1652" spans="1:13" s="4" customFormat="1" x14ac:dyDescent="0.25">
      <c r="A1652" s="132">
        <v>6607195</v>
      </c>
      <c r="B1652" s="132" t="s">
        <v>1849</v>
      </c>
      <c r="D1652" s="13">
        <v>501</v>
      </c>
      <c r="E1652" s="132" t="str">
        <f>INDEX([1]道具配置表!$D:$D,MATCH(D1652,[1]道具配置表!$A:$A,0))</f>
        <v>1千资源自选宝箱</v>
      </c>
      <c r="F1652" s="134">
        <v>109</v>
      </c>
      <c r="K1652" s="13">
        <v>1</v>
      </c>
      <c r="L1652" s="13"/>
      <c r="M1652" s="132" t="b">
        <v>1</v>
      </c>
    </row>
    <row r="1653" spans="1:13" s="4" customFormat="1" x14ac:dyDescent="0.25">
      <c r="A1653" s="132"/>
      <c r="B1653" s="132"/>
      <c r="D1653" s="13">
        <v>6120</v>
      </c>
      <c r="E1653" s="132" t="str">
        <f>INDEX([1]道具配置表!$D:$D,MATCH(D1653,[1]道具配置表!$A:$A,0))</f>
        <v>1分钟建造加速</v>
      </c>
      <c r="F1653" s="134">
        <v>15</v>
      </c>
      <c r="K1653" s="13">
        <v>1</v>
      </c>
      <c r="L1653" s="13"/>
      <c r="M1653" s="132" t="b">
        <v>1</v>
      </c>
    </row>
    <row r="1654" spans="1:13" s="4" customFormat="1" x14ac:dyDescent="0.25">
      <c r="A1654" s="132"/>
      <c r="B1654" s="132"/>
      <c r="D1654" s="13">
        <v>6160</v>
      </c>
      <c r="E1654" s="132" t="str">
        <f>INDEX([1]道具配置表!$D:$D,MATCH(D1654,[1]道具配置表!$A:$A,0))</f>
        <v>1分钟训练加速</v>
      </c>
      <c r="F1654" s="134">
        <v>19</v>
      </c>
      <c r="K1654" s="13">
        <v>1</v>
      </c>
      <c r="L1654" s="13"/>
      <c r="M1654" s="132" t="b">
        <v>1</v>
      </c>
    </row>
    <row r="1655" spans="1:13" s="4" customFormat="1" x14ac:dyDescent="0.25">
      <c r="A1655" s="132">
        <v>6607196</v>
      </c>
      <c r="B1655" s="132" t="s">
        <v>1850</v>
      </c>
      <c r="D1655" s="13">
        <v>501</v>
      </c>
      <c r="E1655" s="132" t="str">
        <f>INDEX([1]道具配置表!$D:$D,MATCH(D1655,[1]道具配置表!$A:$A,0))</f>
        <v>1千资源自选宝箱</v>
      </c>
      <c r="F1655" s="134">
        <v>110</v>
      </c>
      <c r="K1655" s="13">
        <v>1</v>
      </c>
      <c r="L1655" s="13"/>
      <c r="M1655" s="132" t="b">
        <v>1</v>
      </c>
    </row>
    <row r="1656" spans="1:13" s="4" customFormat="1" x14ac:dyDescent="0.25">
      <c r="A1656" s="132"/>
      <c r="B1656" s="132"/>
      <c r="D1656" s="13">
        <v>6120</v>
      </c>
      <c r="E1656" s="132" t="str">
        <f>INDEX([1]道具配置表!$D:$D,MATCH(D1656,[1]道具配置表!$A:$A,0))</f>
        <v>1分钟建造加速</v>
      </c>
      <c r="F1656" s="134">
        <v>15</v>
      </c>
      <c r="K1656" s="13">
        <v>1</v>
      </c>
      <c r="L1656" s="13"/>
      <c r="M1656" s="132" t="b">
        <v>1</v>
      </c>
    </row>
    <row r="1657" spans="1:13" s="4" customFormat="1" x14ac:dyDescent="0.25">
      <c r="A1657" s="132"/>
      <c r="B1657" s="132"/>
      <c r="D1657" s="13">
        <v>6160</v>
      </c>
      <c r="E1657" s="132" t="str">
        <f>INDEX([1]道具配置表!$D:$D,MATCH(D1657,[1]道具配置表!$A:$A,0))</f>
        <v>1分钟训练加速</v>
      </c>
      <c r="F1657" s="134">
        <v>19</v>
      </c>
      <c r="K1657" s="13">
        <v>1</v>
      </c>
      <c r="L1657" s="13"/>
      <c r="M1657" s="132" t="b">
        <v>1</v>
      </c>
    </row>
    <row r="1658" spans="1:13" s="4" customFormat="1" x14ac:dyDescent="0.25">
      <c r="A1658" s="132">
        <v>6607197</v>
      </c>
      <c r="B1658" s="132" t="s">
        <v>1851</v>
      </c>
      <c r="D1658" s="13">
        <v>501</v>
      </c>
      <c r="E1658" s="132" t="str">
        <f>INDEX([1]道具配置表!$D:$D,MATCH(D1658,[1]道具配置表!$A:$A,0))</f>
        <v>1千资源自选宝箱</v>
      </c>
      <c r="F1658" s="134">
        <v>111</v>
      </c>
      <c r="K1658" s="13">
        <v>1</v>
      </c>
      <c r="L1658" s="13"/>
      <c r="M1658" s="132" t="b">
        <v>1</v>
      </c>
    </row>
    <row r="1659" spans="1:13" s="4" customFormat="1" x14ac:dyDescent="0.25">
      <c r="A1659" s="132"/>
      <c r="B1659" s="132"/>
      <c r="D1659" s="13">
        <v>6120</v>
      </c>
      <c r="E1659" s="132" t="str">
        <f>INDEX([1]道具配置表!$D:$D,MATCH(D1659,[1]道具配置表!$A:$A,0))</f>
        <v>1分钟建造加速</v>
      </c>
      <c r="F1659" s="134">
        <v>15</v>
      </c>
      <c r="K1659" s="13">
        <v>1</v>
      </c>
      <c r="L1659" s="13"/>
      <c r="M1659" s="132" t="b">
        <v>1</v>
      </c>
    </row>
    <row r="1660" spans="1:13" s="4" customFormat="1" x14ac:dyDescent="0.25">
      <c r="A1660" s="132"/>
      <c r="B1660" s="132"/>
      <c r="D1660" s="13">
        <v>6160</v>
      </c>
      <c r="E1660" s="132" t="str">
        <f>INDEX([1]道具配置表!$D:$D,MATCH(D1660,[1]道具配置表!$A:$A,0))</f>
        <v>1分钟训练加速</v>
      </c>
      <c r="F1660" s="134">
        <v>19</v>
      </c>
      <c r="K1660" s="13">
        <v>1</v>
      </c>
      <c r="L1660" s="13"/>
      <c r="M1660" s="132" t="b">
        <v>1</v>
      </c>
    </row>
    <row r="1661" spans="1:13" s="4" customFormat="1" x14ac:dyDescent="0.25">
      <c r="A1661" s="132">
        <v>6607198</v>
      </c>
      <c r="B1661" s="132" t="s">
        <v>1852</v>
      </c>
      <c r="D1661" s="13">
        <v>501</v>
      </c>
      <c r="E1661" s="132" t="str">
        <f>INDEX([1]道具配置表!$D:$D,MATCH(D1661,[1]道具配置表!$A:$A,0))</f>
        <v>1千资源自选宝箱</v>
      </c>
      <c r="F1661" s="134">
        <v>112</v>
      </c>
      <c r="K1661" s="13">
        <v>1</v>
      </c>
      <c r="L1661" s="13"/>
      <c r="M1661" s="132" t="b">
        <v>1</v>
      </c>
    </row>
    <row r="1662" spans="1:13" s="4" customFormat="1" x14ac:dyDescent="0.25">
      <c r="A1662" s="132"/>
      <c r="B1662" s="132"/>
      <c r="D1662" s="13">
        <v>6120</v>
      </c>
      <c r="E1662" s="132" t="str">
        <f>INDEX([1]道具配置表!$D:$D,MATCH(D1662,[1]道具配置表!$A:$A,0))</f>
        <v>1分钟建造加速</v>
      </c>
      <c r="F1662" s="134">
        <v>15</v>
      </c>
      <c r="K1662" s="13">
        <v>1</v>
      </c>
      <c r="L1662" s="13"/>
      <c r="M1662" s="132" t="b">
        <v>1</v>
      </c>
    </row>
    <row r="1663" spans="1:13" s="4" customFormat="1" x14ac:dyDescent="0.25">
      <c r="A1663" s="132"/>
      <c r="B1663" s="132"/>
      <c r="D1663" s="13">
        <v>6160</v>
      </c>
      <c r="E1663" s="132" t="str">
        <f>INDEX([1]道具配置表!$D:$D,MATCH(D1663,[1]道具配置表!$A:$A,0))</f>
        <v>1分钟训练加速</v>
      </c>
      <c r="F1663" s="134">
        <v>19</v>
      </c>
      <c r="K1663" s="13">
        <v>1</v>
      </c>
      <c r="L1663" s="13"/>
      <c r="M1663" s="132" t="b">
        <v>1</v>
      </c>
    </row>
    <row r="1664" spans="1:13" s="4" customFormat="1" x14ac:dyDescent="0.25">
      <c r="A1664" s="132">
        <v>6607199</v>
      </c>
      <c r="B1664" s="132" t="s">
        <v>1853</v>
      </c>
      <c r="D1664" s="13">
        <v>501</v>
      </c>
      <c r="E1664" s="132" t="str">
        <f>INDEX([1]道具配置表!$D:$D,MATCH(D1664,[1]道具配置表!$A:$A,0))</f>
        <v>1千资源自选宝箱</v>
      </c>
      <c r="F1664" s="134">
        <v>113</v>
      </c>
      <c r="K1664" s="13">
        <v>1</v>
      </c>
      <c r="L1664" s="13"/>
      <c r="M1664" s="132" t="b">
        <v>1</v>
      </c>
    </row>
    <row r="1665" spans="1:13" s="4" customFormat="1" x14ac:dyDescent="0.25">
      <c r="A1665" s="132"/>
      <c r="B1665" s="132"/>
      <c r="D1665" s="13">
        <v>6120</v>
      </c>
      <c r="E1665" s="132" t="str">
        <f>INDEX([1]道具配置表!$D:$D,MATCH(D1665,[1]道具配置表!$A:$A,0))</f>
        <v>1分钟建造加速</v>
      </c>
      <c r="F1665" s="134">
        <v>15</v>
      </c>
      <c r="K1665" s="13">
        <v>1</v>
      </c>
      <c r="L1665" s="13"/>
      <c r="M1665" s="132" t="b">
        <v>1</v>
      </c>
    </row>
    <row r="1666" spans="1:13" s="4" customFormat="1" x14ac:dyDescent="0.25">
      <c r="A1666" s="132"/>
      <c r="B1666" s="132"/>
      <c r="D1666" s="13">
        <v>6160</v>
      </c>
      <c r="E1666" s="132" t="str">
        <f>INDEX([1]道具配置表!$D:$D,MATCH(D1666,[1]道具配置表!$A:$A,0))</f>
        <v>1分钟训练加速</v>
      </c>
      <c r="F1666" s="134">
        <v>19</v>
      </c>
      <c r="K1666" s="13">
        <v>1</v>
      </c>
      <c r="L1666" s="13"/>
      <c r="M1666" s="132" t="b">
        <v>1</v>
      </c>
    </row>
    <row r="1667" spans="1:13" s="4" customFormat="1" x14ac:dyDescent="0.25">
      <c r="A1667" s="132">
        <v>6607200</v>
      </c>
      <c r="B1667" s="132" t="s">
        <v>1854</v>
      </c>
      <c r="D1667" s="13">
        <v>501</v>
      </c>
      <c r="E1667" s="132" t="str">
        <f>INDEX([1]道具配置表!$D:$D,MATCH(D1667,[1]道具配置表!$A:$A,0))</f>
        <v>1千资源自选宝箱</v>
      </c>
      <c r="F1667" s="134">
        <v>114</v>
      </c>
      <c r="K1667" s="13">
        <v>1</v>
      </c>
      <c r="L1667" s="13"/>
      <c r="M1667" s="132" t="b">
        <v>1</v>
      </c>
    </row>
    <row r="1668" spans="1:13" s="4" customFormat="1" x14ac:dyDescent="0.25">
      <c r="A1668" s="132"/>
      <c r="B1668" s="132"/>
      <c r="D1668" s="13">
        <v>6120</v>
      </c>
      <c r="E1668" s="132" t="str">
        <f>INDEX([1]道具配置表!$D:$D,MATCH(D1668,[1]道具配置表!$A:$A,0))</f>
        <v>1分钟建造加速</v>
      </c>
      <c r="F1668" s="134">
        <v>15</v>
      </c>
      <c r="K1668" s="13">
        <v>1</v>
      </c>
      <c r="L1668" s="13"/>
      <c r="M1668" s="132" t="b">
        <v>1</v>
      </c>
    </row>
    <row r="1669" spans="1:13" s="4" customFormat="1" x14ac:dyDescent="0.25">
      <c r="A1669" s="132"/>
      <c r="B1669" s="132"/>
      <c r="D1669" s="13">
        <v>6160</v>
      </c>
      <c r="E1669" s="132" t="str">
        <f>INDEX([1]道具配置表!$D:$D,MATCH(D1669,[1]道具配置表!$A:$A,0))</f>
        <v>1分钟训练加速</v>
      </c>
      <c r="F1669" s="134">
        <v>20</v>
      </c>
      <c r="K1669" s="13">
        <v>1</v>
      </c>
      <c r="L1669" s="13"/>
      <c r="M1669" s="132" t="b">
        <v>1</v>
      </c>
    </row>
    <row r="1670" spans="1:13" s="4" customFormat="1" x14ac:dyDescent="0.25">
      <c r="A1670" s="132">
        <v>6607201</v>
      </c>
      <c r="B1670" s="132" t="s">
        <v>1855</v>
      </c>
      <c r="D1670" s="13">
        <v>501</v>
      </c>
      <c r="E1670" s="132" t="str">
        <f>INDEX([1]道具配置表!$D:$D,MATCH(D1670,[1]道具配置表!$A:$A,0))</f>
        <v>1千资源自选宝箱</v>
      </c>
      <c r="F1670" s="134">
        <v>115</v>
      </c>
      <c r="K1670" s="13">
        <v>1</v>
      </c>
      <c r="L1670" s="13"/>
      <c r="M1670" s="132" t="b">
        <v>1</v>
      </c>
    </row>
    <row r="1671" spans="1:13" s="4" customFormat="1" x14ac:dyDescent="0.25">
      <c r="A1671" s="132"/>
      <c r="B1671" s="132"/>
      <c r="D1671" s="13">
        <v>6120</v>
      </c>
      <c r="E1671" s="132" t="str">
        <f>INDEX([1]道具配置表!$D:$D,MATCH(D1671,[1]道具配置表!$A:$A,0))</f>
        <v>1分钟建造加速</v>
      </c>
      <c r="F1671" s="134">
        <v>15</v>
      </c>
      <c r="K1671" s="13">
        <v>1</v>
      </c>
      <c r="L1671" s="13"/>
      <c r="M1671" s="132" t="b">
        <v>1</v>
      </c>
    </row>
    <row r="1672" spans="1:13" s="4" customFormat="1" x14ac:dyDescent="0.25">
      <c r="A1672" s="132"/>
      <c r="B1672" s="132"/>
      <c r="D1672" s="13">
        <v>6160</v>
      </c>
      <c r="E1672" s="132" t="str">
        <f>INDEX([1]道具配置表!$D:$D,MATCH(D1672,[1]道具配置表!$A:$A,0))</f>
        <v>1分钟训练加速</v>
      </c>
      <c r="F1672" s="134">
        <v>20</v>
      </c>
      <c r="K1672" s="13">
        <v>1</v>
      </c>
      <c r="L1672" s="13"/>
      <c r="M1672" s="132" t="b">
        <v>1</v>
      </c>
    </row>
    <row r="1673" spans="1:13" s="4" customFormat="1" x14ac:dyDescent="0.25">
      <c r="A1673" s="132">
        <v>6607202</v>
      </c>
      <c r="B1673" s="132" t="s">
        <v>1856</v>
      </c>
      <c r="D1673" s="13">
        <v>501</v>
      </c>
      <c r="E1673" s="132" t="str">
        <f>INDEX([1]道具配置表!$D:$D,MATCH(D1673,[1]道具配置表!$A:$A,0))</f>
        <v>1千资源自选宝箱</v>
      </c>
      <c r="F1673" s="134">
        <v>116</v>
      </c>
      <c r="K1673" s="13">
        <v>1</v>
      </c>
      <c r="L1673" s="13"/>
      <c r="M1673" s="132" t="b">
        <v>1</v>
      </c>
    </row>
    <row r="1674" spans="1:13" s="4" customFormat="1" x14ac:dyDescent="0.25">
      <c r="A1674" s="132"/>
      <c r="B1674" s="132"/>
      <c r="D1674" s="13">
        <v>6120</v>
      </c>
      <c r="E1674" s="132" t="str">
        <f>INDEX([1]道具配置表!$D:$D,MATCH(D1674,[1]道具配置表!$A:$A,0))</f>
        <v>1分钟建造加速</v>
      </c>
      <c r="F1674" s="134">
        <v>15</v>
      </c>
      <c r="K1674" s="13">
        <v>1</v>
      </c>
      <c r="L1674" s="13"/>
      <c r="M1674" s="132" t="b">
        <v>1</v>
      </c>
    </row>
    <row r="1675" spans="1:13" s="4" customFormat="1" x14ac:dyDescent="0.25">
      <c r="A1675" s="132"/>
      <c r="B1675" s="132"/>
      <c r="D1675" s="13">
        <v>6160</v>
      </c>
      <c r="E1675" s="132" t="str">
        <f>INDEX([1]道具配置表!$D:$D,MATCH(D1675,[1]道具配置表!$A:$A,0))</f>
        <v>1分钟训练加速</v>
      </c>
      <c r="F1675" s="134">
        <v>20</v>
      </c>
      <c r="K1675" s="13">
        <v>1</v>
      </c>
      <c r="L1675" s="13"/>
      <c r="M1675" s="132" t="b">
        <v>1</v>
      </c>
    </row>
    <row r="1676" spans="1:13" s="4" customFormat="1" x14ac:dyDescent="0.25">
      <c r="A1676" s="132">
        <v>6607203</v>
      </c>
      <c r="B1676" s="132" t="s">
        <v>1857</v>
      </c>
      <c r="D1676" s="13">
        <v>501</v>
      </c>
      <c r="E1676" s="132" t="str">
        <f>INDEX([1]道具配置表!$D:$D,MATCH(D1676,[1]道具配置表!$A:$A,0))</f>
        <v>1千资源自选宝箱</v>
      </c>
      <c r="F1676" s="134">
        <v>117</v>
      </c>
      <c r="K1676" s="13">
        <v>1</v>
      </c>
      <c r="L1676" s="13"/>
      <c r="M1676" s="132" t="b">
        <v>1</v>
      </c>
    </row>
    <row r="1677" spans="1:13" s="4" customFormat="1" x14ac:dyDescent="0.25">
      <c r="A1677" s="132"/>
      <c r="B1677" s="132"/>
      <c r="D1677" s="13">
        <v>6120</v>
      </c>
      <c r="E1677" s="132" t="str">
        <f>INDEX([1]道具配置表!$D:$D,MATCH(D1677,[1]道具配置表!$A:$A,0))</f>
        <v>1分钟建造加速</v>
      </c>
      <c r="F1677" s="134">
        <v>15</v>
      </c>
      <c r="K1677" s="13">
        <v>1</v>
      </c>
      <c r="L1677" s="13"/>
      <c r="M1677" s="132" t="b">
        <v>1</v>
      </c>
    </row>
    <row r="1678" spans="1:13" s="4" customFormat="1" x14ac:dyDescent="0.25">
      <c r="A1678" s="132"/>
      <c r="B1678" s="132"/>
      <c r="D1678" s="13">
        <v>6160</v>
      </c>
      <c r="E1678" s="132" t="str">
        <f>INDEX([1]道具配置表!$D:$D,MATCH(D1678,[1]道具配置表!$A:$A,0))</f>
        <v>1分钟训练加速</v>
      </c>
      <c r="F1678" s="134">
        <v>20</v>
      </c>
      <c r="K1678" s="13">
        <v>1</v>
      </c>
      <c r="L1678" s="13"/>
      <c r="M1678" s="132" t="b">
        <v>1</v>
      </c>
    </row>
    <row r="1679" spans="1:13" s="4" customFormat="1" x14ac:dyDescent="0.25">
      <c r="A1679" s="132">
        <v>6607204</v>
      </c>
      <c r="B1679" s="132" t="s">
        <v>1858</v>
      </c>
      <c r="D1679" s="13">
        <v>501</v>
      </c>
      <c r="E1679" s="132" t="str">
        <f>INDEX([1]道具配置表!$D:$D,MATCH(D1679,[1]道具配置表!$A:$A,0))</f>
        <v>1千资源自选宝箱</v>
      </c>
      <c r="F1679" s="134">
        <v>118</v>
      </c>
      <c r="K1679" s="13">
        <v>1</v>
      </c>
      <c r="L1679" s="13"/>
      <c r="M1679" s="132" t="b">
        <v>1</v>
      </c>
    </row>
    <row r="1680" spans="1:13" s="4" customFormat="1" x14ac:dyDescent="0.25">
      <c r="A1680" s="132"/>
      <c r="B1680" s="132"/>
      <c r="D1680" s="13">
        <v>6120</v>
      </c>
      <c r="E1680" s="132" t="str">
        <f>INDEX([1]道具配置表!$D:$D,MATCH(D1680,[1]道具配置表!$A:$A,0))</f>
        <v>1分钟建造加速</v>
      </c>
      <c r="F1680" s="134">
        <v>15</v>
      </c>
      <c r="K1680" s="13">
        <v>1</v>
      </c>
      <c r="L1680" s="13"/>
      <c r="M1680" s="132" t="b">
        <v>1</v>
      </c>
    </row>
    <row r="1681" spans="1:13" s="4" customFormat="1" x14ac:dyDescent="0.25">
      <c r="A1681" s="132"/>
      <c r="B1681" s="132"/>
      <c r="D1681" s="13">
        <v>6160</v>
      </c>
      <c r="E1681" s="132" t="str">
        <f>INDEX([1]道具配置表!$D:$D,MATCH(D1681,[1]道具配置表!$A:$A,0))</f>
        <v>1分钟训练加速</v>
      </c>
      <c r="F1681" s="134">
        <v>20</v>
      </c>
      <c r="K1681" s="13">
        <v>1</v>
      </c>
      <c r="L1681" s="13"/>
      <c r="M1681" s="132" t="b">
        <v>1</v>
      </c>
    </row>
    <row r="1682" spans="1:13" s="4" customFormat="1" x14ac:dyDescent="0.25">
      <c r="A1682" s="132">
        <v>6607205</v>
      </c>
      <c r="B1682" s="132" t="s">
        <v>1859</v>
      </c>
      <c r="D1682" s="13">
        <v>501</v>
      </c>
      <c r="E1682" s="132" t="str">
        <f>INDEX([1]道具配置表!$D:$D,MATCH(D1682,[1]道具配置表!$A:$A,0))</f>
        <v>1千资源自选宝箱</v>
      </c>
      <c r="F1682" s="134">
        <v>119</v>
      </c>
      <c r="K1682" s="13">
        <v>1</v>
      </c>
      <c r="L1682" s="13"/>
      <c r="M1682" s="132" t="b">
        <v>1</v>
      </c>
    </row>
    <row r="1683" spans="1:13" s="4" customFormat="1" x14ac:dyDescent="0.25">
      <c r="A1683" s="132"/>
      <c r="B1683" s="132"/>
      <c r="D1683" s="13">
        <v>6120</v>
      </c>
      <c r="E1683" s="132" t="str">
        <f>INDEX([1]道具配置表!$D:$D,MATCH(D1683,[1]道具配置表!$A:$A,0))</f>
        <v>1分钟建造加速</v>
      </c>
      <c r="F1683" s="134">
        <v>15</v>
      </c>
      <c r="K1683" s="13">
        <v>1</v>
      </c>
      <c r="L1683" s="13"/>
      <c r="M1683" s="132" t="b">
        <v>1</v>
      </c>
    </row>
    <row r="1684" spans="1:13" s="4" customFormat="1" x14ac:dyDescent="0.25">
      <c r="A1684" s="132"/>
      <c r="B1684" s="132"/>
      <c r="D1684" s="13">
        <v>6160</v>
      </c>
      <c r="E1684" s="132" t="str">
        <f>INDEX([1]道具配置表!$D:$D,MATCH(D1684,[1]道具配置表!$A:$A,0))</f>
        <v>1分钟训练加速</v>
      </c>
      <c r="F1684" s="134">
        <v>20</v>
      </c>
      <c r="K1684" s="13">
        <v>1</v>
      </c>
      <c r="L1684" s="13"/>
      <c r="M1684" s="132" t="b">
        <v>1</v>
      </c>
    </row>
    <row r="1685" spans="1:13" s="4" customFormat="1" x14ac:dyDescent="0.25">
      <c r="A1685" s="132">
        <v>6607206</v>
      </c>
      <c r="B1685" s="132" t="s">
        <v>1860</v>
      </c>
      <c r="D1685" s="13">
        <v>501</v>
      </c>
      <c r="E1685" s="132" t="str">
        <f>INDEX([1]道具配置表!$D:$D,MATCH(D1685,[1]道具配置表!$A:$A,0))</f>
        <v>1千资源自选宝箱</v>
      </c>
      <c r="F1685" s="134">
        <v>120</v>
      </c>
      <c r="K1685" s="13">
        <v>1</v>
      </c>
      <c r="L1685" s="13"/>
      <c r="M1685" s="132" t="b">
        <v>1</v>
      </c>
    </row>
    <row r="1686" spans="1:13" s="4" customFormat="1" x14ac:dyDescent="0.25">
      <c r="A1686" s="132"/>
      <c r="B1686" s="132"/>
      <c r="D1686" s="13">
        <v>6120</v>
      </c>
      <c r="E1686" s="132" t="str">
        <f>INDEX([1]道具配置表!$D:$D,MATCH(D1686,[1]道具配置表!$A:$A,0))</f>
        <v>1分钟建造加速</v>
      </c>
      <c r="F1686" s="134">
        <v>15</v>
      </c>
      <c r="K1686" s="13">
        <v>1</v>
      </c>
      <c r="L1686" s="13"/>
      <c r="M1686" s="132" t="b">
        <v>1</v>
      </c>
    </row>
    <row r="1687" spans="1:13" s="4" customFormat="1" x14ac:dyDescent="0.25">
      <c r="A1687" s="132"/>
      <c r="B1687" s="132"/>
      <c r="D1687" s="13">
        <v>6160</v>
      </c>
      <c r="E1687" s="132" t="str">
        <f>INDEX([1]道具配置表!$D:$D,MATCH(D1687,[1]道具配置表!$A:$A,0))</f>
        <v>1分钟训练加速</v>
      </c>
      <c r="F1687" s="134">
        <v>20</v>
      </c>
      <c r="K1687" s="13">
        <v>1</v>
      </c>
      <c r="L1687" s="13"/>
      <c r="M1687" s="132" t="b">
        <v>1</v>
      </c>
    </row>
    <row r="1688" spans="1:13" s="4" customFormat="1" x14ac:dyDescent="0.25">
      <c r="A1688" s="132">
        <v>6607207</v>
      </c>
      <c r="B1688" s="132" t="s">
        <v>1861</v>
      </c>
      <c r="D1688" s="13">
        <v>501</v>
      </c>
      <c r="E1688" s="132" t="str">
        <f>INDEX([1]道具配置表!$D:$D,MATCH(D1688,[1]道具配置表!$A:$A,0))</f>
        <v>1千资源自选宝箱</v>
      </c>
      <c r="F1688" s="134">
        <v>121</v>
      </c>
      <c r="K1688" s="13">
        <v>1</v>
      </c>
      <c r="L1688" s="13"/>
      <c r="M1688" s="132" t="b">
        <v>1</v>
      </c>
    </row>
    <row r="1689" spans="1:13" s="4" customFormat="1" x14ac:dyDescent="0.25">
      <c r="A1689" s="132"/>
      <c r="B1689" s="132"/>
      <c r="D1689" s="13">
        <v>6120</v>
      </c>
      <c r="E1689" s="132" t="str">
        <f>INDEX([1]道具配置表!$D:$D,MATCH(D1689,[1]道具配置表!$A:$A,0))</f>
        <v>1分钟建造加速</v>
      </c>
      <c r="F1689" s="134">
        <v>15</v>
      </c>
      <c r="K1689" s="13">
        <v>1</v>
      </c>
      <c r="L1689" s="13"/>
      <c r="M1689" s="132" t="b">
        <v>1</v>
      </c>
    </row>
    <row r="1690" spans="1:13" s="4" customFormat="1" x14ac:dyDescent="0.25">
      <c r="A1690" s="132"/>
      <c r="B1690" s="132"/>
      <c r="D1690" s="13">
        <v>6160</v>
      </c>
      <c r="E1690" s="132" t="str">
        <f>INDEX([1]道具配置表!$D:$D,MATCH(D1690,[1]道具配置表!$A:$A,0))</f>
        <v>1分钟训练加速</v>
      </c>
      <c r="F1690" s="134">
        <v>20</v>
      </c>
      <c r="K1690" s="13">
        <v>1</v>
      </c>
      <c r="L1690" s="13"/>
      <c r="M1690" s="132" t="b">
        <v>1</v>
      </c>
    </row>
    <row r="1691" spans="1:13" s="4" customFormat="1" x14ac:dyDescent="0.25">
      <c r="A1691" s="132">
        <v>6607208</v>
      </c>
      <c r="B1691" s="132" t="s">
        <v>1862</v>
      </c>
      <c r="D1691" s="13">
        <v>501</v>
      </c>
      <c r="E1691" s="132" t="str">
        <f>INDEX([1]道具配置表!$D:$D,MATCH(D1691,[1]道具配置表!$A:$A,0))</f>
        <v>1千资源自选宝箱</v>
      </c>
      <c r="F1691" s="134">
        <v>122</v>
      </c>
      <c r="K1691" s="13">
        <v>1</v>
      </c>
      <c r="L1691" s="13"/>
      <c r="M1691" s="132" t="b">
        <v>1</v>
      </c>
    </row>
    <row r="1692" spans="1:13" s="4" customFormat="1" x14ac:dyDescent="0.25">
      <c r="A1692" s="132"/>
      <c r="B1692" s="132"/>
      <c r="D1692" s="13">
        <v>6120</v>
      </c>
      <c r="E1692" s="132" t="str">
        <f>INDEX([1]道具配置表!$D:$D,MATCH(D1692,[1]道具配置表!$A:$A,0))</f>
        <v>1分钟建造加速</v>
      </c>
      <c r="F1692" s="134">
        <v>15</v>
      </c>
      <c r="K1692" s="13">
        <v>1</v>
      </c>
      <c r="L1692" s="13"/>
      <c r="M1692" s="132" t="b">
        <v>1</v>
      </c>
    </row>
    <row r="1693" spans="1:13" s="4" customFormat="1" x14ac:dyDescent="0.25">
      <c r="A1693" s="132"/>
      <c r="B1693" s="132"/>
      <c r="D1693" s="13">
        <v>6160</v>
      </c>
      <c r="E1693" s="132" t="str">
        <f>INDEX([1]道具配置表!$D:$D,MATCH(D1693,[1]道具配置表!$A:$A,0))</f>
        <v>1分钟训练加速</v>
      </c>
      <c r="F1693" s="134">
        <v>20</v>
      </c>
      <c r="K1693" s="13">
        <v>1</v>
      </c>
      <c r="L1693" s="13"/>
      <c r="M1693" s="132" t="b">
        <v>1</v>
      </c>
    </row>
    <row r="1694" spans="1:13" s="4" customFormat="1" x14ac:dyDescent="0.25">
      <c r="A1694" s="132">
        <v>6607209</v>
      </c>
      <c r="B1694" s="132" t="s">
        <v>1863</v>
      </c>
      <c r="D1694" s="13">
        <v>501</v>
      </c>
      <c r="E1694" s="132" t="str">
        <f>INDEX([1]道具配置表!$D:$D,MATCH(D1694,[1]道具配置表!$A:$A,0))</f>
        <v>1千资源自选宝箱</v>
      </c>
      <c r="F1694" s="134">
        <v>123</v>
      </c>
      <c r="K1694" s="13">
        <v>1</v>
      </c>
      <c r="L1694" s="13"/>
      <c r="M1694" s="132" t="b">
        <v>1</v>
      </c>
    </row>
    <row r="1695" spans="1:13" s="4" customFormat="1" x14ac:dyDescent="0.25">
      <c r="A1695" s="132"/>
      <c r="B1695" s="132"/>
      <c r="D1695" s="13">
        <v>6120</v>
      </c>
      <c r="E1695" s="132" t="str">
        <f>INDEX([1]道具配置表!$D:$D,MATCH(D1695,[1]道具配置表!$A:$A,0))</f>
        <v>1分钟建造加速</v>
      </c>
      <c r="F1695" s="134">
        <v>15</v>
      </c>
      <c r="K1695" s="13">
        <v>1</v>
      </c>
      <c r="L1695" s="13"/>
      <c r="M1695" s="132" t="b">
        <v>1</v>
      </c>
    </row>
    <row r="1696" spans="1:13" s="4" customFormat="1" x14ac:dyDescent="0.25">
      <c r="A1696" s="132"/>
      <c r="B1696" s="132"/>
      <c r="D1696" s="13">
        <v>6160</v>
      </c>
      <c r="E1696" s="132" t="str">
        <f>INDEX([1]道具配置表!$D:$D,MATCH(D1696,[1]道具配置表!$A:$A,0))</f>
        <v>1分钟训练加速</v>
      </c>
      <c r="F1696" s="134">
        <v>20</v>
      </c>
      <c r="K1696" s="13">
        <v>1</v>
      </c>
      <c r="L1696" s="13"/>
      <c r="M1696" s="132" t="b">
        <v>1</v>
      </c>
    </row>
    <row r="1697" spans="1:13" s="4" customFormat="1" x14ac:dyDescent="0.25">
      <c r="A1697" s="132">
        <v>6607210</v>
      </c>
      <c r="B1697" s="132" t="s">
        <v>1864</v>
      </c>
      <c r="D1697" s="13">
        <v>501</v>
      </c>
      <c r="E1697" s="132" t="str">
        <f>INDEX([1]道具配置表!$D:$D,MATCH(D1697,[1]道具配置表!$A:$A,0))</f>
        <v>1千资源自选宝箱</v>
      </c>
      <c r="F1697" s="134">
        <v>124</v>
      </c>
      <c r="K1697" s="13">
        <v>1</v>
      </c>
      <c r="L1697" s="13"/>
      <c r="M1697" s="132" t="b">
        <v>1</v>
      </c>
    </row>
    <row r="1698" spans="1:13" s="4" customFormat="1" x14ac:dyDescent="0.25">
      <c r="A1698" s="132"/>
      <c r="B1698" s="132"/>
      <c r="D1698" s="13">
        <v>6120</v>
      </c>
      <c r="E1698" s="132" t="str">
        <f>INDEX([1]道具配置表!$D:$D,MATCH(D1698,[1]道具配置表!$A:$A,0))</f>
        <v>1分钟建造加速</v>
      </c>
      <c r="F1698" s="134">
        <v>15</v>
      </c>
      <c r="K1698" s="13">
        <v>1</v>
      </c>
      <c r="L1698" s="13"/>
      <c r="M1698" s="132" t="b">
        <v>1</v>
      </c>
    </row>
    <row r="1699" spans="1:13" s="4" customFormat="1" x14ac:dyDescent="0.25">
      <c r="A1699" s="132"/>
      <c r="B1699" s="132"/>
      <c r="D1699" s="13">
        <v>6160</v>
      </c>
      <c r="E1699" s="132" t="str">
        <f>INDEX([1]道具配置表!$D:$D,MATCH(D1699,[1]道具配置表!$A:$A,0))</f>
        <v>1分钟训练加速</v>
      </c>
      <c r="F1699" s="134">
        <v>21</v>
      </c>
      <c r="K1699" s="13">
        <v>1</v>
      </c>
      <c r="L1699" s="13"/>
      <c r="M1699" s="132" t="b">
        <v>1</v>
      </c>
    </row>
    <row r="1700" spans="1:13" s="4" customFormat="1" x14ac:dyDescent="0.25">
      <c r="A1700" s="132">
        <v>6607211</v>
      </c>
      <c r="B1700" s="132" t="s">
        <v>1865</v>
      </c>
      <c r="D1700" s="13">
        <v>501</v>
      </c>
      <c r="E1700" s="132" t="str">
        <f>INDEX([1]道具配置表!$D:$D,MATCH(D1700,[1]道具配置表!$A:$A,0))</f>
        <v>1千资源自选宝箱</v>
      </c>
      <c r="F1700" s="134">
        <v>125</v>
      </c>
      <c r="K1700" s="13">
        <v>1</v>
      </c>
      <c r="L1700" s="13"/>
      <c r="M1700" s="132" t="b">
        <v>1</v>
      </c>
    </row>
    <row r="1701" spans="1:13" s="4" customFormat="1" x14ac:dyDescent="0.25">
      <c r="A1701" s="132"/>
      <c r="B1701" s="132"/>
      <c r="D1701" s="13">
        <v>6120</v>
      </c>
      <c r="E1701" s="132" t="str">
        <f>INDEX([1]道具配置表!$D:$D,MATCH(D1701,[1]道具配置表!$A:$A,0))</f>
        <v>1分钟建造加速</v>
      </c>
      <c r="F1701" s="134">
        <v>15</v>
      </c>
      <c r="K1701" s="13">
        <v>1</v>
      </c>
      <c r="L1701" s="13"/>
      <c r="M1701" s="132" t="b">
        <v>1</v>
      </c>
    </row>
    <row r="1702" spans="1:13" s="4" customFormat="1" x14ac:dyDescent="0.25">
      <c r="A1702" s="132"/>
      <c r="B1702" s="132"/>
      <c r="D1702" s="13">
        <v>6160</v>
      </c>
      <c r="E1702" s="132" t="str">
        <f>INDEX([1]道具配置表!$D:$D,MATCH(D1702,[1]道具配置表!$A:$A,0))</f>
        <v>1分钟训练加速</v>
      </c>
      <c r="F1702" s="134">
        <v>21</v>
      </c>
      <c r="K1702" s="13">
        <v>1</v>
      </c>
      <c r="L1702" s="13"/>
      <c r="M1702" s="132" t="b">
        <v>1</v>
      </c>
    </row>
    <row r="1703" spans="1:13" s="4" customFormat="1" x14ac:dyDescent="0.25">
      <c r="A1703" s="132">
        <v>6607212</v>
      </c>
      <c r="B1703" s="132" t="s">
        <v>1866</v>
      </c>
      <c r="D1703" s="13">
        <v>501</v>
      </c>
      <c r="E1703" s="132" t="str">
        <f>INDEX([1]道具配置表!$D:$D,MATCH(D1703,[1]道具配置表!$A:$A,0))</f>
        <v>1千资源自选宝箱</v>
      </c>
      <c r="F1703" s="134">
        <v>126</v>
      </c>
      <c r="K1703" s="13">
        <v>1</v>
      </c>
      <c r="L1703" s="13"/>
      <c r="M1703" s="132" t="b">
        <v>1</v>
      </c>
    </row>
    <row r="1704" spans="1:13" s="4" customFormat="1" x14ac:dyDescent="0.25">
      <c r="A1704" s="132"/>
      <c r="B1704" s="132"/>
      <c r="D1704" s="13">
        <v>6120</v>
      </c>
      <c r="E1704" s="132" t="str">
        <f>INDEX([1]道具配置表!$D:$D,MATCH(D1704,[1]道具配置表!$A:$A,0))</f>
        <v>1分钟建造加速</v>
      </c>
      <c r="F1704" s="134">
        <v>15</v>
      </c>
      <c r="K1704" s="13">
        <v>1</v>
      </c>
      <c r="L1704" s="13"/>
      <c r="M1704" s="132" t="b">
        <v>1</v>
      </c>
    </row>
    <row r="1705" spans="1:13" s="4" customFormat="1" x14ac:dyDescent="0.25">
      <c r="A1705" s="132"/>
      <c r="B1705" s="132"/>
      <c r="D1705" s="13">
        <v>6160</v>
      </c>
      <c r="E1705" s="132" t="str">
        <f>INDEX([1]道具配置表!$D:$D,MATCH(D1705,[1]道具配置表!$A:$A,0))</f>
        <v>1分钟训练加速</v>
      </c>
      <c r="F1705" s="134">
        <v>21</v>
      </c>
      <c r="K1705" s="13">
        <v>1</v>
      </c>
      <c r="L1705" s="13"/>
      <c r="M1705" s="132" t="b">
        <v>1</v>
      </c>
    </row>
    <row r="1706" spans="1:13" s="4" customFormat="1" x14ac:dyDescent="0.25">
      <c r="A1706" s="132">
        <v>6607213</v>
      </c>
      <c r="B1706" s="132" t="s">
        <v>1867</v>
      </c>
      <c r="D1706" s="13">
        <v>501</v>
      </c>
      <c r="E1706" s="132" t="str">
        <f>INDEX([1]道具配置表!$D:$D,MATCH(D1706,[1]道具配置表!$A:$A,0))</f>
        <v>1千资源自选宝箱</v>
      </c>
      <c r="F1706" s="134">
        <v>127</v>
      </c>
      <c r="K1706" s="13">
        <v>1</v>
      </c>
      <c r="L1706" s="13"/>
      <c r="M1706" s="132" t="b">
        <v>1</v>
      </c>
    </row>
    <row r="1707" spans="1:13" s="4" customFormat="1" x14ac:dyDescent="0.25">
      <c r="A1707" s="132"/>
      <c r="B1707" s="132"/>
      <c r="D1707" s="13">
        <v>6120</v>
      </c>
      <c r="E1707" s="132" t="str">
        <f>INDEX([1]道具配置表!$D:$D,MATCH(D1707,[1]道具配置表!$A:$A,0))</f>
        <v>1分钟建造加速</v>
      </c>
      <c r="F1707" s="134">
        <v>15</v>
      </c>
      <c r="K1707" s="13">
        <v>1</v>
      </c>
      <c r="L1707" s="13"/>
      <c r="M1707" s="132" t="b">
        <v>1</v>
      </c>
    </row>
    <row r="1708" spans="1:13" s="4" customFormat="1" x14ac:dyDescent="0.25">
      <c r="A1708" s="132"/>
      <c r="B1708" s="132"/>
      <c r="D1708" s="13">
        <v>6160</v>
      </c>
      <c r="E1708" s="132" t="str">
        <f>INDEX([1]道具配置表!$D:$D,MATCH(D1708,[1]道具配置表!$A:$A,0))</f>
        <v>1分钟训练加速</v>
      </c>
      <c r="F1708" s="134">
        <v>21</v>
      </c>
      <c r="K1708" s="13">
        <v>1</v>
      </c>
      <c r="L1708" s="13"/>
      <c r="M1708" s="132" t="b">
        <v>1</v>
      </c>
    </row>
    <row r="1709" spans="1:13" s="4" customFormat="1" x14ac:dyDescent="0.25">
      <c r="A1709" s="132">
        <v>6607214</v>
      </c>
      <c r="B1709" s="132" t="s">
        <v>1868</v>
      </c>
      <c r="D1709" s="13">
        <v>501</v>
      </c>
      <c r="E1709" s="132" t="str">
        <f>INDEX([1]道具配置表!$D:$D,MATCH(D1709,[1]道具配置表!$A:$A,0))</f>
        <v>1千资源自选宝箱</v>
      </c>
      <c r="F1709" s="134">
        <v>128</v>
      </c>
      <c r="K1709" s="13">
        <v>1</v>
      </c>
      <c r="L1709" s="13"/>
      <c r="M1709" s="132" t="b">
        <v>1</v>
      </c>
    </row>
    <row r="1710" spans="1:13" s="4" customFormat="1" x14ac:dyDescent="0.25">
      <c r="A1710" s="132"/>
      <c r="B1710" s="132"/>
      <c r="D1710" s="13">
        <v>6120</v>
      </c>
      <c r="E1710" s="132" t="str">
        <f>INDEX([1]道具配置表!$D:$D,MATCH(D1710,[1]道具配置表!$A:$A,0))</f>
        <v>1分钟建造加速</v>
      </c>
      <c r="F1710" s="134">
        <v>15</v>
      </c>
      <c r="K1710" s="13">
        <v>1</v>
      </c>
      <c r="L1710" s="13"/>
      <c r="M1710" s="132" t="b">
        <v>1</v>
      </c>
    </row>
    <row r="1711" spans="1:13" s="4" customFormat="1" x14ac:dyDescent="0.25">
      <c r="A1711" s="132"/>
      <c r="B1711" s="132"/>
      <c r="D1711" s="13">
        <v>6160</v>
      </c>
      <c r="E1711" s="132" t="str">
        <f>INDEX([1]道具配置表!$D:$D,MATCH(D1711,[1]道具配置表!$A:$A,0))</f>
        <v>1分钟训练加速</v>
      </c>
      <c r="F1711" s="134">
        <v>21</v>
      </c>
      <c r="K1711" s="13">
        <v>1</v>
      </c>
      <c r="L1711" s="13"/>
      <c r="M1711" s="132" t="b">
        <v>1</v>
      </c>
    </row>
    <row r="1712" spans="1:13" s="4" customFormat="1" x14ac:dyDescent="0.25">
      <c r="A1712" s="132">
        <v>6607215</v>
      </c>
      <c r="B1712" s="132" t="s">
        <v>1869</v>
      </c>
      <c r="D1712" s="13">
        <v>501</v>
      </c>
      <c r="E1712" s="132" t="str">
        <f>INDEX([1]道具配置表!$D:$D,MATCH(D1712,[1]道具配置表!$A:$A,0))</f>
        <v>1千资源自选宝箱</v>
      </c>
      <c r="F1712" s="134">
        <v>129</v>
      </c>
      <c r="K1712" s="13">
        <v>1</v>
      </c>
      <c r="L1712" s="13"/>
      <c r="M1712" s="132" t="b">
        <v>1</v>
      </c>
    </row>
    <row r="1713" spans="1:13" s="4" customFormat="1" x14ac:dyDescent="0.25">
      <c r="A1713" s="132"/>
      <c r="B1713" s="132"/>
      <c r="D1713" s="13">
        <v>6120</v>
      </c>
      <c r="E1713" s="132" t="str">
        <f>INDEX([1]道具配置表!$D:$D,MATCH(D1713,[1]道具配置表!$A:$A,0))</f>
        <v>1分钟建造加速</v>
      </c>
      <c r="F1713" s="134">
        <v>15</v>
      </c>
      <c r="K1713" s="13">
        <v>1</v>
      </c>
      <c r="L1713" s="13"/>
      <c r="M1713" s="132" t="b">
        <v>1</v>
      </c>
    </row>
    <row r="1714" spans="1:13" s="4" customFormat="1" x14ac:dyDescent="0.25">
      <c r="A1714" s="132"/>
      <c r="B1714" s="132"/>
      <c r="D1714" s="13">
        <v>6160</v>
      </c>
      <c r="E1714" s="132" t="str">
        <f>INDEX([1]道具配置表!$D:$D,MATCH(D1714,[1]道具配置表!$A:$A,0))</f>
        <v>1分钟训练加速</v>
      </c>
      <c r="F1714" s="134">
        <v>21</v>
      </c>
      <c r="K1714" s="13">
        <v>1</v>
      </c>
      <c r="L1714" s="13"/>
      <c r="M1714" s="132" t="b">
        <v>1</v>
      </c>
    </row>
    <row r="1715" spans="1:13" s="4" customFormat="1" x14ac:dyDescent="0.25">
      <c r="A1715" s="132">
        <v>6607216</v>
      </c>
      <c r="B1715" s="132" t="s">
        <v>1870</v>
      </c>
      <c r="D1715" s="13">
        <v>501</v>
      </c>
      <c r="E1715" s="132" t="str">
        <f>INDEX([1]道具配置表!$D:$D,MATCH(D1715,[1]道具配置表!$A:$A,0))</f>
        <v>1千资源自选宝箱</v>
      </c>
      <c r="F1715" s="134">
        <v>130</v>
      </c>
      <c r="K1715" s="13">
        <v>1</v>
      </c>
      <c r="L1715" s="13"/>
      <c r="M1715" s="132" t="b">
        <v>1</v>
      </c>
    </row>
    <row r="1716" spans="1:13" s="4" customFormat="1" x14ac:dyDescent="0.25">
      <c r="A1716" s="132"/>
      <c r="B1716" s="132"/>
      <c r="D1716" s="13">
        <v>6120</v>
      </c>
      <c r="E1716" s="132" t="str">
        <f>INDEX([1]道具配置表!$D:$D,MATCH(D1716,[1]道具配置表!$A:$A,0))</f>
        <v>1分钟建造加速</v>
      </c>
      <c r="F1716" s="134">
        <v>15</v>
      </c>
      <c r="K1716" s="13">
        <v>1</v>
      </c>
      <c r="L1716" s="13"/>
      <c r="M1716" s="132" t="b">
        <v>1</v>
      </c>
    </row>
    <row r="1717" spans="1:13" s="4" customFormat="1" x14ac:dyDescent="0.25">
      <c r="A1717" s="132"/>
      <c r="B1717" s="132"/>
      <c r="D1717" s="13">
        <v>6160</v>
      </c>
      <c r="E1717" s="132" t="str">
        <f>INDEX([1]道具配置表!$D:$D,MATCH(D1717,[1]道具配置表!$A:$A,0))</f>
        <v>1分钟训练加速</v>
      </c>
      <c r="F1717" s="134">
        <v>21</v>
      </c>
      <c r="K1717" s="13">
        <v>1</v>
      </c>
      <c r="L1717" s="13"/>
      <c r="M1717" s="132" t="b">
        <v>1</v>
      </c>
    </row>
    <row r="1718" spans="1:13" s="4" customFormat="1" x14ac:dyDescent="0.25">
      <c r="A1718" s="132">
        <v>6607217</v>
      </c>
      <c r="B1718" s="132" t="s">
        <v>1871</v>
      </c>
      <c r="D1718" s="13">
        <v>501</v>
      </c>
      <c r="E1718" s="132" t="str">
        <f>INDEX([1]道具配置表!$D:$D,MATCH(D1718,[1]道具配置表!$A:$A,0))</f>
        <v>1千资源自选宝箱</v>
      </c>
      <c r="F1718" s="134">
        <v>131</v>
      </c>
      <c r="K1718" s="13">
        <v>1</v>
      </c>
      <c r="L1718" s="13"/>
      <c r="M1718" s="132" t="b">
        <v>1</v>
      </c>
    </row>
    <row r="1719" spans="1:13" s="4" customFormat="1" x14ac:dyDescent="0.25">
      <c r="A1719" s="132"/>
      <c r="B1719" s="132"/>
      <c r="D1719" s="13">
        <v>6120</v>
      </c>
      <c r="E1719" s="132" t="str">
        <f>INDEX([1]道具配置表!$D:$D,MATCH(D1719,[1]道具配置表!$A:$A,0))</f>
        <v>1分钟建造加速</v>
      </c>
      <c r="F1719" s="134">
        <v>15</v>
      </c>
      <c r="K1719" s="13">
        <v>1</v>
      </c>
      <c r="L1719" s="13"/>
      <c r="M1719" s="132" t="b">
        <v>1</v>
      </c>
    </row>
    <row r="1720" spans="1:13" s="4" customFormat="1" x14ac:dyDescent="0.25">
      <c r="A1720" s="132"/>
      <c r="B1720" s="132"/>
      <c r="D1720" s="13">
        <v>6160</v>
      </c>
      <c r="E1720" s="132" t="str">
        <f>INDEX([1]道具配置表!$D:$D,MATCH(D1720,[1]道具配置表!$A:$A,0))</f>
        <v>1分钟训练加速</v>
      </c>
      <c r="F1720" s="134">
        <v>21</v>
      </c>
      <c r="K1720" s="13">
        <v>1</v>
      </c>
      <c r="L1720" s="13"/>
      <c r="M1720" s="132" t="b">
        <v>1</v>
      </c>
    </row>
    <row r="1721" spans="1:13" s="4" customFormat="1" x14ac:dyDescent="0.25">
      <c r="A1721" s="132">
        <v>6607218</v>
      </c>
      <c r="B1721" s="132" t="s">
        <v>1872</v>
      </c>
      <c r="D1721" s="13">
        <v>501</v>
      </c>
      <c r="E1721" s="132" t="str">
        <f>INDEX([1]道具配置表!$D:$D,MATCH(D1721,[1]道具配置表!$A:$A,0))</f>
        <v>1千资源自选宝箱</v>
      </c>
      <c r="F1721" s="134">
        <v>132</v>
      </c>
      <c r="K1721" s="13">
        <v>1</v>
      </c>
      <c r="L1721" s="13"/>
      <c r="M1721" s="132" t="b">
        <v>1</v>
      </c>
    </row>
    <row r="1722" spans="1:13" s="4" customFormat="1" x14ac:dyDescent="0.25">
      <c r="A1722" s="132"/>
      <c r="B1722" s="132"/>
      <c r="D1722" s="13">
        <v>6120</v>
      </c>
      <c r="E1722" s="132" t="str">
        <f>INDEX([1]道具配置表!$D:$D,MATCH(D1722,[1]道具配置表!$A:$A,0))</f>
        <v>1分钟建造加速</v>
      </c>
      <c r="F1722" s="134">
        <v>15</v>
      </c>
      <c r="K1722" s="13">
        <v>1</v>
      </c>
      <c r="L1722" s="13"/>
      <c r="M1722" s="132" t="b">
        <v>1</v>
      </c>
    </row>
    <row r="1723" spans="1:13" s="4" customFormat="1" x14ac:dyDescent="0.25">
      <c r="A1723" s="132"/>
      <c r="B1723" s="132"/>
      <c r="D1723" s="13">
        <v>6160</v>
      </c>
      <c r="E1723" s="132" t="str">
        <f>INDEX([1]道具配置表!$D:$D,MATCH(D1723,[1]道具配置表!$A:$A,0))</f>
        <v>1分钟训练加速</v>
      </c>
      <c r="F1723" s="134">
        <v>21</v>
      </c>
      <c r="K1723" s="13">
        <v>1</v>
      </c>
      <c r="L1723" s="13"/>
      <c r="M1723" s="132" t="b">
        <v>1</v>
      </c>
    </row>
    <row r="1724" spans="1:13" s="4" customFormat="1" x14ac:dyDescent="0.25">
      <c r="A1724" s="132">
        <v>6607219</v>
      </c>
      <c r="B1724" s="132" t="s">
        <v>1873</v>
      </c>
      <c r="D1724" s="13">
        <v>501</v>
      </c>
      <c r="E1724" s="132" t="str">
        <f>INDEX([1]道具配置表!$D:$D,MATCH(D1724,[1]道具配置表!$A:$A,0))</f>
        <v>1千资源自选宝箱</v>
      </c>
      <c r="F1724" s="134">
        <v>133</v>
      </c>
      <c r="K1724" s="13">
        <v>1</v>
      </c>
      <c r="L1724" s="13"/>
      <c r="M1724" s="132" t="b">
        <v>1</v>
      </c>
    </row>
    <row r="1725" spans="1:13" s="4" customFormat="1" x14ac:dyDescent="0.25">
      <c r="A1725" s="132"/>
      <c r="B1725" s="132"/>
      <c r="D1725" s="13">
        <v>6120</v>
      </c>
      <c r="E1725" s="132" t="str">
        <f>INDEX([1]道具配置表!$D:$D,MATCH(D1725,[1]道具配置表!$A:$A,0))</f>
        <v>1分钟建造加速</v>
      </c>
      <c r="F1725" s="134">
        <v>15</v>
      </c>
      <c r="K1725" s="13">
        <v>1</v>
      </c>
      <c r="L1725" s="13"/>
      <c r="M1725" s="132" t="b">
        <v>1</v>
      </c>
    </row>
    <row r="1726" spans="1:13" s="4" customFormat="1" x14ac:dyDescent="0.25">
      <c r="A1726" s="132"/>
      <c r="B1726" s="132"/>
      <c r="D1726" s="13">
        <v>6160</v>
      </c>
      <c r="E1726" s="132" t="str">
        <f>INDEX([1]道具配置表!$D:$D,MATCH(D1726,[1]道具配置表!$A:$A,0))</f>
        <v>1分钟训练加速</v>
      </c>
      <c r="F1726" s="134">
        <v>21</v>
      </c>
      <c r="K1726" s="13">
        <v>1</v>
      </c>
      <c r="L1726" s="13"/>
      <c r="M1726" s="132" t="b">
        <v>1</v>
      </c>
    </row>
    <row r="1727" spans="1:13" s="4" customFormat="1" x14ac:dyDescent="0.25">
      <c r="A1727" s="132">
        <v>6607220</v>
      </c>
      <c r="B1727" s="132" t="s">
        <v>1874</v>
      </c>
      <c r="D1727" s="13">
        <v>501</v>
      </c>
      <c r="E1727" s="132" t="str">
        <f>INDEX([1]道具配置表!$D:$D,MATCH(D1727,[1]道具配置表!$A:$A,0))</f>
        <v>1千资源自选宝箱</v>
      </c>
      <c r="F1727" s="134">
        <v>134</v>
      </c>
      <c r="K1727" s="13">
        <v>1</v>
      </c>
      <c r="L1727" s="13"/>
      <c r="M1727" s="132" t="b">
        <v>1</v>
      </c>
    </row>
    <row r="1728" spans="1:13" s="4" customFormat="1" x14ac:dyDescent="0.25">
      <c r="A1728" s="132"/>
      <c r="B1728" s="132"/>
      <c r="D1728" s="13">
        <v>6120</v>
      </c>
      <c r="E1728" s="132" t="str">
        <f>INDEX([1]道具配置表!$D:$D,MATCH(D1728,[1]道具配置表!$A:$A,0))</f>
        <v>1分钟建造加速</v>
      </c>
      <c r="F1728" s="134">
        <v>15</v>
      </c>
      <c r="K1728" s="13">
        <v>1</v>
      </c>
      <c r="L1728" s="13"/>
      <c r="M1728" s="132" t="b">
        <v>1</v>
      </c>
    </row>
    <row r="1729" spans="1:13" s="4" customFormat="1" x14ac:dyDescent="0.25">
      <c r="A1729" s="132"/>
      <c r="B1729" s="132"/>
      <c r="D1729" s="13">
        <v>6160</v>
      </c>
      <c r="E1729" s="132" t="str">
        <f>INDEX([1]道具配置表!$D:$D,MATCH(D1729,[1]道具配置表!$A:$A,0))</f>
        <v>1分钟训练加速</v>
      </c>
      <c r="F1729" s="134">
        <v>22</v>
      </c>
      <c r="K1729" s="13">
        <v>1</v>
      </c>
      <c r="L1729" s="13"/>
      <c r="M1729" s="132" t="b">
        <v>1</v>
      </c>
    </row>
    <row r="1730" spans="1:13" s="4" customFormat="1" x14ac:dyDescent="0.25">
      <c r="A1730" s="132">
        <v>6609101</v>
      </c>
      <c r="B1730" s="132" t="s">
        <v>1875</v>
      </c>
      <c r="D1730" s="13">
        <v>502</v>
      </c>
      <c r="E1730" s="132" t="str">
        <f>INDEX([1]道具配置表!$D:$D,MATCH(D1730,[1]道具配置表!$A:$A,0))</f>
        <v>1万资源自选宝箱</v>
      </c>
      <c r="F1730" s="134">
        <v>5</v>
      </c>
      <c r="K1730" s="13">
        <v>1</v>
      </c>
      <c r="L1730" s="13"/>
      <c r="M1730" s="132" t="b">
        <v>1</v>
      </c>
    </row>
    <row r="1731" spans="1:13" s="4" customFormat="1" x14ac:dyDescent="0.25">
      <c r="A1731" s="132"/>
      <c r="B1731" s="132" t="s">
        <v>119</v>
      </c>
      <c r="D1731" s="13">
        <v>6101</v>
      </c>
      <c r="E1731" s="132" t="str">
        <f>INDEX([1]道具配置表!$D:$D,MATCH(D1731,[1]道具配置表!$A:$A,0))</f>
        <v>5分钟通用加速</v>
      </c>
      <c r="F1731" s="134">
        <v>1</v>
      </c>
      <c r="K1731" s="13">
        <v>1</v>
      </c>
      <c r="L1731" s="13"/>
      <c r="M1731" s="132" t="b">
        <v>1</v>
      </c>
    </row>
    <row r="1732" spans="1:13" s="4" customFormat="1" x14ac:dyDescent="0.25">
      <c r="A1732" s="132"/>
      <c r="B1732" s="132" t="s">
        <v>119</v>
      </c>
      <c r="D1732" s="13">
        <v>7228</v>
      </c>
      <c r="E1732" s="132" t="str">
        <f>INDEX([1]道具配置表!$D:$D,MATCH(D1732,[1]道具配置表!$A:$A,0))</f>
        <v>经验书*10000</v>
      </c>
      <c r="F1732" s="134">
        <v>5</v>
      </c>
      <c r="K1732" s="13">
        <v>1</v>
      </c>
      <c r="L1732" s="13"/>
      <c r="M1732" s="132" t="b">
        <v>1</v>
      </c>
    </row>
    <row r="1733" spans="1:13" s="4" customFormat="1" x14ac:dyDescent="0.25">
      <c r="A1733" s="132"/>
      <c r="B1733" s="132" t="s">
        <v>119</v>
      </c>
      <c r="D1733" s="13">
        <v>2006</v>
      </c>
      <c r="E1733" s="132" t="str">
        <f>INDEX([1]道具配置表!$D:$D,MATCH(D1733,[1]道具配置表!$A:$A,0))</f>
        <v>铜币奖池招募券</v>
      </c>
      <c r="F1733" s="134">
        <v>1</v>
      </c>
      <c r="K1733" s="13">
        <v>1</v>
      </c>
      <c r="L1733" s="13"/>
      <c r="M1733" s="132" t="b">
        <v>1</v>
      </c>
    </row>
    <row r="1734" spans="1:13" s="4" customFormat="1" x14ac:dyDescent="0.25">
      <c r="A1734" s="132">
        <v>6609102</v>
      </c>
      <c r="B1734" s="132" t="s">
        <v>506</v>
      </c>
      <c r="D1734" s="13">
        <v>502</v>
      </c>
      <c r="E1734" s="132" t="str">
        <f>INDEX([1]道具配置表!$D:$D,MATCH(D1734,[1]道具配置表!$A:$A,0))</f>
        <v>1万资源自选宝箱</v>
      </c>
      <c r="F1734" s="134">
        <v>6</v>
      </c>
      <c r="K1734" s="13">
        <v>1</v>
      </c>
      <c r="L1734" s="13"/>
      <c r="M1734" s="132" t="b">
        <v>1</v>
      </c>
    </row>
    <row r="1735" spans="1:13" s="4" customFormat="1" x14ac:dyDescent="0.25">
      <c r="A1735" s="132"/>
      <c r="B1735" s="132" t="s">
        <v>119</v>
      </c>
      <c r="D1735" s="13">
        <v>6101</v>
      </c>
      <c r="E1735" s="132" t="str">
        <f>INDEX([1]道具配置表!$D:$D,MATCH(D1735,[1]道具配置表!$A:$A,0))</f>
        <v>5分钟通用加速</v>
      </c>
      <c r="F1735" s="134">
        <v>1</v>
      </c>
      <c r="K1735" s="13">
        <v>1</v>
      </c>
      <c r="L1735" s="13"/>
      <c r="M1735" s="132" t="b">
        <v>1</v>
      </c>
    </row>
    <row r="1736" spans="1:13" s="4" customFormat="1" x14ac:dyDescent="0.25">
      <c r="A1736" s="132"/>
      <c r="B1736" s="132" t="s">
        <v>119</v>
      </c>
      <c r="D1736" s="13">
        <v>7228</v>
      </c>
      <c r="E1736" s="132" t="str">
        <f>INDEX([1]道具配置表!$D:$D,MATCH(D1736,[1]道具配置表!$A:$A,0))</f>
        <v>经验书*10000</v>
      </c>
      <c r="F1736" s="134">
        <v>6</v>
      </c>
      <c r="K1736" s="13">
        <v>1</v>
      </c>
      <c r="L1736" s="13"/>
      <c r="M1736" s="132" t="b">
        <v>1</v>
      </c>
    </row>
    <row r="1737" spans="1:13" s="4" customFormat="1" x14ac:dyDescent="0.25">
      <c r="A1737" s="132"/>
      <c r="B1737" s="132" t="s">
        <v>119</v>
      </c>
      <c r="D1737" s="13">
        <v>2007</v>
      </c>
      <c r="E1737" s="132" t="str">
        <f>INDEX([1]道具配置表!$D:$D,MATCH(D1737,[1]道具配置表!$A:$A,0))</f>
        <v>大奖池招募券</v>
      </c>
      <c r="F1737" s="134">
        <v>1</v>
      </c>
      <c r="K1737" s="13">
        <v>1</v>
      </c>
      <c r="L1737" s="13"/>
      <c r="M1737" s="132" t="b">
        <v>1</v>
      </c>
    </row>
    <row r="1738" spans="1:13" s="4" customFormat="1" x14ac:dyDescent="0.25">
      <c r="A1738" s="132">
        <v>6609103</v>
      </c>
      <c r="B1738" s="132" t="s">
        <v>507</v>
      </c>
      <c r="D1738" s="13">
        <v>502</v>
      </c>
      <c r="E1738" s="132" t="str">
        <f>INDEX([1]道具配置表!$D:$D,MATCH(D1738,[1]道具配置表!$A:$A,0))</f>
        <v>1万资源自选宝箱</v>
      </c>
      <c r="F1738" s="134">
        <v>7</v>
      </c>
      <c r="K1738" s="13">
        <v>1</v>
      </c>
      <c r="L1738" s="13"/>
      <c r="M1738" s="132" t="b">
        <v>1</v>
      </c>
    </row>
    <row r="1739" spans="1:13" s="4" customFormat="1" x14ac:dyDescent="0.25">
      <c r="A1739" s="132"/>
      <c r="B1739" s="132" t="s">
        <v>119</v>
      </c>
      <c r="D1739" s="13">
        <v>6101</v>
      </c>
      <c r="E1739" s="132" t="str">
        <f>INDEX([1]道具配置表!$D:$D,MATCH(D1739,[1]道具配置表!$A:$A,0))</f>
        <v>5分钟通用加速</v>
      </c>
      <c r="F1739" s="134">
        <v>2</v>
      </c>
      <c r="K1739" s="13">
        <v>1</v>
      </c>
      <c r="L1739" s="13"/>
      <c r="M1739" s="132" t="b">
        <v>1</v>
      </c>
    </row>
    <row r="1740" spans="1:13" s="4" customFormat="1" x14ac:dyDescent="0.25">
      <c r="A1740" s="132"/>
      <c r="B1740" s="132" t="s">
        <v>119</v>
      </c>
      <c r="D1740" s="13">
        <v>7228</v>
      </c>
      <c r="E1740" s="132" t="str">
        <f>INDEX([1]道具配置表!$D:$D,MATCH(D1740,[1]道具配置表!$A:$A,0))</f>
        <v>经验书*10000</v>
      </c>
      <c r="F1740" s="134">
        <v>7</v>
      </c>
      <c r="K1740" s="13">
        <v>1</v>
      </c>
      <c r="L1740" s="13"/>
      <c r="M1740" s="132" t="b">
        <v>1</v>
      </c>
    </row>
    <row r="1741" spans="1:13" s="4" customFormat="1" x14ac:dyDescent="0.25">
      <c r="A1741" s="132"/>
      <c r="B1741" s="132" t="s">
        <v>119</v>
      </c>
      <c r="D1741" s="13">
        <v>2006</v>
      </c>
      <c r="E1741" s="132" t="str">
        <f>INDEX([1]道具配置表!$D:$D,MATCH(D1741,[1]道具配置表!$A:$A,0))</f>
        <v>铜币奖池招募券</v>
      </c>
      <c r="F1741" s="134">
        <v>1</v>
      </c>
      <c r="K1741" s="13">
        <v>1</v>
      </c>
      <c r="L1741" s="13"/>
      <c r="M1741" s="132" t="b">
        <v>1</v>
      </c>
    </row>
    <row r="1742" spans="1:13" s="4" customFormat="1" x14ac:dyDescent="0.25">
      <c r="A1742" s="132">
        <v>6609104</v>
      </c>
      <c r="B1742" s="132" t="s">
        <v>1876</v>
      </c>
      <c r="D1742" s="13">
        <v>502</v>
      </c>
      <c r="E1742" s="132" t="str">
        <f>INDEX([1]道具配置表!$D:$D,MATCH(D1742,[1]道具配置表!$A:$A,0))</f>
        <v>1万资源自选宝箱</v>
      </c>
      <c r="F1742" s="134">
        <v>16</v>
      </c>
      <c r="K1742" s="13">
        <v>1</v>
      </c>
      <c r="L1742" s="13"/>
      <c r="M1742" s="132" t="b">
        <v>1</v>
      </c>
    </row>
    <row r="1743" spans="1:13" s="4" customFormat="1" x14ac:dyDescent="0.25">
      <c r="A1743" s="132"/>
      <c r="B1743" s="132" t="s">
        <v>119</v>
      </c>
      <c r="D1743" s="13">
        <v>6101</v>
      </c>
      <c r="E1743" s="132" t="str">
        <f>INDEX([1]道具配置表!$D:$D,MATCH(D1743,[1]道具配置表!$A:$A,0))</f>
        <v>5分钟通用加速</v>
      </c>
      <c r="F1743" s="134">
        <v>2</v>
      </c>
      <c r="K1743" s="13">
        <v>1</v>
      </c>
      <c r="L1743" s="13"/>
      <c r="M1743" s="132" t="b">
        <v>1</v>
      </c>
    </row>
    <row r="1744" spans="1:13" s="4" customFormat="1" x14ac:dyDescent="0.25">
      <c r="A1744" s="132"/>
      <c r="B1744" s="132" t="s">
        <v>119</v>
      </c>
      <c r="D1744" s="13">
        <v>7228</v>
      </c>
      <c r="E1744" s="132" t="str">
        <f>INDEX([1]道具配置表!$D:$D,MATCH(D1744,[1]道具配置表!$A:$A,0))</f>
        <v>经验书*10000</v>
      </c>
      <c r="F1744" s="134">
        <v>8</v>
      </c>
      <c r="K1744" s="13">
        <v>1</v>
      </c>
      <c r="L1744" s="13"/>
      <c r="M1744" s="132" t="b">
        <v>1</v>
      </c>
    </row>
    <row r="1745" spans="1:13" s="4" customFormat="1" x14ac:dyDescent="0.25">
      <c r="A1745" s="132"/>
      <c r="B1745" s="132" t="s">
        <v>119</v>
      </c>
      <c r="D1745" s="13">
        <v>2007</v>
      </c>
      <c r="E1745" s="132" t="str">
        <f>INDEX([1]道具配置表!$D:$D,MATCH(D1745,[1]道具配置表!$A:$A,0))</f>
        <v>大奖池招募券</v>
      </c>
      <c r="F1745" s="134">
        <v>2</v>
      </c>
      <c r="K1745" s="13">
        <v>1</v>
      </c>
      <c r="L1745" s="13"/>
      <c r="M1745" s="132" t="b">
        <v>1</v>
      </c>
    </row>
    <row r="1746" spans="1:13" s="4" customFormat="1" x14ac:dyDescent="0.25">
      <c r="A1746" s="132">
        <v>6609105</v>
      </c>
      <c r="B1746" s="132" t="s">
        <v>508</v>
      </c>
      <c r="D1746" s="13">
        <v>502</v>
      </c>
      <c r="E1746" s="132" t="str">
        <f>INDEX([1]道具配置表!$D:$D,MATCH(D1746,[1]道具配置表!$A:$A,0))</f>
        <v>1万资源自选宝箱</v>
      </c>
      <c r="F1746" s="134">
        <v>9</v>
      </c>
      <c r="K1746" s="13">
        <v>1</v>
      </c>
      <c r="L1746" s="13"/>
      <c r="M1746" s="132" t="b">
        <v>1</v>
      </c>
    </row>
    <row r="1747" spans="1:13" s="4" customFormat="1" x14ac:dyDescent="0.25">
      <c r="A1747" s="132"/>
      <c r="B1747" s="132" t="s">
        <v>119</v>
      </c>
      <c r="D1747" s="13">
        <v>6101</v>
      </c>
      <c r="E1747" s="132" t="str">
        <f>INDEX([1]道具配置表!$D:$D,MATCH(D1747,[1]道具配置表!$A:$A,0))</f>
        <v>5分钟通用加速</v>
      </c>
      <c r="F1747" s="134">
        <v>2</v>
      </c>
      <c r="K1747" s="13">
        <v>1</v>
      </c>
      <c r="L1747" s="13"/>
      <c r="M1747" s="132" t="b">
        <v>1</v>
      </c>
    </row>
    <row r="1748" spans="1:13" s="4" customFormat="1" x14ac:dyDescent="0.25">
      <c r="A1748" s="132"/>
      <c r="B1748" s="132" t="s">
        <v>119</v>
      </c>
      <c r="D1748" s="13">
        <v>7228</v>
      </c>
      <c r="E1748" s="132" t="str">
        <f>INDEX([1]道具配置表!$D:$D,MATCH(D1748,[1]道具配置表!$A:$A,0))</f>
        <v>经验书*10000</v>
      </c>
      <c r="F1748" s="134">
        <v>9</v>
      </c>
      <c r="K1748" s="13">
        <v>1</v>
      </c>
      <c r="L1748" s="13"/>
      <c r="M1748" s="132" t="b">
        <v>1</v>
      </c>
    </row>
    <row r="1749" spans="1:13" s="4" customFormat="1" x14ac:dyDescent="0.25">
      <c r="A1749" s="132"/>
      <c r="B1749" s="132" t="s">
        <v>119</v>
      </c>
      <c r="D1749" s="13">
        <v>2006</v>
      </c>
      <c r="E1749" s="132" t="str">
        <f>INDEX([1]道具配置表!$D:$D,MATCH(D1749,[1]道具配置表!$A:$A,0))</f>
        <v>铜币奖池招募券</v>
      </c>
      <c r="F1749" s="134">
        <v>1</v>
      </c>
      <c r="K1749" s="13">
        <v>1</v>
      </c>
      <c r="L1749" s="13"/>
      <c r="M1749" s="132" t="b">
        <v>1</v>
      </c>
    </row>
    <row r="1750" spans="1:13" s="4" customFormat="1" x14ac:dyDescent="0.25">
      <c r="A1750" s="132">
        <v>6609106</v>
      </c>
      <c r="B1750" s="132" t="s">
        <v>509</v>
      </c>
      <c r="D1750" s="13">
        <v>502</v>
      </c>
      <c r="E1750" s="132" t="str">
        <f>INDEX([1]道具配置表!$D:$D,MATCH(D1750,[1]道具配置表!$A:$A,0))</f>
        <v>1万资源自选宝箱</v>
      </c>
      <c r="F1750" s="134">
        <v>10</v>
      </c>
      <c r="K1750" s="13">
        <v>1</v>
      </c>
      <c r="L1750" s="13"/>
      <c r="M1750" s="132" t="b">
        <v>1</v>
      </c>
    </row>
    <row r="1751" spans="1:13" s="4" customFormat="1" x14ac:dyDescent="0.25">
      <c r="A1751" s="132"/>
      <c r="B1751" s="132" t="s">
        <v>119</v>
      </c>
      <c r="D1751" s="13">
        <v>6101</v>
      </c>
      <c r="E1751" s="132" t="str">
        <f>INDEX([1]道具配置表!$D:$D,MATCH(D1751,[1]道具配置表!$A:$A,0))</f>
        <v>5分钟通用加速</v>
      </c>
      <c r="F1751" s="134">
        <v>2</v>
      </c>
      <c r="K1751" s="13">
        <v>1</v>
      </c>
      <c r="L1751" s="13"/>
      <c r="M1751" s="132" t="b">
        <v>1</v>
      </c>
    </row>
    <row r="1752" spans="1:13" s="4" customFormat="1" x14ac:dyDescent="0.25">
      <c r="A1752" s="132"/>
      <c r="B1752" s="132" t="s">
        <v>119</v>
      </c>
      <c r="D1752" s="13">
        <v>7228</v>
      </c>
      <c r="E1752" s="132" t="str">
        <f>INDEX([1]道具配置表!$D:$D,MATCH(D1752,[1]道具配置表!$A:$A,0))</f>
        <v>经验书*10000</v>
      </c>
      <c r="F1752" s="134">
        <v>10</v>
      </c>
      <c r="K1752" s="13">
        <v>1</v>
      </c>
      <c r="L1752" s="13"/>
      <c r="M1752" s="132" t="b">
        <v>1</v>
      </c>
    </row>
    <row r="1753" spans="1:13" s="4" customFormat="1" x14ac:dyDescent="0.25">
      <c r="A1753" s="132"/>
      <c r="B1753" s="132" t="s">
        <v>119</v>
      </c>
      <c r="D1753" s="13">
        <v>2007</v>
      </c>
      <c r="E1753" s="132" t="str">
        <f>INDEX([1]道具配置表!$D:$D,MATCH(D1753,[1]道具配置表!$A:$A,0))</f>
        <v>大奖池招募券</v>
      </c>
      <c r="F1753" s="134">
        <v>1</v>
      </c>
      <c r="K1753" s="13">
        <v>1</v>
      </c>
      <c r="L1753" s="13"/>
      <c r="M1753" s="132" t="b">
        <v>1</v>
      </c>
    </row>
    <row r="1754" spans="1:13" s="4" customFormat="1" x14ac:dyDescent="0.25">
      <c r="A1754" s="33">
        <v>6609107</v>
      </c>
      <c r="B1754" s="33" t="s">
        <v>510</v>
      </c>
      <c r="D1754" s="13">
        <v>502</v>
      </c>
      <c r="E1754" s="132" t="str">
        <f>INDEX([1]道具配置表!$D:$D,MATCH(D1754,[1]道具配置表!$A:$A,0))</f>
        <v>1万资源自选宝箱</v>
      </c>
      <c r="F1754" s="33">
        <v>11</v>
      </c>
      <c r="K1754" s="13">
        <v>1</v>
      </c>
      <c r="L1754" s="13"/>
      <c r="M1754" s="33" t="b">
        <v>1</v>
      </c>
    </row>
    <row r="1755" spans="1:13" s="4" customFormat="1" x14ac:dyDescent="0.25">
      <c r="A1755" s="33"/>
      <c r="B1755" s="33" t="s">
        <v>119</v>
      </c>
      <c r="D1755" s="13">
        <v>6101</v>
      </c>
      <c r="E1755" s="132" t="str">
        <f>INDEX([1]道具配置表!$D:$D,MATCH(D1755,[1]道具配置表!$A:$A,0))</f>
        <v>5分钟通用加速</v>
      </c>
      <c r="F1755" s="33">
        <v>2</v>
      </c>
      <c r="K1755" s="13">
        <v>1</v>
      </c>
      <c r="L1755" s="13"/>
      <c r="M1755" s="33" t="b">
        <v>1</v>
      </c>
    </row>
    <row r="1756" spans="1:13" s="4" customFormat="1" x14ac:dyDescent="0.25">
      <c r="A1756" s="33"/>
      <c r="B1756" s="33" t="s">
        <v>119</v>
      </c>
      <c r="D1756" s="13">
        <v>7228</v>
      </c>
      <c r="E1756" s="132" t="str">
        <f>INDEX([1]道具配置表!$D:$D,MATCH(D1756,[1]道具配置表!$A:$A,0))</f>
        <v>经验书*10000</v>
      </c>
      <c r="F1756" s="33">
        <v>11</v>
      </c>
      <c r="K1756" s="13">
        <v>1</v>
      </c>
      <c r="L1756" s="13"/>
      <c r="M1756" s="33" t="b">
        <v>1</v>
      </c>
    </row>
    <row r="1757" spans="1:13" s="4" customFormat="1" x14ac:dyDescent="0.25">
      <c r="A1757" s="33"/>
      <c r="B1757" s="33" t="s">
        <v>119</v>
      </c>
      <c r="D1757" s="13">
        <v>2006</v>
      </c>
      <c r="E1757" s="132" t="str">
        <f>INDEX([1]道具配置表!$D:$D,MATCH(D1757,[1]道具配置表!$A:$A,0))</f>
        <v>铜币奖池招募券</v>
      </c>
      <c r="F1757" s="33">
        <v>1</v>
      </c>
      <c r="K1757" s="13">
        <v>1</v>
      </c>
      <c r="L1757" s="13"/>
      <c r="M1757" s="33" t="b">
        <v>1</v>
      </c>
    </row>
    <row r="1758" spans="1:13" s="4" customFormat="1" x14ac:dyDescent="0.25">
      <c r="A1758" s="33">
        <v>6609108</v>
      </c>
      <c r="B1758" s="33" t="s">
        <v>511</v>
      </c>
      <c r="D1758" s="13">
        <v>502</v>
      </c>
      <c r="E1758" s="132" t="str">
        <f>INDEX([1]道具配置表!$D:$D,MATCH(D1758,[1]道具配置表!$A:$A,0))</f>
        <v>1万资源自选宝箱</v>
      </c>
      <c r="F1758" s="33">
        <v>12</v>
      </c>
      <c r="K1758" s="13">
        <v>1</v>
      </c>
      <c r="L1758" s="13"/>
      <c r="M1758" s="33" t="b">
        <v>1</v>
      </c>
    </row>
    <row r="1759" spans="1:13" s="4" customFormat="1" x14ac:dyDescent="0.25">
      <c r="A1759" s="33"/>
      <c r="B1759" s="33" t="s">
        <v>119</v>
      </c>
      <c r="D1759" s="13">
        <v>6101</v>
      </c>
      <c r="E1759" s="132" t="str">
        <f>INDEX([1]道具配置表!$D:$D,MATCH(D1759,[1]道具配置表!$A:$A,0))</f>
        <v>5分钟通用加速</v>
      </c>
      <c r="F1759" s="33">
        <v>3</v>
      </c>
      <c r="K1759" s="13">
        <v>1</v>
      </c>
      <c r="L1759" s="13"/>
      <c r="M1759" s="33" t="b">
        <v>1</v>
      </c>
    </row>
    <row r="1760" spans="1:13" s="4" customFormat="1" x14ac:dyDescent="0.25">
      <c r="A1760" s="33"/>
      <c r="B1760" s="33" t="s">
        <v>119</v>
      </c>
      <c r="D1760" s="13">
        <v>7228</v>
      </c>
      <c r="E1760" s="132" t="str">
        <f>INDEX([1]道具配置表!$D:$D,MATCH(D1760,[1]道具配置表!$A:$A,0))</f>
        <v>经验书*10000</v>
      </c>
      <c r="F1760" s="33">
        <v>12</v>
      </c>
      <c r="K1760" s="13">
        <v>1</v>
      </c>
      <c r="L1760" s="13"/>
      <c r="M1760" s="33" t="b">
        <v>1</v>
      </c>
    </row>
    <row r="1761" spans="1:13" s="4" customFormat="1" x14ac:dyDescent="0.25">
      <c r="A1761" s="33"/>
      <c r="B1761" s="33" t="s">
        <v>119</v>
      </c>
      <c r="D1761" s="13">
        <v>2007</v>
      </c>
      <c r="E1761" s="132" t="str">
        <f>INDEX([1]道具配置表!$D:$D,MATCH(D1761,[1]道具配置表!$A:$A,0))</f>
        <v>大奖池招募券</v>
      </c>
      <c r="F1761" s="33">
        <v>1</v>
      </c>
      <c r="K1761" s="13">
        <v>1</v>
      </c>
      <c r="L1761" s="13"/>
      <c r="M1761" s="33" t="b">
        <v>1</v>
      </c>
    </row>
    <row r="1762" spans="1:13" s="4" customFormat="1" x14ac:dyDescent="0.25">
      <c r="A1762" s="33">
        <v>6609109</v>
      </c>
      <c r="B1762" s="33" t="s">
        <v>512</v>
      </c>
      <c r="D1762" s="13">
        <v>502</v>
      </c>
      <c r="E1762" s="132" t="str">
        <f>INDEX([1]道具配置表!$D:$D,MATCH(D1762,[1]道具配置表!$A:$A,0))</f>
        <v>1万资源自选宝箱</v>
      </c>
      <c r="F1762" s="33">
        <v>13</v>
      </c>
      <c r="K1762" s="13">
        <v>1</v>
      </c>
      <c r="L1762" s="13"/>
      <c r="M1762" s="33" t="b">
        <v>1</v>
      </c>
    </row>
    <row r="1763" spans="1:13" s="4" customFormat="1" x14ac:dyDescent="0.25">
      <c r="A1763" s="33"/>
      <c r="B1763" s="33" t="s">
        <v>119</v>
      </c>
      <c r="D1763" s="13">
        <v>6101</v>
      </c>
      <c r="E1763" s="132" t="str">
        <f>INDEX([1]道具配置表!$D:$D,MATCH(D1763,[1]道具配置表!$A:$A,0))</f>
        <v>5分钟通用加速</v>
      </c>
      <c r="F1763" s="33">
        <v>3</v>
      </c>
      <c r="K1763" s="13">
        <v>1</v>
      </c>
      <c r="L1763" s="13"/>
      <c r="M1763" s="33" t="b">
        <v>1</v>
      </c>
    </row>
    <row r="1764" spans="1:13" s="4" customFormat="1" x14ac:dyDescent="0.25">
      <c r="A1764" s="33"/>
      <c r="B1764" s="33" t="s">
        <v>119</v>
      </c>
      <c r="D1764" s="13">
        <v>7228</v>
      </c>
      <c r="E1764" s="132" t="str">
        <f>INDEX([1]道具配置表!$D:$D,MATCH(D1764,[1]道具配置表!$A:$A,0))</f>
        <v>经验书*10000</v>
      </c>
      <c r="F1764" s="33">
        <v>13</v>
      </c>
      <c r="K1764" s="13">
        <v>1</v>
      </c>
      <c r="L1764" s="13"/>
      <c r="M1764" s="33" t="b">
        <v>1</v>
      </c>
    </row>
    <row r="1765" spans="1:13" s="4" customFormat="1" x14ac:dyDescent="0.25">
      <c r="A1765" s="33"/>
      <c r="B1765" s="33" t="s">
        <v>119</v>
      </c>
      <c r="D1765" s="13">
        <v>2006</v>
      </c>
      <c r="E1765" s="132" t="str">
        <f>INDEX([1]道具配置表!$D:$D,MATCH(D1765,[1]道具配置表!$A:$A,0))</f>
        <v>铜币奖池招募券</v>
      </c>
      <c r="F1765" s="33">
        <v>1</v>
      </c>
      <c r="K1765" s="13">
        <v>1</v>
      </c>
      <c r="L1765" s="13"/>
      <c r="M1765" s="33" t="b">
        <v>1</v>
      </c>
    </row>
    <row r="1766" spans="1:13" s="4" customFormat="1" x14ac:dyDescent="0.25">
      <c r="A1766" s="33">
        <v>6609110</v>
      </c>
      <c r="B1766" s="33" t="s">
        <v>513</v>
      </c>
      <c r="D1766" s="13">
        <v>502</v>
      </c>
      <c r="E1766" s="132" t="str">
        <f>INDEX([1]道具配置表!$D:$D,MATCH(D1766,[1]道具配置表!$A:$A,0))</f>
        <v>1万资源自选宝箱</v>
      </c>
      <c r="F1766" s="33">
        <v>28</v>
      </c>
      <c r="K1766" s="13">
        <v>1</v>
      </c>
      <c r="L1766" s="13"/>
      <c r="M1766" s="33" t="b">
        <v>1</v>
      </c>
    </row>
    <row r="1767" spans="1:13" s="4" customFormat="1" x14ac:dyDescent="0.25">
      <c r="A1767" s="33"/>
      <c r="B1767" s="33" t="s">
        <v>119</v>
      </c>
      <c r="D1767" s="13">
        <v>6101</v>
      </c>
      <c r="E1767" s="132" t="str">
        <f>INDEX([1]道具配置表!$D:$D,MATCH(D1767,[1]道具配置表!$A:$A,0))</f>
        <v>5分钟通用加速</v>
      </c>
      <c r="F1767" s="33">
        <v>3</v>
      </c>
      <c r="K1767" s="13">
        <v>1</v>
      </c>
      <c r="L1767" s="13"/>
      <c r="M1767" s="33" t="b">
        <v>1</v>
      </c>
    </row>
    <row r="1768" spans="1:13" s="4" customFormat="1" x14ac:dyDescent="0.25">
      <c r="A1768" s="33"/>
      <c r="B1768" s="33" t="s">
        <v>119</v>
      </c>
      <c r="D1768" s="13">
        <v>7228</v>
      </c>
      <c r="E1768" s="132" t="str">
        <f>INDEX([1]道具配置表!$D:$D,MATCH(D1768,[1]道具配置表!$A:$A,0))</f>
        <v>经验书*10000</v>
      </c>
      <c r="F1768" s="33">
        <v>14</v>
      </c>
      <c r="K1768" s="13">
        <v>1</v>
      </c>
      <c r="L1768" s="13"/>
      <c r="M1768" s="33" t="b">
        <v>1</v>
      </c>
    </row>
    <row r="1769" spans="1:13" s="4" customFormat="1" x14ac:dyDescent="0.25">
      <c r="A1769" s="33"/>
      <c r="B1769" s="33" t="s">
        <v>119</v>
      </c>
      <c r="D1769" s="13">
        <v>2007</v>
      </c>
      <c r="E1769" s="132" t="str">
        <f>INDEX([1]道具配置表!$D:$D,MATCH(D1769,[1]道具配置表!$A:$A,0))</f>
        <v>大奖池招募券</v>
      </c>
      <c r="F1769" s="33">
        <v>2</v>
      </c>
      <c r="K1769" s="13">
        <v>1</v>
      </c>
      <c r="L1769" s="13"/>
      <c r="M1769" s="33" t="b">
        <v>1</v>
      </c>
    </row>
    <row r="1770" spans="1:13" s="4" customFormat="1" x14ac:dyDescent="0.25">
      <c r="A1770" s="33">
        <v>6609111</v>
      </c>
      <c r="B1770" s="33" t="s">
        <v>514</v>
      </c>
      <c r="D1770" s="13">
        <v>502</v>
      </c>
      <c r="E1770" s="132" t="str">
        <f>INDEX([1]道具配置表!$D:$D,MATCH(D1770,[1]道具配置表!$A:$A,0))</f>
        <v>1万资源自选宝箱</v>
      </c>
      <c r="F1770" s="33">
        <v>15</v>
      </c>
      <c r="K1770" s="13">
        <v>1</v>
      </c>
      <c r="L1770" s="13"/>
      <c r="M1770" s="33" t="b">
        <v>1</v>
      </c>
    </row>
    <row r="1771" spans="1:13" s="4" customFormat="1" x14ac:dyDescent="0.25">
      <c r="A1771" s="33"/>
      <c r="B1771" s="33" t="s">
        <v>119</v>
      </c>
      <c r="D1771" s="13">
        <v>6101</v>
      </c>
      <c r="E1771" s="132" t="str">
        <f>INDEX([1]道具配置表!$D:$D,MATCH(D1771,[1]道具配置表!$A:$A,0))</f>
        <v>5分钟通用加速</v>
      </c>
      <c r="F1771" s="33">
        <v>3</v>
      </c>
      <c r="K1771" s="13">
        <v>1</v>
      </c>
      <c r="L1771" s="13"/>
      <c r="M1771" s="33" t="b">
        <v>1</v>
      </c>
    </row>
    <row r="1772" spans="1:13" s="4" customFormat="1" x14ac:dyDescent="0.25">
      <c r="A1772" s="33"/>
      <c r="B1772" s="33" t="s">
        <v>119</v>
      </c>
      <c r="D1772" s="13">
        <v>7228</v>
      </c>
      <c r="E1772" s="132" t="str">
        <f>INDEX([1]道具配置表!$D:$D,MATCH(D1772,[1]道具配置表!$A:$A,0))</f>
        <v>经验书*10000</v>
      </c>
      <c r="F1772" s="33">
        <v>15</v>
      </c>
      <c r="K1772" s="13">
        <v>1</v>
      </c>
      <c r="L1772" s="13"/>
      <c r="M1772" s="33" t="b">
        <v>1</v>
      </c>
    </row>
    <row r="1773" spans="1:13" s="4" customFormat="1" x14ac:dyDescent="0.25">
      <c r="A1773" s="33"/>
      <c r="B1773" s="33" t="s">
        <v>119</v>
      </c>
      <c r="D1773" s="13">
        <v>2006</v>
      </c>
      <c r="E1773" s="132" t="str">
        <f>INDEX([1]道具配置表!$D:$D,MATCH(D1773,[1]道具配置表!$A:$A,0))</f>
        <v>铜币奖池招募券</v>
      </c>
      <c r="F1773" s="33">
        <v>1</v>
      </c>
      <c r="K1773" s="13">
        <v>1</v>
      </c>
      <c r="L1773" s="13"/>
      <c r="M1773" s="33" t="b">
        <v>1</v>
      </c>
    </row>
    <row r="1774" spans="1:13" s="4" customFormat="1" x14ac:dyDescent="0.25">
      <c r="A1774" s="33">
        <v>6609112</v>
      </c>
      <c r="B1774" s="33" t="s">
        <v>515</v>
      </c>
      <c r="D1774" s="13">
        <v>502</v>
      </c>
      <c r="E1774" s="132" t="str">
        <f>INDEX([1]道具配置表!$D:$D,MATCH(D1774,[1]道具配置表!$A:$A,0))</f>
        <v>1万资源自选宝箱</v>
      </c>
      <c r="F1774" s="33">
        <v>16</v>
      </c>
      <c r="K1774" s="13">
        <v>1</v>
      </c>
      <c r="L1774" s="13"/>
      <c r="M1774" s="33" t="b">
        <v>1</v>
      </c>
    </row>
    <row r="1775" spans="1:13" s="4" customFormat="1" x14ac:dyDescent="0.25">
      <c r="A1775" s="33"/>
      <c r="B1775" s="33" t="s">
        <v>119</v>
      </c>
      <c r="D1775" s="13">
        <v>6101</v>
      </c>
      <c r="E1775" s="132" t="str">
        <f>INDEX([1]道具配置表!$D:$D,MATCH(D1775,[1]道具配置表!$A:$A,0))</f>
        <v>5分钟通用加速</v>
      </c>
      <c r="F1775" s="33">
        <v>3</v>
      </c>
      <c r="K1775" s="13">
        <v>1</v>
      </c>
      <c r="L1775" s="13"/>
      <c r="M1775" s="33" t="b">
        <v>1</v>
      </c>
    </row>
    <row r="1776" spans="1:13" s="4" customFormat="1" x14ac:dyDescent="0.25">
      <c r="A1776" s="33"/>
      <c r="B1776" s="33" t="s">
        <v>119</v>
      </c>
      <c r="D1776" s="13">
        <v>7228</v>
      </c>
      <c r="E1776" s="132" t="str">
        <f>INDEX([1]道具配置表!$D:$D,MATCH(D1776,[1]道具配置表!$A:$A,0))</f>
        <v>经验书*10000</v>
      </c>
      <c r="F1776" s="33">
        <v>16</v>
      </c>
      <c r="K1776" s="13">
        <v>1</v>
      </c>
      <c r="L1776" s="13"/>
      <c r="M1776" s="33" t="b">
        <v>1</v>
      </c>
    </row>
    <row r="1777" spans="1:13" s="4" customFormat="1" x14ac:dyDescent="0.25">
      <c r="A1777" s="33"/>
      <c r="B1777" s="33" t="s">
        <v>119</v>
      </c>
      <c r="D1777" s="13">
        <v>2007</v>
      </c>
      <c r="E1777" s="132" t="str">
        <f>INDEX([1]道具配置表!$D:$D,MATCH(D1777,[1]道具配置表!$A:$A,0))</f>
        <v>大奖池招募券</v>
      </c>
      <c r="F1777" s="33">
        <v>1</v>
      </c>
      <c r="K1777" s="13">
        <v>1</v>
      </c>
      <c r="L1777" s="13"/>
      <c r="M1777" s="33" t="b">
        <v>1</v>
      </c>
    </row>
    <row r="1778" spans="1:13" s="4" customFormat="1" x14ac:dyDescent="0.25">
      <c r="A1778" s="33">
        <v>6609113</v>
      </c>
      <c r="B1778" s="33" t="s">
        <v>516</v>
      </c>
      <c r="D1778" s="13">
        <v>502</v>
      </c>
      <c r="E1778" s="132" t="str">
        <f>INDEX([1]道具配置表!$D:$D,MATCH(D1778,[1]道具配置表!$A:$A,0))</f>
        <v>1万资源自选宝箱</v>
      </c>
      <c r="F1778" s="33">
        <v>17</v>
      </c>
      <c r="K1778" s="13">
        <v>1</v>
      </c>
      <c r="L1778" s="13"/>
      <c r="M1778" s="33" t="b">
        <v>1</v>
      </c>
    </row>
    <row r="1779" spans="1:13" s="4" customFormat="1" x14ac:dyDescent="0.25">
      <c r="A1779" s="33"/>
      <c r="B1779" s="33" t="s">
        <v>119</v>
      </c>
      <c r="D1779" s="13">
        <v>6101</v>
      </c>
      <c r="E1779" s="132" t="str">
        <f>INDEX([1]道具配置表!$D:$D,MATCH(D1779,[1]道具配置表!$A:$A,0))</f>
        <v>5分钟通用加速</v>
      </c>
      <c r="F1779" s="33">
        <v>4</v>
      </c>
      <c r="K1779" s="13">
        <v>1</v>
      </c>
      <c r="L1779" s="13"/>
      <c r="M1779" s="33" t="b">
        <v>1</v>
      </c>
    </row>
    <row r="1780" spans="1:13" s="4" customFormat="1" x14ac:dyDescent="0.25">
      <c r="A1780" s="33"/>
      <c r="B1780" s="33" t="s">
        <v>119</v>
      </c>
      <c r="D1780" s="13">
        <v>7228</v>
      </c>
      <c r="E1780" s="132" t="str">
        <f>INDEX([1]道具配置表!$D:$D,MATCH(D1780,[1]道具配置表!$A:$A,0))</f>
        <v>经验书*10000</v>
      </c>
      <c r="F1780" s="33">
        <v>17</v>
      </c>
      <c r="K1780" s="13">
        <v>1</v>
      </c>
      <c r="L1780" s="13"/>
      <c r="M1780" s="33" t="b">
        <v>1</v>
      </c>
    </row>
    <row r="1781" spans="1:13" s="4" customFormat="1" x14ac:dyDescent="0.25">
      <c r="A1781" s="33"/>
      <c r="B1781" s="33" t="s">
        <v>119</v>
      </c>
      <c r="D1781" s="13">
        <v>2006</v>
      </c>
      <c r="E1781" s="132" t="str">
        <f>INDEX([1]道具配置表!$D:$D,MATCH(D1781,[1]道具配置表!$A:$A,0))</f>
        <v>铜币奖池招募券</v>
      </c>
      <c r="F1781" s="33">
        <v>1</v>
      </c>
      <c r="K1781" s="13">
        <v>1</v>
      </c>
      <c r="L1781" s="13"/>
      <c r="M1781" s="33" t="b">
        <v>1</v>
      </c>
    </row>
    <row r="1782" spans="1:13" s="4" customFormat="1" x14ac:dyDescent="0.25">
      <c r="A1782" s="33">
        <v>6609114</v>
      </c>
      <c r="B1782" s="33" t="s">
        <v>517</v>
      </c>
      <c r="D1782" s="13">
        <v>502</v>
      </c>
      <c r="E1782" s="132" t="str">
        <f>INDEX([1]道具配置表!$D:$D,MATCH(D1782,[1]道具配置表!$A:$A,0))</f>
        <v>1万资源自选宝箱</v>
      </c>
      <c r="F1782" s="33">
        <v>18</v>
      </c>
      <c r="K1782" s="13">
        <v>1</v>
      </c>
      <c r="L1782" s="13"/>
      <c r="M1782" s="33" t="b">
        <v>1</v>
      </c>
    </row>
    <row r="1783" spans="1:13" s="4" customFormat="1" x14ac:dyDescent="0.25">
      <c r="A1783" s="33"/>
      <c r="B1783" s="33" t="s">
        <v>119</v>
      </c>
      <c r="D1783" s="13">
        <v>6101</v>
      </c>
      <c r="E1783" s="132" t="str">
        <f>INDEX([1]道具配置表!$D:$D,MATCH(D1783,[1]道具配置表!$A:$A,0))</f>
        <v>5分钟通用加速</v>
      </c>
      <c r="F1783" s="33">
        <v>4</v>
      </c>
      <c r="K1783" s="13">
        <v>1</v>
      </c>
      <c r="L1783" s="13"/>
      <c r="M1783" s="33" t="b">
        <v>1</v>
      </c>
    </row>
    <row r="1784" spans="1:13" s="4" customFormat="1" x14ac:dyDescent="0.25">
      <c r="A1784" s="33"/>
      <c r="B1784" s="33" t="s">
        <v>119</v>
      </c>
      <c r="D1784" s="13">
        <v>7228</v>
      </c>
      <c r="E1784" s="132" t="str">
        <f>INDEX([1]道具配置表!$D:$D,MATCH(D1784,[1]道具配置表!$A:$A,0))</f>
        <v>经验书*10000</v>
      </c>
      <c r="F1784" s="33">
        <v>18</v>
      </c>
      <c r="K1784" s="13">
        <v>1</v>
      </c>
      <c r="L1784" s="13"/>
      <c r="M1784" s="33" t="b">
        <v>1</v>
      </c>
    </row>
    <row r="1785" spans="1:13" s="4" customFormat="1" x14ac:dyDescent="0.25">
      <c r="A1785" s="33"/>
      <c r="B1785" s="33" t="s">
        <v>119</v>
      </c>
      <c r="D1785" s="13">
        <v>2007</v>
      </c>
      <c r="E1785" s="132" t="str">
        <f>INDEX([1]道具配置表!$D:$D,MATCH(D1785,[1]道具配置表!$A:$A,0))</f>
        <v>大奖池招募券</v>
      </c>
      <c r="F1785" s="33">
        <v>1</v>
      </c>
      <c r="K1785" s="13">
        <v>1</v>
      </c>
      <c r="L1785" s="13"/>
      <c r="M1785" s="33" t="b">
        <v>1</v>
      </c>
    </row>
    <row r="1786" spans="1:13" s="4" customFormat="1" x14ac:dyDescent="0.25">
      <c r="A1786" s="33">
        <v>6609115</v>
      </c>
      <c r="B1786" s="33" t="s">
        <v>518</v>
      </c>
      <c r="D1786" s="13">
        <v>502</v>
      </c>
      <c r="E1786" s="132" t="str">
        <f>INDEX([1]道具配置表!$D:$D,MATCH(D1786,[1]道具配置表!$A:$A,0))</f>
        <v>1万资源自选宝箱</v>
      </c>
      <c r="F1786" s="33">
        <v>38</v>
      </c>
      <c r="K1786" s="13">
        <v>1</v>
      </c>
      <c r="L1786" s="13"/>
      <c r="M1786" s="33" t="b">
        <v>1</v>
      </c>
    </row>
    <row r="1787" spans="1:13" s="4" customFormat="1" x14ac:dyDescent="0.25">
      <c r="A1787" s="33"/>
      <c r="B1787" s="33" t="s">
        <v>119</v>
      </c>
      <c r="D1787" s="13">
        <v>6101</v>
      </c>
      <c r="E1787" s="132" t="str">
        <f>INDEX([1]道具配置表!$D:$D,MATCH(D1787,[1]道具配置表!$A:$A,0))</f>
        <v>5分钟通用加速</v>
      </c>
      <c r="F1787" s="33">
        <v>4</v>
      </c>
      <c r="K1787" s="13">
        <v>1</v>
      </c>
      <c r="L1787" s="13"/>
      <c r="M1787" s="33" t="b">
        <v>1</v>
      </c>
    </row>
    <row r="1788" spans="1:13" s="4" customFormat="1" x14ac:dyDescent="0.25">
      <c r="A1788" s="33"/>
      <c r="B1788" s="33" t="s">
        <v>119</v>
      </c>
      <c r="D1788" s="13">
        <v>7228</v>
      </c>
      <c r="E1788" s="132" t="str">
        <f>INDEX([1]道具配置表!$D:$D,MATCH(D1788,[1]道具配置表!$A:$A,0))</f>
        <v>经验书*10000</v>
      </c>
      <c r="F1788" s="33">
        <v>19</v>
      </c>
      <c r="K1788" s="13">
        <v>1</v>
      </c>
      <c r="L1788" s="13"/>
      <c r="M1788" s="33" t="b">
        <v>1</v>
      </c>
    </row>
    <row r="1789" spans="1:13" s="4" customFormat="1" x14ac:dyDescent="0.25">
      <c r="A1789" s="33"/>
      <c r="B1789" s="33" t="s">
        <v>119</v>
      </c>
      <c r="D1789" s="13">
        <v>2007</v>
      </c>
      <c r="E1789" s="132" t="str">
        <f>INDEX([1]道具配置表!$D:$D,MATCH(D1789,[1]道具配置表!$A:$A,0))</f>
        <v>大奖池招募券</v>
      </c>
      <c r="F1789" s="33">
        <v>2</v>
      </c>
      <c r="K1789" s="13">
        <v>1</v>
      </c>
      <c r="L1789" s="13"/>
      <c r="M1789" s="33" t="b">
        <v>1</v>
      </c>
    </row>
    <row r="1790" spans="1:13" s="4" customFormat="1" x14ac:dyDescent="0.25">
      <c r="A1790" s="33">
        <v>6609116</v>
      </c>
      <c r="B1790" s="33" t="s">
        <v>519</v>
      </c>
      <c r="D1790" s="13">
        <v>502</v>
      </c>
      <c r="E1790" s="132" t="str">
        <f>INDEX([1]道具配置表!$D:$D,MATCH(D1790,[1]道具配置表!$A:$A,0))</f>
        <v>1万资源自选宝箱</v>
      </c>
      <c r="F1790" s="33">
        <v>20</v>
      </c>
      <c r="K1790" s="13">
        <v>1</v>
      </c>
      <c r="L1790" s="13"/>
      <c r="M1790" s="33" t="b">
        <v>1</v>
      </c>
    </row>
    <row r="1791" spans="1:13" s="4" customFormat="1" x14ac:dyDescent="0.25">
      <c r="A1791" s="33"/>
      <c r="B1791" s="33" t="s">
        <v>119</v>
      </c>
      <c r="D1791" s="13">
        <v>6101</v>
      </c>
      <c r="E1791" s="132" t="str">
        <f>INDEX([1]道具配置表!$D:$D,MATCH(D1791,[1]道具配置表!$A:$A,0))</f>
        <v>5分钟通用加速</v>
      </c>
      <c r="F1791" s="33">
        <v>4</v>
      </c>
      <c r="K1791" s="13">
        <v>1</v>
      </c>
      <c r="L1791" s="13"/>
      <c r="M1791" s="33" t="b">
        <v>1</v>
      </c>
    </row>
    <row r="1792" spans="1:13" s="4" customFormat="1" x14ac:dyDescent="0.25">
      <c r="A1792" s="33"/>
      <c r="B1792" s="33" t="s">
        <v>119</v>
      </c>
      <c r="D1792" s="13">
        <v>7228</v>
      </c>
      <c r="E1792" s="132" t="str">
        <f>INDEX([1]道具配置表!$D:$D,MATCH(D1792,[1]道具配置表!$A:$A,0))</f>
        <v>经验书*10000</v>
      </c>
      <c r="F1792" s="33">
        <v>20</v>
      </c>
      <c r="K1792" s="13">
        <v>1</v>
      </c>
      <c r="L1792" s="13"/>
      <c r="M1792" s="33" t="b">
        <v>1</v>
      </c>
    </row>
    <row r="1793" spans="1:13" s="4" customFormat="1" x14ac:dyDescent="0.25">
      <c r="A1793" s="33"/>
      <c r="B1793" s="33" t="s">
        <v>119</v>
      </c>
      <c r="D1793" s="13">
        <v>2006</v>
      </c>
      <c r="E1793" s="132" t="str">
        <f>INDEX([1]道具配置表!$D:$D,MATCH(D1793,[1]道具配置表!$A:$A,0))</f>
        <v>铜币奖池招募券</v>
      </c>
      <c r="F1793" s="33">
        <v>1</v>
      </c>
      <c r="K1793" s="13">
        <v>1</v>
      </c>
      <c r="L1793" s="13"/>
      <c r="M1793" s="33" t="b">
        <v>1</v>
      </c>
    </row>
    <row r="1794" spans="1:13" s="4" customFormat="1" x14ac:dyDescent="0.25">
      <c r="A1794" s="33">
        <v>6609117</v>
      </c>
      <c r="B1794" s="33" t="s">
        <v>520</v>
      </c>
      <c r="D1794" s="13">
        <v>502</v>
      </c>
      <c r="E1794" s="132" t="str">
        <f>INDEX([1]道具配置表!$D:$D,MATCH(D1794,[1]道具配置表!$A:$A,0))</f>
        <v>1万资源自选宝箱</v>
      </c>
      <c r="F1794" s="33">
        <v>21</v>
      </c>
      <c r="K1794" s="13">
        <v>1</v>
      </c>
      <c r="L1794" s="13"/>
      <c r="M1794" s="33" t="b">
        <v>1</v>
      </c>
    </row>
    <row r="1795" spans="1:13" s="4" customFormat="1" x14ac:dyDescent="0.25">
      <c r="A1795" s="33"/>
      <c r="B1795" s="33" t="s">
        <v>119</v>
      </c>
      <c r="D1795" s="13">
        <v>6101</v>
      </c>
      <c r="E1795" s="132" t="str">
        <f>INDEX([1]道具配置表!$D:$D,MATCH(D1795,[1]道具配置表!$A:$A,0))</f>
        <v>5分钟通用加速</v>
      </c>
      <c r="F1795" s="33">
        <v>4</v>
      </c>
      <c r="K1795" s="13">
        <v>1</v>
      </c>
      <c r="L1795" s="13"/>
      <c r="M1795" s="33" t="b">
        <v>1</v>
      </c>
    </row>
    <row r="1796" spans="1:13" s="4" customFormat="1" x14ac:dyDescent="0.25">
      <c r="A1796" s="33"/>
      <c r="B1796" s="33" t="s">
        <v>119</v>
      </c>
      <c r="D1796" s="13">
        <v>7228</v>
      </c>
      <c r="E1796" s="132" t="str">
        <f>INDEX([1]道具配置表!$D:$D,MATCH(D1796,[1]道具配置表!$A:$A,0))</f>
        <v>经验书*10000</v>
      </c>
      <c r="F1796" s="33">
        <v>21</v>
      </c>
      <c r="K1796" s="13">
        <v>1</v>
      </c>
      <c r="L1796" s="13"/>
      <c r="M1796" s="33" t="b">
        <v>1</v>
      </c>
    </row>
    <row r="1797" spans="1:13" s="4" customFormat="1" x14ac:dyDescent="0.25">
      <c r="A1797" s="33"/>
      <c r="B1797" s="33" t="s">
        <v>119</v>
      </c>
      <c r="D1797" s="13">
        <v>2007</v>
      </c>
      <c r="E1797" s="132" t="str">
        <f>INDEX([1]道具配置表!$D:$D,MATCH(D1797,[1]道具配置表!$A:$A,0))</f>
        <v>大奖池招募券</v>
      </c>
      <c r="F1797" s="33">
        <v>1</v>
      </c>
      <c r="K1797" s="13">
        <v>1</v>
      </c>
      <c r="L1797" s="13"/>
      <c r="M1797" s="33" t="b">
        <v>1</v>
      </c>
    </row>
    <row r="1798" spans="1:13" s="4" customFormat="1" x14ac:dyDescent="0.25">
      <c r="A1798" s="33">
        <v>6609118</v>
      </c>
      <c r="B1798" s="33" t="s">
        <v>521</v>
      </c>
      <c r="D1798" s="13">
        <v>502</v>
      </c>
      <c r="E1798" s="132" t="str">
        <f>INDEX([1]道具配置表!$D:$D,MATCH(D1798,[1]道具配置表!$A:$A,0))</f>
        <v>1万资源自选宝箱</v>
      </c>
      <c r="F1798" s="33">
        <v>22</v>
      </c>
      <c r="K1798" s="13">
        <v>1</v>
      </c>
      <c r="L1798" s="13"/>
      <c r="M1798" s="33" t="b">
        <v>1</v>
      </c>
    </row>
    <row r="1799" spans="1:13" s="4" customFormat="1" x14ac:dyDescent="0.25">
      <c r="A1799" s="33"/>
      <c r="B1799" s="33" t="s">
        <v>119</v>
      </c>
      <c r="D1799" s="13">
        <v>6101</v>
      </c>
      <c r="E1799" s="132" t="str">
        <f>INDEX([1]道具配置表!$D:$D,MATCH(D1799,[1]道具配置表!$A:$A,0))</f>
        <v>5分钟通用加速</v>
      </c>
      <c r="F1799" s="33">
        <v>5</v>
      </c>
      <c r="K1799" s="13">
        <v>1</v>
      </c>
      <c r="L1799" s="13"/>
      <c r="M1799" s="33" t="b">
        <v>1</v>
      </c>
    </row>
    <row r="1800" spans="1:13" s="4" customFormat="1" x14ac:dyDescent="0.25">
      <c r="A1800" s="33"/>
      <c r="B1800" s="33" t="s">
        <v>119</v>
      </c>
      <c r="D1800" s="13">
        <v>7228</v>
      </c>
      <c r="E1800" s="132" t="str">
        <f>INDEX([1]道具配置表!$D:$D,MATCH(D1800,[1]道具配置表!$A:$A,0))</f>
        <v>经验书*10000</v>
      </c>
      <c r="F1800" s="33">
        <v>22</v>
      </c>
      <c r="K1800" s="13">
        <v>1</v>
      </c>
      <c r="L1800" s="13"/>
      <c r="M1800" s="33" t="b">
        <v>1</v>
      </c>
    </row>
    <row r="1801" spans="1:13" s="4" customFormat="1" x14ac:dyDescent="0.25">
      <c r="A1801" s="33"/>
      <c r="B1801" s="33" t="s">
        <v>119</v>
      </c>
      <c r="D1801" s="13">
        <v>2006</v>
      </c>
      <c r="E1801" s="132" t="str">
        <f>INDEX([1]道具配置表!$D:$D,MATCH(D1801,[1]道具配置表!$A:$A,0))</f>
        <v>铜币奖池招募券</v>
      </c>
      <c r="F1801" s="33">
        <v>1</v>
      </c>
      <c r="K1801" s="13">
        <v>1</v>
      </c>
      <c r="L1801" s="13"/>
      <c r="M1801" s="33" t="b">
        <v>1</v>
      </c>
    </row>
    <row r="1802" spans="1:13" s="4" customFormat="1" x14ac:dyDescent="0.25">
      <c r="A1802" s="33">
        <v>6609119</v>
      </c>
      <c r="B1802" s="33" t="s">
        <v>522</v>
      </c>
      <c r="D1802" s="13">
        <v>502</v>
      </c>
      <c r="E1802" s="132" t="str">
        <f>INDEX([1]道具配置表!$D:$D,MATCH(D1802,[1]道具配置表!$A:$A,0))</f>
        <v>1万资源自选宝箱</v>
      </c>
      <c r="F1802" s="33">
        <v>46</v>
      </c>
      <c r="K1802" s="13">
        <v>1</v>
      </c>
      <c r="L1802" s="13"/>
      <c r="M1802" s="33" t="b">
        <v>1</v>
      </c>
    </row>
    <row r="1803" spans="1:13" s="4" customFormat="1" x14ac:dyDescent="0.25">
      <c r="A1803" s="33"/>
      <c r="B1803" s="33" t="s">
        <v>119</v>
      </c>
      <c r="D1803" s="13">
        <v>6101</v>
      </c>
      <c r="E1803" s="132" t="str">
        <f>INDEX([1]道具配置表!$D:$D,MATCH(D1803,[1]道具配置表!$A:$A,0))</f>
        <v>5分钟通用加速</v>
      </c>
      <c r="F1803" s="33">
        <v>5</v>
      </c>
      <c r="K1803" s="13">
        <v>1</v>
      </c>
      <c r="L1803" s="13"/>
      <c r="M1803" s="33" t="b">
        <v>1</v>
      </c>
    </row>
    <row r="1804" spans="1:13" s="4" customFormat="1" x14ac:dyDescent="0.25">
      <c r="A1804" s="33"/>
      <c r="B1804" s="33" t="s">
        <v>119</v>
      </c>
      <c r="D1804" s="13">
        <v>7228</v>
      </c>
      <c r="E1804" s="132" t="str">
        <f>INDEX([1]道具配置表!$D:$D,MATCH(D1804,[1]道具配置表!$A:$A,0))</f>
        <v>经验书*10000</v>
      </c>
      <c r="F1804" s="33">
        <v>23</v>
      </c>
      <c r="K1804" s="13">
        <v>1</v>
      </c>
      <c r="L1804" s="13"/>
      <c r="M1804" s="33" t="b">
        <v>1</v>
      </c>
    </row>
    <row r="1805" spans="1:13" s="4" customFormat="1" x14ac:dyDescent="0.25">
      <c r="A1805" s="33"/>
      <c r="B1805" s="33" t="s">
        <v>119</v>
      </c>
      <c r="D1805" s="13">
        <v>2007</v>
      </c>
      <c r="E1805" s="132" t="str">
        <f>INDEX([1]道具配置表!$D:$D,MATCH(D1805,[1]道具配置表!$A:$A,0))</f>
        <v>大奖池招募券</v>
      </c>
      <c r="F1805" s="33">
        <v>2</v>
      </c>
      <c r="K1805" s="13">
        <v>1</v>
      </c>
      <c r="L1805" s="13"/>
      <c r="M1805" s="33" t="b">
        <v>1</v>
      </c>
    </row>
    <row r="1806" spans="1:13" s="4" customFormat="1" x14ac:dyDescent="0.25">
      <c r="A1806" s="33">
        <v>6609120</v>
      </c>
      <c r="B1806" s="33" t="s">
        <v>523</v>
      </c>
      <c r="D1806" s="13">
        <v>502</v>
      </c>
      <c r="E1806" s="132" t="str">
        <f>INDEX([1]道具配置表!$D:$D,MATCH(D1806,[1]道具配置表!$A:$A,0))</f>
        <v>1万资源自选宝箱</v>
      </c>
      <c r="F1806" s="33">
        <v>24</v>
      </c>
      <c r="K1806" s="13">
        <v>1</v>
      </c>
      <c r="L1806" s="13"/>
      <c r="M1806" s="33" t="b">
        <v>1</v>
      </c>
    </row>
    <row r="1807" spans="1:13" s="4" customFormat="1" x14ac:dyDescent="0.25">
      <c r="A1807" s="33"/>
      <c r="B1807" s="33" t="s">
        <v>119</v>
      </c>
      <c r="D1807" s="13">
        <v>6101</v>
      </c>
      <c r="E1807" s="132" t="str">
        <f>INDEX([1]道具配置表!$D:$D,MATCH(D1807,[1]道具配置表!$A:$A,0))</f>
        <v>5分钟通用加速</v>
      </c>
      <c r="F1807" s="33">
        <v>5</v>
      </c>
      <c r="K1807" s="13">
        <v>1</v>
      </c>
      <c r="L1807" s="13"/>
      <c r="M1807" s="33" t="b">
        <v>1</v>
      </c>
    </row>
    <row r="1808" spans="1:13" s="4" customFormat="1" x14ac:dyDescent="0.25">
      <c r="A1808" s="33"/>
      <c r="B1808" s="33" t="s">
        <v>119</v>
      </c>
      <c r="D1808" s="13">
        <v>7228</v>
      </c>
      <c r="E1808" s="132" t="str">
        <f>INDEX([1]道具配置表!$D:$D,MATCH(D1808,[1]道具配置表!$A:$A,0))</f>
        <v>经验书*10000</v>
      </c>
      <c r="F1808" s="33">
        <v>24</v>
      </c>
      <c r="K1808" s="13">
        <v>1</v>
      </c>
      <c r="L1808" s="13"/>
      <c r="M1808" s="33" t="b">
        <v>1</v>
      </c>
    </row>
    <row r="1809" spans="1:13" s="4" customFormat="1" x14ac:dyDescent="0.25">
      <c r="A1809" s="33"/>
      <c r="B1809" s="33" t="s">
        <v>119</v>
      </c>
      <c r="D1809" s="13">
        <v>2006</v>
      </c>
      <c r="E1809" s="132" t="str">
        <f>INDEX([1]道具配置表!$D:$D,MATCH(D1809,[1]道具配置表!$A:$A,0))</f>
        <v>铜币奖池招募券</v>
      </c>
      <c r="F1809" s="33">
        <v>1</v>
      </c>
      <c r="K1809" s="13">
        <v>1</v>
      </c>
      <c r="L1809" s="13"/>
      <c r="M1809" s="33" t="b">
        <v>1</v>
      </c>
    </row>
    <row r="1810" spans="1:13" s="4" customFormat="1" x14ac:dyDescent="0.25">
      <c r="A1810" s="33">
        <v>6609121</v>
      </c>
      <c r="B1810" s="33" t="s">
        <v>524</v>
      </c>
      <c r="D1810" s="13">
        <v>502</v>
      </c>
      <c r="E1810" s="132" t="str">
        <f>INDEX([1]道具配置表!$D:$D,MATCH(D1810,[1]道具配置表!$A:$A,0))</f>
        <v>1万资源自选宝箱</v>
      </c>
      <c r="F1810" s="33">
        <v>25</v>
      </c>
      <c r="K1810" s="13">
        <v>1</v>
      </c>
      <c r="L1810" s="13"/>
      <c r="M1810" s="33" t="b">
        <v>1</v>
      </c>
    </row>
    <row r="1811" spans="1:13" s="4" customFormat="1" x14ac:dyDescent="0.25">
      <c r="A1811" s="33"/>
      <c r="B1811" s="33" t="s">
        <v>119</v>
      </c>
      <c r="D1811" s="13">
        <v>6101</v>
      </c>
      <c r="E1811" s="132" t="str">
        <f>INDEX([1]道具配置表!$D:$D,MATCH(D1811,[1]道具配置表!$A:$A,0))</f>
        <v>5分钟通用加速</v>
      </c>
      <c r="F1811" s="33">
        <v>5</v>
      </c>
      <c r="K1811" s="13">
        <v>1</v>
      </c>
      <c r="L1811" s="13"/>
      <c r="M1811" s="33" t="b">
        <v>1</v>
      </c>
    </row>
    <row r="1812" spans="1:13" s="4" customFormat="1" x14ac:dyDescent="0.25">
      <c r="A1812" s="33"/>
      <c r="B1812" s="33" t="s">
        <v>119</v>
      </c>
      <c r="D1812" s="13">
        <v>7228</v>
      </c>
      <c r="E1812" s="132" t="str">
        <f>INDEX([1]道具配置表!$D:$D,MATCH(D1812,[1]道具配置表!$A:$A,0))</f>
        <v>经验书*10000</v>
      </c>
      <c r="F1812" s="33">
        <v>25</v>
      </c>
      <c r="K1812" s="13">
        <v>1</v>
      </c>
      <c r="L1812" s="13"/>
      <c r="M1812" s="33" t="b">
        <v>1</v>
      </c>
    </row>
    <row r="1813" spans="1:13" s="4" customFormat="1" x14ac:dyDescent="0.25">
      <c r="A1813" s="33"/>
      <c r="B1813" s="33" t="s">
        <v>119</v>
      </c>
      <c r="D1813" s="13">
        <v>2007</v>
      </c>
      <c r="E1813" s="132" t="str">
        <f>INDEX([1]道具配置表!$D:$D,MATCH(D1813,[1]道具配置表!$A:$A,0))</f>
        <v>大奖池招募券</v>
      </c>
      <c r="F1813" s="33">
        <v>1</v>
      </c>
      <c r="K1813" s="13">
        <v>1</v>
      </c>
      <c r="L1813" s="13"/>
      <c r="M1813" s="33" t="b">
        <v>1</v>
      </c>
    </row>
    <row r="1814" spans="1:13" s="4" customFormat="1" x14ac:dyDescent="0.25">
      <c r="A1814" s="33">
        <v>6609122</v>
      </c>
      <c r="B1814" s="33" t="s">
        <v>525</v>
      </c>
      <c r="D1814" s="13">
        <v>502</v>
      </c>
      <c r="E1814" s="132" t="str">
        <f>INDEX([1]道具配置表!$D:$D,MATCH(D1814,[1]道具配置表!$A:$A,0))</f>
        <v>1万资源自选宝箱</v>
      </c>
      <c r="F1814" s="33">
        <v>26</v>
      </c>
      <c r="K1814" s="13">
        <v>1</v>
      </c>
      <c r="L1814" s="13"/>
      <c r="M1814" s="33" t="b">
        <v>1</v>
      </c>
    </row>
    <row r="1815" spans="1:13" s="4" customFormat="1" x14ac:dyDescent="0.25">
      <c r="A1815" s="33"/>
      <c r="B1815" s="33" t="s">
        <v>119</v>
      </c>
      <c r="D1815" s="13">
        <v>6101</v>
      </c>
      <c r="E1815" s="132" t="str">
        <f>INDEX([1]道具配置表!$D:$D,MATCH(D1815,[1]道具配置表!$A:$A,0))</f>
        <v>5分钟通用加速</v>
      </c>
      <c r="F1815" s="33">
        <v>6</v>
      </c>
      <c r="K1815" s="13">
        <v>1</v>
      </c>
      <c r="L1815" s="13"/>
      <c r="M1815" s="33" t="b">
        <v>1</v>
      </c>
    </row>
    <row r="1816" spans="1:13" s="4" customFormat="1" x14ac:dyDescent="0.25">
      <c r="A1816" s="33"/>
      <c r="B1816" s="33" t="s">
        <v>119</v>
      </c>
      <c r="D1816" s="13">
        <v>7228</v>
      </c>
      <c r="E1816" s="132" t="str">
        <f>INDEX([1]道具配置表!$D:$D,MATCH(D1816,[1]道具配置表!$A:$A,0))</f>
        <v>经验书*10000</v>
      </c>
      <c r="F1816" s="33">
        <v>26</v>
      </c>
      <c r="K1816" s="13">
        <v>1</v>
      </c>
      <c r="L1816" s="13"/>
      <c r="M1816" s="33" t="b">
        <v>1</v>
      </c>
    </row>
    <row r="1817" spans="1:13" s="4" customFormat="1" x14ac:dyDescent="0.25">
      <c r="A1817" s="33"/>
      <c r="B1817" s="33" t="s">
        <v>119</v>
      </c>
      <c r="D1817" s="13">
        <v>2006</v>
      </c>
      <c r="E1817" s="132" t="str">
        <f>INDEX([1]道具配置表!$D:$D,MATCH(D1817,[1]道具配置表!$A:$A,0))</f>
        <v>铜币奖池招募券</v>
      </c>
      <c r="F1817" s="33">
        <v>1</v>
      </c>
      <c r="K1817" s="13">
        <v>1</v>
      </c>
      <c r="L1817" s="13"/>
      <c r="M1817" s="33" t="b">
        <v>1</v>
      </c>
    </row>
    <row r="1818" spans="1:13" s="4" customFormat="1" x14ac:dyDescent="0.25">
      <c r="A1818" s="33">
        <v>6609123</v>
      </c>
      <c r="B1818" s="33" t="s">
        <v>526</v>
      </c>
      <c r="D1818" s="13">
        <v>502</v>
      </c>
      <c r="E1818" s="132" t="str">
        <f>INDEX([1]道具配置表!$D:$D,MATCH(D1818,[1]道具配置表!$A:$A,0))</f>
        <v>1万资源自选宝箱</v>
      </c>
      <c r="F1818" s="33">
        <v>54</v>
      </c>
      <c r="K1818" s="13">
        <v>1</v>
      </c>
      <c r="L1818" s="13"/>
      <c r="M1818" s="33" t="b">
        <v>1</v>
      </c>
    </row>
    <row r="1819" spans="1:13" s="4" customFormat="1" x14ac:dyDescent="0.25">
      <c r="A1819" s="33"/>
      <c r="B1819" s="33" t="s">
        <v>119</v>
      </c>
      <c r="D1819" s="13">
        <v>6101</v>
      </c>
      <c r="E1819" s="132" t="str">
        <f>INDEX([1]道具配置表!$D:$D,MATCH(D1819,[1]道具配置表!$A:$A,0))</f>
        <v>5分钟通用加速</v>
      </c>
      <c r="F1819" s="33">
        <v>6</v>
      </c>
      <c r="K1819" s="13">
        <v>1</v>
      </c>
      <c r="L1819" s="13"/>
      <c r="M1819" s="33" t="b">
        <v>1</v>
      </c>
    </row>
    <row r="1820" spans="1:13" s="4" customFormat="1" x14ac:dyDescent="0.25">
      <c r="A1820" s="33"/>
      <c r="B1820" s="33" t="s">
        <v>119</v>
      </c>
      <c r="D1820" s="13">
        <v>7228</v>
      </c>
      <c r="E1820" s="132" t="str">
        <f>INDEX([1]道具配置表!$D:$D,MATCH(D1820,[1]道具配置表!$A:$A,0))</f>
        <v>经验书*10000</v>
      </c>
      <c r="F1820" s="33">
        <v>27</v>
      </c>
      <c r="K1820" s="13">
        <v>1</v>
      </c>
      <c r="L1820" s="13"/>
      <c r="M1820" s="33" t="b">
        <v>1</v>
      </c>
    </row>
    <row r="1821" spans="1:13" s="4" customFormat="1" x14ac:dyDescent="0.25">
      <c r="A1821" s="33"/>
      <c r="B1821" s="33" t="s">
        <v>119</v>
      </c>
      <c r="D1821" s="13">
        <v>2007</v>
      </c>
      <c r="E1821" s="132" t="str">
        <f>INDEX([1]道具配置表!$D:$D,MATCH(D1821,[1]道具配置表!$A:$A,0))</f>
        <v>大奖池招募券</v>
      </c>
      <c r="F1821" s="33">
        <v>2</v>
      </c>
      <c r="K1821" s="13">
        <v>1</v>
      </c>
      <c r="L1821" s="13"/>
      <c r="M1821" s="33" t="b">
        <v>1</v>
      </c>
    </row>
    <row r="1822" spans="1:13" s="4" customFormat="1" x14ac:dyDescent="0.25">
      <c r="A1822" s="33">
        <v>6609124</v>
      </c>
      <c r="B1822" s="33" t="s">
        <v>527</v>
      </c>
      <c r="D1822" s="13">
        <v>502</v>
      </c>
      <c r="E1822" s="132" t="str">
        <f>INDEX([1]道具配置表!$D:$D,MATCH(D1822,[1]道具配置表!$A:$A,0))</f>
        <v>1万资源自选宝箱</v>
      </c>
      <c r="F1822" s="33">
        <v>28</v>
      </c>
      <c r="K1822" s="13">
        <v>1</v>
      </c>
      <c r="L1822" s="13"/>
      <c r="M1822" s="33" t="b">
        <v>1</v>
      </c>
    </row>
    <row r="1823" spans="1:13" s="4" customFormat="1" x14ac:dyDescent="0.25">
      <c r="A1823" s="33"/>
      <c r="B1823" s="33" t="s">
        <v>119</v>
      </c>
      <c r="D1823" s="13">
        <v>6101</v>
      </c>
      <c r="E1823" s="132" t="str">
        <f>INDEX([1]道具配置表!$D:$D,MATCH(D1823,[1]道具配置表!$A:$A,0))</f>
        <v>5分钟通用加速</v>
      </c>
      <c r="F1823" s="33">
        <v>6</v>
      </c>
      <c r="K1823" s="13">
        <v>1</v>
      </c>
      <c r="L1823" s="13"/>
      <c r="M1823" s="33" t="b">
        <v>1</v>
      </c>
    </row>
    <row r="1824" spans="1:13" s="4" customFormat="1" x14ac:dyDescent="0.25">
      <c r="A1824" s="33"/>
      <c r="B1824" s="33" t="s">
        <v>119</v>
      </c>
      <c r="D1824" s="13">
        <v>7228</v>
      </c>
      <c r="E1824" s="132" t="str">
        <f>INDEX([1]道具配置表!$D:$D,MATCH(D1824,[1]道具配置表!$A:$A,0))</f>
        <v>经验书*10000</v>
      </c>
      <c r="F1824" s="33">
        <v>28</v>
      </c>
      <c r="K1824" s="13">
        <v>1</v>
      </c>
      <c r="L1824" s="13"/>
      <c r="M1824" s="33" t="b">
        <v>1</v>
      </c>
    </row>
    <row r="1825" spans="1:13" s="4" customFormat="1" x14ac:dyDescent="0.25">
      <c r="A1825" s="33"/>
      <c r="B1825" s="33" t="s">
        <v>119</v>
      </c>
      <c r="D1825" s="13">
        <v>2006</v>
      </c>
      <c r="E1825" s="132" t="str">
        <f>INDEX([1]道具配置表!$D:$D,MATCH(D1825,[1]道具配置表!$A:$A,0))</f>
        <v>铜币奖池招募券</v>
      </c>
      <c r="F1825" s="33">
        <v>1</v>
      </c>
      <c r="K1825" s="13">
        <v>1</v>
      </c>
      <c r="L1825" s="13"/>
      <c r="M1825" s="33" t="b">
        <v>1</v>
      </c>
    </row>
    <row r="1826" spans="1:13" s="4" customFormat="1" x14ac:dyDescent="0.25">
      <c r="A1826" s="33">
        <v>6609125</v>
      </c>
      <c r="B1826" s="33" t="s">
        <v>528</v>
      </c>
      <c r="D1826" s="13">
        <v>502</v>
      </c>
      <c r="E1826" s="132" t="str">
        <f>INDEX([1]道具配置表!$D:$D,MATCH(D1826,[1]道具配置表!$A:$A,0))</f>
        <v>1万资源自选宝箱</v>
      </c>
      <c r="F1826" s="33">
        <v>29</v>
      </c>
      <c r="K1826" s="13">
        <v>1</v>
      </c>
      <c r="L1826" s="13"/>
      <c r="M1826" s="33" t="b">
        <v>1</v>
      </c>
    </row>
    <row r="1827" spans="1:13" s="4" customFormat="1" x14ac:dyDescent="0.25">
      <c r="A1827" s="33"/>
      <c r="B1827" s="33" t="s">
        <v>119</v>
      </c>
      <c r="D1827" s="13">
        <v>6101</v>
      </c>
      <c r="E1827" s="132" t="str">
        <f>INDEX([1]道具配置表!$D:$D,MATCH(D1827,[1]道具配置表!$A:$A,0))</f>
        <v>5分钟通用加速</v>
      </c>
      <c r="F1827" s="33">
        <v>6</v>
      </c>
      <c r="K1827" s="13">
        <v>1</v>
      </c>
      <c r="L1827" s="13"/>
      <c r="M1827" s="33" t="b">
        <v>1</v>
      </c>
    </row>
    <row r="1828" spans="1:13" s="4" customFormat="1" x14ac:dyDescent="0.25">
      <c r="A1828" s="33"/>
      <c r="B1828" s="33" t="s">
        <v>119</v>
      </c>
      <c r="D1828" s="13">
        <v>7228</v>
      </c>
      <c r="E1828" s="132" t="str">
        <f>INDEX([1]道具配置表!$D:$D,MATCH(D1828,[1]道具配置表!$A:$A,0))</f>
        <v>经验书*10000</v>
      </c>
      <c r="F1828" s="33">
        <v>29</v>
      </c>
      <c r="K1828" s="13">
        <v>1</v>
      </c>
      <c r="L1828" s="13"/>
      <c r="M1828" s="33" t="b">
        <v>1</v>
      </c>
    </row>
    <row r="1829" spans="1:13" s="4" customFormat="1" x14ac:dyDescent="0.25">
      <c r="A1829" s="33"/>
      <c r="B1829" s="33" t="s">
        <v>119</v>
      </c>
      <c r="D1829" s="13">
        <v>2007</v>
      </c>
      <c r="E1829" s="132" t="str">
        <f>INDEX([1]道具配置表!$D:$D,MATCH(D1829,[1]道具配置表!$A:$A,0))</f>
        <v>大奖池招募券</v>
      </c>
      <c r="F1829" s="33">
        <v>1</v>
      </c>
      <c r="K1829" s="13">
        <v>1</v>
      </c>
      <c r="L1829" s="13"/>
      <c r="M1829" s="33" t="b">
        <v>1</v>
      </c>
    </row>
    <row r="1830" spans="1:13" s="4" customFormat="1" x14ac:dyDescent="0.25">
      <c r="A1830" s="33">
        <v>6609126</v>
      </c>
      <c r="B1830" s="33" t="s">
        <v>529</v>
      </c>
      <c r="D1830" s="13">
        <v>502</v>
      </c>
      <c r="E1830" s="132" t="str">
        <f>INDEX([1]道具配置表!$D:$D,MATCH(D1830,[1]道具配置表!$A:$A,0))</f>
        <v>1万资源自选宝箱</v>
      </c>
      <c r="F1830" s="33">
        <v>30</v>
      </c>
      <c r="K1830" s="13">
        <v>1</v>
      </c>
      <c r="L1830" s="13"/>
      <c r="M1830" s="33" t="b">
        <v>1</v>
      </c>
    </row>
    <row r="1831" spans="1:13" s="4" customFormat="1" x14ac:dyDescent="0.25">
      <c r="A1831" s="33"/>
      <c r="B1831" s="33" t="s">
        <v>119</v>
      </c>
      <c r="D1831" s="13">
        <v>6101</v>
      </c>
      <c r="E1831" s="132" t="str">
        <f>INDEX([1]道具配置表!$D:$D,MATCH(D1831,[1]道具配置表!$A:$A,0))</f>
        <v>5分钟通用加速</v>
      </c>
      <c r="F1831" s="33">
        <v>7</v>
      </c>
      <c r="K1831" s="13">
        <v>1</v>
      </c>
      <c r="L1831" s="13"/>
      <c r="M1831" s="33" t="b">
        <v>1</v>
      </c>
    </row>
    <row r="1832" spans="1:13" s="4" customFormat="1" x14ac:dyDescent="0.25">
      <c r="A1832" s="33"/>
      <c r="B1832" s="33" t="s">
        <v>119</v>
      </c>
      <c r="D1832" s="13">
        <v>7228</v>
      </c>
      <c r="E1832" s="132" t="str">
        <f>INDEX([1]道具配置表!$D:$D,MATCH(D1832,[1]道具配置表!$A:$A,0))</f>
        <v>经验书*10000</v>
      </c>
      <c r="F1832" s="33">
        <v>30</v>
      </c>
      <c r="K1832" s="13">
        <v>1</v>
      </c>
      <c r="L1832" s="13"/>
      <c r="M1832" s="33" t="b">
        <v>1</v>
      </c>
    </row>
    <row r="1833" spans="1:13" s="4" customFormat="1" x14ac:dyDescent="0.25">
      <c r="A1833" s="33"/>
      <c r="B1833" s="33" t="s">
        <v>119</v>
      </c>
      <c r="D1833" s="13">
        <v>2006</v>
      </c>
      <c r="E1833" s="132" t="str">
        <f>INDEX([1]道具配置表!$D:$D,MATCH(D1833,[1]道具配置表!$A:$A,0))</f>
        <v>铜币奖池招募券</v>
      </c>
      <c r="F1833" s="33">
        <v>1</v>
      </c>
      <c r="K1833" s="13">
        <v>1</v>
      </c>
      <c r="L1833" s="13"/>
      <c r="M1833" s="33" t="b">
        <v>1</v>
      </c>
    </row>
    <row r="1834" spans="1:13" s="4" customFormat="1" x14ac:dyDescent="0.25">
      <c r="A1834" s="33">
        <v>6609127</v>
      </c>
      <c r="B1834" s="33" t="s">
        <v>530</v>
      </c>
      <c r="D1834" s="13">
        <v>502</v>
      </c>
      <c r="E1834" s="132" t="str">
        <f>INDEX([1]道具配置表!$D:$D,MATCH(D1834,[1]道具配置表!$A:$A,0))</f>
        <v>1万资源自选宝箱</v>
      </c>
      <c r="F1834" s="33">
        <v>62</v>
      </c>
      <c r="K1834" s="13">
        <v>1</v>
      </c>
      <c r="L1834" s="13"/>
      <c r="M1834" s="33" t="b">
        <v>1</v>
      </c>
    </row>
    <row r="1835" spans="1:13" s="4" customFormat="1" x14ac:dyDescent="0.25">
      <c r="A1835" s="33"/>
      <c r="B1835" s="33" t="s">
        <v>119</v>
      </c>
      <c r="D1835" s="13">
        <v>6101</v>
      </c>
      <c r="E1835" s="132" t="str">
        <f>INDEX([1]道具配置表!$D:$D,MATCH(D1835,[1]道具配置表!$A:$A,0))</f>
        <v>5分钟通用加速</v>
      </c>
      <c r="F1835" s="33">
        <v>7</v>
      </c>
      <c r="K1835" s="13">
        <v>1</v>
      </c>
      <c r="L1835" s="13"/>
      <c r="M1835" s="33" t="b">
        <v>1</v>
      </c>
    </row>
    <row r="1836" spans="1:13" s="4" customFormat="1" x14ac:dyDescent="0.25">
      <c r="A1836" s="33"/>
      <c r="B1836" s="33" t="s">
        <v>119</v>
      </c>
      <c r="D1836" s="13">
        <v>7228</v>
      </c>
      <c r="E1836" s="132" t="str">
        <f>INDEX([1]道具配置表!$D:$D,MATCH(D1836,[1]道具配置表!$A:$A,0))</f>
        <v>经验书*10000</v>
      </c>
      <c r="F1836" s="33">
        <v>31</v>
      </c>
      <c r="K1836" s="13">
        <v>1</v>
      </c>
      <c r="L1836" s="13"/>
      <c r="M1836" s="33" t="b">
        <v>1</v>
      </c>
    </row>
    <row r="1837" spans="1:13" s="4" customFormat="1" x14ac:dyDescent="0.25">
      <c r="A1837" s="33"/>
      <c r="B1837" s="33" t="s">
        <v>119</v>
      </c>
      <c r="D1837" s="13">
        <v>2007</v>
      </c>
      <c r="E1837" s="132" t="str">
        <f>INDEX([1]道具配置表!$D:$D,MATCH(D1837,[1]道具配置表!$A:$A,0))</f>
        <v>大奖池招募券</v>
      </c>
      <c r="F1837" s="33">
        <v>2</v>
      </c>
      <c r="K1837" s="13">
        <v>1</v>
      </c>
      <c r="L1837" s="13"/>
      <c r="M1837" s="33" t="b">
        <v>1</v>
      </c>
    </row>
    <row r="1838" spans="1:13" s="4" customFormat="1" x14ac:dyDescent="0.25">
      <c r="A1838" s="33">
        <v>6609128</v>
      </c>
      <c r="B1838" s="33" t="s">
        <v>531</v>
      </c>
      <c r="D1838" s="13">
        <v>502</v>
      </c>
      <c r="E1838" s="132" t="str">
        <f>INDEX([1]道具配置表!$D:$D,MATCH(D1838,[1]道具配置表!$A:$A,0))</f>
        <v>1万资源自选宝箱</v>
      </c>
      <c r="F1838" s="33">
        <v>32</v>
      </c>
      <c r="K1838" s="13">
        <v>1</v>
      </c>
      <c r="L1838" s="13"/>
      <c r="M1838" s="33" t="b">
        <v>1</v>
      </c>
    </row>
    <row r="1839" spans="1:13" s="4" customFormat="1" x14ac:dyDescent="0.25">
      <c r="A1839" s="33"/>
      <c r="B1839" s="33" t="s">
        <v>119</v>
      </c>
      <c r="D1839" s="13">
        <v>6101</v>
      </c>
      <c r="E1839" s="132" t="str">
        <f>INDEX([1]道具配置表!$D:$D,MATCH(D1839,[1]道具配置表!$A:$A,0))</f>
        <v>5分钟通用加速</v>
      </c>
      <c r="F1839" s="33">
        <v>7</v>
      </c>
      <c r="K1839" s="13">
        <v>1</v>
      </c>
      <c r="L1839" s="13"/>
      <c r="M1839" s="33" t="b">
        <v>1</v>
      </c>
    </row>
    <row r="1840" spans="1:13" s="4" customFormat="1" x14ac:dyDescent="0.25">
      <c r="A1840" s="33"/>
      <c r="B1840" s="33" t="s">
        <v>119</v>
      </c>
      <c r="D1840" s="13">
        <v>7228</v>
      </c>
      <c r="E1840" s="132" t="str">
        <f>INDEX([1]道具配置表!$D:$D,MATCH(D1840,[1]道具配置表!$A:$A,0))</f>
        <v>经验书*10000</v>
      </c>
      <c r="F1840" s="33">
        <v>32</v>
      </c>
      <c r="K1840" s="13">
        <v>1</v>
      </c>
      <c r="L1840" s="13"/>
      <c r="M1840" s="33" t="b">
        <v>1</v>
      </c>
    </row>
    <row r="1841" spans="1:13" s="4" customFormat="1" x14ac:dyDescent="0.25">
      <c r="A1841" s="33"/>
      <c r="B1841" s="33" t="s">
        <v>119</v>
      </c>
      <c r="D1841" s="13">
        <v>2006</v>
      </c>
      <c r="E1841" s="132" t="str">
        <f>INDEX([1]道具配置表!$D:$D,MATCH(D1841,[1]道具配置表!$A:$A,0))</f>
        <v>铜币奖池招募券</v>
      </c>
      <c r="F1841" s="33">
        <v>1</v>
      </c>
      <c r="K1841" s="13">
        <v>1</v>
      </c>
      <c r="L1841" s="13"/>
      <c r="M1841" s="33" t="b">
        <v>1</v>
      </c>
    </row>
    <row r="1842" spans="1:13" s="4" customFormat="1" x14ac:dyDescent="0.25">
      <c r="A1842" s="33">
        <v>6609129</v>
      </c>
      <c r="B1842" s="33" t="s">
        <v>532</v>
      </c>
      <c r="D1842" s="13">
        <v>502</v>
      </c>
      <c r="E1842" s="132" t="str">
        <f>INDEX([1]道具配置表!$D:$D,MATCH(D1842,[1]道具配置表!$A:$A,0))</f>
        <v>1万资源自选宝箱</v>
      </c>
      <c r="F1842" s="33">
        <v>33</v>
      </c>
      <c r="K1842" s="13">
        <v>1</v>
      </c>
      <c r="L1842" s="13"/>
      <c r="M1842" s="33" t="b">
        <v>1</v>
      </c>
    </row>
    <row r="1843" spans="1:13" s="4" customFormat="1" x14ac:dyDescent="0.25">
      <c r="A1843" s="33"/>
      <c r="B1843" s="33" t="s">
        <v>119</v>
      </c>
      <c r="D1843" s="13">
        <v>6101</v>
      </c>
      <c r="E1843" s="132" t="str">
        <f>INDEX([1]道具配置表!$D:$D,MATCH(D1843,[1]道具配置表!$A:$A,0))</f>
        <v>5分钟通用加速</v>
      </c>
      <c r="F1843" s="33">
        <v>7</v>
      </c>
      <c r="K1843" s="13">
        <v>1</v>
      </c>
      <c r="L1843" s="13"/>
      <c r="M1843" s="33" t="b">
        <v>1</v>
      </c>
    </row>
    <row r="1844" spans="1:13" s="4" customFormat="1" x14ac:dyDescent="0.25">
      <c r="A1844" s="33"/>
      <c r="B1844" s="33" t="s">
        <v>119</v>
      </c>
      <c r="D1844" s="13">
        <v>7228</v>
      </c>
      <c r="E1844" s="132" t="str">
        <f>INDEX([1]道具配置表!$D:$D,MATCH(D1844,[1]道具配置表!$A:$A,0))</f>
        <v>经验书*10000</v>
      </c>
      <c r="F1844" s="33">
        <v>33</v>
      </c>
      <c r="K1844" s="13">
        <v>1</v>
      </c>
      <c r="L1844" s="13"/>
      <c r="M1844" s="33" t="b">
        <v>1</v>
      </c>
    </row>
    <row r="1845" spans="1:13" s="4" customFormat="1" x14ac:dyDescent="0.25">
      <c r="A1845" s="33"/>
      <c r="B1845" s="33" t="s">
        <v>119</v>
      </c>
      <c r="D1845" s="13">
        <v>2007</v>
      </c>
      <c r="E1845" s="132" t="str">
        <f>INDEX([1]道具配置表!$D:$D,MATCH(D1845,[1]道具配置表!$A:$A,0))</f>
        <v>大奖池招募券</v>
      </c>
      <c r="F1845" s="33">
        <v>1</v>
      </c>
      <c r="K1845" s="13">
        <v>1</v>
      </c>
      <c r="L1845" s="13"/>
      <c r="M1845" s="33" t="b">
        <v>1</v>
      </c>
    </row>
    <row r="1846" spans="1:13" s="4" customFormat="1" x14ac:dyDescent="0.25">
      <c r="A1846" s="33">
        <v>6609130</v>
      </c>
      <c r="B1846" s="33" t="s">
        <v>533</v>
      </c>
      <c r="D1846" s="13">
        <v>502</v>
      </c>
      <c r="E1846" s="132" t="str">
        <f>INDEX([1]道具配置表!$D:$D,MATCH(D1846,[1]道具配置表!$A:$A,0))</f>
        <v>1万资源自选宝箱</v>
      </c>
      <c r="F1846" s="33">
        <v>34</v>
      </c>
      <c r="K1846" s="13">
        <v>1</v>
      </c>
      <c r="L1846" s="13"/>
      <c r="M1846" s="33" t="b">
        <v>1</v>
      </c>
    </row>
    <row r="1847" spans="1:13" s="4" customFormat="1" x14ac:dyDescent="0.25">
      <c r="A1847" s="33"/>
      <c r="B1847" s="33" t="s">
        <v>119</v>
      </c>
      <c r="D1847" s="13">
        <v>6101</v>
      </c>
      <c r="E1847" s="132" t="str">
        <f>INDEX([1]道具配置表!$D:$D,MATCH(D1847,[1]道具配置表!$A:$A,0))</f>
        <v>5分钟通用加速</v>
      </c>
      <c r="F1847" s="33">
        <v>8</v>
      </c>
      <c r="K1847" s="13">
        <v>1</v>
      </c>
      <c r="L1847" s="13"/>
      <c r="M1847" s="33" t="b">
        <v>1</v>
      </c>
    </row>
    <row r="1848" spans="1:13" s="4" customFormat="1" x14ac:dyDescent="0.25">
      <c r="A1848" s="33"/>
      <c r="B1848" s="33" t="s">
        <v>119</v>
      </c>
      <c r="D1848" s="13">
        <v>7228</v>
      </c>
      <c r="E1848" s="132" t="str">
        <f>INDEX([1]道具配置表!$D:$D,MATCH(D1848,[1]道具配置表!$A:$A,0))</f>
        <v>经验书*10000</v>
      </c>
      <c r="F1848" s="33">
        <v>34</v>
      </c>
      <c r="K1848" s="13">
        <v>1</v>
      </c>
      <c r="L1848" s="13"/>
      <c r="M1848" s="33" t="b">
        <v>1</v>
      </c>
    </row>
    <row r="1849" spans="1:13" s="4" customFormat="1" x14ac:dyDescent="0.25">
      <c r="A1849" s="33"/>
      <c r="B1849" s="33" t="s">
        <v>119</v>
      </c>
      <c r="D1849" s="13">
        <v>2006</v>
      </c>
      <c r="E1849" s="132" t="str">
        <f>INDEX([1]道具配置表!$D:$D,MATCH(D1849,[1]道具配置表!$A:$A,0))</f>
        <v>铜币奖池招募券</v>
      </c>
      <c r="F1849" s="33">
        <v>1</v>
      </c>
      <c r="K1849" s="13">
        <v>1</v>
      </c>
      <c r="L1849" s="13"/>
      <c r="M1849" s="33" t="b">
        <v>1</v>
      </c>
    </row>
    <row r="1850" spans="1:13" s="4" customFormat="1" x14ac:dyDescent="0.25">
      <c r="A1850" s="33">
        <v>6609131</v>
      </c>
      <c r="B1850" s="33" t="s">
        <v>534</v>
      </c>
      <c r="D1850" s="13">
        <v>502</v>
      </c>
      <c r="E1850" s="132" t="str">
        <f>INDEX([1]道具配置表!$D:$D,MATCH(D1850,[1]道具配置表!$A:$A,0))</f>
        <v>1万资源自选宝箱</v>
      </c>
      <c r="F1850" s="33">
        <v>70</v>
      </c>
      <c r="K1850" s="13">
        <v>1</v>
      </c>
      <c r="L1850" s="13"/>
      <c r="M1850" s="33" t="b">
        <v>1</v>
      </c>
    </row>
    <row r="1851" spans="1:13" s="4" customFormat="1" x14ac:dyDescent="0.25">
      <c r="A1851" s="33"/>
      <c r="B1851" s="33" t="s">
        <v>119</v>
      </c>
      <c r="D1851" s="13">
        <v>6101</v>
      </c>
      <c r="E1851" s="132" t="str">
        <f>INDEX([1]道具配置表!$D:$D,MATCH(D1851,[1]道具配置表!$A:$A,0))</f>
        <v>5分钟通用加速</v>
      </c>
      <c r="F1851" s="33">
        <v>8</v>
      </c>
      <c r="K1851" s="13">
        <v>1</v>
      </c>
      <c r="L1851" s="13"/>
      <c r="M1851" s="33" t="b">
        <v>1</v>
      </c>
    </row>
    <row r="1852" spans="1:13" s="4" customFormat="1" x14ac:dyDescent="0.25">
      <c r="A1852" s="33"/>
      <c r="B1852" s="33" t="s">
        <v>119</v>
      </c>
      <c r="D1852" s="13">
        <v>7228</v>
      </c>
      <c r="E1852" s="132" t="str">
        <f>INDEX([1]道具配置表!$D:$D,MATCH(D1852,[1]道具配置表!$A:$A,0))</f>
        <v>经验书*10000</v>
      </c>
      <c r="F1852" s="33">
        <v>35</v>
      </c>
      <c r="K1852" s="13">
        <v>1</v>
      </c>
      <c r="L1852" s="13"/>
      <c r="M1852" s="33" t="b">
        <v>1</v>
      </c>
    </row>
    <row r="1853" spans="1:13" s="4" customFormat="1" x14ac:dyDescent="0.25">
      <c r="A1853" s="33"/>
      <c r="B1853" s="33" t="s">
        <v>119</v>
      </c>
      <c r="D1853" s="13">
        <v>2007</v>
      </c>
      <c r="E1853" s="132" t="str">
        <f>INDEX([1]道具配置表!$D:$D,MATCH(D1853,[1]道具配置表!$A:$A,0))</f>
        <v>大奖池招募券</v>
      </c>
      <c r="F1853" s="33">
        <v>2</v>
      </c>
      <c r="K1853" s="13">
        <v>1</v>
      </c>
      <c r="L1853" s="13"/>
      <c r="M1853" s="33" t="b">
        <v>1</v>
      </c>
    </row>
    <row r="1854" spans="1:13" s="4" customFormat="1" x14ac:dyDescent="0.25">
      <c r="A1854" s="33">
        <v>6609132</v>
      </c>
      <c r="B1854" s="33" t="s">
        <v>535</v>
      </c>
      <c r="D1854" s="13">
        <v>502</v>
      </c>
      <c r="E1854" s="132" t="str">
        <f>INDEX([1]道具配置表!$D:$D,MATCH(D1854,[1]道具配置表!$A:$A,0))</f>
        <v>1万资源自选宝箱</v>
      </c>
      <c r="F1854" s="33">
        <v>36</v>
      </c>
      <c r="K1854" s="13">
        <v>1</v>
      </c>
      <c r="L1854" s="13"/>
      <c r="M1854" s="33" t="b">
        <v>1</v>
      </c>
    </row>
    <row r="1855" spans="1:13" s="4" customFormat="1" x14ac:dyDescent="0.25">
      <c r="A1855" s="33"/>
      <c r="B1855" s="33" t="s">
        <v>119</v>
      </c>
      <c r="D1855" s="13">
        <v>6101</v>
      </c>
      <c r="E1855" s="132" t="str">
        <f>INDEX([1]道具配置表!$D:$D,MATCH(D1855,[1]道具配置表!$A:$A,0))</f>
        <v>5分钟通用加速</v>
      </c>
      <c r="F1855" s="33">
        <v>8</v>
      </c>
      <c r="K1855" s="13">
        <v>1</v>
      </c>
      <c r="L1855" s="13"/>
      <c r="M1855" s="33" t="b">
        <v>1</v>
      </c>
    </row>
    <row r="1856" spans="1:13" s="4" customFormat="1" x14ac:dyDescent="0.25">
      <c r="A1856" s="33"/>
      <c r="B1856" s="33" t="s">
        <v>119</v>
      </c>
      <c r="D1856" s="13">
        <v>7228</v>
      </c>
      <c r="E1856" s="132" t="str">
        <f>INDEX([1]道具配置表!$D:$D,MATCH(D1856,[1]道具配置表!$A:$A,0))</f>
        <v>经验书*10000</v>
      </c>
      <c r="F1856" s="33">
        <v>36</v>
      </c>
      <c r="K1856" s="13">
        <v>1</v>
      </c>
      <c r="L1856" s="13"/>
      <c r="M1856" s="33" t="b">
        <v>1</v>
      </c>
    </row>
    <row r="1857" spans="1:13" s="4" customFormat="1" x14ac:dyDescent="0.25">
      <c r="A1857" s="33"/>
      <c r="B1857" s="33" t="s">
        <v>119</v>
      </c>
      <c r="D1857" s="13">
        <v>2006</v>
      </c>
      <c r="E1857" s="132" t="str">
        <f>INDEX([1]道具配置表!$D:$D,MATCH(D1857,[1]道具配置表!$A:$A,0))</f>
        <v>铜币奖池招募券</v>
      </c>
      <c r="F1857" s="33">
        <v>1</v>
      </c>
      <c r="K1857" s="13">
        <v>1</v>
      </c>
      <c r="L1857" s="13"/>
      <c r="M1857" s="33" t="b">
        <v>1</v>
      </c>
    </row>
    <row r="1858" spans="1:13" s="4" customFormat="1" x14ac:dyDescent="0.25">
      <c r="A1858" s="33">
        <v>6609133</v>
      </c>
      <c r="B1858" s="33" t="s">
        <v>536</v>
      </c>
      <c r="D1858" s="13">
        <v>502</v>
      </c>
      <c r="E1858" s="132" t="str">
        <f>INDEX([1]道具配置表!$D:$D,MATCH(D1858,[1]道具配置表!$A:$A,0))</f>
        <v>1万资源自选宝箱</v>
      </c>
      <c r="F1858" s="33">
        <v>37</v>
      </c>
      <c r="K1858" s="13">
        <v>1</v>
      </c>
      <c r="L1858" s="13"/>
      <c r="M1858" s="33" t="b">
        <v>1</v>
      </c>
    </row>
    <row r="1859" spans="1:13" s="4" customFormat="1" x14ac:dyDescent="0.25">
      <c r="A1859" s="33"/>
      <c r="B1859" s="33" t="s">
        <v>119</v>
      </c>
      <c r="D1859" s="13">
        <v>6101</v>
      </c>
      <c r="E1859" s="132" t="str">
        <f>INDEX([1]道具配置表!$D:$D,MATCH(D1859,[1]道具配置表!$A:$A,0))</f>
        <v>5分钟通用加速</v>
      </c>
      <c r="F1859" s="33">
        <v>8</v>
      </c>
      <c r="K1859" s="13">
        <v>1</v>
      </c>
      <c r="L1859" s="13"/>
      <c r="M1859" s="33" t="b">
        <v>1</v>
      </c>
    </row>
    <row r="1860" spans="1:13" s="4" customFormat="1" x14ac:dyDescent="0.25">
      <c r="A1860" s="33"/>
      <c r="B1860" s="33" t="s">
        <v>119</v>
      </c>
      <c r="D1860" s="13">
        <v>7228</v>
      </c>
      <c r="E1860" s="132" t="str">
        <f>INDEX([1]道具配置表!$D:$D,MATCH(D1860,[1]道具配置表!$A:$A,0))</f>
        <v>经验书*10000</v>
      </c>
      <c r="F1860" s="33">
        <v>37</v>
      </c>
      <c r="K1860" s="13">
        <v>1</v>
      </c>
      <c r="L1860" s="13"/>
      <c r="M1860" s="33" t="b">
        <v>1</v>
      </c>
    </row>
    <row r="1861" spans="1:13" s="4" customFormat="1" x14ac:dyDescent="0.25">
      <c r="A1861" s="33"/>
      <c r="B1861" s="33" t="s">
        <v>119</v>
      </c>
      <c r="D1861" s="13">
        <v>2007</v>
      </c>
      <c r="E1861" s="132" t="str">
        <f>INDEX([1]道具配置表!$D:$D,MATCH(D1861,[1]道具配置表!$A:$A,0))</f>
        <v>大奖池招募券</v>
      </c>
      <c r="F1861" s="33">
        <v>1</v>
      </c>
      <c r="K1861" s="13">
        <v>1</v>
      </c>
      <c r="L1861" s="13"/>
      <c r="M1861" s="33" t="b">
        <v>1</v>
      </c>
    </row>
    <row r="1862" spans="1:13" s="4" customFormat="1" x14ac:dyDescent="0.25">
      <c r="A1862" s="33">
        <v>6609134</v>
      </c>
      <c r="B1862" s="33" t="s">
        <v>537</v>
      </c>
      <c r="D1862" s="13">
        <v>502</v>
      </c>
      <c r="E1862" s="132" t="str">
        <f>INDEX([1]道具配置表!$D:$D,MATCH(D1862,[1]道具配置表!$A:$A,0))</f>
        <v>1万资源自选宝箱</v>
      </c>
      <c r="F1862" s="33">
        <v>38</v>
      </c>
      <c r="K1862" s="13">
        <v>1</v>
      </c>
      <c r="L1862" s="13"/>
      <c r="M1862" s="33" t="b">
        <v>1</v>
      </c>
    </row>
    <row r="1863" spans="1:13" s="4" customFormat="1" x14ac:dyDescent="0.25">
      <c r="A1863" s="33"/>
      <c r="B1863" s="33" t="s">
        <v>119</v>
      </c>
      <c r="D1863" s="13">
        <v>6101</v>
      </c>
      <c r="E1863" s="132" t="str">
        <f>INDEX([1]道具配置表!$D:$D,MATCH(D1863,[1]道具配置表!$A:$A,0))</f>
        <v>5分钟通用加速</v>
      </c>
      <c r="F1863" s="33">
        <v>9</v>
      </c>
      <c r="K1863" s="13">
        <v>1</v>
      </c>
      <c r="L1863" s="13"/>
      <c r="M1863" s="33" t="b">
        <v>1</v>
      </c>
    </row>
    <row r="1864" spans="1:13" s="4" customFormat="1" x14ac:dyDescent="0.25">
      <c r="A1864" s="33"/>
      <c r="B1864" s="33" t="s">
        <v>119</v>
      </c>
      <c r="D1864" s="13">
        <v>7228</v>
      </c>
      <c r="E1864" s="132" t="str">
        <f>INDEX([1]道具配置表!$D:$D,MATCH(D1864,[1]道具配置表!$A:$A,0))</f>
        <v>经验书*10000</v>
      </c>
      <c r="F1864" s="33">
        <v>38</v>
      </c>
      <c r="K1864" s="13">
        <v>1</v>
      </c>
      <c r="L1864" s="13"/>
      <c r="M1864" s="33" t="b">
        <v>1</v>
      </c>
    </row>
    <row r="1865" spans="1:13" s="4" customFormat="1" x14ac:dyDescent="0.25">
      <c r="A1865" s="33"/>
      <c r="B1865" s="33" t="s">
        <v>119</v>
      </c>
      <c r="D1865" s="13">
        <v>2006</v>
      </c>
      <c r="E1865" s="132" t="str">
        <f>INDEX([1]道具配置表!$D:$D,MATCH(D1865,[1]道具配置表!$A:$A,0))</f>
        <v>铜币奖池招募券</v>
      </c>
      <c r="F1865" s="33">
        <v>1</v>
      </c>
      <c r="K1865" s="13">
        <v>1</v>
      </c>
      <c r="L1865" s="13"/>
      <c r="M1865" s="33" t="b">
        <v>1</v>
      </c>
    </row>
    <row r="1866" spans="1:13" s="4" customFormat="1" x14ac:dyDescent="0.25">
      <c r="A1866" s="33">
        <v>6609135</v>
      </c>
      <c r="B1866" s="33" t="s">
        <v>538</v>
      </c>
      <c r="D1866" s="13">
        <v>502</v>
      </c>
      <c r="E1866" s="132" t="str">
        <f>INDEX([1]道具配置表!$D:$D,MATCH(D1866,[1]道具配置表!$A:$A,0))</f>
        <v>1万资源自选宝箱</v>
      </c>
      <c r="F1866" s="33">
        <v>78</v>
      </c>
      <c r="K1866" s="13">
        <v>1</v>
      </c>
      <c r="L1866" s="13"/>
      <c r="M1866" s="33" t="b">
        <v>1</v>
      </c>
    </row>
    <row r="1867" spans="1:13" s="4" customFormat="1" x14ac:dyDescent="0.25">
      <c r="A1867" s="33"/>
      <c r="B1867" s="33" t="s">
        <v>119</v>
      </c>
      <c r="D1867" s="13">
        <v>6101</v>
      </c>
      <c r="E1867" s="132" t="str">
        <f>INDEX([1]道具配置表!$D:$D,MATCH(D1867,[1]道具配置表!$A:$A,0))</f>
        <v>5分钟通用加速</v>
      </c>
      <c r="F1867" s="33">
        <v>9</v>
      </c>
      <c r="K1867" s="13">
        <v>1</v>
      </c>
      <c r="L1867" s="13"/>
      <c r="M1867" s="33" t="b">
        <v>1</v>
      </c>
    </row>
    <row r="1868" spans="1:13" s="4" customFormat="1" x14ac:dyDescent="0.25">
      <c r="A1868" s="33"/>
      <c r="B1868" s="33" t="s">
        <v>119</v>
      </c>
      <c r="D1868" s="13">
        <v>7228</v>
      </c>
      <c r="E1868" s="132" t="str">
        <f>INDEX([1]道具配置表!$D:$D,MATCH(D1868,[1]道具配置表!$A:$A,0))</f>
        <v>经验书*10000</v>
      </c>
      <c r="F1868" s="33">
        <v>39</v>
      </c>
      <c r="K1868" s="13">
        <v>1</v>
      </c>
      <c r="L1868" s="13"/>
      <c r="M1868" s="33" t="b">
        <v>1</v>
      </c>
    </row>
    <row r="1869" spans="1:13" s="4" customFormat="1" x14ac:dyDescent="0.25">
      <c r="A1869" s="33"/>
      <c r="B1869" s="33" t="s">
        <v>119</v>
      </c>
      <c r="D1869" s="13">
        <v>2007</v>
      </c>
      <c r="E1869" s="132" t="str">
        <f>INDEX([1]道具配置表!$D:$D,MATCH(D1869,[1]道具配置表!$A:$A,0))</f>
        <v>大奖池招募券</v>
      </c>
      <c r="F1869" s="33">
        <v>2</v>
      </c>
      <c r="K1869" s="13">
        <v>1</v>
      </c>
      <c r="L1869" s="13"/>
      <c r="M1869" s="33" t="b">
        <v>1</v>
      </c>
    </row>
    <row r="1870" spans="1:13" s="4" customFormat="1" x14ac:dyDescent="0.25">
      <c r="A1870" s="33">
        <v>6609136</v>
      </c>
      <c r="B1870" s="33" t="s">
        <v>539</v>
      </c>
      <c r="D1870" s="13">
        <v>502</v>
      </c>
      <c r="E1870" s="132" t="str">
        <f>INDEX([1]道具配置表!$D:$D,MATCH(D1870,[1]道具配置表!$A:$A,0))</f>
        <v>1万资源自选宝箱</v>
      </c>
      <c r="F1870" s="33">
        <v>40</v>
      </c>
      <c r="K1870" s="13">
        <v>1</v>
      </c>
      <c r="L1870" s="13"/>
      <c r="M1870" s="33" t="b">
        <v>1</v>
      </c>
    </row>
    <row r="1871" spans="1:13" s="4" customFormat="1" x14ac:dyDescent="0.25">
      <c r="A1871" s="33"/>
      <c r="B1871" s="33" t="s">
        <v>119</v>
      </c>
      <c r="D1871" s="13">
        <v>6101</v>
      </c>
      <c r="E1871" s="132" t="str">
        <f>INDEX([1]道具配置表!$D:$D,MATCH(D1871,[1]道具配置表!$A:$A,0))</f>
        <v>5分钟通用加速</v>
      </c>
      <c r="F1871" s="33">
        <v>9</v>
      </c>
      <c r="K1871" s="13">
        <v>1</v>
      </c>
      <c r="L1871" s="13"/>
      <c r="M1871" s="33" t="b">
        <v>1</v>
      </c>
    </row>
    <row r="1872" spans="1:13" s="4" customFormat="1" x14ac:dyDescent="0.25">
      <c r="A1872" s="33"/>
      <c r="B1872" s="33" t="s">
        <v>119</v>
      </c>
      <c r="D1872" s="13">
        <v>7228</v>
      </c>
      <c r="E1872" s="132" t="str">
        <f>INDEX([1]道具配置表!$D:$D,MATCH(D1872,[1]道具配置表!$A:$A,0))</f>
        <v>经验书*10000</v>
      </c>
      <c r="F1872" s="33">
        <v>40</v>
      </c>
      <c r="K1872" s="13">
        <v>1</v>
      </c>
      <c r="L1872" s="13"/>
      <c r="M1872" s="33" t="b">
        <v>1</v>
      </c>
    </row>
    <row r="1873" spans="1:13" s="4" customFormat="1" x14ac:dyDescent="0.25">
      <c r="A1873" s="33"/>
      <c r="B1873" s="33" t="s">
        <v>119</v>
      </c>
      <c r="D1873" s="13">
        <v>2006</v>
      </c>
      <c r="E1873" s="132" t="str">
        <f>INDEX([1]道具配置表!$D:$D,MATCH(D1873,[1]道具配置表!$A:$A,0))</f>
        <v>铜币奖池招募券</v>
      </c>
      <c r="F1873" s="33">
        <v>1</v>
      </c>
      <c r="K1873" s="13">
        <v>1</v>
      </c>
      <c r="L1873" s="13"/>
      <c r="M1873" s="33" t="b">
        <v>1</v>
      </c>
    </row>
    <row r="1874" spans="1:13" s="4" customFormat="1" x14ac:dyDescent="0.25">
      <c r="A1874" s="33">
        <v>6609137</v>
      </c>
      <c r="B1874" s="33" t="s">
        <v>540</v>
      </c>
      <c r="D1874" s="13">
        <v>502</v>
      </c>
      <c r="E1874" s="132" t="str">
        <f>INDEX([1]道具配置表!$D:$D,MATCH(D1874,[1]道具配置表!$A:$A,0))</f>
        <v>1万资源自选宝箱</v>
      </c>
      <c r="F1874" s="33">
        <v>41</v>
      </c>
      <c r="K1874" s="13">
        <v>1</v>
      </c>
      <c r="L1874" s="13"/>
      <c r="M1874" s="33" t="b">
        <v>1</v>
      </c>
    </row>
    <row r="1875" spans="1:13" s="4" customFormat="1" x14ac:dyDescent="0.25">
      <c r="A1875" s="33"/>
      <c r="B1875" s="33" t="s">
        <v>119</v>
      </c>
      <c r="D1875" s="13">
        <v>6101</v>
      </c>
      <c r="E1875" s="132" t="str">
        <f>INDEX([1]道具配置表!$D:$D,MATCH(D1875,[1]道具配置表!$A:$A,0))</f>
        <v>5分钟通用加速</v>
      </c>
      <c r="F1875" s="33">
        <v>9</v>
      </c>
      <c r="K1875" s="13">
        <v>1</v>
      </c>
      <c r="L1875" s="13"/>
      <c r="M1875" s="33" t="b">
        <v>1</v>
      </c>
    </row>
    <row r="1876" spans="1:13" s="4" customFormat="1" x14ac:dyDescent="0.25">
      <c r="A1876" s="33"/>
      <c r="B1876" s="33" t="s">
        <v>119</v>
      </c>
      <c r="D1876" s="13">
        <v>7228</v>
      </c>
      <c r="E1876" s="132" t="str">
        <f>INDEX([1]道具配置表!$D:$D,MATCH(D1876,[1]道具配置表!$A:$A,0))</f>
        <v>经验书*10000</v>
      </c>
      <c r="F1876" s="33">
        <v>41</v>
      </c>
      <c r="K1876" s="13">
        <v>1</v>
      </c>
      <c r="L1876" s="13"/>
      <c r="M1876" s="33" t="b">
        <v>1</v>
      </c>
    </row>
    <row r="1877" spans="1:13" s="4" customFormat="1" x14ac:dyDescent="0.25">
      <c r="A1877" s="33"/>
      <c r="B1877" s="33" t="s">
        <v>119</v>
      </c>
      <c r="D1877" s="13">
        <v>2007</v>
      </c>
      <c r="E1877" s="132" t="str">
        <f>INDEX([1]道具配置表!$D:$D,MATCH(D1877,[1]道具配置表!$A:$A,0))</f>
        <v>大奖池招募券</v>
      </c>
      <c r="F1877" s="33">
        <v>1</v>
      </c>
      <c r="K1877" s="13">
        <v>1</v>
      </c>
      <c r="L1877" s="13"/>
      <c r="M1877" s="33" t="b">
        <v>1</v>
      </c>
    </row>
    <row r="1878" spans="1:13" s="4" customFormat="1" x14ac:dyDescent="0.25">
      <c r="A1878" s="33">
        <v>6609138</v>
      </c>
      <c r="B1878" s="33" t="s">
        <v>541</v>
      </c>
      <c r="D1878" s="13">
        <v>502</v>
      </c>
      <c r="E1878" s="132" t="str">
        <f>INDEX([1]道具配置表!$D:$D,MATCH(D1878,[1]道具配置表!$A:$A,0))</f>
        <v>1万资源自选宝箱</v>
      </c>
      <c r="F1878" s="33">
        <v>42</v>
      </c>
      <c r="K1878" s="13">
        <v>1</v>
      </c>
      <c r="L1878" s="13"/>
      <c r="M1878" s="33" t="b">
        <v>1</v>
      </c>
    </row>
    <row r="1879" spans="1:13" s="4" customFormat="1" x14ac:dyDescent="0.25">
      <c r="A1879" s="33"/>
      <c r="B1879" s="33" t="s">
        <v>119</v>
      </c>
      <c r="D1879" s="13">
        <v>6101</v>
      </c>
      <c r="E1879" s="132" t="str">
        <f>INDEX([1]道具配置表!$D:$D,MATCH(D1879,[1]道具配置表!$A:$A,0))</f>
        <v>5分钟通用加速</v>
      </c>
      <c r="F1879" s="33">
        <v>10</v>
      </c>
      <c r="K1879" s="13">
        <v>1</v>
      </c>
      <c r="L1879" s="13"/>
      <c r="M1879" s="33" t="b">
        <v>1</v>
      </c>
    </row>
    <row r="1880" spans="1:13" s="4" customFormat="1" x14ac:dyDescent="0.25">
      <c r="A1880" s="33"/>
      <c r="B1880" s="33" t="s">
        <v>119</v>
      </c>
      <c r="D1880" s="13">
        <v>7228</v>
      </c>
      <c r="E1880" s="132" t="str">
        <f>INDEX([1]道具配置表!$D:$D,MATCH(D1880,[1]道具配置表!$A:$A,0))</f>
        <v>经验书*10000</v>
      </c>
      <c r="F1880" s="33">
        <v>42</v>
      </c>
      <c r="K1880" s="13">
        <v>1</v>
      </c>
      <c r="L1880" s="13"/>
      <c r="M1880" s="33" t="b">
        <v>1</v>
      </c>
    </row>
    <row r="1881" spans="1:13" s="4" customFormat="1" x14ac:dyDescent="0.25">
      <c r="A1881" s="33"/>
      <c r="B1881" s="33" t="s">
        <v>119</v>
      </c>
      <c r="D1881" s="13">
        <v>2006</v>
      </c>
      <c r="E1881" s="132" t="str">
        <f>INDEX([1]道具配置表!$D:$D,MATCH(D1881,[1]道具配置表!$A:$A,0))</f>
        <v>铜币奖池招募券</v>
      </c>
      <c r="F1881" s="33">
        <v>1</v>
      </c>
      <c r="K1881" s="13">
        <v>1</v>
      </c>
      <c r="L1881" s="13"/>
      <c r="M1881" s="33" t="b">
        <v>1</v>
      </c>
    </row>
    <row r="1882" spans="1:13" s="4" customFormat="1" x14ac:dyDescent="0.25">
      <c r="A1882" s="33">
        <v>6609139</v>
      </c>
      <c r="B1882" s="33" t="s">
        <v>542</v>
      </c>
      <c r="D1882" s="13">
        <v>502</v>
      </c>
      <c r="E1882" s="132" t="str">
        <f>INDEX([1]道具配置表!$D:$D,MATCH(D1882,[1]道具配置表!$A:$A,0))</f>
        <v>1万资源自选宝箱</v>
      </c>
      <c r="F1882" s="33">
        <v>86</v>
      </c>
      <c r="K1882" s="13">
        <v>1</v>
      </c>
      <c r="L1882" s="13"/>
      <c r="M1882" s="33" t="b">
        <v>1</v>
      </c>
    </row>
    <row r="1883" spans="1:13" s="4" customFormat="1" x14ac:dyDescent="0.25">
      <c r="A1883" s="33"/>
      <c r="B1883" s="33" t="s">
        <v>119</v>
      </c>
      <c r="D1883" s="13">
        <v>6101</v>
      </c>
      <c r="E1883" s="132" t="str">
        <f>INDEX([1]道具配置表!$D:$D,MATCH(D1883,[1]道具配置表!$A:$A,0))</f>
        <v>5分钟通用加速</v>
      </c>
      <c r="F1883" s="33">
        <v>10</v>
      </c>
      <c r="K1883" s="13">
        <v>1</v>
      </c>
      <c r="L1883" s="13"/>
      <c r="M1883" s="33" t="b">
        <v>1</v>
      </c>
    </row>
    <row r="1884" spans="1:13" s="4" customFormat="1" x14ac:dyDescent="0.25">
      <c r="A1884" s="33"/>
      <c r="B1884" s="33" t="s">
        <v>119</v>
      </c>
      <c r="D1884" s="13">
        <v>7228</v>
      </c>
      <c r="E1884" s="132" t="str">
        <f>INDEX([1]道具配置表!$D:$D,MATCH(D1884,[1]道具配置表!$A:$A,0))</f>
        <v>经验书*10000</v>
      </c>
      <c r="F1884" s="33">
        <v>43</v>
      </c>
      <c r="K1884" s="13">
        <v>1</v>
      </c>
      <c r="L1884" s="13"/>
      <c r="M1884" s="33" t="b">
        <v>1</v>
      </c>
    </row>
    <row r="1885" spans="1:13" s="4" customFormat="1" x14ac:dyDescent="0.25">
      <c r="A1885" s="33"/>
      <c r="B1885" s="33" t="s">
        <v>119</v>
      </c>
      <c r="D1885" s="13">
        <v>2007</v>
      </c>
      <c r="E1885" s="132" t="str">
        <f>INDEX([1]道具配置表!$D:$D,MATCH(D1885,[1]道具配置表!$A:$A,0))</f>
        <v>大奖池招募券</v>
      </c>
      <c r="F1885" s="33">
        <v>2</v>
      </c>
      <c r="K1885" s="13">
        <v>1</v>
      </c>
      <c r="L1885" s="13"/>
      <c r="M1885" s="33" t="b">
        <v>1</v>
      </c>
    </row>
    <row r="1886" spans="1:13" s="4" customFormat="1" x14ac:dyDescent="0.25">
      <c r="A1886" s="33">
        <v>6609140</v>
      </c>
      <c r="B1886" s="33" t="s">
        <v>543</v>
      </c>
      <c r="D1886" s="13">
        <v>502</v>
      </c>
      <c r="E1886" s="132" t="str">
        <f>INDEX([1]道具配置表!$D:$D,MATCH(D1886,[1]道具配置表!$A:$A,0))</f>
        <v>1万资源自选宝箱</v>
      </c>
      <c r="F1886" s="33">
        <v>44</v>
      </c>
      <c r="K1886" s="13">
        <v>1</v>
      </c>
      <c r="L1886" s="13"/>
      <c r="M1886" s="33" t="b">
        <v>1</v>
      </c>
    </row>
    <row r="1887" spans="1:13" s="4" customFormat="1" x14ac:dyDescent="0.25">
      <c r="A1887" s="33"/>
      <c r="B1887" s="33" t="s">
        <v>119</v>
      </c>
      <c r="D1887" s="13">
        <v>6101</v>
      </c>
      <c r="E1887" s="132" t="str">
        <f>INDEX([1]道具配置表!$D:$D,MATCH(D1887,[1]道具配置表!$A:$A,0))</f>
        <v>5分钟通用加速</v>
      </c>
      <c r="F1887" s="33">
        <v>10</v>
      </c>
      <c r="K1887" s="13">
        <v>1</v>
      </c>
      <c r="L1887" s="13"/>
      <c r="M1887" s="33" t="b">
        <v>1</v>
      </c>
    </row>
    <row r="1888" spans="1:13" s="4" customFormat="1" x14ac:dyDescent="0.25">
      <c r="A1888" s="33"/>
      <c r="B1888" s="33" t="s">
        <v>119</v>
      </c>
      <c r="D1888" s="13">
        <v>7228</v>
      </c>
      <c r="E1888" s="132" t="str">
        <f>INDEX([1]道具配置表!$D:$D,MATCH(D1888,[1]道具配置表!$A:$A,0))</f>
        <v>经验书*10000</v>
      </c>
      <c r="F1888" s="33">
        <v>44</v>
      </c>
      <c r="K1888" s="13">
        <v>1</v>
      </c>
      <c r="L1888" s="13"/>
      <c r="M1888" s="33" t="b">
        <v>1</v>
      </c>
    </row>
    <row r="1889" spans="1:13" s="4" customFormat="1" x14ac:dyDescent="0.25">
      <c r="A1889" s="33"/>
      <c r="B1889" s="33" t="s">
        <v>119</v>
      </c>
      <c r="D1889" s="13">
        <v>2006</v>
      </c>
      <c r="E1889" s="132" t="str">
        <f>INDEX([1]道具配置表!$D:$D,MATCH(D1889,[1]道具配置表!$A:$A,0))</f>
        <v>铜币奖池招募券</v>
      </c>
      <c r="F1889" s="33">
        <v>1</v>
      </c>
      <c r="K1889" s="13">
        <v>1</v>
      </c>
      <c r="L1889" s="13"/>
      <c r="M1889" s="33" t="b">
        <v>1</v>
      </c>
    </row>
    <row r="1890" spans="1:13" s="4" customFormat="1" x14ac:dyDescent="0.25">
      <c r="A1890" s="33">
        <v>6609141</v>
      </c>
      <c r="B1890" s="33" t="s">
        <v>544</v>
      </c>
      <c r="D1890" s="13">
        <v>502</v>
      </c>
      <c r="E1890" s="132" t="str">
        <f>INDEX([1]道具配置表!$D:$D,MATCH(D1890,[1]道具配置表!$A:$A,0))</f>
        <v>1万资源自选宝箱</v>
      </c>
      <c r="F1890" s="33">
        <v>45</v>
      </c>
      <c r="K1890" s="13">
        <v>1</v>
      </c>
      <c r="L1890" s="13"/>
      <c r="M1890" s="33" t="b">
        <v>1</v>
      </c>
    </row>
    <row r="1891" spans="1:13" s="4" customFormat="1" x14ac:dyDescent="0.25">
      <c r="A1891" s="33"/>
      <c r="B1891" s="33" t="s">
        <v>119</v>
      </c>
      <c r="D1891" s="13">
        <v>6101</v>
      </c>
      <c r="E1891" s="132" t="str">
        <f>INDEX([1]道具配置表!$D:$D,MATCH(D1891,[1]道具配置表!$A:$A,0))</f>
        <v>5分钟通用加速</v>
      </c>
      <c r="F1891" s="33">
        <v>10</v>
      </c>
      <c r="K1891" s="13">
        <v>1</v>
      </c>
      <c r="L1891" s="13"/>
      <c r="M1891" s="33" t="b">
        <v>1</v>
      </c>
    </row>
    <row r="1892" spans="1:13" s="4" customFormat="1" x14ac:dyDescent="0.25">
      <c r="A1892" s="33"/>
      <c r="B1892" s="33" t="s">
        <v>119</v>
      </c>
      <c r="D1892" s="13">
        <v>7228</v>
      </c>
      <c r="E1892" s="132" t="str">
        <f>INDEX([1]道具配置表!$D:$D,MATCH(D1892,[1]道具配置表!$A:$A,0))</f>
        <v>经验书*10000</v>
      </c>
      <c r="F1892" s="33">
        <v>45</v>
      </c>
      <c r="K1892" s="13">
        <v>1</v>
      </c>
      <c r="L1892" s="13"/>
      <c r="M1892" s="33" t="b">
        <v>1</v>
      </c>
    </row>
    <row r="1893" spans="1:13" s="4" customFormat="1" x14ac:dyDescent="0.25">
      <c r="A1893" s="33"/>
      <c r="B1893" s="33" t="s">
        <v>119</v>
      </c>
      <c r="D1893" s="13">
        <v>2007</v>
      </c>
      <c r="E1893" s="132" t="str">
        <f>INDEX([1]道具配置表!$D:$D,MATCH(D1893,[1]道具配置表!$A:$A,0))</f>
        <v>大奖池招募券</v>
      </c>
      <c r="F1893" s="33">
        <v>1</v>
      </c>
      <c r="K1893" s="13">
        <v>1</v>
      </c>
      <c r="L1893" s="13"/>
      <c r="M1893" s="33" t="b">
        <v>1</v>
      </c>
    </row>
    <row r="1894" spans="1:13" s="4" customFormat="1" x14ac:dyDescent="0.25">
      <c r="A1894" s="33">
        <v>6609142</v>
      </c>
      <c r="B1894" s="33" t="s">
        <v>545</v>
      </c>
      <c r="D1894" s="13">
        <v>502</v>
      </c>
      <c r="E1894" s="132" t="str">
        <f>INDEX([1]道具配置表!$D:$D,MATCH(D1894,[1]道具配置表!$A:$A,0))</f>
        <v>1万资源自选宝箱</v>
      </c>
      <c r="F1894" s="33">
        <v>46</v>
      </c>
      <c r="K1894" s="13">
        <v>1</v>
      </c>
      <c r="L1894" s="13"/>
      <c r="M1894" s="33" t="b">
        <v>1</v>
      </c>
    </row>
    <row r="1895" spans="1:13" s="4" customFormat="1" x14ac:dyDescent="0.25">
      <c r="A1895" s="33"/>
      <c r="B1895" s="33" t="s">
        <v>119</v>
      </c>
      <c r="D1895" s="13">
        <v>6101</v>
      </c>
      <c r="E1895" s="132" t="str">
        <f>INDEX([1]道具配置表!$D:$D,MATCH(D1895,[1]道具配置表!$A:$A,0))</f>
        <v>5分钟通用加速</v>
      </c>
      <c r="F1895" s="33">
        <v>11</v>
      </c>
      <c r="K1895" s="13">
        <v>1</v>
      </c>
      <c r="L1895" s="13"/>
      <c r="M1895" s="33" t="b">
        <v>1</v>
      </c>
    </row>
    <row r="1896" spans="1:13" s="4" customFormat="1" x14ac:dyDescent="0.25">
      <c r="A1896" s="33"/>
      <c r="B1896" s="33" t="s">
        <v>119</v>
      </c>
      <c r="D1896" s="13">
        <v>7228</v>
      </c>
      <c r="E1896" s="132" t="str">
        <f>INDEX([1]道具配置表!$D:$D,MATCH(D1896,[1]道具配置表!$A:$A,0))</f>
        <v>经验书*10000</v>
      </c>
      <c r="F1896" s="33">
        <v>46</v>
      </c>
      <c r="K1896" s="13">
        <v>1</v>
      </c>
      <c r="L1896" s="13"/>
      <c r="M1896" s="33" t="b">
        <v>1</v>
      </c>
    </row>
    <row r="1897" spans="1:13" s="4" customFormat="1" x14ac:dyDescent="0.25">
      <c r="A1897" s="33"/>
      <c r="B1897" s="33" t="s">
        <v>119</v>
      </c>
      <c r="D1897" s="13">
        <v>2006</v>
      </c>
      <c r="E1897" s="132" t="str">
        <f>INDEX([1]道具配置表!$D:$D,MATCH(D1897,[1]道具配置表!$A:$A,0))</f>
        <v>铜币奖池招募券</v>
      </c>
      <c r="F1897" s="33">
        <v>1</v>
      </c>
      <c r="K1897" s="13">
        <v>1</v>
      </c>
      <c r="L1897" s="13"/>
      <c r="M1897" s="33" t="b">
        <v>1</v>
      </c>
    </row>
    <row r="1898" spans="1:13" s="4" customFormat="1" x14ac:dyDescent="0.25">
      <c r="A1898" s="33">
        <v>6609143</v>
      </c>
      <c r="B1898" s="33" t="s">
        <v>546</v>
      </c>
      <c r="D1898" s="13">
        <v>502</v>
      </c>
      <c r="E1898" s="132" t="str">
        <f>INDEX([1]道具配置表!$D:$D,MATCH(D1898,[1]道具配置表!$A:$A,0))</f>
        <v>1万资源自选宝箱</v>
      </c>
      <c r="F1898" s="33">
        <v>94</v>
      </c>
      <c r="K1898" s="13">
        <v>1</v>
      </c>
      <c r="L1898" s="13"/>
      <c r="M1898" s="33" t="b">
        <v>1</v>
      </c>
    </row>
    <row r="1899" spans="1:13" s="4" customFormat="1" x14ac:dyDescent="0.25">
      <c r="A1899" s="33"/>
      <c r="B1899" s="33" t="s">
        <v>119</v>
      </c>
      <c r="D1899" s="13">
        <v>6101</v>
      </c>
      <c r="E1899" s="132" t="str">
        <f>INDEX([1]道具配置表!$D:$D,MATCH(D1899,[1]道具配置表!$A:$A,0))</f>
        <v>5分钟通用加速</v>
      </c>
      <c r="F1899" s="33">
        <v>11</v>
      </c>
      <c r="K1899" s="13">
        <v>1</v>
      </c>
      <c r="L1899" s="13"/>
      <c r="M1899" s="33" t="b">
        <v>1</v>
      </c>
    </row>
    <row r="1900" spans="1:13" s="4" customFormat="1" x14ac:dyDescent="0.25">
      <c r="A1900" s="33"/>
      <c r="B1900" s="33" t="s">
        <v>119</v>
      </c>
      <c r="D1900" s="13">
        <v>7228</v>
      </c>
      <c r="E1900" s="132" t="str">
        <f>INDEX([1]道具配置表!$D:$D,MATCH(D1900,[1]道具配置表!$A:$A,0))</f>
        <v>经验书*10000</v>
      </c>
      <c r="F1900" s="33">
        <v>47</v>
      </c>
      <c r="K1900" s="13">
        <v>1</v>
      </c>
      <c r="L1900" s="13"/>
      <c r="M1900" s="33" t="b">
        <v>1</v>
      </c>
    </row>
    <row r="1901" spans="1:13" s="4" customFormat="1" x14ac:dyDescent="0.25">
      <c r="A1901" s="33"/>
      <c r="B1901" s="33" t="s">
        <v>119</v>
      </c>
      <c r="D1901" s="13">
        <v>2007</v>
      </c>
      <c r="E1901" s="132" t="str">
        <f>INDEX([1]道具配置表!$D:$D,MATCH(D1901,[1]道具配置表!$A:$A,0))</f>
        <v>大奖池招募券</v>
      </c>
      <c r="F1901" s="33">
        <v>2</v>
      </c>
      <c r="K1901" s="13">
        <v>1</v>
      </c>
      <c r="L1901" s="13"/>
      <c r="M1901" s="33" t="b">
        <v>1</v>
      </c>
    </row>
    <row r="1902" spans="1:13" s="4" customFormat="1" x14ac:dyDescent="0.25">
      <c r="A1902" s="33">
        <v>6609144</v>
      </c>
      <c r="B1902" s="33" t="s">
        <v>547</v>
      </c>
      <c r="D1902" s="13">
        <v>502</v>
      </c>
      <c r="E1902" s="132" t="str">
        <f>INDEX([1]道具配置表!$D:$D,MATCH(D1902,[1]道具配置表!$A:$A,0))</f>
        <v>1万资源自选宝箱</v>
      </c>
      <c r="F1902" s="33">
        <v>48</v>
      </c>
      <c r="K1902" s="13">
        <v>1</v>
      </c>
      <c r="L1902" s="13"/>
      <c r="M1902" s="33" t="b">
        <v>1</v>
      </c>
    </row>
    <row r="1903" spans="1:13" s="4" customFormat="1" x14ac:dyDescent="0.25">
      <c r="A1903" s="33"/>
      <c r="B1903" s="33" t="s">
        <v>119</v>
      </c>
      <c r="D1903" s="13">
        <v>6101</v>
      </c>
      <c r="E1903" s="132" t="str">
        <f>INDEX([1]道具配置表!$D:$D,MATCH(D1903,[1]道具配置表!$A:$A,0))</f>
        <v>5分钟通用加速</v>
      </c>
      <c r="F1903" s="33">
        <v>11</v>
      </c>
      <c r="K1903" s="13">
        <v>1</v>
      </c>
      <c r="L1903" s="13"/>
      <c r="M1903" s="33" t="b">
        <v>1</v>
      </c>
    </row>
    <row r="1904" spans="1:13" s="4" customFormat="1" x14ac:dyDescent="0.25">
      <c r="A1904" s="33"/>
      <c r="B1904" s="33" t="s">
        <v>119</v>
      </c>
      <c r="D1904" s="13">
        <v>7228</v>
      </c>
      <c r="E1904" s="132" t="str">
        <f>INDEX([1]道具配置表!$D:$D,MATCH(D1904,[1]道具配置表!$A:$A,0))</f>
        <v>经验书*10000</v>
      </c>
      <c r="F1904" s="33">
        <v>48</v>
      </c>
      <c r="K1904" s="13">
        <v>1</v>
      </c>
      <c r="L1904" s="13"/>
      <c r="M1904" s="33" t="b">
        <v>1</v>
      </c>
    </row>
    <row r="1905" spans="1:13" s="4" customFormat="1" x14ac:dyDescent="0.25">
      <c r="A1905" s="33"/>
      <c r="B1905" s="33" t="s">
        <v>119</v>
      </c>
      <c r="D1905" s="13">
        <v>2006</v>
      </c>
      <c r="E1905" s="132" t="str">
        <f>INDEX([1]道具配置表!$D:$D,MATCH(D1905,[1]道具配置表!$A:$A,0))</f>
        <v>铜币奖池招募券</v>
      </c>
      <c r="F1905" s="33">
        <v>1</v>
      </c>
      <c r="K1905" s="13">
        <v>1</v>
      </c>
      <c r="L1905" s="13"/>
      <c r="M1905" s="33" t="b">
        <v>1</v>
      </c>
    </row>
    <row r="1906" spans="1:13" s="4" customFormat="1" x14ac:dyDescent="0.25">
      <c r="A1906" s="33">
        <v>6609145</v>
      </c>
      <c r="B1906" s="33" t="s">
        <v>548</v>
      </c>
      <c r="D1906" s="13">
        <v>502</v>
      </c>
      <c r="E1906" s="132" t="str">
        <f>INDEX([1]道具配置表!$D:$D,MATCH(D1906,[1]道具配置表!$A:$A,0))</f>
        <v>1万资源自选宝箱</v>
      </c>
      <c r="F1906" s="33">
        <v>49</v>
      </c>
      <c r="K1906" s="13">
        <v>1</v>
      </c>
      <c r="L1906" s="13"/>
      <c r="M1906" s="33" t="b">
        <v>1</v>
      </c>
    </row>
    <row r="1907" spans="1:13" s="4" customFormat="1" x14ac:dyDescent="0.25">
      <c r="A1907" s="33"/>
      <c r="B1907" s="33" t="s">
        <v>119</v>
      </c>
      <c r="D1907" s="13">
        <v>6101</v>
      </c>
      <c r="E1907" s="132" t="str">
        <f>INDEX([1]道具配置表!$D:$D,MATCH(D1907,[1]道具配置表!$A:$A,0))</f>
        <v>5分钟通用加速</v>
      </c>
      <c r="F1907" s="33">
        <v>11</v>
      </c>
      <c r="K1907" s="13">
        <v>1</v>
      </c>
      <c r="L1907" s="13"/>
      <c r="M1907" s="33" t="b">
        <v>1</v>
      </c>
    </row>
    <row r="1908" spans="1:13" s="4" customFormat="1" x14ac:dyDescent="0.25">
      <c r="A1908" s="33"/>
      <c r="B1908" s="33" t="s">
        <v>119</v>
      </c>
      <c r="D1908" s="13">
        <v>7228</v>
      </c>
      <c r="E1908" s="132" t="str">
        <f>INDEX([1]道具配置表!$D:$D,MATCH(D1908,[1]道具配置表!$A:$A,0))</f>
        <v>经验书*10000</v>
      </c>
      <c r="F1908" s="33">
        <v>49</v>
      </c>
      <c r="K1908" s="13">
        <v>1</v>
      </c>
      <c r="L1908" s="13"/>
      <c r="M1908" s="33" t="b">
        <v>1</v>
      </c>
    </row>
    <row r="1909" spans="1:13" s="4" customFormat="1" x14ac:dyDescent="0.25">
      <c r="A1909" s="33"/>
      <c r="B1909" s="33" t="s">
        <v>119</v>
      </c>
      <c r="D1909" s="13">
        <v>2007</v>
      </c>
      <c r="E1909" s="132" t="str">
        <f>INDEX([1]道具配置表!$D:$D,MATCH(D1909,[1]道具配置表!$A:$A,0))</f>
        <v>大奖池招募券</v>
      </c>
      <c r="F1909" s="33">
        <v>1</v>
      </c>
      <c r="K1909" s="13">
        <v>1</v>
      </c>
      <c r="L1909" s="13"/>
      <c r="M1909" s="33" t="b">
        <v>1</v>
      </c>
    </row>
    <row r="1910" spans="1:13" s="4" customFormat="1" x14ac:dyDescent="0.25">
      <c r="A1910" s="33">
        <v>6609146</v>
      </c>
      <c r="B1910" s="33" t="s">
        <v>549</v>
      </c>
      <c r="D1910" s="13">
        <v>502</v>
      </c>
      <c r="E1910" s="132" t="str">
        <f>INDEX([1]道具配置表!$D:$D,MATCH(D1910,[1]道具配置表!$A:$A,0))</f>
        <v>1万资源自选宝箱</v>
      </c>
      <c r="F1910" s="33">
        <v>50</v>
      </c>
      <c r="K1910" s="13">
        <v>1</v>
      </c>
      <c r="L1910" s="13"/>
      <c r="M1910" s="33" t="b">
        <v>1</v>
      </c>
    </row>
    <row r="1911" spans="1:13" s="4" customFormat="1" x14ac:dyDescent="0.25">
      <c r="A1911" s="33"/>
      <c r="B1911" s="33" t="s">
        <v>119</v>
      </c>
      <c r="D1911" s="13">
        <v>6101</v>
      </c>
      <c r="E1911" s="132" t="str">
        <f>INDEX([1]道具配置表!$D:$D,MATCH(D1911,[1]道具配置表!$A:$A,0))</f>
        <v>5分钟通用加速</v>
      </c>
      <c r="F1911" s="33">
        <v>12</v>
      </c>
      <c r="K1911" s="13">
        <v>1</v>
      </c>
      <c r="L1911" s="13"/>
      <c r="M1911" s="33" t="b">
        <v>1</v>
      </c>
    </row>
    <row r="1912" spans="1:13" s="4" customFormat="1" x14ac:dyDescent="0.25">
      <c r="A1912" s="33"/>
      <c r="B1912" s="33" t="s">
        <v>119</v>
      </c>
      <c r="D1912" s="13">
        <v>7228</v>
      </c>
      <c r="E1912" s="132" t="str">
        <f>INDEX([1]道具配置表!$D:$D,MATCH(D1912,[1]道具配置表!$A:$A,0))</f>
        <v>经验书*10000</v>
      </c>
      <c r="F1912" s="33">
        <v>50</v>
      </c>
      <c r="K1912" s="13">
        <v>1</v>
      </c>
      <c r="L1912" s="13"/>
      <c r="M1912" s="33" t="b">
        <v>1</v>
      </c>
    </row>
    <row r="1913" spans="1:13" s="4" customFormat="1" x14ac:dyDescent="0.25">
      <c r="A1913" s="33"/>
      <c r="B1913" s="33" t="s">
        <v>119</v>
      </c>
      <c r="D1913" s="13">
        <v>2006</v>
      </c>
      <c r="E1913" s="132" t="str">
        <f>INDEX([1]道具配置表!$D:$D,MATCH(D1913,[1]道具配置表!$A:$A,0))</f>
        <v>铜币奖池招募券</v>
      </c>
      <c r="F1913" s="33">
        <v>1</v>
      </c>
      <c r="K1913" s="13">
        <v>1</v>
      </c>
      <c r="L1913" s="13"/>
      <c r="M1913" s="33" t="b">
        <v>1</v>
      </c>
    </row>
    <row r="1914" spans="1:13" s="4" customFormat="1" x14ac:dyDescent="0.25">
      <c r="A1914" s="33">
        <v>6609147</v>
      </c>
      <c r="B1914" s="33" t="s">
        <v>550</v>
      </c>
      <c r="D1914" s="13">
        <v>502</v>
      </c>
      <c r="E1914" s="132" t="str">
        <f>INDEX([1]道具配置表!$D:$D,MATCH(D1914,[1]道具配置表!$A:$A,0))</f>
        <v>1万资源自选宝箱</v>
      </c>
      <c r="F1914" s="33">
        <v>102</v>
      </c>
      <c r="K1914" s="13">
        <v>1</v>
      </c>
      <c r="L1914" s="13"/>
      <c r="M1914" s="33" t="b">
        <v>1</v>
      </c>
    </row>
    <row r="1915" spans="1:13" s="4" customFormat="1" x14ac:dyDescent="0.25">
      <c r="A1915" s="33"/>
      <c r="B1915" s="33" t="s">
        <v>119</v>
      </c>
      <c r="D1915" s="13">
        <v>6101</v>
      </c>
      <c r="E1915" s="132" t="str">
        <f>INDEX([1]道具配置表!$D:$D,MATCH(D1915,[1]道具配置表!$A:$A,0))</f>
        <v>5分钟通用加速</v>
      </c>
      <c r="F1915" s="33">
        <v>12</v>
      </c>
      <c r="K1915" s="13">
        <v>1</v>
      </c>
      <c r="L1915" s="13"/>
      <c r="M1915" s="33" t="b">
        <v>1</v>
      </c>
    </row>
    <row r="1916" spans="1:13" s="4" customFormat="1" x14ac:dyDescent="0.25">
      <c r="A1916" s="33"/>
      <c r="B1916" s="33" t="s">
        <v>119</v>
      </c>
      <c r="D1916" s="13">
        <v>7228</v>
      </c>
      <c r="E1916" s="132" t="str">
        <f>INDEX([1]道具配置表!$D:$D,MATCH(D1916,[1]道具配置表!$A:$A,0))</f>
        <v>经验书*10000</v>
      </c>
      <c r="F1916" s="33">
        <v>51</v>
      </c>
      <c r="K1916" s="13">
        <v>1</v>
      </c>
      <c r="L1916" s="13"/>
      <c r="M1916" s="33" t="b">
        <v>1</v>
      </c>
    </row>
    <row r="1917" spans="1:13" s="4" customFormat="1" x14ac:dyDescent="0.25">
      <c r="A1917" s="33"/>
      <c r="B1917" s="33" t="s">
        <v>119</v>
      </c>
      <c r="D1917" s="13">
        <v>2007</v>
      </c>
      <c r="E1917" s="132" t="str">
        <f>INDEX([1]道具配置表!$D:$D,MATCH(D1917,[1]道具配置表!$A:$A,0))</f>
        <v>大奖池招募券</v>
      </c>
      <c r="F1917" s="33">
        <v>2</v>
      </c>
      <c r="K1917" s="13">
        <v>1</v>
      </c>
      <c r="L1917" s="13"/>
      <c r="M1917" s="33" t="b">
        <v>1</v>
      </c>
    </row>
    <row r="1918" spans="1:13" s="4" customFormat="1" x14ac:dyDescent="0.25">
      <c r="A1918" s="33">
        <v>6609148</v>
      </c>
      <c r="B1918" s="33" t="s">
        <v>551</v>
      </c>
      <c r="D1918" s="13">
        <v>502</v>
      </c>
      <c r="E1918" s="132" t="str">
        <f>INDEX([1]道具配置表!$D:$D,MATCH(D1918,[1]道具配置表!$A:$A,0))</f>
        <v>1万资源自选宝箱</v>
      </c>
      <c r="F1918" s="33">
        <v>52</v>
      </c>
      <c r="K1918" s="13">
        <v>1</v>
      </c>
      <c r="L1918" s="13"/>
      <c r="M1918" s="33" t="b">
        <v>1</v>
      </c>
    </row>
    <row r="1919" spans="1:13" s="4" customFormat="1" x14ac:dyDescent="0.25">
      <c r="A1919" s="33"/>
      <c r="B1919" s="33" t="s">
        <v>119</v>
      </c>
      <c r="D1919" s="13">
        <v>6101</v>
      </c>
      <c r="E1919" s="132" t="str">
        <f>INDEX([1]道具配置表!$D:$D,MATCH(D1919,[1]道具配置表!$A:$A,0))</f>
        <v>5分钟通用加速</v>
      </c>
      <c r="F1919" s="33">
        <v>12</v>
      </c>
      <c r="K1919" s="13">
        <v>1</v>
      </c>
      <c r="L1919" s="13"/>
      <c r="M1919" s="33" t="b">
        <v>1</v>
      </c>
    </row>
    <row r="1920" spans="1:13" s="4" customFormat="1" x14ac:dyDescent="0.25">
      <c r="A1920" s="33"/>
      <c r="B1920" s="33" t="s">
        <v>119</v>
      </c>
      <c r="D1920" s="13">
        <v>7228</v>
      </c>
      <c r="E1920" s="132" t="str">
        <f>INDEX([1]道具配置表!$D:$D,MATCH(D1920,[1]道具配置表!$A:$A,0))</f>
        <v>经验书*10000</v>
      </c>
      <c r="F1920" s="33">
        <v>52</v>
      </c>
      <c r="K1920" s="13">
        <v>1</v>
      </c>
      <c r="L1920" s="13"/>
      <c r="M1920" s="33" t="b">
        <v>1</v>
      </c>
    </row>
    <row r="1921" spans="1:13" s="4" customFormat="1" x14ac:dyDescent="0.25">
      <c r="A1921" s="33"/>
      <c r="B1921" s="33" t="s">
        <v>119</v>
      </c>
      <c r="D1921" s="13">
        <v>2006</v>
      </c>
      <c r="E1921" s="132" t="str">
        <f>INDEX([1]道具配置表!$D:$D,MATCH(D1921,[1]道具配置表!$A:$A,0))</f>
        <v>铜币奖池招募券</v>
      </c>
      <c r="F1921" s="33">
        <v>1</v>
      </c>
      <c r="K1921" s="13">
        <v>1</v>
      </c>
      <c r="L1921" s="13"/>
      <c r="M1921" s="33" t="b">
        <v>1</v>
      </c>
    </row>
    <row r="1922" spans="1:13" s="4" customFormat="1" x14ac:dyDescent="0.25">
      <c r="A1922" s="33">
        <v>6609149</v>
      </c>
      <c r="B1922" s="33" t="s">
        <v>552</v>
      </c>
      <c r="D1922" s="13">
        <v>502</v>
      </c>
      <c r="E1922" s="132" t="str">
        <f>INDEX([1]道具配置表!$D:$D,MATCH(D1922,[1]道具配置表!$A:$A,0))</f>
        <v>1万资源自选宝箱</v>
      </c>
      <c r="F1922" s="33">
        <v>53</v>
      </c>
      <c r="K1922" s="13">
        <v>1</v>
      </c>
      <c r="L1922" s="13"/>
      <c r="M1922" s="33" t="b">
        <v>1</v>
      </c>
    </row>
    <row r="1923" spans="1:13" s="4" customFormat="1" x14ac:dyDescent="0.25">
      <c r="A1923" s="33"/>
      <c r="B1923" s="33"/>
      <c r="D1923" s="13">
        <v>6101</v>
      </c>
      <c r="E1923" s="132" t="str">
        <f>INDEX([1]道具配置表!$D:$D,MATCH(D1923,[1]道具配置表!$A:$A,0))</f>
        <v>5分钟通用加速</v>
      </c>
      <c r="F1923" s="33">
        <v>12</v>
      </c>
      <c r="K1923" s="13">
        <v>1</v>
      </c>
      <c r="L1923" s="13"/>
      <c r="M1923" s="33" t="b">
        <v>1</v>
      </c>
    </row>
    <row r="1924" spans="1:13" s="4" customFormat="1" x14ac:dyDescent="0.25">
      <c r="A1924" s="33"/>
      <c r="B1924" s="33"/>
      <c r="D1924" s="13">
        <v>7228</v>
      </c>
      <c r="E1924" s="132" t="str">
        <f>INDEX([1]道具配置表!$D:$D,MATCH(D1924,[1]道具配置表!$A:$A,0))</f>
        <v>经验书*10000</v>
      </c>
      <c r="F1924" s="33">
        <v>53</v>
      </c>
      <c r="K1924" s="13">
        <v>1</v>
      </c>
      <c r="L1924" s="13"/>
      <c r="M1924" s="33" t="b">
        <v>1</v>
      </c>
    </row>
    <row r="1925" spans="1:13" s="4" customFormat="1" x14ac:dyDescent="0.25">
      <c r="A1925" s="33"/>
      <c r="B1925" s="33"/>
      <c r="D1925" s="13">
        <v>2007</v>
      </c>
      <c r="E1925" s="132" t="str">
        <f>INDEX([1]道具配置表!$D:$D,MATCH(D1925,[1]道具配置表!$A:$A,0))</f>
        <v>大奖池招募券</v>
      </c>
      <c r="F1925" s="33">
        <v>1</v>
      </c>
      <c r="K1925" s="13">
        <v>1</v>
      </c>
      <c r="L1925" s="13"/>
      <c r="M1925" s="33" t="b">
        <v>1</v>
      </c>
    </row>
    <row r="1926" spans="1:13" s="4" customFormat="1" x14ac:dyDescent="0.25">
      <c r="A1926" s="49">
        <v>6609211</v>
      </c>
      <c r="B1926" s="49" t="s">
        <v>644</v>
      </c>
      <c r="D1926" s="13">
        <v>49522</v>
      </c>
      <c r="E1926" s="132" t="str">
        <f>INDEX([1]道具配置表!$D:$D,MATCH(D1926,[1]道具配置表!$A:$A,0))</f>
        <v>传说英雄自选宝箱</v>
      </c>
      <c r="F1926" s="49">
        <v>1</v>
      </c>
      <c r="K1926" s="13">
        <v>1</v>
      </c>
      <c r="L1926" s="13"/>
      <c r="M1926" s="49" t="b">
        <v>1</v>
      </c>
    </row>
    <row r="1927" spans="1:13" s="4" customFormat="1" x14ac:dyDescent="0.25">
      <c r="A1927" s="49"/>
      <c r="B1927" s="49"/>
      <c r="D1927" s="13">
        <v>7228</v>
      </c>
      <c r="E1927" s="132" t="str">
        <f>INDEX([1]道具配置表!$D:$D,MATCH(D1927,[1]道具配置表!$A:$A,0))</f>
        <v>经验书*10000</v>
      </c>
      <c r="F1927" s="49">
        <v>2</v>
      </c>
      <c r="K1927" s="13">
        <v>1</v>
      </c>
      <c r="L1927" s="13"/>
      <c r="M1927" s="49" t="b">
        <v>1</v>
      </c>
    </row>
    <row r="1928" spans="1:13" s="4" customFormat="1" x14ac:dyDescent="0.25">
      <c r="A1928" s="49"/>
      <c r="B1928" s="49"/>
      <c r="D1928" s="13">
        <v>20000</v>
      </c>
      <c r="E1928" s="132" t="str">
        <f>INDEX([1]道具配置表!$D:$D,MATCH(D1928,[1]道具配置表!$A:$A,0))</f>
        <v>技能点1</v>
      </c>
      <c r="F1928" s="49">
        <v>100</v>
      </c>
      <c r="K1928" s="13">
        <v>1</v>
      </c>
      <c r="L1928" s="13"/>
      <c r="M1928" s="49" t="b">
        <v>1</v>
      </c>
    </row>
    <row r="1929" spans="1:13" s="4" customFormat="1" x14ac:dyDescent="0.25">
      <c r="A1929" s="49">
        <v>6609212</v>
      </c>
      <c r="B1929" s="49" t="s">
        <v>645</v>
      </c>
      <c r="D1929" s="13">
        <v>49522</v>
      </c>
      <c r="E1929" s="132" t="str">
        <f>INDEX([1]道具配置表!$D:$D,MATCH(D1929,[1]道具配置表!$A:$A,0))</f>
        <v>传说英雄自选宝箱</v>
      </c>
      <c r="F1929" s="49">
        <v>1</v>
      </c>
      <c r="K1929" s="13">
        <v>1</v>
      </c>
      <c r="L1929" s="13"/>
      <c r="M1929" s="49" t="b">
        <v>1</v>
      </c>
    </row>
    <row r="1930" spans="1:13" s="4" customFormat="1" x14ac:dyDescent="0.25">
      <c r="A1930" s="49"/>
      <c r="B1930" s="49"/>
      <c r="D1930" s="13">
        <v>7228</v>
      </c>
      <c r="E1930" s="132" t="str">
        <f>INDEX([1]道具配置表!$D:$D,MATCH(D1930,[1]道具配置表!$A:$A,0))</f>
        <v>经验书*10000</v>
      </c>
      <c r="F1930" s="49">
        <v>4</v>
      </c>
      <c r="K1930" s="13">
        <v>1</v>
      </c>
      <c r="L1930" s="13"/>
      <c r="M1930" s="49" t="b">
        <v>1</v>
      </c>
    </row>
    <row r="1931" spans="1:13" s="4" customFormat="1" x14ac:dyDescent="0.25">
      <c r="A1931" s="49"/>
      <c r="B1931" s="49"/>
      <c r="D1931" s="13">
        <v>20000</v>
      </c>
      <c r="E1931" s="132" t="str">
        <f>INDEX([1]道具配置表!$D:$D,MATCH(D1931,[1]道具配置表!$A:$A,0))</f>
        <v>技能点1</v>
      </c>
      <c r="F1931" s="49">
        <v>200</v>
      </c>
      <c r="K1931" s="13">
        <v>1</v>
      </c>
      <c r="L1931" s="13"/>
      <c r="M1931" s="49" t="b">
        <v>1</v>
      </c>
    </row>
    <row r="1932" spans="1:13" s="4" customFormat="1" x14ac:dyDescent="0.25">
      <c r="A1932" s="49">
        <v>6609213</v>
      </c>
      <c r="B1932" s="49" t="s">
        <v>646</v>
      </c>
      <c r="D1932" s="13">
        <v>49522</v>
      </c>
      <c r="E1932" s="132" t="str">
        <f>INDEX([1]道具配置表!$D:$D,MATCH(D1932,[1]道具配置表!$A:$A,0))</f>
        <v>传说英雄自选宝箱</v>
      </c>
      <c r="F1932" s="49">
        <v>1</v>
      </c>
      <c r="K1932" s="13">
        <v>1</v>
      </c>
      <c r="L1932" s="13"/>
      <c r="M1932" s="49" t="b">
        <v>1</v>
      </c>
    </row>
    <row r="1933" spans="1:13" s="4" customFormat="1" x14ac:dyDescent="0.25">
      <c r="A1933" s="49"/>
      <c r="B1933" s="49"/>
      <c r="D1933" s="13">
        <v>7228</v>
      </c>
      <c r="E1933" s="132" t="str">
        <f>INDEX([1]道具配置表!$D:$D,MATCH(D1933,[1]道具配置表!$A:$A,0))</f>
        <v>经验书*10000</v>
      </c>
      <c r="F1933" s="49">
        <v>6</v>
      </c>
      <c r="K1933" s="13">
        <v>1</v>
      </c>
      <c r="L1933" s="13"/>
      <c r="M1933" s="49" t="b">
        <v>1</v>
      </c>
    </row>
    <row r="1934" spans="1:13" s="4" customFormat="1" x14ac:dyDescent="0.25">
      <c r="A1934" s="49"/>
      <c r="B1934" s="49"/>
      <c r="D1934" s="13">
        <v>20000</v>
      </c>
      <c r="E1934" s="132" t="str">
        <f>INDEX([1]道具配置表!$D:$D,MATCH(D1934,[1]道具配置表!$A:$A,0))</f>
        <v>技能点1</v>
      </c>
      <c r="F1934" s="49">
        <v>300</v>
      </c>
      <c r="K1934" s="13">
        <v>1</v>
      </c>
      <c r="L1934" s="13"/>
      <c r="M1934" s="49" t="b">
        <v>1</v>
      </c>
    </row>
    <row r="1935" spans="1:13" s="4" customFormat="1" x14ac:dyDescent="0.25">
      <c r="A1935" s="84">
        <v>6609214</v>
      </c>
      <c r="B1935" s="84" t="s">
        <v>1277</v>
      </c>
      <c r="D1935" s="13">
        <v>49522</v>
      </c>
      <c r="E1935" s="132" t="str">
        <f>INDEX([1]道具配置表!$D:$D,MATCH(D1935,[1]道具配置表!$A:$A,0))</f>
        <v>传说英雄自选宝箱</v>
      </c>
      <c r="F1935" s="84">
        <v>1</v>
      </c>
      <c r="K1935" s="13">
        <v>1</v>
      </c>
      <c r="L1935" s="13"/>
      <c r="M1935" s="84" t="b">
        <v>1</v>
      </c>
    </row>
    <row r="1936" spans="1:13" s="4" customFormat="1" x14ac:dyDescent="0.25">
      <c r="A1936" s="84"/>
      <c r="B1936" s="84"/>
      <c r="D1936" s="13">
        <v>7228</v>
      </c>
      <c r="E1936" s="132" t="str">
        <f>INDEX([1]道具配置表!$D:$D,MATCH(D1936,[1]道具配置表!$A:$A,0))</f>
        <v>经验书*10000</v>
      </c>
      <c r="F1936" s="84">
        <v>8</v>
      </c>
      <c r="K1936" s="13">
        <v>1</v>
      </c>
      <c r="L1936" s="13"/>
      <c r="M1936" s="84" t="b">
        <v>1</v>
      </c>
    </row>
    <row r="1937" spans="1:13" s="4" customFormat="1" x14ac:dyDescent="0.25">
      <c r="A1937" s="84"/>
      <c r="B1937" s="84"/>
      <c r="D1937" s="13">
        <v>20000</v>
      </c>
      <c r="E1937" s="132" t="str">
        <f>INDEX([1]道具配置表!$D:$D,MATCH(D1937,[1]道具配置表!$A:$A,0))</f>
        <v>技能点1</v>
      </c>
      <c r="F1937" s="84">
        <v>400</v>
      </c>
      <c r="K1937" s="13">
        <v>1</v>
      </c>
      <c r="L1937" s="13"/>
      <c r="M1937" s="84" t="b">
        <v>1</v>
      </c>
    </row>
    <row r="1938" spans="1:13" s="4" customFormat="1" x14ac:dyDescent="0.25">
      <c r="A1938" s="49">
        <v>6609221</v>
      </c>
      <c r="B1938" s="49" t="s">
        <v>647</v>
      </c>
      <c r="D1938" s="13">
        <v>49522</v>
      </c>
      <c r="E1938" s="132" t="str">
        <f>INDEX([1]道具配置表!$D:$D,MATCH(D1938,[1]道具配置表!$A:$A,0))</f>
        <v>传说英雄自选宝箱</v>
      </c>
      <c r="F1938" s="49">
        <v>1</v>
      </c>
      <c r="K1938" s="13">
        <v>1</v>
      </c>
      <c r="L1938" s="13"/>
      <c r="M1938" s="49" t="b">
        <v>1</v>
      </c>
    </row>
    <row r="1939" spans="1:13" s="4" customFormat="1" x14ac:dyDescent="0.25">
      <c r="A1939" s="49"/>
      <c r="B1939" s="49"/>
      <c r="D1939" s="13">
        <v>7228</v>
      </c>
      <c r="E1939" s="132" t="str">
        <f>INDEX([1]道具配置表!$D:$D,MATCH(D1939,[1]道具配置表!$A:$A,0))</f>
        <v>经验书*10000</v>
      </c>
      <c r="F1939" s="49">
        <v>6</v>
      </c>
      <c r="K1939" s="13">
        <v>1</v>
      </c>
      <c r="L1939" s="13"/>
      <c r="M1939" s="49" t="b">
        <v>1</v>
      </c>
    </row>
    <row r="1940" spans="1:13" s="4" customFormat="1" x14ac:dyDescent="0.25">
      <c r="A1940" s="49"/>
      <c r="B1940" s="49"/>
      <c r="D1940" s="13">
        <v>20000</v>
      </c>
      <c r="E1940" s="132" t="str">
        <f>INDEX([1]道具配置表!$D:$D,MATCH(D1940,[1]道具配置表!$A:$A,0))</f>
        <v>技能点1</v>
      </c>
      <c r="F1940" s="49">
        <v>300</v>
      </c>
      <c r="K1940" s="13">
        <v>1</v>
      </c>
      <c r="L1940" s="13"/>
      <c r="M1940" s="49" t="b">
        <v>1</v>
      </c>
    </row>
    <row r="1941" spans="1:13" s="4" customFormat="1" x14ac:dyDescent="0.25">
      <c r="A1941" s="49">
        <v>6609222</v>
      </c>
      <c r="B1941" s="49" t="s">
        <v>648</v>
      </c>
      <c r="D1941" s="13">
        <v>49522</v>
      </c>
      <c r="E1941" s="132" t="str">
        <f>INDEX([1]道具配置表!$D:$D,MATCH(D1941,[1]道具配置表!$A:$A,0))</f>
        <v>传说英雄自选宝箱</v>
      </c>
      <c r="F1941" s="49">
        <v>1</v>
      </c>
      <c r="K1941" s="13">
        <v>1</v>
      </c>
      <c r="L1941" s="13"/>
      <c r="M1941" s="49" t="b">
        <v>1</v>
      </c>
    </row>
    <row r="1942" spans="1:13" s="4" customFormat="1" x14ac:dyDescent="0.25">
      <c r="A1942" s="49"/>
      <c r="B1942" s="49"/>
      <c r="D1942" s="13">
        <v>7228</v>
      </c>
      <c r="E1942" s="132" t="str">
        <f>INDEX([1]道具配置表!$D:$D,MATCH(D1942,[1]道具配置表!$A:$A,0))</f>
        <v>经验书*10000</v>
      </c>
      <c r="F1942" s="49">
        <v>8</v>
      </c>
      <c r="K1942" s="13">
        <v>1</v>
      </c>
      <c r="L1942" s="13"/>
      <c r="M1942" s="49" t="b">
        <v>1</v>
      </c>
    </row>
    <row r="1943" spans="1:13" s="4" customFormat="1" x14ac:dyDescent="0.25">
      <c r="A1943" s="49"/>
      <c r="B1943" s="49"/>
      <c r="D1943" s="13">
        <v>20000</v>
      </c>
      <c r="E1943" s="132" t="str">
        <f>INDEX([1]道具配置表!$D:$D,MATCH(D1943,[1]道具配置表!$A:$A,0))</f>
        <v>技能点1</v>
      </c>
      <c r="F1943" s="49">
        <v>400</v>
      </c>
      <c r="K1943" s="13">
        <v>1</v>
      </c>
      <c r="L1943" s="13"/>
      <c r="M1943" s="49" t="b">
        <v>1</v>
      </c>
    </row>
    <row r="1944" spans="1:13" s="4" customFormat="1" x14ac:dyDescent="0.25">
      <c r="A1944" s="49">
        <v>6609223</v>
      </c>
      <c r="B1944" s="49" t="s">
        <v>649</v>
      </c>
      <c r="D1944" s="13">
        <v>49522</v>
      </c>
      <c r="E1944" s="132" t="str">
        <f>INDEX([1]道具配置表!$D:$D,MATCH(D1944,[1]道具配置表!$A:$A,0))</f>
        <v>传说英雄自选宝箱</v>
      </c>
      <c r="F1944" s="49">
        <v>1</v>
      </c>
      <c r="K1944" s="13">
        <v>1</v>
      </c>
      <c r="L1944" s="13"/>
      <c r="M1944" s="49" t="b">
        <v>1</v>
      </c>
    </row>
    <row r="1945" spans="1:13" s="4" customFormat="1" x14ac:dyDescent="0.25">
      <c r="A1945" s="49"/>
      <c r="B1945" s="49"/>
      <c r="D1945" s="13">
        <v>7228</v>
      </c>
      <c r="E1945" s="132" t="str">
        <f>INDEX([1]道具配置表!$D:$D,MATCH(D1945,[1]道具配置表!$A:$A,0))</f>
        <v>经验书*10000</v>
      </c>
      <c r="F1945" s="49">
        <v>10</v>
      </c>
      <c r="K1945" s="13">
        <v>1</v>
      </c>
      <c r="L1945" s="13"/>
      <c r="M1945" s="49" t="b">
        <v>1</v>
      </c>
    </row>
    <row r="1946" spans="1:13" s="4" customFormat="1" x14ac:dyDescent="0.25">
      <c r="A1946" s="49"/>
      <c r="B1946" s="49"/>
      <c r="D1946" s="13">
        <v>20000</v>
      </c>
      <c r="E1946" s="132" t="str">
        <f>INDEX([1]道具配置表!$D:$D,MATCH(D1946,[1]道具配置表!$A:$A,0))</f>
        <v>技能点1</v>
      </c>
      <c r="F1946" s="49">
        <v>500</v>
      </c>
      <c r="K1946" s="13">
        <v>1</v>
      </c>
      <c r="L1946" s="13"/>
      <c r="M1946" s="49" t="b">
        <v>1</v>
      </c>
    </row>
    <row r="1947" spans="1:13" s="4" customFormat="1" x14ac:dyDescent="0.25">
      <c r="A1947" s="84">
        <v>6609224</v>
      </c>
      <c r="B1947" s="84" t="s">
        <v>1278</v>
      </c>
      <c r="D1947" s="13">
        <v>49522</v>
      </c>
      <c r="E1947" s="132" t="str">
        <f>INDEX([1]道具配置表!$D:$D,MATCH(D1947,[1]道具配置表!$A:$A,0))</f>
        <v>传说英雄自选宝箱</v>
      </c>
      <c r="F1947" s="84">
        <v>1</v>
      </c>
      <c r="K1947" s="13">
        <v>1</v>
      </c>
      <c r="L1947" s="13"/>
      <c r="M1947" s="84" t="b">
        <v>1</v>
      </c>
    </row>
    <row r="1948" spans="1:13" s="4" customFormat="1" x14ac:dyDescent="0.25">
      <c r="A1948" s="84"/>
      <c r="B1948" s="84"/>
      <c r="D1948" s="13">
        <v>7228</v>
      </c>
      <c r="E1948" s="132" t="str">
        <f>INDEX([1]道具配置表!$D:$D,MATCH(D1948,[1]道具配置表!$A:$A,0))</f>
        <v>经验书*10000</v>
      </c>
      <c r="F1948" s="84">
        <v>12</v>
      </c>
      <c r="K1948" s="13">
        <v>1</v>
      </c>
      <c r="L1948" s="13"/>
      <c r="M1948" s="84" t="b">
        <v>1</v>
      </c>
    </row>
    <row r="1949" spans="1:13" s="4" customFormat="1" x14ac:dyDescent="0.25">
      <c r="A1949" s="84"/>
      <c r="B1949" s="84"/>
      <c r="D1949" s="13">
        <v>20000</v>
      </c>
      <c r="E1949" s="132" t="str">
        <f>INDEX([1]道具配置表!$D:$D,MATCH(D1949,[1]道具配置表!$A:$A,0))</f>
        <v>技能点1</v>
      </c>
      <c r="F1949" s="84">
        <v>600</v>
      </c>
      <c r="K1949" s="13">
        <v>1</v>
      </c>
      <c r="L1949" s="13"/>
      <c r="M1949" s="84" t="b">
        <v>1</v>
      </c>
    </row>
    <row r="1950" spans="1:13" s="4" customFormat="1" x14ac:dyDescent="0.25">
      <c r="A1950" s="49">
        <v>6609231</v>
      </c>
      <c r="B1950" s="49" t="s">
        <v>650</v>
      </c>
      <c r="D1950" s="13">
        <v>49522</v>
      </c>
      <c r="E1950" s="132" t="str">
        <f>INDEX([1]道具配置表!$D:$D,MATCH(D1950,[1]道具配置表!$A:$A,0))</f>
        <v>传说英雄自选宝箱</v>
      </c>
      <c r="F1950" s="49">
        <v>1</v>
      </c>
      <c r="K1950" s="13">
        <v>1</v>
      </c>
      <c r="L1950" s="13"/>
      <c r="M1950" s="49" t="b">
        <v>1</v>
      </c>
    </row>
    <row r="1951" spans="1:13" s="4" customFormat="1" x14ac:dyDescent="0.25">
      <c r="A1951" s="49"/>
      <c r="B1951" s="49"/>
      <c r="D1951" s="13">
        <v>7228</v>
      </c>
      <c r="E1951" s="132" t="str">
        <f>INDEX([1]道具配置表!$D:$D,MATCH(D1951,[1]道具配置表!$A:$A,0))</f>
        <v>经验书*10000</v>
      </c>
      <c r="F1951" s="49">
        <v>10</v>
      </c>
      <c r="K1951" s="13">
        <v>1</v>
      </c>
      <c r="L1951" s="13"/>
      <c r="M1951" s="49" t="b">
        <v>1</v>
      </c>
    </row>
    <row r="1952" spans="1:13" s="4" customFormat="1" x14ac:dyDescent="0.25">
      <c r="A1952" s="49"/>
      <c r="B1952" s="49"/>
      <c r="D1952" s="13">
        <v>20000</v>
      </c>
      <c r="E1952" s="132" t="str">
        <f>INDEX([1]道具配置表!$D:$D,MATCH(D1952,[1]道具配置表!$A:$A,0))</f>
        <v>技能点1</v>
      </c>
      <c r="F1952" s="49">
        <v>500</v>
      </c>
      <c r="K1952" s="13">
        <v>1</v>
      </c>
      <c r="L1952" s="13"/>
      <c r="M1952" s="49" t="b">
        <v>1</v>
      </c>
    </row>
    <row r="1953" spans="1:13" s="4" customFormat="1" x14ac:dyDescent="0.25">
      <c r="A1953" s="49">
        <v>6609232</v>
      </c>
      <c r="B1953" s="49" t="s">
        <v>651</v>
      </c>
      <c r="D1953" s="13">
        <v>49522</v>
      </c>
      <c r="E1953" s="132" t="str">
        <f>INDEX([1]道具配置表!$D:$D,MATCH(D1953,[1]道具配置表!$A:$A,0))</f>
        <v>传说英雄自选宝箱</v>
      </c>
      <c r="F1953" s="49">
        <v>1</v>
      </c>
      <c r="K1953" s="13">
        <v>1</v>
      </c>
      <c r="L1953" s="13"/>
      <c r="M1953" s="49" t="b">
        <v>1</v>
      </c>
    </row>
    <row r="1954" spans="1:13" s="4" customFormat="1" x14ac:dyDescent="0.25">
      <c r="A1954" s="49"/>
      <c r="B1954" s="49"/>
      <c r="D1954" s="13">
        <v>7228</v>
      </c>
      <c r="E1954" s="132" t="str">
        <f>INDEX([1]道具配置表!$D:$D,MATCH(D1954,[1]道具配置表!$A:$A,0))</f>
        <v>经验书*10000</v>
      </c>
      <c r="F1954" s="49">
        <v>12</v>
      </c>
      <c r="K1954" s="13">
        <v>1</v>
      </c>
      <c r="L1954" s="13"/>
      <c r="M1954" s="49" t="b">
        <v>1</v>
      </c>
    </row>
    <row r="1955" spans="1:13" s="4" customFormat="1" x14ac:dyDescent="0.25">
      <c r="A1955" s="49"/>
      <c r="B1955" s="49"/>
      <c r="D1955" s="13">
        <v>20000</v>
      </c>
      <c r="E1955" s="132" t="str">
        <f>INDEX([1]道具配置表!$D:$D,MATCH(D1955,[1]道具配置表!$A:$A,0))</f>
        <v>技能点1</v>
      </c>
      <c r="F1955" s="49">
        <v>600</v>
      </c>
      <c r="K1955" s="13">
        <v>1</v>
      </c>
      <c r="L1955" s="13"/>
      <c r="M1955" s="49" t="b">
        <v>1</v>
      </c>
    </row>
    <row r="1956" spans="1:13" s="4" customFormat="1" x14ac:dyDescent="0.25">
      <c r="A1956" s="49">
        <v>6609233</v>
      </c>
      <c r="B1956" s="49" t="s">
        <v>652</v>
      </c>
      <c r="D1956" s="13">
        <v>49522</v>
      </c>
      <c r="E1956" s="132" t="str">
        <f>INDEX([1]道具配置表!$D:$D,MATCH(D1956,[1]道具配置表!$A:$A,0))</f>
        <v>传说英雄自选宝箱</v>
      </c>
      <c r="F1956" s="49">
        <v>1</v>
      </c>
      <c r="K1956" s="13">
        <v>1</v>
      </c>
      <c r="L1956" s="13"/>
      <c r="M1956" s="49" t="b">
        <v>1</v>
      </c>
    </row>
    <row r="1957" spans="1:13" s="4" customFormat="1" x14ac:dyDescent="0.25">
      <c r="A1957" s="49"/>
      <c r="B1957" s="49"/>
      <c r="D1957" s="13">
        <v>7228</v>
      </c>
      <c r="E1957" s="132" t="str">
        <f>INDEX([1]道具配置表!$D:$D,MATCH(D1957,[1]道具配置表!$A:$A,0))</f>
        <v>经验书*10000</v>
      </c>
      <c r="F1957" s="49">
        <v>14</v>
      </c>
      <c r="K1957" s="13">
        <v>1</v>
      </c>
      <c r="L1957" s="13"/>
      <c r="M1957" s="49" t="b">
        <v>1</v>
      </c>
    </row>
    <row r="1958" spans="1:13" s="4" customFormat="1" x14ac:dyDescent="0.25">
      <c r="A1958" s="49"/>
      <c r="B1958" s="49"/>
      <c r="D1958" s="13">
        <v>20000</v>
      </c>
      <c r="E1958" s="132" t="str">
        <f>INDEX([1]道具配置表!$D:$D,MATCH(D1958,[1]道具配置表!$A:$A,0))</f>
        <v>技能点1</v>
      </c>
      <c r="F1958" s="49">
        <v>700</v>
      </c>
      <c r="K1958" s="13">
        <v>1</v>
      </c>
      <c r="L1958" s="13"/>
      <c r="M1958" s="49" t="b">
        <v>1</v>
      </c>
    </row>
    <row r="1959" spans="1:13" s="4" customFormat="1" x14ac:dyDescent="0.25">
      <c r="A1959" s="84">
        <v>6609234</v>
      </c>
      <c r="B1959" s="84" t="s">
        <v>1279</v>
      </c>
      <c r="D1959" s="13">
        <v>49522</v>
      </c>
      <c r="E1959" s="132" t="str">
        <f>INDEX([1]道具配置表!$D:$D,MATCH(D1959,[1]道具配置表!$A:$A,0))</f>
        <v>传说英雄自选宝箱</v>
      </c>
      <c r="F1959" s="84">
        <v>1</v>
      </c>
      <c r="K1959" s="13">
        <v>1</v>
      </c>
      <c r="L1959" s="13"/>
      <c r="M1959" s="84" t="b">
        <v>1</v>
      </c>
    </row>
    <row r="1960" spans="1:13" s="4" customFormat="1" x14ac:dyDescent="0.25">
      <c r="A1960" s="84"/>
      <c r="B1960" s="84"/>
      <c r="D1960" s="13">
        <v>7228</v>
      </c>
      <c r="E1960" s="132" t="str">
        <f>INDEX([1]道具配置表!$D:$D,MATCH(D1960,[1]道具配置表!$A:$A,0))</f>
        <v>经验书*10000</v>
      </c>
      <c r="F1960" s="84">
        <v>16</v>
      </c>
      <c r="K1960" s="13">
        <v>1</v>
      </c>
      <c r="L1960" s="13"/>
      <c r="M1960" s="84" t="b">
        <v>1</v>
      </c>
    </row>
    <row r="1961" spans="1:13" s="4" customFormat="1" x14ac:dyDescent="0.25">
      <c r="A1961" s="84"/>
      <c r="B1961" s="84"/>
      <c r="D1961" s="13">
        <v>20000</v>
      </c>
      <c r="E1961" s="132" t="str">
        <f>INDEX([1]道具配置表!$D:$D,MATCH(D1961,[1]道具配置表!$A:$A,0))</f>
        <v>技能点1</v>
      </c>
      <c r="F1961" s="84">
        <v>800</v>
      </c>
      <c r="K1961" s="13">
        <v>1</v>
      </c>
      <c r="L1961" s="13"/>
      <c r="M1961" s="84" t="b">
        <v>1</v>
      </c>
    </row>
    <row r="1962" spans="1:13" s="4" customFormat="1" x14ac:dyDescent="0.25">
      <c r="A1962" s="49">
        <v>6609241</v>
      </c>
      <c r="B1962" s="49" t="s">
        <v>653</v>
      </c>
      <c r="D1962" s="13">
        <v>49522</v>
      </c>
      <c r="E1962" s="132" t="str">
        <f>INDEX([1]道具配置表!$D:$D,MATCH(D1962,[1]道具配置表!$A:$A,0))</f>
        <v>传说英雄自选宝箱</v>
      </c>
      <c r="F1962" s="49">
        <v>1</v>
      </c>
      <c r="K1962" s="13">
        <v>1</v>
      </c>
      <c r="L1962" s="13"/>
      <c r="M1962" s="49" t="b">
        <v>1</v>
      </c>
    </row>
    <row r="1963" spans="1:13" s="4" customFormat="1" x14ac:dyDescent="0.25">
      <c r="A1963" s="49"/>
      <c r="B1963" s="49"/>
      <c r="D1963" s="13">
        <v>7228</v>
      </c>
      <c r="E1963" s="132" t="str">
        <f>INDEX([1]道具配置表!$D:$D,MATCH(D1963,[1]道具配置表!$A:$A,0))</f>
        <v>经验书*10000</v>
      </c>
      <c r="F1963" s="49">
        <v>14</v>
      </c>
      <c r="K1963" s="13">
        <v>1</v>
      </c>
      <c r="L1963" s="13"/>
      <c r="M1963" s="49" t="b">
        <v>1</v>
      </c>
    </row>
    <row r="1964" spans="1:13" s="4" customFormat="1" x14ac:dyDescent="0.25">
      <c r="A1964" s="49"/>
      <c r="B1964" s="49"/>
      <c r="D1964" s="13">
        <v>20000</v>
      </c>
      <c r="E1964" s="132" t="str">
        <f>INDEX([1]道具配置表!$D:$D,MATCH(D1964,[1]道具配置表!$A:$A,0))</f>
        <v>技能点1</v>
      </c>
      <c r="F1964" s="49">
        <v>700</v>
      </c>
      <c r="K1964" s="13">
        <v>1</v>
      </c>
      <c r="L1964" s="13"/>
      <c r="M1964" s="49" t="b">
        <v>1</v>
      </c>
    </row>
    <row r="1965" spans="1:13" s="4" customFormat="1" x14ac:dyDescent="0.25">
      <c r="A1965" s="49">
        <v>6609242</v>
      </c>
      <c r="B1965" s="49" t="s">
        <v>654</v>
      </c>
      <c r="D1965" s="13">
        <v>49522</v>
      </c>
      <c r="E1965" s="132" t="str">
        <f>INDEX([1]道具配置表!$D:$D,MATCH(D1965,[1]道具配置表!$A:$A,0))</f>
        <v>传说英雄自选宝箱</v>
      </c>
      <c r="F1965" s="49">
        <v>1</v>
      </c>
      <c r="K1965" s="13">
        <v>1</v>
      </c>
      <c r="L1965" s="13"/>
      <c r="M1965" s="49" t="b">
        <v>1</v>
      </c>
    </row>
    <row r="1966" spans="1:13" s="4" customFormat="1" x14ac:dyDescent="0.25">
      <c r="A1966" s="49"/>
      <c r="B1966" s="49"/>
      <c r="D1966" s="13">
        <v>7228</v>
      </c>
      <c r="E1966" s="132" t="str">
        <f>INDEX([1]道具配置表!$D:$D,MATCH(D1966,[1]道具配置表!$A:$A,0))</f>
        <v>经验书*10000</v>
      </c>
      <c r="F1966" s="49">
        <v>16</v>
      </c>
      <c r="K1966" s="13">
        <v>1</v>
      </c>
      <c r="L1966" s="13"/>
      <c r="M1966" s="49" t="b">
        <v>1</v>
      </c>
    </row>
    <row r="1967" spans="1:13" s="4" customFormat="1" x14ac:dyDescent="0.25">
      <c r="A1967" s="49"/>
      <c r="B1967" s="49"/>
      <c r="D1967" s="13">
        <v>20000</v>
      </c>
      <c r="E1967" s="132" t="str">
        <f>INDEX([1]道具配置表!$D:$D,MATCH(D1967,[1]道具配置表!$A:$A,0))</f>
        <v>技能点1</v>
      </c>
      <c r="F1967" s="49">
        <v>800</v>
      </c>
      <c r="K1967" s="13">
        <v>1</v>
      </c>
      <c r="L1967" s="13"/>
      <c r="M1967" s="49" t="b">
        <v>1</v>
      </c>
    </row>
    <row r="1968" spans="1:13" s="4" customFormat="1" x14ac:dyDescent="0.25">
      <c r="A1968" s="49">
        <v>6609243</v>
      </c>
      <c r="B1968" s="49" t="s">
        <v>655</v>
      </c>
      <c r="D1968" s="13">
        <v>49522</v>
      </c>
      <c r="E1968" s="132" t="str">
        <f>INDEX([1]道具配置表!$D:$D,MATCH(D1968,[1]道具配置表!$A:$A,0))</f>
        <v>传说英雄自选宝箱</v>
      </c>
      <c r="F1968" s="49">
        <v>1</v>
      </c>
      <c r="K1968" s="13">
        <v>1</v>
      </c>
      <c r="L1968" s="13"/>
      <c r="M1968" s="49" t="b">
        <v>1</v>
      </c>
    </row>
    <row r="1969" spans="1:13" s="4" customFormat="1" x14ac:dyDescent="0.25">
      <c r="A1969" s="49"/>
      <c r="B1969" s="49"/>
      <c r="D1969" s="13">
        <v>7228</v>
      </c>
      <c r="E1969" s="132" t="str">
        <f>INDEX([1]道具配置表!$D:$D,MATCH(D1969,[1]道具配置表!$A:$A,0))</f>
        <v>经验书*10000</v>
      </c>
      <c r="F1969" s="49">
        <v>18</v>
      </c>
      <c r="K1969" s="13">
        <v>1</v>
      </c>
      <c r="L1969" s="13"/>
      <c r="M1969" s="49" t="b">
        <v>1</v>
      </c>
    </row>
    <row r="1970" spans="1:13" s="4" customFormat="1" x14ac:dyDescent="0.25">
      <c r="A1970" s="49"/>
      <c r="B1970" s="49"/>
      <c r="D1970" s="13">
        <v>20000</v>
      </c>
      <c r="E1970" s="132" t="str">
        <f>INDEX([1]道具配置表!$D:$D,MATCH(D1970,[1]道具配置表!$A:$A,0))</f>
        <v>技能点1</v>
      </c>
      <c r="F1970" s="49">
        <v>900</v>
      </c>
      <c r="K1970" s="13">
        <v>1</v>
      </c>
      <c r="L1970" s="13"/>
      <c r="M1970" s="49" t="b">
        <v>1</v>
      </c>
    </row>
    <row r="1971" spans="1:13" s="4" customFormat="1" x14ac:dyDescent="0.25">
      <c r="A1971" s="84">
        <v>6609244</v>
      </c>
      <c r="B1971" s="84" t="s">
        <v>1280</v>
      </c>
      <c r="D1971" s="13">
        <v>49522</v>
      </c>
      <c r="E1971" s="132" t="str">
        <f>INDEX([1]道具配置表!$D:$D,MATCH(D1971,[1]道具配置表!$A:$A,0))</f>
        <v>传说英雄自选宝箱</v>
      </c>
      <c r="F1971" s="84">
        <v>1</v>
      </c>
      <c r="K1971" s="13">
        <v>1</v>
      </c>
      <c r="L1971" s="13"/>
      <c r="M1971" s="84" t="b">
        <v>1</v>
      </c>
    </row>
    <row r="1972" spans="1:13" s="4" customFormat="1" x14ac:dyDescent="0.25">
      <c r="A1972" s="84"/>
      <c r="B1972" s="84"/>
      <c r="D1972" s="13">
        <v>7228</v>
      </c>
      <c r="E1972" s="132" t="str">
        <f>INDEX([1]道具配置表!$D:$D,MATCH(D1972,[1]道具配置表!$A:$A,0))</f>
        <v>经验书*10000</v>
      </c>
      <c r="F1972" s="84">
        <v>20</v>
      </c>
      <c r="K1972" s="13">
        <v>1</v>
      </c>
      <c r="L1972" s="13"/>
      <c r="M1972" s="84" t="b">
        <v>1</v>
      </c>
    </row>
    <row r="1973" spans="1:13" s="4" customFormat="1" x14ac:dyDescent="0.25">
      <c r="A1973" s="84"/>
      <c r="B1973" s="84"/>
      <c r="D1973" s="13">
        <v>20000</v>
      </c>
      <c r="E1973" s="132" t="str">
        <f>INDEX([1]道具配置表!$D:$D,MATCH(D1973,[1]道具配置表!$A:$A,0))</f>
        <v>技能点1</v>
      </c>
      <c r="F1973" s="84">
        <v>1000</v>
      </c>
      <c r="K1973" s="13">
        <v>1</v>
      </c>
      <c r="L1973" s="13"/>
      <c r="M1973" s="84" t="b">
        <v>1</v>
      </c>
    </row>
    <row r="1974" spans="1:13" s="4" customFormat="1" x14ac:dyDescent="0.25">
      <c r="A1974" s="33">
        <v>6609501</v>
      </c>
      <c r="B1974" s="33" t="s">
        <v>553</v>
      </c>
      <c r="D1974" s="13">
        <v>6101</v>
      </c>
      <c r="E1974" s="132" t="str">
        <f>INDEX([1]道具配置表!$D:$D,MATCH(D1974,[1]道具配置表!$A:$A,0))</f>
        <v>5分钟通用加速</v>
      </c>
      <c r="F1974" s="33">
        <v>6</v>
      </c>
      <c r="K1974" s="13">
        <v>1</v>
      </c>
      <c r="L1974" s="13"/>
      <c r="M1974" s="33" t="b">
        <v>1</v>
      </c>
    </row>
    <row r="1975" spans="1:13" s="4" customFormat="1" x14ac:dyDescent="0.25">
      <c r="A1975" s="33"/>
      <c r="B1975" s="33" t="s">
        <v>119</v>
      </c>
      <c r="D1975" s="13">
        <v>7003</v>
      </c>
      <c r="E1975" s="132" t="str">
        <f>INDEX([1]道具配置表!$D:$D,MATCH(D1975,[1]道具配置表!$A:$A,0))</f>
        <v>1银币（立即使用，不进背包）</v>
      </c>
      <c r="F1975" s="33">
        <v>50</v>
      </c>
      <c r="K1975" s="13">
        <v>1</v>
      </c>
      <c r="L1975" s="13"/>
      <c r="M1975" s="33" t="b">
        <v>1</v>
      </c>
    </row>
    <row r="1976" spans="1:13" s="4" customFormat="1" x14ac:dyDescent="0.25">
      <c r="A1976" s="33"/>
      <c r="B1976" s="33" t="s">
        <v>119</v>
      </c>
      <c r="D1976" s="13">
        <v>123001</v>
      </c>
      <c r="E1976" s="132" t="str">
        <f>INDEX([1]道具配置表!$D:$D,MATCH(D1976,[1]道具配置表!$A:$A,0))</f>
        <v>通用紫色碎片</v>
      </c>
      <c r="F1976" s="33">
        <v>5</v>
      </c>
      <c r="K1976" s="13">
        <v>1</v>
      </c>
      <c r="L1976" s="13"/>
      <c r="M1976" s="33" t="b">
        <v>1</v>
      </c>
    </row>
    <row r="1977" spans="1:13" s="4" customFormat="1" x14ac:dyDescent="0.25">
      <c r="A1977" s="33">
        <v>6609502</v>
      </c>
      <c r="B1977" s="33" t="s">
        <v>554</v>
      </c>
      <c r="D1977" s="13">
        <v>6101</v>
      </c>
      <c r="E1977" s="132" t="str">
        <f>INDEX([1]道具配置表!$D:$D,MATCH(D1977,[1]道具配置表!$A:$A,0))</f>
        <v>5分钟通用加速</v>
      </c>
      <c r="F1977" s="33">
        <v>8</v>
      </c>
      <c r="K1977" s="13">
        <v>1</v>
      </c>
      <c r="L1977" s="13"/>
      <c r="M1977" s="33" t="b">
        <v>1</v>
      </c>
    </row>
    <row r="1978" spans="1:13" s="4" customFormat="1" x14ac:dyDescent="0.25">
      <c r="A1978" s="33"/>
      <c r="B1978" s="33" t="s">
        <v>119</v>
      </c>
      <c r="D1978" s="13">
        <v>7003</v>
      </c>
      <c r="E1978" s="132" t="str">
        <f>INDEX([1]道具配置表!$D:$D,MATCH(D1978,[1]道具配置表!$A:$A,0))</f>
        <v>1银币（立即使用，不进背包）</v>
      </c>
      <c r="F1978" s="33">
        <v>100</v>
      </c>
      <c r="K1978" s="13">
        <v>1</v>
      </c>
      <c r="L1978" s="13"/>
      <c r="M1978" s="33" t="b">
        <v>1</v>
      </c>
    </row>
    <row r="1979" spans="1:13" s="4" customFormat="1" x14ac:dyDescent="0.25">
      <c r="A1979" s="33"/>
      <c r="B1979" s="33" t="s">
        <v>119</v>
      </c>
      <c r="D1979" s="13">
        <v>123001</v>
      </c>
      <c r="E1979" s="132" t="str">
        <f>INDEX([1]道具配置表!$D:$D,MATCH(D1979,[1]道具配置表!$A:$A,0))</f>
        <v>通用紫色碎片</v>
      </c>
      <c r="F1979" s="33">
        <v>10</v>
      </c>
      <c r="K1979" s="13">
        <v>1</v>
      </c>
      <c r="L1979" s="13"/>
      <c r="M1979" s="33" t="b">
        <v>1</v>
      </c>
    </row>
    <row r="1980" spans="1:13" s="4" customFormat="1" x14ac:dyDescent="0.25">
      <c r="A1980" s="33">
        <v>6609503</v>
      </c>
      <c r="B1980" s="33" t="s">
        <v>555</v>
      </c>
      <c r="D1980" s="13">
        <v>6101</v>
      </c>
      <c r="E1980" s="132" t="str">
        <f>INDEX([1]道具配置表!$D:$D,MATCH(D1980,[1]道具配置表!$A:$A,0))</f>
        <v>5分钟通用加速</v>
      </c>
      <c r="F1980" s="33">
        <v>10</v>
      </c>
      <c r="K1980" s="13">
        <v>1</v>
      </c>
      <c r="L1980" s="13"/>
      <c r="M1980" s="33" t="b">
        <v>1</v>
      </c>
    </row>
    <row r="1981" spans="1:13" s="4" customFormat="1" x14ac:dyDescent="0.25">
      <c r="A1981" s="33"/>
      <c r="B1981" s="33" t="s">
        <v>119</v>
      </c>
      <c r="D1981" s="13">
        <v>7003</v>
      </c>
      <c r="E1981" s="132" t="str">
        <f>INDEX([1]道具配置表!$D:$D,MATCH(D1981,[1]道具配置表!$A:$A,0))</f>
        <v>1银币（立即使用，不进背包）</v>
      </c>
      <c r="F1981" s="33">
        <v>150</v>
      </c>
      <c r="K1981" s="13">
        <v>1</v>
      </c>
      <c r="L1981" s="13"/>
      <c r="M1981" s="33" t="b">
        <v>1</v>
      </c>
    </row>
    <row r="1982" spans="1:13" s="4" customFormat="1" x14ac:dyDescent="0.25">
      <c r="A1982" s="33"/>
      <c r="B1982" s="33" t="s">
        <v>119</v>
      </c>
      <c r="D1982" s="13">
        <v>123002</v>
      </c>
      <c r="E1982" s="132" t="str">
        <f>INDEX([1]道具配置表!$D:$D,MATCH(D1982,[1]道具配置表!$A:$A,0))</f>
        <v>通用橙色碎片</v>
      </c>
      <c r="F1982" s="33">
        <v>5</v>
      </c>
      <c r="K1982" s="13">
        <v>1</v>
      </c>
      <c r="L1982" s="13"/>
      <c r="M1982" s="33" t="b">
        <v>1</v>
      </c>
    </row>
    <row r="1983" spans="1:13" s="4" customFormat="1" x14ac:dyDescent="0.25">
      <c r="A1983" s="33">
        <v>6609504</v>
      </c>
      <c r="B1983" s="33" t="s">
        <v>556</v>
      </c>
      <c r="D1983" s="13">
        <v>6101</v>
      </c>
      <c r="E1983" s="132" t="str">
        <f>INDEX([1]道具配置表!$D:$D,MATCH(D1983,[1]道具配置表!$A:$A,0))</f>
        <v>5分钟通用加速</v>
      </c>
      <c r="F1983" s="33">
        <v>10</v>
      </c>
      <c r="K1983" s="13">
        <v>1</v>
      </c>
      <c r="L1983" s="13"/>
      <c r="M1983" s="33" t="b">
        <v>1</v>
      </c>
    </row>
    <row r="1984" spans="1:13" s="4" customFormat="1" x14ac:dyDescent="0.25">
      <c r="A1984" s="33"/>
      <c r="B1984" s="33" t="s">
        <v>119</v>
      </c>
      <c r="D1984" s="13">
        <v>7003</v>
      </c>
      <c r="E1984" s="132" t="str">
        <f>INDEX([1]道具配置表!$D:$D,MATCH(D1984,[1]道具配置表!$A:$A,0))</f>
        <v>1银币（立即使用，不进背包）</v>
      </c>
      <c r="F1984" s="33">
        <v>50</v>
      </c>
      <c r="K1984" s="13">
        <v>1</v>
      </c>
      <c r="L1984" s="13"/>
      <c r="M1984" s="33" t="b">
        <v>1</v>
      </c>
    </row>
    <row r="1985" spans="1:13" s="4" customFormat="1" x14ac:dyDescent="0.25">
      <c r="A1985" s="33"/>
      <c r="B1985" s="33" t="s">
        <v>119</v>
      </c>
      <c r="D1985" s="13">
        <v>123001</v>
      </c>
      <c r="E1985" s="132" t="str">
        <f>INDEX([1]道具配置表!$D:$D,MATCH(D1985,[1]道具配置表!$A:$A,0))</f>
        <v>通用紫色碎片</v>
      </c>
      <c r="F1985" s="33">
        <v>5</v>
      </c>
      <c r="K1985" s="13">
        <v>1</v>
      </c>
      <c r="L1985" s="13"/>
      <c r="M1985" s="33" t="b">
        <v>1</v>
      </c>
    </row>
    <row r="1986" spans="1:13" s="4" customFormat="1" x14ac:dyDescent="0.25">
      <c r="A1986" s="33">
        <v>6609505</v>
      </c>
      <c r="B1986" s="33" t="s">
        <v>557</v>
      </c>
      <c r="D1986" s="13">
        <v>6101</v>
      </c>
      <c r="E1986" s="132" t="str">
        <f>INDEX([1]道具配置表!$D:$D,MATCH(D1986,[1]道具配置表!$A:$A,0))</f>
        <v>5分钟通用加速</v>
      </c>
      <c r="F1986" s="33">
        <v>15</v>
      </c>
      <c r="K1986" s="13">
        <v>1</v>
      </c>
      <c r="L1986" s="13"/>
      <c r="M1986" s="33" t="b">
        <v>1</v>
      </c>
    </row>
    <row r="1987" spans="1:13" s="4" customFormat="1" x14ac:dyDescent="0.25">
      <c r="A1987" s="33"/>
      <c r="B1987" s="33" t="s">
        <v>119</v>
      </c>
      <c r="D1987" s="13">
        <v>7003</v>
      </c>
      <c r="E1987" s="132" t="str">
        <f>INDEX([1]道具配置表!$D:$D,MATCH(D1987,[1]道具配置表!$A:$A,0))</f>
        <v>1银币（立即使用，不进背包）</v>
      </c>
      <c r="F1987" s="33">
        <v>100</v>
      </c>
      <c r="K1987" s="13">
        <v>1</v>
      </c>
      <c r="L1987" s="13"/>
      <c r="M1987" s="33" t="b">
        <v>1</v>
      </c>
    </row>
    <row r="1988" spans="1:13" s="4" customFormat="1" x14ac:dyDescent="0.25">
      <c r="A1988" s="33"/>
      <c r="B1988" s="33" t="s">
        <v>119</v>
      </c>
      <c r="D1988" s="13">
        <v>123001</v>
      </c>
      <c r="E1988" s="132" t="str">
        <f>INDEX([1]道具配置表!$D:$D,MATCH(D1988,[1]道具配置表!$A:$A,0))</f>
        <v>通用紫色碎片</v>
      </c>
      <c r="F1988" s="33">
        <v>10</v>
      </c>
      <c r="K1988" s="13">
        <v>1</v>
      </c>
      <c r="L1988" s="13"/>
      <c r="M1988" s="33" t="b">
        <v>1</v>
      </c>
    </row>
    <row r="1989" spans="1:13" s="4" customFormat="1" x14ac:dyDescent="0.25">
      <c r="A1989" s="33">
        <v>6609506</v>
      </c>
      <c r="B1989" s="33" t="s">
        <v>558</v>
      </c>
      <c r="D1989" s="13">
        <v>6101</v>
      </c>
      <c r="E1989" s="132" t="str">
        <f>INDEX([1]道具配置表!$D:$D,MATCH(D1989,[1]道具配置表!$A:$A,0))</f>
        <v>5分钟通用加速</v>
      </c>
      <c r="F1989" s="33">
        <v>20</v>
      </c>
      <c r="K1989" s="13">
        <v>1</v>
      </c>
      <c r="L1989" s="13"/>
      <c r="M1989" s="33" t="b">
        <v>1</v>
      </c>
    </row>
    <row r="1990" spans="1:13" s="4" customFormat="1" x14ac:dyDescent="0.25">
      <c r="A1990" s="33"/>
      <c r="B1990" s="33" t="s">
        <v>119</v>
      </c>
      <c r="D1990" s="13">
        <v>7003</v>
      </c>
      <c r="E1990" s="132" t="str">
        <f>INDEX([1]道具配置表!$D:$D,MATCH(D1990,[1]道具配置表!$A:$A,0))</f>
        <v>1银币（立即使用，不进背包）</v>
      </c>
      <c r="F1990" s="33">
        <v>150</v>
      </c>
      <c r="K1990" s="13">
        <v>1</v>
      </c>
      <c r="L1990" s="13"/>
      <c r="M1990" s="33" t="b">
        <v>1</v>
      </c>
    </row>
    <row r="1991" spans="1:13" s="4" customFormat="1" x14ac:dyDescent="0.25">
      <c r="A1991" s="33"/>
      <c r="B1991" s="33" t="s">
        <v>119</v>
      </c>
      <c r="D1991" s="13">
        <v>123002</v>
      </c>
      <c r="E1991" s="132" t="str">
        <f>INDEX([1]道具配置表!$D:$D,MATCH(D1991,[1]道具配置表!$A:$A,0))</f>
        <v>通用橙色碎片</v>
      </c>
      <c r="F1991" s="33">
        <v>5</v>
      </c>
      <c r="K1991" s="13">
        <v>1</v>
      </c>
      <c r="L1991" s="13"/>
      <c r="M1991" s="33" t="b">
        <v>1</v>
      </c>
    </row>
    <row r="1992" spans="1:13" s="4" customFormat="1" x14ac:dyDescent="0.25">
      <c r="A1992" s="33">
        <v>6609507</v>
      </c>
      <c r="B1992" s="33" t="s">
        <v>559</v>
      </c>
      <c r="D1992" s="13">
        <v>6101</v>
      </c>
      <c r="E1992" s="132" t="str">
        <f>INDEX([1]道具配置表!$D:$D,MATCH(D1992,[1]道具配置表!$A:$A,0))</f>
        <v>5分钟通用加速</v>
      </c>
      <c r="F1992" s="33">
        <v>20</v>
      </c>
      <c r="K1992" s="13">
        <v>1</v>
      </c>
      <c r="L1992" s="13"/>
      <c r="M1992" s="33" t="b">
        <v>1</v>
      </c>
    </row>
    <row r="1993" spans="1:13" s="4" customFormat="1" x14ac:dyDescent="0.25">
      <c r="A1993" s="33"/>
      <c r="B1993" s="33" t="s">
        <v>119</v>
      </c>
      <c r="D1993" s="13">
        <v>7003</v>
      </c>
      <c r="E1993" s="132" t="str">
        <f>INDEX([1]道具配置表!$D:$D,MATCH(D1993,[1]道具配置表!$A:$A,0))</f>
        <v>1银币（立即使用，不进背包）</v>
      </c>
      <c r="F1993" s="33">
        <v>50</v>
      </c>
      <c r="K1993" s="13">
        <v>1</v>
      </c>
      <c r="L1993" s="13"/>
      <c r="M1993" s="33" t="b">
        <v>1</v>
      </c>
    </row>
    <row r="1994" spans="1:13" s="4" customFormat="1" x14ac:dyDescent="0.25">
      <c r="A1994" s="33"/>
      <c r="B1994" s="33" t="s">
        <v>119</v>
      </c>
      <c r="D1994" s="13">
        <v>123001</v>
      </c>
      <c r="E1994" s="132" t="str">
        <f>INDEX([1]道具配置表!$D:$D,MATCH(D1994,[1]道具配置表!$A:$A,0))</f>
        <v>通用紫色碎片</v>
      </c>
      <c r="F1994" s="33">
        <v>5</v>
      </c>
      <c r="K1994" s="13">
        <v>1</v>
      </c>
      <c r="L1994" s="13"/>
      <c r="M1994" s="33" t="b">
        <v>1</v>
      </c>
    </row>
    <row r="1995" spans="1:13" s="4" customFormat="1" x14ac:dyDescent="0.25">
      <c r="A1995" s="33">
        <v>6609508</v>
      </c>
      <c r="B1995" s="33" t="s">
        <v>560</v>
      </c>
      <c r="D1995" s="13">
        <v>6101</v>
      </c>
      <c r="E1995" s="132" t="str">
        <f>INDEX([1]道具配置表!$D:$D,MATCH(D1995,[1]道具配置表!$A:$A,0))</f>
        <v>5分钟通用加速</v>
      </c>
      <c r="F1995" s="33">
        <v>25</v>
      </c>
      <c r="K1995" s="13">
        <v>1</v>
      </c>
      <c r="L1995" s="13"/>
      <c r="M1995" s="33" t="b">
        <v>1</v>
      </c>
    </row>
    <row r="1996" spans="1:13" s="4" customFormat="1" x14ac:dyDescent="0.25">
      <c r="A1996" s="33"/>
      <c r="B1996" s="33" t="s">
        <v>119</v>
      </c>
      <c r="D1996" s="13">
        <v>7003</v>
      </c>
      <c r="E1996" s="132" t="str">
        <f>INDEX([1]道具配置表!$D:$D,MATCH(D1996,[1]道具配置表!$A:$A,0))</f>
        <v>1银币（立即使用，不进背包）</v>
      </c>
      <c r="F1996" s="33">
        <v>100</v>
      </c>
      <c r="K1996" s="13">
        <v>1</v>
      </c>
      <c r="L1996" s="13"/>
      <c r="M1996" s="33" t="b">
        <v>1</v>
      </c>
    </row>
    <row r="1997" spans="1:13" s="4" customFormat="1" x14ac:dyDescent="0.25">
      <c r="A1997" s="33"/>
      <c r="B1997" s="33" t="s">
        <v>119</v>
      </c>
      <c r="D1997" s="13">
        <v>123001</v>
      </c>
      <c r="E1997" s="132" t="str">
        <f>INDEX([1]道具配置表!$D:$D,MATCH(D1997,[1]道具配置表!$A:$A,0))</f>
        <v>通用紫色碎片</v>
      </c>
      <c r="F1997" s="33">
        <v>10</v>
      </c>
      <c r="K1997" s="13">
        <v>1</v>
      </c>
      <c r="L1997" s="13"/>
      <c r="M1997" s="33" t="b">
        <v>1</v>
      </c>
    </row>
    <row r="1998" spans="1:13" s="4" customFormat="1" x14ac:dyDescent="0.25">
      <c r="A1998" s="33">
        <v>6609509</v>
      </c>
      <c r="B1998" s="33" t="s">
        <v>561</v>
      </c>
      <c r="D1998" s="13">
        <v>6101</v>
      </c>
      <c r="E1998" s="132" t="str">
        <f>INDEX([1]道具配置表!$D:$D,MATCH(D1998,[1]道具配置表!$A:$A,0))</f>
        <v>5分钟通用加速</v>
      </c>
      <c r="F1998" s="33">
        <v>30</v>
      </c>
      <c r="K1998" s="13">
        <v>1</v>
      </c>
      <c r="L1998" s="13"/>
      <c r="M1998" s="33" t="b">
        <v>1</v>
      </c>
    </row>
    <row r="1999" spans="1:13" s="4" customFormat="1" x14ac:dyDescent="0.25">
      <c r="A1999" s="33"/>
      <c r="B1999" s="33" t="s">
        <v>119</v>
      </c>
      <c r="D1999" s="13">
        <v>7003</v>
      </c>
      <c r="E1999" s="132" t="str">
        <f>INDEX([1]道具配置表!$D:$D,MATCH(D1999,[1]道具配置表!$A:$A,0))</f>
        <v>1银币（立即使用，不进背包）</v>
      </c>
      <c r="F1999" s="33">
        <v>150</v>
      </c>
      <c r="K1999" s="13">
        <v>1</v>
      </c>
      <c r="L1999" s="13"/>
      <c r="M1999" s="33" t="b">
        <v>1</v>
      </c>
    </row>
    <row r="2000" spans="1:13" s="4" customFormat="1" x14ac:dyDescent="0.25">
      <c r="A2000" s="33"/>
      <c r="B2000" s="33" t="s">
        <v>119</v>
      </c>
      <c r="D2000" s="13">
        <v>123002</v>
      </c>
      <c r="E2000" s="132" t="str">
        <f>INDEX([1]道具配置表!$D:$D,MATCH(D2000,[1]道具配置表!$A:$A,0))</f>
        <v>通用橙色碎片</v>
      </c>
      <c r="F2000" s="33">
        <v>5</v>
      </c>
      <c r="K2000" s="13">
        <v>1</v>
      </c>
      <c r="L2000" s="13"/>
      <c r="M2000" s="33" t="b">
        <v>1</v>
      </c>
    </row>
    <row r="2001" spans="1:13" s="4" customFormat="1" x14ac:dyDescent="0.25">
      <c r="A2001" s="33">
        <v>6609510</v>
      </c>
      <c r="B2001" s="33" t="s">
        <v>562</v>
      </c>
      <c r="D2001" s="13">
        <v>6101</v>
      </c>
      <c r="E2001" s="132" t="str">
        <f>INDEX([1]道具配置表!$D:$D,MATCH(D2001,[1]道具配置表!$A:$A,0))</f>
        <v>5分钟通用加速</v>
      </c>
      <c r="F2001" s="33">
        <v>30</v>
      </c>
      <c r="K2001" s="13">
        <v>1</v>
      </c>
      <c r="L2001" s="13"/>
      <c r="M2001" s="33" t="b">
        <v>1</v>
      </c>
    </row>
    <row r="2002" spans="1:13" s="4" customFormat="1" x14ac:dyDescent="0.25">
      <c r="A2002" s="33"/>
      <c r="B2002" s="33" t="s">
        <v>119</v>
      </c>
      <c r="D2002" s="13">
        <v>7003</v>
      </c>
      <c r="E2002" s="132" t="str">
        <f>INDEX([1]道具配置表!$D:$D,MATCH(D2002,[1]道具配置表!$A:$A,0))</f>
        <v>1银币（立即使用，不进背包）</v>
      </c>
      <c r="F2002" s="33">
        <v>50</v>
      </c>
      <c r="K2002" s="13">
        <v>1</v>
      </c>
      <c r="L2002" s="13"/>
      <c r="M2002" s="33" t="b">
        <v>1</v>
      </c>
    </row>
    <row r="2003" spans="1:13" s="4" customFormat="1" x14ac:dyDescent="0.25">
      <c r="A2003" s="33"/>
      <c r="B2003" s="33" t="s">
        <v>119</v>
      </c>
      <c r="D2003" s="13">
        <v>123001</v>
      </c>
      <c r="E2003" s="132" t="str">
        <f>INDEX([1]道具配置表!$D:$D,MATCH(D2003,[1]道具配置表!$A:$A,0))</f>
        <v>通用紫色碎片</v>
      </c>
      <c r="F2003" s="33">
        <v>5</v>
      </c>
      <c r="K2003" s="13">
        <v>1</v>
      </c>
      <c r="L2003" s="13"/>
      <c r="M2003" s="33" t="b">
        <v>1</v>
      </c>
    </row>
    <row r="2004" spans="1:13" s="4" customFormat="1" x14ac:dyDescent="0.25">
      <c r="A2004" s="33">
        <v>6609511</v>
      </c>
      <c r="B2004" s="33" t="s">
        <v>563</v>
      </c>
      <c r="D2004" s="13">
        <v>6101</v>
      </c>
      <c r="E2004" s="132" t="str">
        <f>INDEX([1]道具配置表!$D:$D,MATCH(D2004,[1]道具配置表!$A:$A,0))</f>
        <v>5分钟通用加速</v>
      </c>
      <c r="F2004" s="33">
        <v>35</v>
      </c>
      <c r="K2004" s="13">
        <v>1</v>
      </c>
      <c r="L2004" s="13"/>
      <c r="M2004" s="33" t="b">
        <v>1</v>
      </c>
    </row>
    <row r="2005" spans="1:13" s="4" customFormat="1" x14ac:dyDescent="0.25">
      <c r="A2005" s="33"/>
      <c r="B2005" s="33" t="s">
        <v>119</v>
      </c>
      <c r="D2005" s="13">
        <v>7003</v>
      </c>
      <c r="E2005" s="132" t="str">
        <f>INDEX([1]道具配置表!$D:$D,MATCH(D2005,[1]道具配置表!$A:$A,0))</f>
        <v>1银币（立即使用，不进背包）</v>
      </c>
      <c r="F2005" s="33">
        <v>100</v>
      </c>
      <c r="K2005" s="13">
        <v>1</v>
      </c>
      <c r="L2005" s="13"/>
      <c r="M2005" s="33" t="b">
        <v>1</v>
      </c>
    </row>
    <row r="2006" spans="1:13" s="4" customFormat="1" x14ac:dyDescent="0.25">
      <c r="A2006" s="33"/>
      <c r="B2006" s="33" t="s">
        <v>119</v>
      </c>
      <c r="D2006" s="13">
        <v>123001</v>
      </c>
      <c r="E2006" s="132" t="str">
        <f>INDEX([1]道具配置表!$D:$D,MATCH(D2006,[1]道具配置表!$A:$A,0))</f>
        <v>通用紫色碎片</v>
      </c>
      <c r="F2006" s="33">
        <v>10</v>
      </c>
      <c r="K2006" s="13">
        <v>1</v>
      </c>
      <c r="L2006" s="13"/>
      <c r="M2006" s="33" t="b">
        <v>1</v>
      </c>
    </row>
    <row r="2007" spans="1:13" s="4" customFormat="1" x14ac:dyDescent="0.25">
      <c r="A2007" s="33">
        <v>6609512</v>
      </c>
      <c r="B2007" s="33" t="s">
        <v>564</v>
      </c>
      <c r="D2007" s="13">
        <v>6101</v>
      </c>
      <c r="E2007" s="132" t="str">
        <f>INDEX([1]道具配置表!$D:$D,MATCH(D2007,[1]道具配置表!$A:$A,0))</f>
        <v>5分钟通用加速</v>
      </c>
      <c r="F2007" s="33">
        <v>40</v>
      </c>
      <c r="K2007" s="13">
        <v>1</v>
      </c>
      <c r="L2007" s="13"/>
      <c r="M2007" s="33" t="b">
        <v>1</v>
      </c>
    </row>
    <row r="2008" spans="1:13" s="4" customFormat="1" x14ac:dyDescent="0.25">
      <c r="A2008" s="33"/>
      <c r="B2008" s="33" t="s">
        <v>119</v>
      </c>
      <c r="D2008" s="13">
        <v>7003</v>
      </c>
      <c r="E2008" s="132" t="str">
        <f>INDEX([1]道具配置表!$D:$D,MATCH(D2008,[1]道具配置表!$A:$A,0))</f>
        <v>1银币（立即使用，不进背包）</v>
      </c>
      <c r="F2008" s="33">
        <v>150</v>
      </c>
      <c r="K2008" s="13">
        <v>1</v>
      </c>
      <c r="L2008" s="13"/>
      <c r="M2008" s="33" t="b">
        <v>1</v>
      </c>
    </row>
    <row r="2009" spans="1:13" s="4" customFormat="1" x14ac:dyDescent="0.25">
      <c r="A2009" s="33"/>
      <c r="B2009" s="33" t="s">
        <v>119</v>
      </c>
      <c r="D2009" s="13">
        <v>123002</v>
      </c>
      <c r="E2009" s="132" t="str">
        <f>INDEX([1]道具配置表!$D:$D,MATCH(D2009,[1]道具配置表!$A:$A,0))</f>
        <v>通用橙色碎片</v>
      </c>
      <c r="F2009" s="33">
        <v>5</v>
      </c>
      <c r="K2009" s="13">
        <v>1</v>
      </c>
      <c r="L2009" s="13"/>
      <c r="M2009" s="33" t="b">
        <v>1</v>
      </c>
    </row>
    <row r="2010" spans="1:13" s="4" customFormat="1" x14ac:dyDescent="0.25">
      <c r="A2010" s="33">
        <v>6609513</v>
      </c>
      <c r="B2010" s="33" t="s">
        <v>565</v>
      </c>
      <c r="D2010" s="13">
        <v>6101</v>
      </c>
      <c r="E2010" s="132" t="str">
        <f>INDEX([1]道具配置表!$D:$D,MATCH(D2010,[1]道具配置表!$A:$A,0))</f>
        <v>5分钟通用加速</v>
      </c>
      <c r="F2010" s="33">
        <v>40</v>
      </c>
      <c r="K2010" s="13">
        <v>1</v>
      </c>
      <c r="L2010" s="13"/>
      <c r="M2010" s="33" t="b">
        <v>1</v>
      </c>
    </row>
    <row r="2011" spans="1:13" s="4" customFormat="1" x14ac:dyDescent="0.25">
      <c r="A2011" s="33"/>
      <c r="B2011" s="33" t="s">
        <v>119</v>
      </c>
      <c r="D2011" s="13">
        <v>7003</v>
      </c>
      <c r="E2011" s="132" t="str">
        <f>INDEX([1]道具配置表!$D:$D,MATCH(D2011,[1]道具配置表!$A:$A,0))</f>
        <v>1银币（立即使用，不进背包）</v>
      </c>
      <c r="F2011" s="33">
        <v>50</v>
      </c>
      <c r="K2011" s="13">
        <v>1</v>
      </c>
      <c r="L2011" s="13"/>
      <c r="M2011" s="33" t="b">
        <v>1</v>
      </c>
    </row>
    <row r="2012" spans="1:13" s="4" customFormat="1" x14ac:dyDescent="0.25">
      <c r="A2012" s="33"/>
      <c r="B2012" s="33" t="s">
        <v>119</v>
      </c>
      <c r="D2012" s="13">
        <v>123001</v>
      </c>
      <c r="E2012" s="132" t="str">
        <f>INDEX([1]道具配置表!$D:$D,MATCH(D2012,[1]道具配置表!$A:$A,0))</f>
        <v>通用紫色碎片</v>
      </c>
      <c r="F2012" s="33">
        <v>5</v>
      </c>
      <c r="K2012" s="13">
        <v>1</v>
      </c>
      <c r="L2012" s="13"/>
      <c r="M2012" s="33" t="b">
        <v>1</v>
      </c>
    </row>
    <row r="2013" spans="1:13" s="4" customFormat="1" x14ac:dyDescent="0.25">
      <c r="A2013" s="33">
        <v>6609514</v>
      </c>
      <c r="B2013" s="33" t="s">
        <v>566</v>
      </c>
      <c r="D2013" s="13">
        <v>6101</v>
      </c>
      <c r="E2013" s="132" t="str">
        <f>INDEX([1]道具配置表!$D:$D,MATCH(D2013,[1]道具配置表!$A:$A,0))</f>
        <v>5分钟通用加速</v>
      </c>
      <c r="F2013" s="33">
        <v>45</v>
      </c>
      <c r="K2013" s="13">
        <v>1</v>
      </c>
      <c r="L2013" s="13"/>
      <c r="M2013" s="33" t="b">
        <v>1</v>
      </c>
    </row>
    <row r="2014" spans="1:13" s="4" customFormat="1" x14ac:dyDescent="0.25">
      <c r="A2014" s="33"/>
      <c r="B2014" s="33" t="s">
        <v>119</v>
      </c>
      <c r="D2014" s="13">
        <v>7003</v>
      </c>
      <c r="E2014" s="132" t="str">
        <f>INDEX([1]道具配置表!$D:$D,MATCH(D2014,[1]道具配置表!$A:$A,0))</f>
        <v>1银币（立即使用，不进背包）</v>
      </c>
      <c r="F2014" s="33">
        <v>100</v>
      </c>
      <c r="K2014" s="13">
        <v>1</v>
      </c>
      <c r="L2014" s="13"/>
      <c r="M2014" s="33" t="b">
        <v>1</v>
      </c>
    </row>
    <row r="2015" spans="1:13" s="4" customFormat="1" x14ac:dyDescent="0.25">
      <c r="A2015" s="33"/>
      <c r="B2015" s="33" t="s">
        <v>119</v>
      </c>
      <c r="D2015" s="13">
        <v>123001</v>
      </c>
      <c r="E2015" s="132" t="str">
        <f>INDEX([1]道具配置表!$D:$D,MATCH(D2015,[1]道具配置表!$A:$A,0))</f>
        <v>通用紫色碎片</v>
      </c>
      <c r="F2015" s="33">
        <v>10</v>
      </c>
      <c r="K2015" s="13">
        <v>1</v>
      </c>
      <c r="L2015" s="13"/>
      <c r="M2015" s="33" t="b">
        <v>1</v>
      </c>
    </row>
    <row r="2016" spans="1:13" s="4" customFormat="1" x14ac:dyDescent="0.25">
      <c r="A2016" s="33">
        <v>6609515</v>
      </c>
      <c r="B2016" s="33" t="s">
        <v>567</v>
      </c>
      <c r="D2016" s="13">
        <v>6101</v>
      </c>
      <c r="E2016" s="132" t="str">
        <f>INDEX([1]道具配置表!$D:$D,MATCH(D2016,[1]道具配置表!$A:$A,0))</f>
        <v>5分钟通用加速</v>
      </c>
      <c r="F2016" s="33">
        <v>50</v>
      </c>
      <c r="K2016" s="13">
        <v>1</v>
      </c>
      <c r="L2016" s="13"/>
      <c r="M2016" s="33" t="b">
        <v>1</v>
      </c>
    </row>
    <row r="2017" spans="1:13" s="4" customFormat="1" x14ac:dyDescent="0.25">
      <c r="A2017" s="33"/>
      <c r="B2017" s="33" t="s">
        <v>119</v>
      </c>
      <c r="D2017" s="13">
        <v>7003</v>
      </c>
      <c r="E2017" s="132" t="str">
        <f>INDEX([1]道具配置表!$D:$D,MATCH(D2017,[1]道具配置表!$A:$A,0))</f>
        <v>1银币（立即使用，不进背包）</v>
      </c>
      <c r="F2017" s="33">
        <v>150</v>
      </c>
      <c r="K2017" s="13">
        <v>1</v>
      </c>
      <c r="L2017" s="13"/>
      <c r="M2017" s="33" t="b">
        <v>1</v>
      </c>
    </row>
    <row r="2018" spans="1:13" s="4" customFormat="1" x14ac:dyDescent="0.25">
      <c r="A2018" s="33"/>
      <c r="B2018" s="33" t="s">
        <v>119</v>
      </c>
      <c r="D2018" s="13">
        <v>123002</v>
      </c>
      <c r="E2018" s="132" t="str">
        <f>INDEX([1]道具配置表!$D:$D,MATCH(D2018,[1]道具配置表!$A:$A,0))</f>
        <v>通用橙色碎片</v>
      </c>
      <c r="F2018" s="33">
        <v>5</v>
      </c>
      <c r="K2018" s="13">
        <v>1</v>
      </c>
      <c r="L2018" s="13"/>
      <c r="M2018" s="33" t="b">
        <v>1</v>
      </c>
    </row>
    <row r="2019" spans="1:13" s="4" customFormat="1" x14ac:dyDescent="0.25">
      <c r="A2019" s="33">
        <v>6609516</v>
      </c>
      <c r="B2019" s="33" t="s">
        <v>568</v>
      </c>
      <c r="D2019" s="13">
        <v>6101</v>
      </c>
      <c r="E2019" s="132" t="str">
        <f>INDEX([1]道具配置表!$D:$D,MATCH(D2019,[1]道具配置表!$A:$A,0))</f>
        <v>5分钟通用加速</v>
      </c>
      <c r="F2019" s="33">
        <v>50</v>
      </c>
      <c r="K2019" s="13">
        <v>1</v>
      </c>
      <c r="L2019" s="13"/>
      <c r="M2019" s="33" t="b">
        <v>1</v>
      </c>
    </row>
    <row r="2020" spans="1:13" s="4" customFormat="1" x14ac:dyDescent="0.25">
      <c r="A2020" s="33"/>
      <c r="B2020" s="33" t="s">
        <v>119</v>
      </c>
      <c r="D2020" s="13">
        <v>7003</v>
      </c>
      <c r="E2020" s="132" t="str">
        <f>INDEX([1]道具配置表!$D:$D,MATCH(D2020,[1]道具配置表!$A:$A,0))</f>
        <v>1银币（立即使用，不进背包）</v>
      </c>
      <c r="F2020" s="33">
        <v>50</v>
      </c>
      <c r="K2020" s="13">
        <v>1</v>
      </c>
      <c r="L2020" s="13"/>
      <c r="M2020" s="33" t="b">
        <v>1</v>
      </c>
    </row>
    <row r="2021" spans="1:13" s="4" customFormat="1" x14ac:dyDescent="0.25">
      <c r="A2021" s="33"/>
      <c r="B2021" s="33" t="s">
        <v>119</v>
      </c>
      <c r="D2021" s="13">
        <v>123001</v>
      </c>
      <c r="E2021" s="132" t="str">
        <f>INDEX([1]道具配置表!$D:$D,MATCH(D2021,[1]道具配置表!$A:$A,0))</f>
        <v>通用紫色碎片</v>
      </c>
      <c r="F2021" s="33">
        <v>5</v>
      </c>
      <c r="K2021" s="13">
        <v>1</v>
      </c>
      <c r="L2021" s="13"/>
      <c r="M2021" s="33" t="b">
        <v>1</v>
      </c>
    </row>
    <row r="2022" spans="1:13" s="4" customFormat="1" x14ac:dyDescent="0.25">
      <c r="A2022" s="33">
        <v>6609517</v>
      </c>
      <c r="B2022" s="33" t="s">
        <v>569</v>
      </c>
      <c r="D2022" s="13">
        <v>6101</v>
      </c>
      <c r="E2022" s="132" t="str">
        <f>INDEX([1]道具配置表!$D:$D,MATCH(D2022,[1]道具配置表!$A:$A,0))</f>
        <v>5分钟通用加速</v>
      </c>
      <c r="F2022" s="33">
        <v>55</v>
      </c>
      <c r="K2022" s="13">
        <v>1</v>
      </c>
      <c r="L2022" s="13"/>
      <c r="M2022" s="33" t="b">
        <v>1</v>
      </c>
    </row>
    <row r="2023" spans="1:13" s="4" customFormat="1" x14ac:dyDescent="0.25">
      <c r="A2023" s="33"/>
      <c r="B2023" s="33" t="s">
        <v>119</v>
      </c>
      <c r="D2023" s="13">
        <v>7003</v>
      </c>
      <c r="E2023" s="132" t="str">
        <f>INDEX([1]道具配置表!$D:$D,MATCH(D2023,[1]道具配置表!$A:$A,0))</f>
        <v>1银币（立即使用，不进背包）</v>
      </c>
      <c r="F2023" s="33">
        <v>100</v>
      </c>
      <c r="K2023" s="13">
        <v>1</v>
      </c>
      <c r="L2023" s="13"/>
      <c r="M2023" s="33" t="b">
        <v>1</v>
      </c>
    </row>
    <row r="2024" spans="1:13" s="4" customFormat="1" x14ac:dyDescent="0.25">
      <c r="A2024" s="33"/>
      <c r="B2024" s="33" t="s">
        <v>119</v>
      </c>
      <c r="D2024" s="13">
        <v>123001</v>
      </c>
      <c r="E2024" s="132" t="str">
        <f>INDEX([1]道具配置表!$D:$D,MATCH(D2024,[1]道具配置表!$A:$A,0))</f>
        <v>通用紫色碎片</v>
      </c>
      <c r="F2024" s="33">
        <v>10</v>
      </c>
      <c r="K2024" s="13">
        <v>1</v>
      </c>
      <c r="L2024" s="13"/>
      <c r="M2024" s="33" t="b">
        <v>1</v>
      </c>
    </row>
    <row r="2025" spans="1:13" s="4" customFormat="1" x14ac:dyDescent="0.25">
      <c r="A2025" s="33">
        <v>6609518</v>
      </c>
      <c r="B2025" s="33" t="s">
        <v>570</v>
      </c>
      <c r="D2025" s="13">
        <v>6101</v>
      </c>
      <c r="E2025" s="132" t="str">
        <f>INDEX([1]道具配置表!$D:$D,MATCH(D2025,[1]道具配置表!$A:$A,0))</f>
        <v>5分钟通用加速</v>
      </c>
      <c r="F2025" s="33">
        <v>60</v>
      </c>
      <c r="K2025" s="13">
        <v>1</v>
      </c>
      <c r="L2025" s="13"/>
      <c r="M2025" s="33" t="b">
        <v>1</v>
      </c>
    </row>
    <row r="2026" spans="1:13" s="4" customFormat="1" x14ac:dyDescent="0.25">
      <c r="A2026" s="33"/>
      <c r="B2026" s="33" t="s">
        <v>119</v>
      </c>
      <c r="D2026" s="13">
        <v>7003</v>
      </c>
      <c r="E2026" s="132" t="str">
        <f>INDEX([1]道具配置表!$D:$D,MATCH(D2026,[1]道具配置表!$A:$A,0))</f>
        <v>1银币（立即使用，不进背包）</v>
      </c>
      <c r="F2026" s="33">
        <v>150</v>
      </c>
      <c r="K2026" s="13">
        <v>1</v>
      </c>
      <c r="L2026" s="13"/>
      <c r="M2026" s="33" t="b">
        <v>1</v>
      </c>
    </row>
    <row r="2027" spans="1:13" s="4" customFormat="1" x14ac:dyDescent="0.25">
      <c r="A2027" s="33"/>
      <c r="B2027" s="33" t="s">
        <v>119</v>
      </c>
      <c r="D2027" s="13">
        <v>123002</v>
      </c>
      <c r="E2027" s="132" t="str">
        <f>INDEX([1]道具配置表!$D:$D,MATCH(D2027,[1]道具配置表!$A:$A,0))</f>
        <v>通用橙色碎片</v>
      </c>
      <c r="F2027" s="33">
        <v>5</v>
      </c>
      <c r="K2027" s="13">
        <v>1</v>
      </c>
      <c r="L2027" s="13"/>
      <c r="M2027" s="33" t="b">
        <v>1</v>
      </c>
    </row>
    <row r="2028" spans="1:13" s="4" customFormat="1" x14ac:dyDescent="0.25">
      <c r="A2028" s="33">
        <v>6609519</v>
      </c>
      <c r="B2028" s="33" t="s">
        <v>571</v>
      </c>
      <c r="D2028" s="13">
        <v>6101</v>
      </c>
      <c r="E2028" s="132" t="str">
        <f>INDEX([1]道具配置表!$D:$D,MATCH(D2028,[1]道具配置表!$A:$A,0))</f>
        <v>5分钟通用加速</v>
      </c>
      <c r="F2028" s="33">
        <v>60</v>
      </c>
      <c r="K2028" s="13">
        <v>1</v>
      </c>
      <c r="L2028" s="13"/>
      <c r="M2028" s="33" t="b">
        <v>1</v>
      </c>
    </row>
    <row r="2029" spans="1:13" s="4" customFormat="1" x14ac:dyDescent="0.25">
      <c r="A2029" s="33"/>
      <c r="B2029" s="33" t="s">
        <v>119</v>
      </c>
      <c r="D2029" s="13">
        <v>7003</v>
      </c>
      <c r="E2029" s="132" t="str">
        <f>INDEX([1]道具配置表!$D:$D,MATCH(D2029,[1]道具配置表!$A:$A,0))</f>
        <v>1银币（立即使用，不进背包）</v>
      </c>
      <c r="F2029" s="33">
        <v>50</v>
      </c>
      <c r="K2029" s="13">
        <v>1</v>
      </c>
      <c r="L2029" s="13"/>
      <c r="M2029" s="33" t="b">
        <v>1</v>
      </c>
    </row>
    <row r="2030" spans="1:13" s="4" customFormat="1" x14ac:dyDescent="0.25">
      <c r="A2030" s="33"/>
      <c r="B2030" s="33" t="s">
        <v>119</v>
      </c>
      <c r="D2030" s="13">
        <v>123001</v>
      </c>
      <c r="E2030" s="132" t="str">
        <f>INDEX([1]道具配置表!$D:$D,MATCH(D2030,[1]道具配置表!$A:$A,0))</f>
        <v>通用紫色碎片</v>
      </c>
      <c r="F2030" s="33">
        <v>5</v>
      </c>
      <c r="K2030" s="13">
        <v>1</v>
      </c>
      <c r="L2030" s="13"/>
      <c r="M2030" s="33" t="b">
        <v>1</v>
      </c>
    </row>
    <row r="2031" spans="1:13" s="4" customFormat="1" x14ac:dyDescent="0.25">
      <c r="A2031" s="33">
        <v>6609520</v>
      </c>
      <c r="B2031" s="33" t="s">
        <v>572</v>
      </c>
      <c r="D2031" s="13">
        <v>6101</v>
      </c>
      <c r="E2031" s="132" t="str">
        <f>INDEX([1]道具配置表!$D:$D,MATCH(D2031,[1]道具配置表!$A:$A,0))</f>
        <v>5分钟通用加速</v>
      </c>
      <c r="F2031" s="33">
        <v>65</v>
      </c>
      <c r="K2031" s="13">
        <v>1</v>
      </c>
      <c r="L2031" s="13"/>
      <c r="M2031" s="33" t="b">
        <v>1</v>
      </c>
    </row>
    <row r="2032" spans="1:13" s="4" customFormat="1" x14ac:dyDescent="0.25">
      <c r="A2032" s="33"/>
      <c r="B2032" s="33" t="s">
        <v>119</v>
      </c>
      <c r="D2032" s="13">
        <v>7003</v>
      </c>
      <c r="E2032" s="132" t="str">
        <f>INDEX([1]道具配置表!$D:$D,MATCH(D2032,[1]道具配置表!$A:$A,0))</f>
        <v>1银币（立即使用，不进背包）</v>
      </c>
      <c r="F2032" s="33">
        <v>100</v>
      </c>
      <c r="K2032" s="13">
        <v>1</v>
      </c>
      <c r="L2032" s="13"/>
      <c r="M2032" s="33" t="b">
        <v>1</v>
      </c>
    </row>
    <row r="2033" spans="1:13" s="4" customFormat="1" x14ac:dyDescent="0.25">
      <c r="A2033" s="33"/>
      <c r="B2033" s="33" t="s">
        <v>119</v>
      </c>
      <c r="D2033" s="13">
        <v>123001</v>
      </c>
      <c r="E2033" s="132" t="str">
        <f>INDEX([1]道具配置表!$D:$D,MATCH(D2033,[1]道具配置表!$A:$A,0))</f>
        <v>通用紫色碎片</v>
      </c>
      <c r="F2033" s="33">
        <v>10</v>
      </c>
      <c r="K2033" s="13">
        <v>1</v>
      </c>
      <c r="L2033" s="13"/>
      <c r="M2033" s="33" t="b">
        <v>1</v>
      </c>
    </row>
    <row r="2034" spans="1:13" s="4" customFormat="1" x14ac:dyDescent="0.25">
      <c r="A2034" s="33">
        <v>6609521</v>
      </c>
      <c r="B2034" s="33" t="s">
        <v>573</v>
      </c>
      <c r="D2034" s="13">
        <v>6101</v>
      </c>
      <c r="E2034" s="132" t="str">
        <f>INDEX([1]道具配置表!$D:$D,MATCH(D2034,[1]道具配置表!$A:$A,0))</f>
        <v>5分钟通用加速</v>
      </c>
      <c r="F2034" s="33">
        <v>70</v>
      </c>
      <c r="K2034" s="13">
        <v>1</v>
      </c>
      <c r="L2034" s="13"/>
      <c r="M2034" s="33" t="b">
        <v>1</v>
      </c>
    </row>
    <row r="2035" spans="1:13" s="4" customFormat="1" x14ac:dyDescent="0.25">
      <c r="A2035" s="33"/>
      <c r="B2035" s="33" t="s">
        <v>119</v>
      </c>
      <c r="D2035" s="13">
        <v>7003</v>
      </c>
      <c r="E2035" s="132" t="str">
        <f>INDEX([1]道具配置表!$D:$D,MATCH(D2035,[1]道具配置表!$A:$A,0))</f>
        <v>1银币（立即使用，不进背包）</v>
      </c>
      <c r="F2035" s="33">
        <v>150</v>
      </c>
      <c r="K2035" s="13">
        <v>1</v>
      </c>
      <c r="L2035" s="13"/>
      <c r="M2035" s="33" t="b">
        <v>1</v>
      </c>
    </row>
    <row r="2036" spans="1:13" s="4" customFormat="1" x14ac:dyDescent="0.25">
      <c r="A2036" s="33"/>
      <c r="B2036" s="33" t="s">
        <v>119</v>
      </c>
      <c r="D2036" s="13">
        <v>123002</v>
      </c>
      <c r="E2036" s="132" t="str">
        <f>INDEX([1]道具配置表!$D:$D,MATCH(D2036,[1]道具配置表!$A:$A,0))</f>
        <v>通用橙色碎片</v>
      </c>
      <c r="F2036" s="33">
        <v>5</v>
      </c>
      <c r="K2036" s="13">
        <v>1</v>
      </c>
      <c r="L2036" s="13"/>
      <c r="M2036" s="33" t="b">
        <v>1</v>
      </c>
    </row>
    <row r="2037" spans="1:13" s="4" customFormat="1" x14ac:dyDescent="0.25">
      <c r="A2037" s="33">
        <v>6609522</v>
      </c>
      <c r="B2037" s="33" t="s">
        <v>574</v>
      </c>
      <c r="D2037" s="13">
        <v>6101</v>
      </c>
      <c r="E2037" s="132" t="str">
        <f>INDEX([1]道具配置表!$D:$D,MATCH(D2037,[1]道具配置表!$A:$A,0))</f>
        <v>5分钟通用加速</v>
      </c>
      <c r="F2037" s="33">
        <v>70</v>
      </c>
      <c r="K2037" s="13">
        <v>1</v>
      </c>
      <c r="L2037" s="13"/>
      <c r="M2037" s="33" t="b">
        <v>1</v>
      </c>
    </row>
    <row r="2038" spans="1:13" s="4" customFormat="1" x14ac:dyDescent="0.25">
      <c r="A2038" s="33"/>
      <c r="B2038" s="33" t="s">
        <v>119</v>
      </c>
      <c r="D2038" s="13">
        <v>7003</v>
      </c>
      <c r="E2038" s="132" t="str">
        <f>INDEX([1]道具配置表!$D:$D,MATCH(D2038,[1]道具配置表!$A:$A,0))</f>
        <v>1银币（立即使用，不进背包）</v>
      </c>
      <c r="F2038" s="33">
        <v>50</v>
      </c>
      <c r="K2038" s="13">
        <v>1</v>
      </c>
      <c r="L2038" s="13"/>
      <c r="M2038" s="33" t="b">
        <v>1</v>
      </c>
    </row>
    <row r="2039" spans="1:13" s="4" customFormat="1" x14ac:dyDescent="0.25">
      <c r="A2039" s="33"/>
      <c r="B2039" s="33" t="s">
        <v>119</v>
      </c>
      <c r="D2039" s="13">
        <v>123001</v>
      </c>
      <c r="E2039" s="132" t="str">
        <f>INDEX([1]道具配置表!$D:$D,MATCH(D2039,[1]道具配置表!$A:$A,0))</f>
        <v>通用紫色碎片</v>
      </c>
      <c r="F2039" s="33">
        <v>5</v>
      </c>
      <c r="K2039" s="13">
        <v>1</v>
      </c>
      <c r="L2039" s="13"/>
      <c r="M2039" s="33" t="b">
        <v>1</v>
      </c>
    </row>
    <row r="2040" spans="1:13" s="4" customFormat="1" x14ac:dyDescent="0.25">
      <c r="A2040" s="33">
        <v>6609523</v>
      </c>
      <c r="B2040" s="33" t="s">
        <v>575</v>
      </c>
      <c r="D2040" s="13">
        <v>6101</v>
      </c>
      <c r="E2040" s="132" t="str">
        <f>INDEX([1]道具配置表!$D:$D,MATCH(D2040,[1]道具配置表!$A:$A,0))</f>
        <v>5分钟通用加速</v>
      </c>
      <c r="F2040" s="33">
        <v>75</v>
      </c>
      <c r="K2040" s="13">
        <v>1</v>
      </c>
      <c r="L2040" s="13"/>
      <c r="M2040" s="33" t="b">
        <v>1</v>
      </c>
    </row>
    <row r="2041" spans="1:13" s="4" customFormat="1" x14ac:dyDescent="0.25">
      <c r="A2041" s="33"/>
      <c r="B2041" s="33" t="s">
        <v>119</v>
      </c>
      <c r="D2041" s="13">
        <v>7003</v>
      </c>
      <c r="E2041" s="132" t="str">
        <f>INDEX([1]道具配置表!$D:$D,MATCH(D2041,[1]道具配置表!$A:$A,0))</f>
        <v>1银币（立即使用，不进背包）</v>
      </c>
      <c r="F2041" s="33">
        <v>100</v>
      </c>
      <c r="K2041" s="13">
        <v>1</v>
      </c>
      <c r="L2041" s="13"/>
      <c r="M2041" s="33" t="b">
        <v>1</v>
      </c>
    </row>
    <row r="2042" spans="1:13" s="4" customFormat="1" x14ac:dyDescent="0.25">
      <c r="A2042" s="33"/>
      <c r="B2042" s="33" t="s">
        <v>119</v>
      </c>
      <c r="D2042" s="13">
        <v>123001</v>
      </c>
      <c r="E2042" s="132" t="str">
        <f>INDEX([1]道具配置表!$D:$D,MATCH(D2042,[1]道具配置表!$A:$A,0))</f>
        <v>通用紫色碎片</v>
      </c>
      <c r="F2042" s="33">
        <v>10</v>
      </c>
      <c r="K2042" s="13">
        <v>1</v>
      </c>
      <c r="L2042" s="13"/>
      <c r="M2042" s="33" t="b">
        <v>1</v>
      </c>
    </row>
    <row r="2043" spans="1:13" s="4" customFormat="1" x14ac:dyDescent="0.25">
      <c r="A2043" s="33">
        <v>6609524</v>
      </c>
      <c r="B2043" s="33" t="s">
        <v>576</v>
      </c>
      <c r="D2043" s="13">
        <v>6101</v>
      </c>
      <c r="E2043" s="132" t="str">
        <f>INDEX([1]道具配置表!$D:$D,MATCH(D2043,[1]道具配置表!$A:$A,0))</f>
        <v>5分钟通用加速</v>
      </c>
      <c r="F2043" s="33">
        <v>80</v>
      </c>
      <c r="K2043" s="13">
        <v>1</v>
      </c>
      <c r="L2043" s="13"/>
      <c r="M2043" s="33" t="b">
        <v>1</v>
      </c>
    </row>
    <row r="2044" spans="1:13" s="4" customFormat="1" x14ac:dyDescent="0.25">
      <c r="A2044" s="33"/>
      <c r="B2044" s="33" t="s">
        <v>119</v>
      </c>
      <c r="D2044" s="13">
        <v>7003</v>
      </c>
      <c r="E2044" s="132" t="str">
        <f>INDEX([1]道具配置表!$D:$D,MATCH(D2044,[1]道具配置表!$A:$A,0))</f>
        <v>1银币（立即使用，不进背包）</v>
      </c>
      <c r="F2044" s="33">
        <v>150</v>
      </c>
      <c r="K2044" s="13">
        <v>1</v>
      </c>
      <c r="L2044" s="13"/>
      <c r="M2044" s="33" t="b">
        <v>1</v>
      </c>
    </row>
    <row r="2045" spans="1:13" s="4" customFormat="1" x14ac:dyDescent="0.25">
      <c r="A2045" s="33"/>
      <c r="B2045" s="33" t="s">
        <v>119</v>
      </c>
      <c r="D2045" s="13">
        <v>123002</v>
      </c>
      <c r="E2045" s="132" t="str">
        <f>INDEX([1]道具配置表!$D:$D,MATCH(D2045,[1]道具配置表!$A:$A,0))</f>
        <v>通用橙色碎片</v>
      </c>
      <c r="F2045" s="33">
        <v>5</v>
      </c>
      <c r="K2045" s="13">
        <v>1</v>
      </c>
      <c r="L2045" s="13"/>
      <c r="M2045" s="33" t="b">
        <v>1</v>
      </c>
    </row>
    <row r="2046" spans="1:13" s="4" customFormat="1" x14ac:dyDescent="0.25">
      <c r="A2046" s="33">
        <v>6609525</v>
      </c>
      <c r="B2046" s="33" t="s">
        <v>577</v>
      </c>
      <c r="D2046" s="13">
        <v>6101</v>
      </c>
      <c r="E2046" s="132" t="str">
        <f>INDEX([1]道具配置表!$D:$D,MATCH(D2046,[1]道具配置表!$A:$A,0))</f>
        <v>5分钟通用加速</v>
      </c>
      <c r="F2046" s="33">
        <v>80</v>
      </c>
      <c r="K2046" s="13">
        <v>1</v>
      </c>
      <c r="L2046" s="13"/>
      <c r="M2046" s="33" t="b">
        <v>1</v>
      </c>
    </row>
    <row r="2047" spans="1:13" s="4" customFormat="1" x14ac:dyDescent="0.25">
      <c r="A2047" s="33"/>
      <c r="B2047" s="33" t="s">
        <v>119</v>
      </c>
      <c r="D2047" s="13">
        <v>7003</v>
      </c>
      <c r="E2047" s="132" t="str">
        <f>INDEX([1]道具配置表!$D:$D,MATCH(D2047,[1]道具配置表!$A:$A,0))</f>
        <v>1银币（立即使用，不进背包）</v>
      </c>
      <c r="F2047" s="33">
        <v>50</v>
      </c>
      <c r="K2047" s="13">
        <v>1</v>
      </c>
      <c r="L2047" s="13"/>
      <c r="M2047" s="33" t="b">
        <v>1</v>
      </c>
    </row>
    <row r="2048" spans="1:13" s="4" customFormat="1" x14ac:dyDescent="0.25">
      <c r="A2048" s="33"/>
      <c r="B2048" s="33" t="s">
        <v>119</v>
      </c>
      <c r="D2048" s="13">
        <v>123001</v>
      </c>
      <c r="E2048" s="132" t="str">
        <f>INDEX([1]道具配置表!$D:$D,MATCH(D2048,[1]道具配置表!$A:$A,0))</f>
        <v>通用紫色碎片</v>
      </c>
      <c r="F2048" s="33">
        <v>5</v>
      </c>
      <c r="K2048" s="13">
        <v>1</v>
      </c>
      <c r="L2048" s="13"/>
      <c r="M2048" s="33" t="b">
        <v>1</v>
      </c>
    </row>
    <row r="2049" spans="1:13" s="4" customFormat="1" x14ac:dyDescent="0.25">
      <c r="A2049" s="33">
        <v>6609526</v>
      </c>
      <c r="B2049" s="33" t="s">
        <v>578</v>
      </c>
      <c r="D2049" s="13">
        <v>6101</v>
      </c>
      <c r="E2049" s="132" t="str">
        <f>INDEX([1]道具配置表!$D:$D,MATCH(D2049,[1]道具配置表!$A:$A,0))</f>
        <v>5分钟通用加速</v>
      </c>
      <c r="F2049" s="33">
        <v>85</v>
      </c>
      <c r="K2049" s="13">
        <v>1</v>
      </c>
      <c r="L2049" s="13"/>
      <c r="M2049" s="33" t="b">
        <v>1</v>
      </c>
    </row>
    <row r="2050" spans="1:13" s="4" customFormat="1" x14ac:dyDescent="0.25">
      <c r="A2050" s="33"/>
      <c r="B2050" s="33" t="s">
        <v>119</v>
      </c>
      <c r="D2050" s="13">
        <v>7003</v>
      </c>
      <c r="E2050" s="132" t="str">
        <f>INDEX([1]道具配置表!$D:$D,MATCH(D2050,[1]道具配置表!$A:$A,0))</f>
        <v>1银币（立即使用，不进背包）</v>
      </c>
      <c r="F2050" s="33">
        <v>100</v>
      </c>
      <c r="K2050" s="13">
        <v>1</v>
      </c>
      <c r="L2050" s="13"/>
      <c r="M2050" s="33" t="b">
        <v>1</v>
      </c>
    </row>
    <row r="2051" spans="1:13" s="4" customFormat="1" x14ac:dyDescent="0.25">
      <c r="A2051" s="33"/>
      <c r="B2051" s="33" t="s">
        <v>119</v>
      </c>
      <c r="D2051" s="13">
        <v>123001</v>
      </c>
      <c r="E2051" s="132" t="str">
        <f>INDEX([1]道具配置表!$D:$D,MATCH(D2051,[1]道具配置表!$A:$A,0))</f>
        <v>通用紫色碎片</v>
      </c>
      <c r="F2051" s="33">
        <v>10</v>
      </c>
      <c r="K2051" s="13">
        <v>1</v>
      </c>
      <c r="L2051" s="13"/>
      <c r="M2051" s="33" t="b">
        <v>1</v>
      </c>
    </row>
    <row r="2052" spans="1:13" s="4" customFormat="1" x14ac:dyDescent="0.25">
      <c r="A2052" s="33">
        <v>6609527</v>
      </c>
      <c r="B2052" s="33" t="s">
        <v>579</v>
      </c>
      <c r="D2052" s="13">
        <v>6101</v>
      </c>
      <c r="E2052" s="132" t="str">
        <f>INDEX([1]道具配置表!$D:$D,MATCH(D2052,[1]道具配置表!$A:$A,0))</f>
        <v>5分钟通用加速</v>
      </c>
      <c r="F2052" s="33">
        <v>90</v>
      </c>
      <c r="K2052" s="13">
        <v>1</v>
      </c>
      <c r="L2052" s="13"/>
      <c r="M2052" s="33" t="b">
        <v>1</v>
      </c>
    </row>
    <row r="2053" spans="1:13" s="4" customFormat="1" x14ac:dyDescent="0.25">
      <c r="A2053" s="33"/>
      <c r="B2053" s="33" t="s">
        <v>119</v>
      </c>
      <c r="D2053" s="13">
        <v>7003</v>
      </c>
      <c r="E2053" s="132" t="str">
        <f>INDEX([1]道具配置表!$D:$D,MATCH(D2053,[1]道具配置表!$A:$A,0))</f>
        <v>1银币（立即使用，不进背包）</v>
      </c>
      <c r="F2053" s="33">
        <v>150</v>
      </c>
      <c r="K2053" s="13">
        <v>1</v>
      </c>
      <c r="L2053" s="13"/>
      <c r="M2053" s="33" t="b">
        <v>1</v>
      </c>
    </row>
    <row r="2054" spans="1:13" s="4" customFormat="1" x14ac:dyDescent="0.25">
      <c r="A2054" s="33"/>
      <c r="B2054" s="33" t="s">
        <v>119</v>
      </c>
      <c r="D2054" s="13">
        <v>123002</v>
      </c>
      <c r="E2054" s="132" t="str">
        <f>INDEX([1]道具配置表!$D:$D,MATCH(D2054,[1]道具配置表!$A:$A,0))</f>
        <v>通用橙色碎片</v>
      </c>
      <c r="F2054" s="33">
        <v>5</v>
      </c>
      <c r="K2054" s="13">
        <v>1</v>
      </c>
      <c r="L2054" s="13"/>
      <c r="M2054" s="33" t="b">
        <v>1</v>
      </c>
    </row>
    <row r="2055" spans="1:13" s="4" customFormat="1" x14ac:dyDescent="0.25">
      <c r="A2055" s="33">
        <v>6609528</v>
      </c>
      <c r="B2055" s="33" t="s">
        <v>580</v>
      </c>
      <c r="D2055" s="13">
        <v>6101</v>
      </c>
      <c r="E2055" s="132" t="str">
        <f>INDEX([1]道具配置表!$D:$D,MATCH(D2055,[1]道具配置表!$A:$A,0))</f>
        <v>5分钟通用加速</v>
      </c>
      <c r="F2055" s="33">
        <v>90</v>
      </c>
      <c r="K2055" s="13">
        <v>1</v>
      </c>
      <c r="L2055" s="13"/>
      <c r="M2055" s="33" t="b">
        <v>1</v>
      </c>
    </row>
    <row r="2056" spans="1:13" s="4" customFormat="1" x14ac:dyDescent="0.25">
      <c r="A2056" s="33"/>
      <c r="B2056" s="33" t="s">
        <v>119</v>
      </c>
      <c r="D2056" s="13">
        <v>7003</v>
      </c>
      <c r="E2056" s="132" t="str">
        <f>INDEX([1]道具配置表!$D:$D,MATCH(D2056,[1]道具配置表!$A:$A,0))</f>
        <v>1银币（立即使用，不进背包）</v>
      </c>
      <c r="F2056" s="33">
        <v>50</v>
      </c>
      <c r="K2056" s="13">
        <v>1</v>
      </c>
      <c r="L2056" s="13"/>
      <c r="M2056" s="33" t="b">
        <v>1</v>
      </c>
    </row>
    <row r="2057" spans="1:13" s="4" customFormat="1" x14ac:dyDescent="0.25">
      <c r="A2057" s="33"/>
      <c r="B2057" s="33" t="s">
        <v>119</v>
      </c>
      <c r="D2057" s="13">
        <v>123001</v>
      </c>
      <c r="E2057" s="132" t="str">
        <f>INDEX([1]道具配置表!$D:$D,MATCH(D2057,[1]道具配置表!$A:$A,0))</f>
        <v>通用紫色碎片</v>
      </c>
      <c r="F2057" s="33">
        <v>5</v>
      </c>
      <c r="K2057" s="13">
        <v>1</v>
      </c>
      <c r="L2057" s="13"/>
      <c r="M2057" s="33" t="b">
        <v>1</v>
      </c>
    </row>
    <row r="2058" spans="1:13" s="4" customFormat="1" x14ac:dyDescent="0.25">
      <c r="A2058" s="33">
        <v>6609529</v>
      </c>
      <c r="B2058" s="33" t="s">
        <v>581</v>
      </c>
      <c r="D2058" s="13">
        <v>6101</v>
      </c>
      <c r="E2058" s="132" t="str">
        <f>INDEX([1]道具配置表!$D:$D,MATCH(D2058,[1]道具配置表!$A:$A,0))</f>
        <v>5分钟通用加速</v>
      </c>
      <c r="F2058" s="33">
        <v>95</v>
      </c>
      <c r="K2058" s="13">
        <v>1</v>
      </c>
      <c r="L2058" s="13"/>
      <c r="M2058" s="33" t="b">
        <v>1</v>
      </c>
    </row>
    <row r="2059" spans="1:13" s="4" customFormat="1" x14ac:dyDescent="0.25">
      <c r="A2059" s="33"/>
      <c r="B2059" s="33" t="s">
        <v>119</v>
      </c>
      <c r="D2059" s="13">
        <v>7003</v>
      </c>
      <c r="E2059" s="132" t="str">
        <f>INDEX([1]道具配置表!$D:$D,MATCH(D2059,[1]道具配置表!$A:$A,0))</f>
        <v>1银币（立即使用，不进背包）</v>
      </c>
      <c r="F2059" s="33">
        <v>100</v>
      </c>
      <c r="K2059" s="13">
        <v>1</v>
      </c>
      <c r="L2059" s="13"/>
      <c r="M2059" s="33" t="b">
        <v>1</v>
      </c>
    </row>
    <row r="2060" spans="1:13" s="4" customFormat="1" x14ac:dyDescent="0.25">
      <c r="A2060" s="33"/>
      <c r="B2060" s="33" t="s">
        <v>119</v>
      </c>
      <c r="D2060" s="13">
        <v>123001</v>
      </c>
      <c r="E2060" s="132" t="str">
        <f>INDEX([1]道具配置表!$D:$D,MATCH(D2060,[1]道具配置表!$A:$A,0))</f>
        <v>通用紫色碎片</v>
      </c>
      <c r="F2060" s="33">
        <v>10</v>
      </c>
      <c r="K2060" s="13">
        <v>1</v>
      </c>
      <c r="L2060" s="13"/>
      <c r="M2060" s="33" t="b">
        <v>1</v>
      </c>
    </row>
    <row r="2061" spans="1:13" s="4" customFormat="1" x14ac:dyDescent="0.25">
      <c r="A2061" s="33">
        <v>6609530</v>
      </c>
      <c r="B2061" s="33" t="s">
        <v>582</v>
      </c>
      <c r="D2061" s="13">
        <v>6101</v>
      </c>
      <c r="E2061" s="132" t="str">
        <f>INDEX([1]道具配置表!$D:$D,MATCH(D2061,[1]道具配置表!$A:$A,0))</f>
        <v>5分钟通用加速</v>
      </c>
      <c r="F2061" s="33">
        <v>100</v>
      </c>
      <c r="K2061" s="13">
        <v>1</v>
      </c>
      <c r="L2061" s="13"/>
      <c r="M2061" s="33" t="b">
        <v>1</v>
      </c>
    </row>
    <row r="2062" spans="1:13" s="4" customFormat="1" x14ac:dyDescent="0.25">
      <c r="A2062" s="33"/>
      <c r="B2062" s="33" t="s">
        <v>119</v>
      </c>
      <c r="D2062" s="13">
        <v>7003</v>
      </c>
      <c r="E2062" s="132" t="str">
        <f>INDEX([1]道具配置表!$D:$D,MATCH(D2062,[1]道具配置表!$A:$A,0))</f>
        <v>1银币（立即使用，不进背包）</v>
      </c>
      <c r="F2062" s="33">
        <v>150</v>
      </c>
      <c r="K2062" s="13">
        <v>1</v>
      </c>
      <c r="L2062" s="13"/>
      <c r="M2062" s="33" t="b">
        <v>1</v>
      </c>
    </row>
    <row r="2063" spans="1:13" s="4" customFormat="1" x14ac:dyDescent="0.25">
      <c r="A2063" s="33"/>
      <c r="B2063" s="33" t="s">
        <v>119</v>
      </c>
      <c r="D2063" s="13">
        <v>123002</v>
      </c>
      <c r="E2063" s="132" t="str">
        <f>INDEX([1]道具配置表!$D:$D,MATCH(D2063,[1]道具配置表!$A:$A,0))</f>
        <v>通用橙色碎片</v>
      </c>
      <c r="F2063" s="33">
        <v>5</v>
      </c>
      <c r="K2063" s="13">
        <v>1</v>
      </c>
      <c r="L2063" s="13"/>
      <c r="M2063" s="33" t="b">
        <v>1</v>
      </c>
    </row>
    <row r="2064" spans="1:13" s="4" customFormat="1" x14ac:dyDescent="0.25">
      <c r="A2064" s="33">
        <v>6609531</v>
      </c>
      <c r="B2064" s="33" t="s">
        <v>583</v>
      </c>
      <c r="D2064" s="13">
        <v>6101</v>
      </c>
      <c r="E2064" s="132" t="str">
        <f>INDEX([1]道具配置表!$D:$D,MATCH(D2064,[1]道具配置表!$A:$A,0))</f>
        <v>5分钟通用加速</v>
      </c>
      <c r="F2064" s="33">
        <v>100</v>
      </c>
      <c r="K2064" s="13">
        <v>1</v>
      </c>
      <c r="L2064" s="13"/>
      <c r="M2064" s="33" t="b">
        <v>1</v>
      </c>
    </row>
    <row r="2065" spans="1:13" s="4" customFormat="1" x14ac:dyDescent="0.25">
      <c r="A2065" s="33"/>
      <c r="B2065" s="33" t="s">
        <v>119</v>
      </c>
      <c r="D2065" s="13">
        <v>7003</v>
      </c>
      <c r="E2065" s="132" t="str">
        <f>INDEX([1]道具配置表!$D:$D,MATCH(D2065,[1]道具配置表!$A:$A,0))</f>
        <v>1银币（立即使用，不进背包）</v>
      </c>
      <c r="F2065" s="33">
        <v>50</v>
      </c>
      <c r="K2065" s="13">
        <v>1</v>
      </c>
      <c r="L2065" s="13"/>
      <c r="M2065" s="33" t="b">
        <v>1</v>
      </c>
    </row>
    <row r="2066" spans="1:13" s="4" customFormat="1" x14ac:dyDescent="0.25">
      <c r="A2066" s="33"/>
      <c r="B2066" s="33" t="s">
        <v>119</v>
      </c>
      <c r="D2066" s="13">
        <v>123001</v>
      </c>
      <c r="E2066" s="132" t="str">
        <f>INDEX([1]道具配置表!$D:$D,MATCH(D2066,[1]道具配置表!$A:$A,0))</f>
        <v>通用紫色碎片</v>
      </c>
      <c r="F2066" s="33">
        <v>5</v>
      </c>
      <c r="K2066" s="13">
        <v>1</v>
      </c>
      <c r="L2066" s="13"/>
      <c r="M2066" s="33" t="b">
        <v>1</v>
      </c>
    </row>
    <row r="2067" spans="1:13" s="4" customFormat="1" x14ac:dyDescent="0.25">
      <c r="A2067" s="33">
        <v>6609532</v>
      </c>
      <c r="B2067" s="33" t="s">
        <v>584</v>
      </c>
      <c r="D2067" s="13">
        <v>6101</v>
      </c>
      <c r="E2067" s="132" t="str">
        <f>INDEX([1]道具配置表!$D:$D,MATCH(D2067,[1]道具配置表!$A:$A,0))</f>
        <v>5分钟通用加速</v>
      </c>
      <c r="F2067" s="33">
        <v>105</v>
      </c>
      <c r="K2067" s="13">
        <v>1</v>
      </c>
      <c r="L2067" s="13"/>
      <c r="M2067" s="33" t="b">
        <v>1</v>
      </c>
    </row>
    <row r="2068" spans="1:13" s="4" customFormat="1" x14ac:dyDescent="0.25">
      <c r="A2068" s="33"/>
      <c r="B2068" s="33" t="s">
        <v>119</v>
      </c>
      <c r="D2068" s="13">
        <v>7003</v>
      </c>
      <c r="E2068" s="132" t="str">
        <f>INDEX([1]道具配置表!$D:$D,MATCH(D2068,[1]道具配置表!$A:$A,0))</f>
        <v>1银币（立即使用，不进背包）</v>
      </c>
      <c r="F2068" s="33">
        <v>100</v>
      </c>
      <c r="K2068" s="13">
        <v>1</v>
      </c>
      <c r="L2068" s="13"/>
      <c r="M2068" s="33" t="b">
        <v>1</v>
      </c>
    </row>
    <row r="2069" spans="1:13" s="4" customFormat="1" x14ac:dyDescent="0.25">
      <c r="A2069" s="33"/>
      <c r="B2069" s="33" t="s">
        <v>119</v>
      </c>
      <c r="D2069" s="13">
        <v>123001</v>
      </c>
      <c r="E2069" s="132" t="str">
        <f>INDEX([1]道具配置表!$D:$D,MATCH(D2069,[1]道具配置表!$A:$A,0))</f>
        <v>通用紫色碎片</v>
      </c>
      <c r="F2069" s="33">
        <v>10</v>
      </c>
      <c r="K2069" s="13">
        <v>1</v>
      </c>
      <c r="L2069" s="13"/>
      <c r="M2069" s="33" t="b">
        <v>1</v>
      </c>
    </row>
    <row r="2070" spans="1:13" s="4" customFormat="1" x14ac:dyDescent="0.25">
      <c r="A2070" s="33">
        <v>6609533</v>
      </c>
      <c r="B2070" s="33" t="s">
        <v>585</v>
      </c>
      <c r="D2070" s="13">
        <v>6101</v>
      </c>
      <c r="E2070" s="132" t="str">
        <f>INDEX([1]道具配置表!$D:$D,MATCH(D2070,[1]道具配置表!$A:$A,0))</f>
        <v>5分钟通用加速</v>
      </c>
      <c r="F2070" s="33">
        <v>110</v>
      </c>
      <c r="K2070" s="13">
        <v>1</v>
      </c>
      <c r="L2070" s="13"/>
      <c r="M2070" s="33" t="b">
        <v>1</v>
      </c>
    </row>
    <row r="2071" spans="1:13" s="4" customFormat="1" x14ac:dyDescent="0.25">
      <c r="A2071" s="33"/>
      <c r="B2071" s="33" t="s">
        <v>119</v>
      </c>
      <c r="D2071" s="13">
        <v>7003</v>
      </c>
      <c r="E2071" s="132" t="str">
        <f>INDEX([1]道具配置表!$D:$D,MATCH(D2071,[1]道具配置表!$A:$A,0))</f>
        <v>1银币（立即使用，不进背包）</v>
      </c>
      <c r="F2071" s="33">
        <v>150</v>
      </c>
      <c r="K2071" s="13">
        <v>1</v>
      </c>
      <c r="L2071" s="13"/>
      <c r="M2071" s="33" t="b">
        <v>1</v>
      </c>
    </row>
    <row r="2072" spans="1:13" s="4" customFormat="1" x14ac:dyDescent="0.25">
      <c r="A2072" s="33"/>
      <c r="B2072" s="33" t="s">
        <v>119</v>
      </c>
      <c r="D2072" s="13">
        <v>123002</v>
      </c>
      <c r="E2072" s="132" t="str">
        <f>INDEX([1]道具配置表!$D:$D,MATCH(D2072,[1]道具配置表!$A:$A,0))</f>
        <v>通用橙色碎片</v>
      </c>
      <c r="F2072" s="33">
        <v>5</v>
      </c>
      <c r="K2072" s="13">
        <v>1</v>
      </c>
      <c r="L2072" s="13"/>
      <c r="M2072" s="33" t="b">
        <v>1</v>
      </c>
    </row>
    <row r="2073" spans="1:13" s="4" customFormat="1" x14ac:dyDescent="0.25">
      <c r="A2073" s="33">
        <v>6609534</v>
      </c>
      <c r="B2073" s="33" t="s">
        <v>586</v>
      </c>
      <c r="D2073" s="13">
        <v>6101</v>
      </c>
      <c r="E2073" s="132" t="str">
        <f>INDEX([1]道具配置表!$D:$D,MATCH(D2073,[1]道具配置表!$A:$A,0))</f>
        <v>5分钟通用加速</v>
      </c>
      <c r="F2073" s="33">
        <v>110</v>
      </c>
      <c r="K2073" s="13">
        <v>1</v>
      </c>
      <c r="L2073" s="13"/>
      <c r="M2073" s="33" t="b">
        <v>1</v>
      </c>
    </row>
    <row r="2074" spans="1:13" s="4" customFormat="1" x14ac:dyDescent="0.25">
      <c r="A2074" s="33"/>
      <c r="B2074" s="33" t="s">
        <v>119</v>
      </c>
      <c r="D2074" s="13">
        <v>7003</v>
      </c>
      <c r="E2074" s="132" t="str">
        <f>INDEX([1]道具配置表!$D:$D,MATCH(D2074,[1]道具配置表!$A:$A,0))</f>
        <v>1银币（立即使用，不进背包）</v>
      </c>
      <c r="F2074" s="33">
        <v>50</v>
      </c>
      <c r="K2074" s="13">
        <v>1</v>
      </c>
      <c r="L2074" s="13"/>
      <c r="M2074" s="33" t="b">
        <v>1</v>
      </c>
    </row>
    <row r="2075" spans="1:13" s="4" customFormat="1" x14ac:dyDescent="0.25">
      <c r="A2075" s="33"/>
      <c r="B2075" s="33" t="s">
        <v>119</v>
      </c>
      <c r="D2075" s="13">
        <v>123001</v>
      </c>
      <c r="E2075" s="132" t="str">
        <f>INDEX([1]道具配置表!$D:$D,MATCH(D2075,[1]道具配置表!$A:$A,0))</f>
        <v>通用紫色碎片</v>
      </c>
      <c r="F2075" s="33">
        <v>5</v>
      </c>
      <c r="K2075" s="13">
        <v>1</v>
      </c>
      <c r="L2075" s="13"/>
      <c r="M2075" s="33" t="b">
        <v>1</v>
      </c>
    </row>
    <row r="2076" spans="1:13" s="4" customFormat="1" x14ac:dyDescent="0.25">
      <c r="A2076" s="33">
        <v>6609535</v>
      </c>
      <c r="B2076" s="33" t="s">
        <v>587</v>
      </c>
      <c r="D2076" s="13">
        <v>6101</v>
      </c>
      <c r="E2076" s="132" t="str">
        <f>INDEX([1]道具配置表!$D:$D,MATCH(D2076,[1]道具配置表!$A:$A,0))</f>
        <v>5分钟通用加速</v>
      </c>
      <c r="F2076" s="33">
        <v>115</v>
      </c>
      <c r="K2076" s="13">
        <v>1</v>
      </c>
      <c r="L2076" s="13"/>
      <c r="M2076" s="33" t="b">
        <v>1</v>
      </c>
    </row>
    <row r="2077" spans="1:13" s="4" customFormat="1" x14ac:dyDescent="0.25">
      <c r="A2077" s="33"/>
      <c r="B2077" s="33" t="s">
        <v>119</v>
      </c>
      <c r="D2077" s="13">
        <v>7003</v>
      </c>
      <c r="E2077" s="132" t="str">
        <f>INDEX([1]道具配置表!$D:$D,MATCH(D2077,[1]道具配置表!$A:$A,0))</f>
        <v>1银币（立即使用，不进背包）</v>
      </c>
      <c r="F2077" s="33">
        <v>100</v>
      </c>
      <c r="K2077" s="13">
        <v>1</v>
      </c>
      <c r="L2077" s="13"/>
      <c r="M2077" s="33" t="b">
        <v>1</v>
      </c>
    </row>
    <row r="2078" spans="1:13" s="4" customFormat="1" x14ac:dyDescent="0.25">
      <c r="A2078" s="33"/>
      <c r="B2078" s="33" t="s">
        <v>119</v>
      </c>
      <c r="D2078" s="13">
        <v>123001</v>
      </c>
      <c r="E2078" s="132" t="str">
        <f>INDEX([1]道具配置表!$D:$D,MATCH(D2078,[1]道具配置表!$A:$A,0))</f>
        <v>通用紫色碎片</v>
      </c>
      <c r="F2078" s="33">
        <v>10</v>
      </c>
      <c r="K2078" s="13">
        <v>1</v>
      </c>
      <c r="L2078" s="13"/>
      <c r="M2078" s="33" t="b">
        <v>1</v>
      </c>
    </row>
    <row r="2079" spans="1:13" s="4" customFormat="1" x14ac:dyDescent="0.25">
      <c r="A2079" s="33">
        <v>6609536</v>
      </c>
      <c r="B2079" s="33" t="s">
        <v>588</v>
      </c>
      <c r="D2079" s="13">
        <v>6101</v>
      </c>
      <c r="E2079" s="132" t="str">
        <f>INDEX([1]道具配置表!$D:$D,MATCH(D2079,[1]道具配置表!$A:$A,0))</f>
        <v>5分钟通用加速</v>
      </c>
      <c r="F2079" s="33">
        <v>120</v>
      </c>
      <c r="K2079" s="13">
        <v>1</v>
      </c>
      <c r="L2079" s="13"/>
      <c r="M2079" s="33" t="b">
        <v>1</v>
      </c>
    </row>
    <row r="2080" spans="1:13" s="4" customFormat="1" x14ac:dyDescent="0.25">
      <c r="A2080" s="33"/>
      <c r="B2080" s="33"/>
      <c r="D2080" s="13">
        <v>7003</v>
      </c>
      <c r="E2080" s="132" t="str">
        <f>INDEX([1]道具配置表!$D:$D,MATCH(D2080,[1]道具配置表!$A:$A,0))</f>
        <v>1银币（立即使用，不进背包）</v>
      </c>
      <c r="F2080" s="33">
        <v>150</v>
      </c>
      <c r="K2080" s="13">
        <v>1</v>
      </c>
      <c r="L2080" s="13"/>
      <c r="M2080" s="33" t="b">
        <v>1</v>
      </c>
    </row>
    <row r="2081" spans="1:13" s="4" customFormat="1" x14ac:dyDescent="0.25">
      <c r="A2081" s="33"/>
      <c r="B2081" s="33"/>
      <c r="D2081" s="13">
        <v>123002</v>
      </c>
      <c r="E2081" s="132" t="str">
        <f>INDEX([1]道具配置表!$D:$D,MATCH(D2081,[1]道具配置表!$A:$A,0))</f>
        <v>通用橙色碎片</v>
      </c>
      <c r="F2081" s="33">
        <v>5</v>
      </c>
      <c r="K2081" s="13">
        <v>1</v>
      </c>
      <c r="L2081" s="13"/>
      <c r="M2081" s="33" t="b">
        <v>1</v>
      </c>
    </row>
    <row r="2082" spans="1:13" s="4" customFormat="1" x14ac:dyDescent="0.25">
      <c r="A2082" s="34">
        <v>6609601</v>
      </c>
      <c r="B2082" s="34" t="s">
        <v>589</v>
      </c>
      <c r="D2082" s="13">
        <v>7003</v>
      </c>
      <c r="E2082" s="132" t="str">
        <f>INDEX([1]道具配置表!$D:$D,MATCH(D2082,[1]道具配置表!$A:$A,0))</f>
        <v>1银币（立即使用，不进背包）</v>
      </c>
      <c r="F2082" s="34">
        <v>100</v>
      </c>
      <c r="K2082" s="13">
        <v>1</v>
      </c>
      <c r="L2082" s="13"/>
      <c r="M2082" s="34" t="b">
        <v>1</v>
      </c>
    </row>
    <row r="2083" spans="1:13" s="4" customFormat="1" x14ac:dyDescent="0.25">
      <c r="A2083" s="34"/>
      <c r="B2083" s="34"/>
      <c r="D2083" s="13">
        <v>7228</v>
      </c>
      <c r="E2083" s="132" t="str">
        <f>INDEX([1]道具配置表!$D:$D,MATCH(D2083,[1]道具配置表!$A:$A,0))</f>
        <v>经验书*10000</v>
      </c>
      <c r="F2083" s="34">
        <v>10</v>
      </c>
      <c r="K2083" s="13">
        <v>1</v>
      </c>
      <c r="L2083" s="13"/>
      <c r="M2083" s="34" t="b">
        <v>1</v>
      </c>
    </row>
    <row r="2084" spans="1:13" s="4" customFormat="1" x14ac:dyDescent="0.25">
      <c r="A2084" s="34"/>
      <c r="B2084" s="34"/>
      <c r="D2084" s="13">
        <v>7204</v>
      </c>
      <c r="E2084" s="132" t="str">
        <f>INDEX([1]道具配置表!$D:$D,MATCH(D2084,[1]道具配置表!$A:$A,0))</f>
        <v>技能点*200</v>
      </c>
      <c r="F2084" s="34">
        <v>1</v>
      </c>
      <c r="K2084" s="13">
        <v>1</v>
      </c>
      <c r="L2084" s="13"/>
      <c r="M2084" s="34" t="b">
        <v>1</v>
      </c>
    </row>
    <row r="2085" spans="1:13" s="4" customFormat="1" x14ac:dyDescent="0.25">
      <c r="A2085" s="34">
        <v>6609602</v>
      </c>
      <c r="B2085" s="34" t="s">
        <v>590</v>
      </c>
      <c r="D2085" s="13">
        <v>7003</v>
      </c>
      <c r="E2085" s="132" t="str">
        <f>INDEX([1]道具配置表!$D:$D,MATCH(D2085,[1]道具配置表!$A:$A,0))</f>
        <v>1银币（立即使用，不进背包）</v>
      </c>
      <c r="F2085" s="34">
        <v>150</v>
      </c>
      <c r="K2085" s="13">
        <v>1</v>
      </c>
      <c r="L2085" s="13"/>
      <c r="M2085" s="34" t="b">
        <v>1</v>
      </c>
    </row>
    <row r="2086" spans="1:13" s="4" customFormat="1" x14ac:dyDescent="0.25">
      <c r="A2086" s="34"/>
      <c r="B2086" s="34"/>
      <c r="D2086" s="13">
        <v>7228</v>
      </c>
      <c r="E2086" s="132" t="str">
        <f>INDEX([1]道具配置表!$D:$D,MATCH(D2086,[1]道具配置表!$A:$A,0))</f>
        <v>经验书*10000</v>
      </c>
      <c r="F2086" s="34">
        <v>15</v>
      </c>
      <c r="K2086" s="13">
        <v>1</v>
      </c>
      <c r="L2086" s="13"/>
      <c r="M2086" s="34" t="b">
        <v>1</v>
      </c>
    </row>
    <row r="2087" spans="1:13" s="4" customFormat="1" x14ac:dyDescent="0.25">
      <c r="A2087" s="34"/>
      <c r="B2087" s="34"/>
      <c r="D2087" s="13">
        <v>7204</v>
      </c>
      <c r="E2087" s="132" t="str">
        <f>INDEX([1]道具配置表!$D:$D,MATCH(D2087,[1]道具配置表!$A:$A,0))</f>
        <v>技能点*200</v>
      </c>
      <c r="F2087" s="34">
        <v>1</v>
      </c>
      <c r="K2087" s="13">
        <v>1</v>
      </c>
      <c r="L2087" s="13"/>
      <c r="M2087" s="34" t="b">
        <v>1</v>
      </c>
    </row>
    <row r="2088" spans="1:13" s="4" customFormat="1" x14ac:dyDescent="0.25">
      <c r="A2088" s="34">
        <v>6609603</v>
      </c>
      <c r="B2088" s="34" t="s">
        <v>591</v>
      </c>
      <c r="D2088" s="13">
        <v>7003</v>
      </c>
      <c r="E2088" s="132" t="str">
        <f>INDEX([1]道具配置表!$D:$D,MATCH(D2088,[1]道具配置表!$A:$A,0))</f>
        <v>1银币（立即使用，不进背包）</v>
      </c>
      <c r="F2088" s="34">
        <v>200</v>
      </c>
      <c r="K2088" s="13">
        <v>1</v>
      </c>
      <c r="L2088" s="13"/>
      <c r="M2088" s="34" t="b">
        <v>1</v>
      </c>
    </row>
    <row r="2089" spans="1:13" s="4" customFormat="1" x14ac:dyDescent="0.25">
      <c r="A2089" s="34"/>
      <c r="B2089" s="34"/>
      <c r="D2089" s="13">
        <v>7228</v>
      </c>
      <c r="E2089" s="132" t="str">
        <f>INDEX([1]道具配置表!$D:$D,MATCH(D2089,[1]道具配置表!$A:$A,0))</f>
        <v>经验书*10000</v>
      </c>
      <c r="F2089" s="34">
        <v>20</v>
      </c>
      <c r="K2089" s="13">
        <v>1</v>
      </c>
      <c r="L2089" s="13"/>
      <c r="M2089" s="34" t="b">
        <v>1</v>
      </c>
    </row>
    <row r="2090" spans="1:13" s="4" customFormat="1" x14ac:dyDescent="0.25">
      <c r="A2090" s="34"/>
      <c r="B2090" s="34"/>
      <c r="D2090" s="13">
        <v>7204</v>
      </c>
      <c r="E2090" s="132" t="str">
        <f>INDEX([1]道具配置表!$D:$D,MATCH(D2090,[1]道具配置表!$A:$A,0))</f>
        <v>技能点*200</v>
      </c>
      <c r="F2090" s="34">
        <v>2</v>
      </c>
      <c r="K2090" s="13">
        <v>1</v>
      </c>
      <c r="L2090" s="13"/>
      <c r="M2090" s="34" t="b">
        <v>1</v>
      </c>
    </row>
    <row r="2091" spans="1:13" s="4" customFormat="1" x14ac:dyDescent="0.25">
      <c r="A2091" s="34">
        <v>6609604</v>
      </c>
      <c r="B2091" s="34" t="s">
        <v>592</v>
      </c>
      <c r="D2091" s="13">
        <v>7003</v>
      </c>
      <c r="E2091" s="132" t="str">
        <f>INDEX([1]道具配置表!$D:$D,MATCH(D2091,[1]道具配置表!$A:$A,0))</f>
        <v>1银币（立即使用，不进背包）</v>
      </c>
      <c r="F2091" s="34">
        <v>250</v>
      </c>
      <c r="K2091" s="13">
        <v>1</v>
      </c>
      <c r="L2091" s="13"/>
      <c r="M2091" s="34" t="b">
        <v>1</v>
      </c>
    </row>
    <row r="2092" spans="1:13" s="4" customFormat="1" x14ac:dyDescent="0.25">
      <c r="A2092" s="34"/>
      <c r="B2092" s="34"/>
      <c r="D2092" s="13">
        <v>7228</v>
      </c>
      <c r="E2092" s="132" t="str">
        <f>INDEX([1]道具配置表!$D:$D,MATCH(D2092,[1]道具配置表!$A:$A,0))</f>
        <v>经验书*10000</v>
      </c>
      <c r="F2092" s="34">
        <v>25</v>
      </c>
      <c r="K2092" s="13">
        <v>1</v>
      </c>
      <c r="L2092" s="13"/>
      <c r="M2092" s="34" t="b">
        <v>1</v>
      </c>
    </row>
    <row r="2093" spans="1:13" s="4" customFormat="1" x14ac:dyDescent="0.25">
      <c r="A2093" s="34"/>
      <c r="B2093" s="34"/>
      <c r="D2093" s="13">
        <v>7204</v>
      </c>
      <c r="E2093" s="132" t="str">
        <f>INDEX([1]道具配置表!$D:$D,MATCH(D2093,[1]道具配置表!$A:$A,0))</f>
        <v>技能点*200</v>
      </c>
      <c r="F2093" s="34">
        <v>2</v>
      </c>
      <c r="K2093" s="13">
        <v>1</v>
      </c>
      <c r="L2093" s="13"/>
      <c r="M2093" s="34" t="b">
        <v>1</v>
      </c>
    </row>
    <row r="2094" spans="1:13" s="4" customFormat="1" x14ac:dyDescent="0.25">
      <c r="A2094" s="34">
        <v>6609605</v>
      </c>
      <c r="B2094" s="34" t="s">
        <v>593</v>
      </c>
      <c r="D2094" s="13">
        <v>7003</v>
      </c>
      <c r="E2094" s="132" t="str">
        <f>INDEX([1]道具配置表!$D:$D,MATCH(D2094,[1]道具配置表!$A:$A,0))</f>
        <v>1银币（立即使用，不进背包）</v>
      </c>
      <c r="F2094" s="34">
        <v>300</v>
      </c>
      <c r="K2094" s="13">
        <v>1</v>
      </c>
      <c r="L2094" s="13"/>
      <c r="M2094" s="34" t="b">
        <v>1</v>
      </c>
    </row>
    <row r="2095" spans="1:13" s="4" customFormat="1" x14ac:dyDescent="0.25">
      <c r="A2095" s="34"/>
      <c r="B2095" s="34"/>
      <c r="D2095" s="13">
        <v>7228</v>
      </c>
      <c r="E2095" s="132" t="str">
        <f>INDEX([1]道具配置表!$D:$D,MATCH(D2095,[1]道具配置表!$A:$A,0))</f>
        <v>经验书*10000</v>
      </c>
      <c r="F2095" s="34">
        <v>30</v>
      </c>
      <c r="K2095" s="13">
        <v>1</v>
      </c>
      <c r="L2095" s="13"/>
      <c r="M2095" s="34" t="b">
        <v>1</v>
      </c>
    </row>
    <row r="2096" spans="1:13" s="4" customFormat="1" x14ac:dyDescent="0.25">
      <c r="A2096" s="34"/>
      <c r="B2096" s="34"/>
      <c r="D2096" s="13">
        <v>7204</v>
      </c>
      <c r="E2096" s="132" t="str">
        <f>INDEX([1]道具配置表!$D:$D,MATCH(D2096,[1]道具配置表!$A:$A,0))</f>
        <v>技能点*200</v>
      </c>
      <c r="F2096" s="34">
        <v>3</v>
      </c>
      <c r="K2096" s="13">
        <v>1</v>
      </c>
      <c r="L2096" s="13"/>
      <c r="M2096" s="34" t="b">
        <v>1</v>
      </c>
    </row>
    <row r="2097" spans="1:13" s="4" customFormat="1" x14ac:dyDescent="0.25">
      <c r="A2097" s="34">
        <v>6609606</v>
      </c>
      <c r="B2097" s="34" t="s">
        <v>594</v>
      </c>
      <c r="D2097" s="13">
        <v>7003</v>
      </c>
      <c r="E2097" s="132" t="str">
        <f>INDEX([1]道具配置表!$D:$D,MATCH(D2097,[1]道具配置表!$A:$A,0))</f>
        <v>1银币（立即使用，不进背包）</v>
      </c>
      <c r="F2097" s="34">
        <v>350</v>
      </c>
      <c r="K2097" s="13">
        <v>1</v>
      </c>
      <c r="L2097" s="13"/>
      <c r="M2097" s="34" t="b">
        <v>1</v>
      </c>
    </row>
    <row r="2098" spans="1:13" s="4" customFormat="1" x14ac:dyDescent="0.25">
      <c r="A2098" s="34"/>
      <c r="B2098" s="34"/>
      <c r="D2098" s="13">
        <v>7228</v>
      </c>
      <c r="E2098" s="132" t="str">
        <f>INDEX([1]道具配置表!$D:$D,MATCH(D2098,[1]道具配置表!$A:$A,0))</f>
        <v>经验书*10000</v>
      </c>
      <c r="F2098" s="34">
        <v>35</v>
      </c>
      <c r="K2098" s="13">
        <v>1</v>
      </c>
      <c r="L2098" s="13"/>
      <c r="M2098" s="34" t="b">
        <v>1</v>
      </c>
    </row>
    <row r="2099" spans="1:13" s="4" customFormat="1" x14ac:dyDescent="0.25">
      <c r="A2099" s="34"/>
      <c r="B2099" s="34"/>
      <c r="D2099" s="13">
        <v>7204</v>
      </c>
      <c r="E2099" s="132" t="str">
        <f>INDEX([1]道具配置表!$D:$D,MATCH(D2099,[1]道具配置表!$A:$A,0))</f>
        <v>技能点*200</v>
      </c>
      <c r="F2099" s="34">
        <v>3</v>
      </c>
      <c r="K2099" s="13">
        <v>1</v>
      </c>
      <c r="L2099" s="13"/>
      <c r="M2099" s="34" t="b">
        <v>1</v>
      </c>
    </row>
    <row r="2100" spans="1:13" s="4" customFormat="1" x14ac:dyDescent="0.25">
      <c r="A2100" s="34">
        <v>6609607</v>
      </c>
      <c r="B2100" s="34" t="s">
        <v>595</v>
      </c>
      <c r="D2100" s="13">
        <v>7003</v>
      </c>
      <c r="E2100" s="132" t="str">
        <f>INDEX([1]道具配置表!$D:$D,MATCH(D2100,[1]道具配置表!$A:$A,0))</f>
        <v>1银币（立即使用，不进背包）</v>
      </c>
      <c r="F2100" s="34">
        <v>400</v>
      </c>
      <c r="K2100" s="13">
        <v>1</v>
      </c>
      <c r="L2100" s="13"/>
      <c r="M2100" s="56" t="b">
        <v>1</v>
      </c>
    </row>
    <row r="2101" spans="1:13" s="4" customFormat="1" x14ac:dyDescent="0.25">
      <c r="A2101" s="34"/>
      <c r="B2101" s="34"/>
      <c r="D2101" s="13">
        <v>7228</v>
      </c>
      <c r="E2101" s="132" t="str">
        <f>INDEX([1]道具配置表!$D:$D,MATCH(D2101,[1]道具配置表!$A:$A,0))</f>
        <v>经验书*10000</v>
      </c>
      <c r="F2101" s="34">
        <v>40</v>
      </c>
      <c r="K2101" s="13">
        <v>1</v>
      </c>
      <c r="L2101" s="13"/>
      <c r="M2101" s="56" t="b">
        <v>1</v>
      </c>
    </row>
    <row r="2102" spans="1:13" s="4" customFormat="1" x14ac:dyDescent="0.25">
      <c r="A2102" s="34"/>
      <c r="B2102" s="34"/>
      <c r="D2102" s="13">
        <v>7204</v>
      </c>
      <c r="E2102" s="132" t="str">
        <f>INDEX([1]道具配置表!$D:$D,MATCH(D2102,[1]道具配置表!$A:$A,0))</f>
        <v>技能点*200</v>
      </c>
      <c r="F2102" s="34">
        <v>4</v>
      </c>
      <c r="K2102" s="13">
        <v>1</v>
      </c>
      <c r="L2102" s="13"/>
      <c r="M2102" s="56" t="b">
        <v>1</v>
      </c>
    </row>
    <row r="2103" spans="1:13" s="4" customFormat="1" x14ac:dyDescent="0.25">
      <c r="A2103" s="34">
        <v>6609608</v>
      </c>
      <c r="B2103" s="34" t="s">
        <v>596</v>
      </c>
      <c r="D2103" s="13">
        <v>7003</v>
      </c>
      <c r="E2103" s="132" t="str">
        <f>INDEX([1]道具配置表!$D:$D,MATCH(D2103,[1]道具配置表!$A:$A,0))</f>
        <v>1银币（立即使用，不进背包）</v>
      </c>
      <c r="F2103" s="34">
        <v>450</v>
      </c>
      <c r="K2103" s="13">
        <v>1</v>
      </c>
      <c r="L2103" s="13"/>
      <c r="M2103" s="56" t="b">
        <v>1</v>
      </c>
    </row>
    <row r="2104" spans="1:13" s="4" customFormat="1" x14ac:dyDescent="0.25">
      <c r="A2104" s="34"/>
      <c r="B2104" s="34"/>
      <c r="D2104" s="13">
        <v>7228</v>
      </c>
      <c r="E2104" s="132" t="str">
        <f>INDEX([1]道具配置表!$D:$D,MATCH(D2104,[1]道具配置表!$A:$A,0))</f>
        <v>经验书*10000</v>
      </c>
      <c r="F2104" s="34">
        <v>45</v>
      </c>
      <c r="K2104" s="13">
        <v>1</v>
      </c>
      <c r="L2104" s="13"/>
      <c r="M2104" s="56" t="b">
        <v>1</v>
      </c>
    </row>
    <row r="2105" spans="1:13" s="4" customFormat="1" x14ac:dyDescent="0.25">
      <c r="A2105" s="34"/>
      <c r="B2105" s="34"/>
      <c r="D2105" s="13">
        <v>7204</v>
      </c>
      <c r="E2105" s="132" t="str">
        <f>INDEX([1]道具配置表!$D:$D,MATCH(D2105,[1]道具配置表!$A:$A,0))</f>
        <v>技能点*200</v>
      </c>
      <c r="F2105" s="34">
        <v>4</v>
      </c>
      <c r="K2105" s="13">
        <v>1</v>
      </c>
      <c r="L2105" s="13"/>
      <c r="M2105" s="56" t="b">
        <v>1</v>
      </c>
    </row>
    <row r="2106" spans="1:13" s="4" customFormat="1" x14ac:dyDescent="0.25">
      <c r="A2106" s="34">
        <v>6609609</v>
      </c>
      <c r="B2106" s="34" t="s">
        <v>597</v>
      </c>
      <c r="D2106" s="13">
        <v>7003</v>
      </c>
      <c r="E2106" s="132" t="str">
        <f>INDEX([1]道具配置表!$D:$D,MATCH(D2106,[1]道具配置表!$A:$A,0))</f>
        <v>1银币（立即使用，不进背包）</v>
      </c>
      <c r="F2106" s="34">
        <v>500</v>
      </c>
      <c r="K2106" s="13">
        <v>1</v>
      </c>
      <c r="L2106" s="13"/>
      <c r="M2106" s="56" t="b">
        <v>1</v>
      </c>
    </row>
    <row r="2107" spans="1:13" s="4" customFormat="1" x14ac:dyDescent="0.25">
      <c r="A2107" s="34"/>
      <c r="B2107" s="34"/>
      <c r="D2107" s="13">
        <v>7228</v>
      </c>
      <c r="E2107" s="132" t="str">
        <f>INDEX([1]道具配置表!$D:$D,MATCH(D2107,[1]道具配置表!$A:$A,0))</f>
        <v>经验书*10000</v>
      </c>
      <c r="F2107" s="34">
        <v>50</v>
      </c>
      <c r="K2107" s="13">
        <v>1</v>
      </c>
      <c r="L2107" s="13"/>
      <c r="M2107" s="56" t="b">
        <v>1</v>
      </c>
    </row>
    <row r="2108" spans="1:13" s="4" customFormat="1" x14ac:dyDescent="0.25">
      <c r="A2108" s="34"/>
      <c r="B2108" s="34"/>
      <c r="D2108" s="13">
        <v>7204</v>
      </c>
      <c r="E2108" s="132" t="str">
        <f>INDEX([1]道具配置表!$D:$D,MATCH(D2108,[1]道具配置表!$A:$A,0))</f>
        <v>技能点*200</v>
      </c>
      <c r="F2108" s="34">
        <v>5</v>
      </c>
      <c r="K2108" s="13">
        <v>1</v>
      </c>
      <c r="L2108" s="13"/>
      <c r="M2108" s="56" t="b">
        <v>1</v>
      </c>
    </row>
    <row r="2109" spans="1:13" s="4" customFormat="1" x14ac:dyDescent="0.25">
      <c r="A2109" s="37">
        <v>6609610</v>
      </c>
      <c r="B2109" s="37" t="s">
        <v>882</v>
      </c>
      <c r="D2109" s="13">
        <v>7003</v>
      </c>
      <c r="E2109" s="132" t="str">
        <f>INDEX([1]道具配置表!$D:$D,MATCH(D2109,[1]道具配置表!$A:$A,0))</f>
        <v>1银币（立即使用，不进背包）</v>
      </c>
      <c r="F2109" s="37">
        <v>550</v>
      </c>
      <c r="K2109" s="13">
        <v>1</v>
      </c>
      <c r="L2109" s="13"/>
      <c r="M2109" s="37" t="b">
        <v>1</v>
      </c>
    </row>
    <row r="2110" spans="1:13" s="4" customFormat="1" x14ac:dyDescent="0.25">
      <c r="A2110" s="37"/>
      <c r="B2110" s="37"/>
      <c r="D2110" s="13">
        <v>7228</v>
      </c>
      <c r="E2110" s="132" t="str">
        <f>INDEX([1]道具配置表!$D:$D,MATCH(D2110,[1]道具配置表!$A:$A,0))</f>
        <v>经验书*10000</v>
      </c>
      <c r="F2110" s="37">
        <v>55</v>
      </c>
      <c r="K2110" s="13">
        <v>1</v>
      </c>
      <c r="L2110" s="13"/>
      <c r="M2110" s="37" t="b">
        <v>1</v>
      </c>
    </row>
    <row r="2111" spans="1:13" s="4" customFormat="1" x14ac:dyDescent="0.25">
      <c r="A2111" s="37"/>
      <c r="B2111" s="37"/>
      <c r="D2111" s="13">
        <v>7204</v>
      </c>
      <c r="E2111" s="132" t="str">
        <f>INDEX([1]道具配置表!$D:$D,MATCH(D2111,[1]道具配置表!$A:$A,0))</f>
        <v>技能点*200</v>
      </c>
      <c r="F2111" s="37">
        <v>5</v>
      </c>
      <c r="K2111" s="13">
        <v>1</v>
      </c>
      <c r="L2111" s="13"/>
      <c r="M2111" s="37" t="b">
        <v>1</v>
      </c>
    </row>
    <row r="2112" spans="1:13" s="4" customFormat="1" x14ac:dyDescent="0.25">
      <c r="A2112" s="56">
        <v>6609611</v>
      </c>
      <c r="B2112" s="56" t="s">
        <v>883</v>
      </c>
      <c r="D2112" s="13">
        <v>7003</v>
      </c>
      <c r="E2112" s="132" t="str">
        <f>INDEX([1]道具配置表!$D:$D,MATCH(D2112,[1]道具配置表!$A:$A,0))</f>
        <v>1银币（立即使用，不进背包）</v>
      </c>
      <c r="F2112" s="56">
        <v>600</v>
      </c>
      <c r="K2112" s="13">
        <v>1</v>
      </c>
      <c r="L2112" s="13"/>
      <c r="M2112" s="56" t="b">
        <v>1</v>
      </c>
    </row>
    <row r="2113" spans="1:13" s="4" customFormat="1" x14ac:dyDescent="0.25">
      <c r="A2113" s="56"/>
      <c r="B2113" s="56"/>
      <c r="D2113" s="13">
        <v>7228</v>
      </c>
      <c r="E2113" s="132" t="str">
        <f>INDEX([1]道具配置表!$D:$D,MATCH(D2113,[1]道具配置表!$A:$A,0))</f>
        <v>经验书*10000</v>
      </c>
      <c r="F2113" s="56">
        <v>60</v>
      </c>
      <c r="K2113" s="13">
        <v>1</v>
      </c>
      <c r="L2113" s="13"/>
      <c r="M2113" s="56" t="b">
        <v>1</v>
      </c>
    </row>
    <row r="2114" spans="1:13" s="4" customFormat="1" x14ac:dyDescent="0.25">
      <c r="A2114" s="56"/>
      <c r="B2114" s="56"/>
      <c r="D2114" s="13">
        <v>7204</v>
      </c>
      <c r="E2114" s="132" t="str">
        <f>INDEX([1]道具配置表!$D:$D,MATCH(D2114,[1]道具配置表!$A:$A,0))</f>
        <v>技能点*200</v>
      </c>
      <c r="F2114" s="56">
        <v>6</v>
      </c>
      <c r="K2114" s="13">
        <v>1</v>
      </c>
      <c r="L2114" s="13"/>
      <c r="M2114" s="56" t="b">
        <v>1</v>
      </c>
    </row>
    <row r="2115" spans="1:13" s="4" customFormat="1" x14ac:dyDescent="0.25">
      <c r="A2115" s="56">
        <v>6609612</v>
      </c>
      <c r="B2115" s="56" t="s">
        <v>884</v>
      </c>
      <c r="D2115" s="13">
        <v>7003</v>
      </c>
      <c r="E2115" s="132" t="str">
        <f>INDEX([1]道具配置表!$D:$D,MATCH(D2115,[1]道具配置表!$A:$A,0))</f>
        <v>1银币（立即使用，不进背包）</v>
      </c>
      <c r="F2115" s="56">
        <v>650</v>
      </c>
      <c r="K2115" s="13">
        <v>1</v>
      </c>
      <c r="L2115" s="13"/>
      <c r="M2115" s="56" t="b">
        <v>1</v>
      </c>
    </row>
    <row r="2116" spans="1:13" s="4" customFormat="1" x14ac:dyDescent="0.25">
      <c r="A2116" s="56"/>
      <c r="B2116" s="56"/>
      <c r="D2116" s="13">
        <v>7228</v>
      </c>
      <c r="E2116" s="132" t="str">
        <f>INDEX([1]道具配置表!$D:$D,MATCH(D2116,[1]道具配置表!$A:$A,0))</f>
        <v>经验书*10000</v>
      </c>
      <c r="F2116" s="56">
        <v>65</v>
      </c>
      <c r="K2116" s="13">
        <v>1</v>
      </c>
      <c r="L2116" s="13"/>
      <c r="M2116" s="56" t="b">
        <v>1</v>
      </c>
    </row>
    <row r="2117" spans="1:13" s="4" customFormat="1" x14ac:dyDescent="0.25">
      <c r="A2117" s="56"/>
      <c r="B2117" s="56"/>
      <c r="D2117" s="13">
        <v>7204</v>
      </c>
      <c r="E2117" s="132" t="str">
        <f>INDEX([1]道具配置表!$D:$D,MATCH(D2117,[1]道具配置表!$A:$A,0))</f>
        <v>技能点*200</v>
      </c>
      <c r="F2117" s="56">
        <v>6</v>
      </c>
      <c r="K2117" s="13">
        <v>1</v>
      </c>
      <c r="L2117" s="13"/>
      <c r="M2117" s="56" t="b">
        <v>1</v>
      </c>
    </row>
    <row r="2118" spans="1:13" s="4" customFormat="1" x14ac:dyDescent="0.25">
      <c r="A2118" s="56">
        <v>6609613</v>
      </c>
      <c r="B2118" s="56" t="s">
        <v>885</v>
      </c>
      <c r="D2118" s="13">
        <v>7003</v>
      </c>
      <c r="E2118" s="132" t="str">
        <f>INDEX([1]道具配置表!$D:$D,MATCH(D2118,[1]道具配置表!$A:$A,0))</f>
        <v>1银币（立即使用，不进背包）</v>
      </c>
      <c r="F2118" s="56">
        <v>700</v>
      </c>
      <c r="K2118" s="13">
        <v>1</v>
      </c>
      <c r="L2118" s="13"/>
      <c r="M2118" s="56" t="b">
        <v>1</v>
      </c>
    </row>
    <row r="2119" spans="1:13" s="4" customFormat="1" x14ac:dyDescent="0.25">
      <c r="A2119" s="56"/>
      <c r="B2119" s="56"/>
      <c r="D2119" s="13">
        <v>7228</v>
      </c>
      <c r="E2119" s="132" t="str">
        <f>INDEX([1]道具配置表!$D:$D,MATCH(D2119,[1]道具配置表!$A:$A,0))</f>
        <v>经验书*10000</v>
      </c>
      <c r="F2119" s="56">
        <v>70</v>
      </c>
      <c r="K2119" s="13">
        <v>1</v>
      </c>
      <c r="L2119" s="13"/>
      <c r="M2119" s="56" t="b">
        <v>1</v>
      </c>
    </row>
    <row r="2120" spans="1:13" s="4" customFormat="1" x14ac:dyDescent="0.25">
      <c r="A2120" s="56"/>
      <c r="B2120" s="56"/>
      <c r="D2120" s="13">
        <v>7204</v>
      </c>
      <c r="E2120" s="132" t="str">
        <f>INDEX([1]道具配置表!$D:$D,MATCH(D2120,[1]道具配置表!$A:$A,0))</f>
        <v>技能点*200</v>
      </c>
      <c r="F2120" s="56">
        <v>7</v>
      </c>
      <c r="K2120" s="13">
        <v>1</v>
      </c>
      <c r="L2120" s="13"/>
      <c r="M2120" s="56" t="b">
        <v>1</v>
      </c>
    </row>
    <row r="2121" spans="1:13" s="4" customFormat="1" x14ac:dyDescent="0.25">
      <c r="A2121" s="73">
        <v>6609614</v>
      </c>
      <c r="B2121" s="73" t="s">
        <v>1125</v>
      </c>
      <c r="D2121" s="13">
        <v>7003</v>
      </c>
      <c r="E2121" s="132" t="str">
        <f>INDEX([1]道具配置表!$D:$D,MATCH(D2121,[1]道具配置表!$A:$A,0))</f>
        <v>1银币（立即使用，不进背包）</v>
      </c>
      <c r="F2121" s="73">
        <v>750</v>
      </c>
      <c r="K2121" s="13">
        <v>1</v>
      </c>
      <c r="L2121" s="13"/>
      <c r="M2121" s="73" t="b">
        <v>1</v>
      </c>
    </row>
    <row r="2122" spans="1:13" s="4" customFormat="1" x14ac:dyDescent="0.25">
      <c r="A2122" s="73"/>
      <c r="B2122" s="73"/>
      <c r="D2122" s="13">
        <v>7228</v>
      </c>
      <c r="E2122" s="132" t="str">
        <f>INDEX([1]道具配置表!$D:$D,MATCH(D2122,[1]道具配置表!$A:$A,0))</f>
        <v>经验书*10000</v>
      </c>
      <c r="F2122" s="73">
        <v>75</v>
      </c>
      <c r="K2122" s="13">
        <v>1</v>
      </c>
      <c r="L2122" s="13"/>
      <c r="M2122" s="73" t="b">
        <v>1</v>
      </c>
    </row>
    <row r="2123" spans="1:13" s="4" customFormat="1" x14ac:dyDescent="0.25">
      <c r="A2123" s="73"/>
      <c r="B2123" s="73"/>
      <c r="D2123" s="13">
        <v>7204</v>
      </c>
      <c r="E2123" s="132" t="str">
        <f>INDEX([1]道具配置表!$D:$D,MATCH(D2123,[1]道具配置表!$A:$A,0))</f>
        <v>技能点*200</v>
      </c>
      <c r="F2123" s="73">
        <v>8</v>
      </c>
      <c r="K2123" s="13">
        <v>1</v>
      </c>
      <c r="L2123" s="13"/>
      <c r="M2123" s="73" t="b">
        <v>1</v>
      </c>
    </row>
    <row r="2124" spans="1:13" s="4" customFormat="1" x14ac:dyDescent="0.25">
      <c r="A2124" s="85">
        <v>6609615</v>
      </c>
      <c r="B2124" s="85" t="s">
        <v>1281</v>
      </c>
      <c r="D2124" s="13">
        <v>7003</v>
      </c>
      <c r="E2124" s="132" t="str">
        <f>INDEX([1]道具配置表!$D:$D,MATCH(D2124,[1]道具配置表!$A:$A,0))</f>
        <v>1银币（立即使用，不进背包）</v>
      </c>
      <c r="F2124" s="85">
        <v>800</v>
      </c>
      <c r="K2124" s="13">
        <v>1</v>
      </c>
      <c r="L2124" s="13"/>
      <c r="M2124" s="85" t="b">
        <v>1</v>
      </c>
    </row>
    <row r="2125" spans="1:13" s="4" customFormat="1" x14ac:dyDescent="0.25">
      <c r="A2125" s="85"/>
      <c r="B2125" s="85"/>
      <c r="D2125" s="13">
        <v>7228</v>
      </c>
      <c r="E2125" s="132" t="str">
        <f>INDEX([1]道具配置表!$D:$D,MATCH(D2125,[1]道具配置表!$A:$A,0))</f>
        <v>经验书*10000</v>
      </c>
      <c r="F2125" s="85">
        <v>77</v>
      </c>
      <c r="K2125" s="13">
        <v>1</v>
      </c>
      <c r="L2125" s="13"/>
      <c r="M2125" s="85" t="b">
        <v>1</v>
      </c>
    </row>
    <row r="2126" spans="1:13" s="4" customFormat="1" x14ac:dyDescent="0.25">
      <c r="A2126" s="85"/>
      <c r="B2126" s="85"/>
      <c r="D2126" s="13">
        <v>7204</v>
      </c>
      <c r="E2126" s="132" t="str">
        <f>INDEX([1]道具配置表!$D:$D,MATCH(D2126,[1]道具配置表!$A:$A,0))</f>
        <v>技能点*200</v>
      </c>
      <c r="F2126" s="85">
        <v>8</v>
      </c>
      <c r="K2126" s="13">
        <v>1</v>
      </c>
      <c r="L2126" s="13"/>
      <c r="M2126" s="85" t="b">
        <v>1</v>
      </c>
    </row>
    <row r="2127" spans="1:13" s="4" customFormat="1" x14ac:dyDescent="0.25">
      <c r="A2127" s="117">
        <v>6609701</v>
      </c>
      <c r="B2127" s="117" t="s">
        <v>1551</v>
      </c>
      <c r="D2127" s="13">
        <v>7228</v>
      </c>
      <c r="E2127" s="132" t="str">
        <f>INDEX([1]道具配置表!$D:$D,MATCH(D2127,[1]道具配置表!$A:$A,0))</f>
        <v>经验书*10000</v>
      </c>
      <c r="F2127" s="117">
        <v>5</v>
      </c>
      <c r="K2127" s="13">
        <v>1</v>
      </c>
      <c r="L2127" s="13"/>
      <c r="M2127" s="117" t="b">
        <v>1</v>
      </c>
    </row>
    <row r="2128" spans="1:13" s="4" customFormat="1" x14ac:dyDescent="0.25">
      <c r="A2128" s="117"/>
      <c r="B2128" s="117"/>
      <c r="D2128" s="13">
        <v>232</v>
      </c>
      <c r="E2128" s="132" t="str">
        <f>INDEX([1]道具配置表!$D:$D,MATCH(D2128,[1]道具配置表!$A:$A,0))</f>
        <v>1万食物</v>
      </c>
      <c r="F2128" s="117">
        <v>10</v>
      </c>
      <c r="K2128" s="13">
        <v>1</v>
      </c>
      <c r="L2128" s="13"/>
      <c r="M2128" s="117" t="b">
        <v>1</v>
      </c>
    </row>
    <row r="2129" spans="1:13" s="4" customFormat="1" x14ac:dyDescent="0.25">
      <c r="A2129" s="117"/>
      <c r="B2129" s="117"/>
      <c r="D2129" s="13">
        <v>231</v>
      </c>
      <c r="E2129" s="132" t="str">
        <f>INDEX([1]道具配置表!$D:$D,MATCH(D2129,[1]道具配置表!$A:$A,0))</f>
        <v>1万木材</v>
      </c>
      <c r="F2129" s="117">
        <v>10</v>
      </c>
      <c r="K2129" s="13">
        <v>1</v>
      </c>
      <c r="L2129" s="13"/>
      <c r="M2129" s="117" t="b">
        <v>1</v>
      </c>
    </row>
    <row r="2130" spans="1:13" s="4" customFormat="1" x14ac:dyDescent="0.25">
      <c r="A2130" s="117"/>
      <c r="B2130" s="117"/>
      <c r="D2130" s="13">
        <v>233</v>
      </c>
      <c r="E2130" s="132" t="str">
        <f>INDEX([1]道具配置表!$D:$D,MATCH(D2130,[1]道具配置表!$A:$A,0))</f>
        <v>1万石头</v>
      </c>
      <c r="F2130" s="117">
        <v>10</v>
      </c>
      <c r="K2130" s="13">
        <v>1</v>
      </c>
      <c r="L2130" s="13"/>
      <c r="M2130" s="117" t="b">
        <v>1</v>
      </c>
    </row>
    <row r="2131" spans="1:13" s="4" customFormat="1" x14ac:dyDescent="0.25">
      <c r="A2131" s="117"/>
      <c r="B2131" s="117"/>
      <c r="D2131" s="13">
        <v>234</v>
      </c>
      <c r="E2131" s="132" t="str">
        <f>INDEX([1]道具配置表!$D:$D,MATCH(D2131,[1]道具配置表!$A:$A,0))</f>
        <v>1万黄金</v>
      </c>
      <c r="F2131" s="117">
        <v>10</v>
      </c>
      <c r="K2131" s="13">
        <v>1</v>
      </c>
      <c r="L2131" s="13"/>
      <c r="M2131" s="117" t="b">
        <v>1</v>
      </c>
    </row>
    <row r="2132" spans="1:13" s="4" customFormat="1" x14ac:dyDescent="0.25">
      <c r="A2132" s="117">
        <v>6609702</v>
      </c>
      <c r="B2132" s="117" t="s">
        <v>1552</v>
      </c>
      <c r="D2132" s="13">
        <v>2007</v>
      </c>
      <c r="E2132" s="132" t="str">
        <f>INDEX([1]道具配置表!$D:$D,MATCH(D2132,[1]道具配置表!$A:$A,0))</f>
        <v>大奖池招募券</v>
      </c>
      <c r="F2132" s="117">
        <v>1</v>
      </c>
      <c r="K2132" s="13">
        <v>1</v>
      </c>
      <c r="L2132" s="13"/>
      <c r="M2132" s="117" t="b">
        <v>1</v>
      </c>
    </row>
    <row r="2133" spans="1:13" s="4" customFormat="1" x14ac:dyDescent="0.25">
      <c r="A2133" s="117"/>
      <c r="B2133" s="117"/>
      <c r="D2133" s="13">
        <v>232</v>
      </c>
      <c r="E2133" s="132" t="str">
        <f>INDEX([1]道具配置表!$D:$D,MATCH(D2133,[1]道具配置表!$A:$A,0))</f>
        <v>1万食物</v>
      </c>
      <c r="F2133" s="117">
        <v>12</v>
      </c>
      <c r="K2133" s="13">
        <v>1</v>
      </c>
      <c r="L2133" s="13"/>
      <c r="M2133" s="117" t="b">
        <v>1</v>
      </c>
    </row>
    <row r="2134" spans="1:13" s="4" customFormat="1" x14ac:dyDescent="0.25">
      <c r="A2134" s="117"/>
      <c r="B2134" s="117"/>
      <c r="D2134" s="13">
        <v>231</v>
      </c>
      <c r="E2134" s="132" t="str">
        <f>INDEX([1]道具配置表!$D:$D,MATCH(D2134,[1]道具配置表!$A:$A,0))</f>
        <v>1万木材</v>
      </c>
      <c r="F2134" s="117">
        <v>12</v>
      </c>
      <c r="K2134" s="13">
        <v>1</v>
      </c>
      <c r="L2134" s="13"/>
      <c r="M2134" s="117" t="b">
        <v>1</v>
      </c>
    </row>
    <row r="2135" spans="1:13" s="4" customFormat="1" x14ac:dyDescent="0.25">
      <c r="A2135" s="117"/>
      <c r="B2135" s="117"/>
      <c r="D2135" s="13">
        <v>233</v>
      </c>
      <c r="E2135" s="132" t="str">
        <f>INDEX([1]道具配置表!$D:$D,MATCH(D2135,[1]道具配置表!$A:$A,0))</f>
        <v>1万石头</v>
      </c>
      <c r="F2135" s="117">
        <v>12</v>
      </c>
      <c r="K2135" s="13">
        <v>1</v>
      </c>
      <c r="L2135" s="13"/>
      <c r="M2135" s="117" t="b">
        <v>1</v>
      </c>
    </row>
    <row r="2136" spans="1:13" s="4" customFormat="1" x14ac:dyDescent="0.25">
      <c r="A2136" s="117"/>
      <c r="B2136" s="117"/>
      <c r="D2136" s="13">
        <v>234</v>
      </c>
      <c r="E2136" s="132" t="str">
        <f>INDEX([1]道具配置表!$D:$D,MATCH(D2136,[1]道具配置表!$A:$A,0))</f>
        <v>1万黄金</v>
      </c>
      <c r="F2136" s="117">
        <v>12</v>
      </c>
      <c r="K2136" s="13">
        <v>1</v>
      </c>
      <c r="L2136" s="13"/>
      <c r="M2136" s="117" t="b">
        <v>1</v>
      </c>
    </row>
    <row r="2137" spans="1:13" s="4" customFormat="1" x14ac:dyDescent="0.25">
      <c r="A2137" s="117">
        <v>6609703</v>
      </c>
      <c r="B2137" s="117" t="s">
        <v>1553</v>
      </c>
      <c r="D2137" s="13">
        <v>82002</v>
      </c>
      <c r="E2137" s="132" t="str">
        <f>INDEX([1]道具配置表!$D:$D,MATCH(D2137,[1]道具配置表!$A:$A,0))</f>
        <v>A级橙英雄随机宝箱</v>
      </c>
      <c r="F2137" s="117">
        <v>1</v>
      </c>
      <c r="K2137" s="13">
        <v>1</v>
      </c>
      <c r="L2137" s="13"/>
      <c r="M2137" s="117" t="b">
        <v>1</v>
      </c>
    </row>
    <row r="2138" spans="1:13" s="4" customFormat="1" x14ac:dyDescent="0.25">
      <c r="A2138" s="117"/>
      <c r="B2138" s="117"/>
      <c r="D2138" s="13">
        <v>232</v>
      </c>
      <c r="E2138" s="132" t="str">
        <f>INDEX([1]道具配置表!$D:$D,MATCH(D2138,[1]道具配置表!$A:$A,0))</f>
        <v>1万食物</v>
      </c>
      <c r="F2138" s="117">
        <v>15</v>
      </c>
      <c r="K2138" s="13">
        <v>1</v>
      </c>
      <c r="L2138" s="13"/>
      <c r="M2138" s="117" t="b">
        <v>1</v>
      </c>
    </row>
    <row r="2139" spans="1:13" s="4" customFormat="1" x14ac:dyDescent="0.25">
      <c r="A2139" s="117"/>
      <c r="B2139" s="117"/>
      <c r="D2139" s="13">
        <v>231</v>
      </c>
      <c r="E2139" s="132" t="str">
        <f>INDEX([1]道具配置表!$D:$D,MATCH(D2139,[1]道具配置表!$A:$A,0))</f>
        <v>1万木材</v>
      </c>
      <c r="F2139" s="117">
        <v>15</v>
      </c>
      <c r="K2139" s="13">
        <v>1</v>
      </c>
      <c r="L2139" s="13"/>
      <c r="M2139" s="117" t="b">
        <v>1</v>
      </c>
    </row>
    <row r="2140" spans="1:13" s="4" customFormat="1" x14ac:dyDescent="0.25">
      <c r="A2140" s="117"/>
      <c r="B2140" s="117"/>
      <c r="D2140" s="13">
        <v>233</v>
      </c>
      <c r="E2140" s="132" t="str">
        <f>INDEX([1]道具配置表!$D:$D,MATCH(D2140,[1]道具配置表!$A:$A,0))</f>
        <v>1万石头</v>
      </c>
      <c r="F2140" s="117">
        <v>15</v>
      </c>
      <c r="K2140" s="13">
        <v>1</v>
      </c>
      <c r="L2140" s="13"/>
      <c r="M2140" s="117" t="b">
        <v>1</v>
      </c>
    </row>
    <row r="2141" spans="1:13" s="4" customFormat="1" x14ac:dyDescent="0.25">
      <c r="A2141" s="117"/>
      <c r="B2141" s="117"/>
      <c r="D2141" s="13">
        <v>234</v>
      </c>
      <c r="E2141" s="132" t="str">
        <f>INDEX([1]道具配置表!$D:$D,MATCH(D2141,[1]道具配置表!$A:$A,0))</f>
        <v>1万黄金</v>
      </c>
      <c r="F2141" s="117">
        <v>15</v>
      </c>
      <c r="K2141" s="13">
        <v>1</v>
      </c>
      <c r="L2141" s="13"/>
      <c r="M2141" s="117" t="b">
        <v>1</v>
      </c>
    </row>
    <row r="2142" spans="1:13" s="4" customFormat="1" x14ac:dyDescent="0.25">
      <c r="A2142" s="39">
        <v>6610101</v>
      </c>
      <c r="B2142" s="39" t="s">
        <v>1046</v>
      </c>
      <c r="D2142" s="13">
        <v>20000</v>
      </c>
      <c r="E2142" s="132" t="str">
        <f>INDEX([1]道具配置表!$D:$D,MATCH(D2142,[1]道具配置表!$A:$A,0))</f>
        <v>技能点1</v>
      </c>
      <c r="F2142" s="39">
        <v>500</v>
      </c>
      <c r="K2142" s="13">
        <v>1</v>
      </c>
      <c r="L2142" s="13"/>
      <c r="M2142" s="39" t="b">
        <v>1</v>
      </c>
    </row>
    <row r="2143" spans="1:13" s="4" customFormat="1" x14ac:dyDescent="0.25">
      <c r="A2143" s="39"/>
      <c r="B2143" s="39"/>
      <c r="D2143" s="13">
        <v>221</v>
      </c>
      <c r="E2143" s="132" t="str">
        <f>INDEX([1]道具配置表!$D:$D,MATCH(D2143,[1]道具配置表!$A:$A,0))</f>
        <v>1千木材</v>
      </c>
      <c r="F2143" s="39">
        <v>3</v>
      </c>
      <c r="K2143" s="13">
        <v>1</v>
      </c>
      <c r="L2143" s="13"/>
      <c r="M2143" s="39" t="b">
        <v>1</v>
      </c>
    </row>
    <row r="2144" spans="1:13" s="4" customFormat="1" x14ac:dyDescent="0.25">
      <c r="A2144" s="39"/>
      <c r="B2144" s="39"/>
      <c r="D2144" s="13">
        <v>222</v>
      </c>
      <c r="E2144" s="132" t="str">
        <f>INDEX([1]道具配置表!$D:$D,MATCH(D2144,[1]道具配置表!$A:$A,0))</f>
        <v>1千食物</v>
      </c>
      <c r="F2144" s="39">
        <v>3</v>
      </c>
      <c r="K2144" s="13">
        <v>1</v>
      </c>
      <c r="L2144" s="13"/>
      <c r="M2144" s="39" t="b">
        <v>1</v>
      </c>
    </row>
    <row r="2145" spans="1:13" s="4" customFormat="1" x14ac:dyDescent="0.25">
      <c r="A2145" s="39"/>
      <c r="B2145" s="39"/>
      <c r="D2145" s="13">
        <v>223</v>
      </c>
      <c r="E2145" s="132" t="str">
        <f>INDEX([1]道具配置表!$D:$D,MATCH(D2145,[1]道具配置表!$A:$A,0))</f>
        <v>1千石头</v>
      </c>
      <c r="F2145" s="39">
        <v>3</v>
      </c>
      <c r="K2145" s="13">
        <v>1</v>
      </c>
      <c r="L2145" s="13"/>
      <c r="M2145" s="39" t="b">
        <v>1</v>
      </c>
    </row>
    <row r="2146" spans="1:13" s="4" customFormat="1" x14ac:dyDescent="0.25">
      <c r="A2146" s="39"/>
      <c r="B2146" s="39"/>
      <c r="D2146" s="13">
        <v>224</v>
      </c>
      <c r="E2146" s="132" t="str">
        <f>INDEX([1]道具配置表!$D:$D,MATCH(D2146,[1]道具配置表!$A:$A,0))</f>
        <v>1千黄金</v>
      </c>
      <c r="F2146" s="39">
        <v>3</v>
      </c>
      <c r="K2146" s="13">
        <v>1</v>
      </c>
      <c r="L2146" s="13"/>
      <c r="M2146" s="39" t="b">
        <v>1</v>
      </c>
    </row>
    <row r="2147" spans="1:13" s="4" customFormat="1" x14ac:dyDescent="0.25">
      <c r="A2147" s="39">
        <v>6610102</v>
      </c>
      <c r="B2147" s="65" t="s">
        <v>1047</v>
      </c>
      <c r="D2147" s="13">
        <v>20000</v>
      </c>
      <c r="E2147" s="132" t="str">
        <f>INDEX([1]道具配置表!$D:$D,MATCH(D2147,[1]道具配置表!$A:$A,0))</f>
        <v>技能点1</v>
      </c>
      <c r="F2147" s="39">
        <v>650</v>
      </c>
      <c r="K2147" s="13">
        <v>1</v>
      </c>
      <c r="L2147" s="13"/>
      <c r="M2147" s="39" t="b">
        <v>1</v>
      </c>
    </row>
    <row r="2148" spans="1:13" s="4" customFormat="1" x14ac:dyDescent="0.25">
      <c r="A2148" s="39"/>
      <c r="B2148" s="39"/>
      <c r="D2148" s="13">
        <v>221</v>
      </c>
      <c r="E2148" s="132" t="str">
        <f>INDEX([1]道具配置表!$D:$D,MATCH(D2148,[1]道具配置表!$A:$A,0))</f>
        <v>1千木材</v>
      </c>
      <c r="F2148" s="39">
        <v>6</v>
      </c>
      <c r="K2148" s="13">
        <v>1</v>
      </c>
      <c r="L2148" s="13"/>
      <c r="M2148" s="39" t="b">
        <v>1</v>
      </c>
    </row>
    <row r="2149" spans="1:13" s="4" customFormat="1" x14ac:dyDescent="0.25">
      <c r="A2149" s="39"/>
      <c r="B2149" s="39"/>
      <c r="D2149" s="13">
        <v>222</v>
      </c>
      <c r="E2149" s="132" t="str">
        <f>INDEX([1]道具配置表!$D:$D,MATCH(D2149,[1]道具配置表!$A:$A,0))</f>
        <v>1千食物</v>
      </c>
      <c r="F2149" s="39">
        <v>6</v>
      </c>
      <c r="K2149" s="13">
        <v>1</v>
      </c>
      <c r="L2149" s="13"/>
      <c r="M2149" s="39" t="b">
        <v>1</v>
      </c>
    </row>
    <row r="2150" spans="1:13" s="4" customFormat="1" x14ac:dyDescent="0.25">
      <c r="A2150" s="39"/>
      <c r="B2150" s="39"/>
      <c r="D2150" s="13">
        <v>223</v>
      </c>
      <c r="E2150" s="132" t="str">
        <f>INDEX([1]道具配置表!$D:$D,MATCH(D2150,[1]道具配置表!$A:$A,0))</f>
        <v>1千石头</v>
      </c>
      <c r="F2150" s="39">
        <v>6</v>
      </c>
      <c r="K2150" s="13">
        <v>1</v>
      </c>
      <c r="L2150" s="13"/>
      <c r="M2150" s="39" t="b">
        <v>1</v>
      </c>
    </row>
    <row r="2151" spans="1:13" s="4" customFormat="1" x14ac:dyDescent="0.25">
      <c r="A2151" s="39"/>
      <c r="B2151" s="39"/>
      <c r="D2151" s="13">
        <v>224</v>
      </c>
      <c r="E2151" s="132" t="str">
        <f>INDEX([1]道具配置表!$D:$D,MATCH(D2151,[1]道具配置表!$A:$A,0))</f>
        <v>1千黄金</v>
      </c>
      <c r="F2151" s="39">
        <v>6</v>
      </c>
      <c r="K2151" s="13">
        <v>1</v>
      </c>
      <c r="L2151" s="13"/>
      <c r="M2151" s="39" t="b">
        <v>1</v>
      </c>
    </row>
    <row r="2152" spans="1:13" s="4" customFormat="1" x14ac:dyDescent="0.25">
      <c r="A2152" s="39">
        <v>6610103</v>
      </c>
      <c r="B2152" s="65" t="s">
        <v>1048</v>
      </c>
      <c r="D2152" s="13">
        <v>20000</v>
      </c>
      <c r="E2152" s="132" t="str">
        <f>INDEX([1]道具配置表!$D:$D,MATCH(D2152,[1]道具配置表!$A:$A,0))</f>
        <v>技能点1</v>
      </c>
      <c r="F2152" s="39">
        <v>700</v>
      </c>
      <c r="K2152" s="13">
        <v>1</v>
      </c>
      <c r="L2152" s="13"/>
      <c r="M2152" s="39" t="b">
        <v>1</v>
      </c>
    </row>
    <row r="2153" spans="1:13" s="4" customFormat="1" x14ac:dyDescent="0.25">
      <c r="A2153" s="39"/>
      <c r="B2153" s="39"/>
      <c r="D2153" s="13">
        <v>221</v>
      </c>
      <c r="E2153" s="132" t="str">
        <f>INDEX([1]道具配置表!$D:$D,MATCH(D2153,[1]道具配置表!$A:$A,0))</f>
        <v>1千木材</v>
      </c>
      <c r="F2153" s="39">
        <v>9</v>
      </c>
      <c r="K2153" s="13">
        <v>1</v>
      </c>
      <c r="L2153" s="13"/>
      <c r="M2153" s="39" t="b">
        <v>1</v>
      </c>
    </row>
    <row r="2154" spans="1:13" s="4" customFormat="1" x14ac:dyDescent="0.25">
      <c r="A2154" s="39"/>
      <c r="B2154" s="39"/>
      <c r="D2154" s="13">
        <v>222</v>
      </c>
      <c r="E2154" s="132" t="str">
        <f>INDEX([1]道具配置表!$D:$D,MATCH(D2154,[1]道具配置表!$A:$A,0))</f>
        <v>1千食物</v>
      </c>
      <c r="F2154" s="39">
        <v>9</v>
      </c>
      <c r="K2154" s="13">
        <v>1</v>
      </c>
      <c r="L2154" s="13"/>
      <c r="M2154" s="39" t="b">
        <v>1</v>
      </c>
    </row>
    <row r="2155" spans="1:13" s="4" customFormat="1" x14ac:dyDescent="0.25">
      <c r="A2155" s="39"/>
      <c r="B2155" s="39"/>
      <c r="D2155" s="13">
        <v>223</v>
      </c>
      <c r="E2155" s="132" t="str">
        <f>INDEX([1]道具配置表!$D:$D,MATCH(D2155,[1]道具配置表!$A:$A,0))</f>
        <v>1千石头</v>
      </c>
      <c r="F2155" s="39">
        <v>9</v>
      </c>
      <c r="K2155" s="13">
        <v>1</v>
      </c>
      <c r="L2155" s="13"/>
      <c r="M2155" s="39" t="b">
        <v>1</v>
      </c>
    </row>
    <row r="2156" spans="1:13" s="4" customFormat="1" x14ac:dyDescent="0.25">
      <c r="A2156" s="39"/>
      <c r="B2156" s="39"/>
      <c r="D2156" s="13">
        <v>224</v>
      </c>
      <c r="E2156" s="132" t="str">
        <f>INDEX([1]道具配置表!$D:$D,MATCH(D2156,[1]道具配置表!$A:$A,0))</f>
        <v>1千黄金</v>
      </c>
      <c r="F2156" s="39">
        <v>9</v>
      </c>
      <c r="K2156" s="13">
        <v>1</v>
      </c>
      <c r="L2156" s="13"/>
      <c r="M2156" s="39" t="b">
        <v>1</v>
      </c>
    </row>
    <row r="2157" spans="1:13" s="4" customFormat="1" x14ac:dyDescent="0.25">
      <c r="A2157" s="39">
        <v>6610104</v>
      </c>
      <c r="B2157" s="65" t="s">
        <v>1049</v>
      </c>
      <c r="D2157" s="13">
        <v>20000</v>
      </c>
      <c r="E2157" s="132" t="str">
        <f>INDEX([1]道具配置表!$D:$D,MATCH(D2157,[1]道具配置表!$A:$A,0))</f>
        <v>技能点1</v>
      </c>
      <c r="F2157" s="39">
        <v>800</v>
      </c>
      <c r="K2157" s="13">
        <v>1</v>
      </c>
      <c r="L2157" s="13"/>
      <c r="M2157" s="39" t="b">
        <v>1</v>
      </c>
    </row>
    <row r="2158" spans="1:13" s="4" customFormat="1" x14ac:dyDescent="0.25">
      <c r="A2158" s="39"/>
      <c r="B2158" s="39"/>
      <c r="D2158" s="13">
        <v>221</v>
      </c>
      <c r="E2158" s="132" t="str">
        <f>INDEX([1]道具配置表!$D:$D,MATCH(D2158,[1]道具配置表!$A:$A,0))</f>
        <v>1千木材</v>
      </c>
      <c r="F2158" s="39">
        <v>15</v>
      </c>
      <c r="K2158" s="13">
        <v>1</v>
      </c>
      <c r="L2158" s="13"/>
      <c r="M2158" s="39" t="b">
        <v>1</v>
      </c>
    </row>
    <row r="2159" spans="1:13" s="4" customFormat="1" x14ac:dyDescent="0.25">
      <c r="A2159" s="39"/>
      <c r="B2159" s="39"/>
      <c r="D2159" s="13">
        <v>222</v>
      </c>
      <c r="E2159" s="132" t="str">
        <f>INDEX([1]道具配置表!$D:$D,MATCH(D2159,[1]道具配置表!$A:$A,0))</f>
        <v>1千食物</v>
      </c>
      <c r="F2159" s="39">
        <v>15</v>
      </c>
      <c r="K2159" s="13">
        <v>1</v>
      </c>
      <c r="L2159" s="13"/>
      <c r="M2159" s="39" t="b">
        <v>1</v>
      </c>
    </row>
    <row r="2160" spans="1:13" s="4" customFormat="1" x14ac:dyDescent="0.25">
      <c r="A2160" s="39"/>
      <c r="B2160" s="39"/>
      <c r="D2160" s="13">
        <v>223</v>
      </c>
      <c r="E2160" s="132" t="str">
        <f>INDEX([1]道具配置表!$D:$D,MATCH(D2160,[1]道具配置表!$A:$A,0))</f>
        <v>1千石头</v>
      </c>
      <c r="F2160" s="39">
        <v>15</v>
      </c>
      <c r="K2160" s="13">
        <v>1</v>
      </c>
      <c r="L2160" s="13"/>
      <c r="M2160" s="39" t="b">
        <v>1</v>
      </c>
    </row>
    <row r="2161" spans="1:13" s="4" customFormat="1" x14ac:dyDescent="0.25">
      <c r="A2161" s="39"/>
      <c r="B2161" s="39"/>
      <c r="D2161" s="13">
        <v>224</v>
      </c>
      <c r="E2161" s="132" t="str">
        <f>INDEX([1]道具配置表!$D:$D,MATCH(D2161,[1]道具配置表!$A:$A,0))</f>
        <v>1千黄金</v>
      </c>
      <c r="F2161" s="39">
        <v>15</v>
      </c>
      <c r="K2161" s="13">
        <v>1</v>
      </c>
      <c r="L2161" s="13"/>
      <c r="M2161" s="39" t="b">
        <v>1</v>
      </c>
    </row>
    <row r="2162" spans="1:13" s="4" customFormat="1" x14ac:dyDescent="0.25">
      <c r="A2162" s="39">
        <v>6610105</v>
      </c>
      <c r="B2162" s="65" t="s">
        <v>1050</v>
      </c>
      <c r="D2162" s="13">
        <v>20000</v>
      </c>
      <c r="E2162" s="132" t="str">
        <f>INDEX([1]道具配置表!$D:$D,MATCH(D2162,[1]道具配置表!$A:$A,0))</f>
        <v>技能点1</v>
      </c>
      <c r="F2162" s="39">
        <v>1000</v>
      </c>
      <c r="K2162" s="13">
        <v>1</v>
      </c>
      <c r="L2162" s="13"/>
      <c r="M2162" s="39" t="b">
        <v>1</v>
      </c>
    </row>
    <row r="2163" spans="1:13" s="4" customFormat="1" x14ac:dyDescent="0.25">
      <c r="A2163" s="39"/>
      <c r="B2163" s="39"/>
      <c r="D2163" s="13">
        <v>221</v>
      </c>
      <c r="E2163" s="132" t="str">
        <f>INDEX([1]道具配置表!$D:$D,MATCH(D2163,[1]道具配置表!$A:$A,0))</f>
        <v>1千木材</v>
      </c>
      <c r="F2163" s="39">
        <v>25</v>
      </c>
      <c r="K2163" s="13">
        <v>1</v>
      </c>
      <c r="L2163" s="13"/>
      <c r="M2163" s="39" t="b">
        <v>1</v>
      </c>
    </row>
    <row r="2164" spans="1:13" s="4" customFormat="1" x14ac:dyDescent="0.25">
      <c r="A2164" s="39"/>
      <c r="B2164" s="39"/>
      <c r="D2164" s="13">
        <v>222</v>
      </c>
      <c r="E2164" s="132" t="str">
        <f>INDEX([1]道具配置表!$D:$D,MATCH(D2164,[1]道具配置表!$A:$A,0))</f>
        <v>1千食物</v>
      </c>
      <c r="F2164" s="39">
        <v>25</v>
      </c>
      <c r="K2164" s="13">
        <v>1</v>
      </c>
      <c r="L2164" s="13"/>
      <c r="M2164" s="39" t="b">
        <v>1</v>
      </c>
    </row>
    <row r="2165" spans="1:13" s="4" customFormat="1" x14ac:dyDescent="0.25">
      <c r="A2165" s="39"/>
      <c r="B2165" s="39"/>
      <c r="D2165" s="13">
        <v>223</v>
      </c>
      <c r="E2165" s="132" t="str">
        <f>INDEX([1]道具配置表!$D:$D,MATCH(D2165,[1]道具配置表!$A:$A,0))</f>
        <v>1千石头</v>
      </c>
      <c r="F2165" s="39">
        <v>25</v>
      </c>
      <c r="K2165" s="13">
        <v>1</v>
      </c>
      <c r="L2165" s="13"/>
      <c r="M2165" s="39" t="b">
        <v>1</v>
      </c>
    </row>
    <row r="2166" spans="1:13" s="4" customFormat="1" x14ac:dyDescent="0.25">
      <c r="A2166" s="39"/>
      <c r="B2166" s="39"/>
      <c r="D2166" s="13">
        <v>224</v>
      </c>
      <c r="E2166" s="132" t="str">
        <f>INDEX([1]道具配置表!$D:$D,MATCH(D2166,[1]道具配置表!$A:$A,0))</f>
        <v>1千黄金</v>
      </c>
      <c r="F2166" s="39">
        <v>25</v>
      </c>
      <c r="K2166" s="13">
        <v>1</v>
      </c>
      <c r="L2166" s="13"/>
      <c r="M2166" s="39" t="b">
        <v>1</v>
      </c>
    </row>
    <row r="2167" spans="1:13" s="4" customFormat="1" x14ac:dyDescent="0.25">
      <c r="A2167" s="65">
        <v>6610106</v>
      </c>
      <c r="B2167" s="65" t="s">
        <v>1051</v>
      </c>
      <c r="D2167" s="13">
        <v>20000</v>
      </c>
      <c r="E2167" s="132" t="str">
        <f>INDEX([1]道具配置表!$D:$D,MATCH(D2167,[1]道具配置表!$A:$A,0))</f>
        <v>技能点1</v>
      </c>
      <c r="F2167" s="65">
        <v>1200</v>
      </c>
      <c r="K2167" s="13">
        <v>1</v>
      </c>
      <c r="L2167" s="13"/>
      <c r="M2167" s="65" t="b">
        <v>1</v>
      </c>
    </row>
    <row r="2168" spans="1:13" s="4" customFormat="1" x14ac:dyDescent="0.25">
      <c r="A2168" s="65"/>
      <c r="B2168" s="65"/>
      <c r="D2168" s="13">
        <v>221</v>
      </c>
      <c r="E2168" s="132" t="str">
        <f>INDEX([1]道具配置表!$D:$D,MATCH(D2168,[1]道具配置表!$A:$A,0))</f>
        <v>1千木材</v>
      </c>
      <c r="F2168" s="65">
        <v>40</v>
      </c>
      <c r="K2168" s="13">
        <v>1</v>
      </c>
      <c r="L2168" s="13"/>
      <c r="M2168" s="65" t="b">
        <v>1</v>
      </c>
    </row>
    <row r="2169" spans="1:13" s="4" customFormat="1" x14ac:dyDescent="0.25">
      <c r="A2169" s="65"/>
      <c r="B2169" s="65"/>
      <c r="D2169" s="13">
        <v>222</v>
      </c>
      <c r="E2169" s="132" t="str">
        <f>INDEX([1]道具配置表!$D:$D,MATCH(D2169,[1]道具配置表!$A:$A,0))</f>
        <v>1千食物</v>
      </c>
      <c r="F2169" s="65">
        <v>40</v>
      </c>
      <c r="K2169" s="13">
        <v>1</v>
      </c>
      <c r="L2169" s="13"/>
      <c r="M2169" s="65" t="b">
        <v>1</v>
      </c>
    </row>
    <row r="2170" spans="1:13" s="4" customFormat="1" x14ac:dyDescent="0.25">
      <c r="A2170" s="65"/>
      <c r="B2170" s="65"/>
      <c r="D2170" s="13">
        <v>223</v>
      </c>
      <c r="E2170" s="132" t="str">
        <f>INDEX([1]道具配置表!$D:$D,MATCH(D2170,[1]道具配置表!$A:$A,0))</f>
        <v>1千石头</v>
      </c>
      <c r="F2170" s="65">
        <v>40</v>
      </c>
      <c r="K2170" s="13">
        <v>1</v>
      </c>
      <c r="L2170" s="13"/>
      <c r="M2170" s="65" t="b">
        <v>1</v>
      </c>
    </row>
    <row r="2171" spans="1:13" s="4" customFormat="1" x14ac:dyDescent="0.25">
      <c r="A2171" s="65"/>
      <c r="B2171" s="65"/>
      <c r="D2171" s="13">
        <v>224</v>
      </c>
      <c r="E2171" s="132" t="str">
        <f>INDEX([1]道具配置表!$D:$D,MATCH(D2171,[1]道具配置表!$A:$A,0))</f>
        <v>1千黄金</v>
      </c>
      <c r="F2171" s="65">
        <v>40</v>
      </c>
      <c r="K2171" s="13">
        <v>1</v>
      </c>
      <c r="L2171" s="13"/>
      <c r="M2171" s="65" t="b">
        <v>1</v>
      </c>
    </row>
    <row r="2172" spans="1:13" s="4" customFormat="1" x14ac:dyDescent="0.25">
      <c r="A2172" s="39">
        <v>6610201</v>
      </c>
      <c r="B2172" s="39" t="s">
        <v>614</v>
      </c>
      <c r="D2172" s="13">
        <v>20000</v>
      </c>
      <c r="E2172" s="132" t="str">
        <f>INDEX([1]道具配置表!$D:$D,MATCH(D2172,[1]道具配置表!$A:$A,0))</f>
        <v>技能点1</v>
      </c>
      <c r="F2172" s="39">
        <v>100</v>
      </c>
      <c r="K2172" s="13">
        <v>1</v>
      </c>
      <c r="L2172" s="13"/>
      <c r="M2172" s="39" t="b">
        <v>1</v>
      </c>
    </row>
    <row r="2173" spans="1:13" s="4" customFormat="1" x14ac:dyDescent="0.25">
      <c r="A2173" s="39"/>
      <c r="B2173" s="39"/>
      <c r="D2173" s="13">
        <v>231</v>
      </c>
      <c r="E2173" s="132" t="str">
        <f>INDEX([1]道具配置表!$D:$D,MATCH(D2173,[1]道具配置表!$A:$A,0))</f>
        <v>1万木材</v>
      </c>
      <c r="F2173" s="39">
        <v>1</v>
      </c>
      <c r="K2173" s="13">
        <v>1</v>
      </c>
      <c r="L2173" s="13"/>
      <c r="M2173" s="39" t="b">
        <v>1</v>
      </c>
    </row>
    <row r="2174" spans="1:13" s="4" customFormat="1" x14ac:dyDescent="0.25">
      <c r="A2174" s="39"/>
      <c r="B2174" s="39"/>
      <c r="D2174" s="13">
        <v>232</v>
      </c>
      <c r="E2174" s="132" t="str">
        <f>INDEX([1]道具配置表!$D:$D,MATCH(D2174,[1]道具配置表!$A:$A,0))</f>
        <v>1万食物</v>
      </c>
      <c r="F2174" s="39">
        <v>1</v>
      </c>
      <c r="K2174" s="13">
        <v>1</v>
      </c>
      <c r="L2174" s="13"/>
      <c r="M2174" s="39" t="b">
        <v>1</v>
      </c>
    </row>
    <row r="2175" spans="1:13" s="4" customFormat="1" x14ac:dyDescent="0.25">
      <c r="A2175" s="39"/>
      <c r="B2175" s="39"/>
      <c r="D2175" s="13">
        <v>233</v>
      </c>
      <c r="E2175" s="132" t="str">
        <f>INDEX([1]道具配置表!$D:$D,MATCH(D2175,[1]道具配置表!$A:$A,0))</f>
        <v>1万石头</v>
      </c>
      <c r="F2175" s="39">
        <v>1</v>
      </c>
      <c r="K2175" s="13">
        <v>1</v>
      </c>
      <c r="L2175" s="13"/>
      <c r="M2175" s="39" t="b">
        <v>1</v>
      </c>
    </row>
    <row r="2176" spans="1:13" s="4" customFormat="1" x14ac:dyDescent="0.25">
      <c r="A2176" s="39"/>
      <c r="B2176" s="39"/>
      <c r="D2176" s="13">
        <v>234</v>
      </c>
      <c r="E2176" s="132" t="str">
        <f>INDEX([1]道具配置表!$D:$D,MATCH(D2176,[1]道具配置表!$A:$A,0))</f>
        <v>1万黄金</v>
      </c>
      <c r="F2176" s="39">
        <v>1</v>
      </c>
      <c r="K2176" s="13">
        <v>1</v>
      </c>
      <c r="L2176" s="13"/>
      <c r="M2176" s="39" t="b">
        <v>1</v>
      </c>
    </row>
    <row r="2177" spans="1:13" s="4" customFormat="1" x14ac:dyDescent="0.25">
      <c r="A2177" s="39">
        <v>6610202</v>
      </c>
      <c r="B2177" s="39" t="s">
        <v>615</v>
      </c>
      <c r="D2177" s="13">
        <v>20000</v>
      </c>
      <c r="E2177" s="132" t="str">
        <f>INDEX([1]道具配置表!$D:$D,MATCH(D2177,[1]道具配置表!$A:$A,0))</f>
        <v>技能点1</v>
      </c>
      <c r="F2177" s="39">
        <v>150</v>
      </c>
      <c r="K2177" s="13">
        <v>1</v>
      </c>
      <c r="L2177" s="13"/>
      <c r="M2177" s="39" t="b">
        <v>1</v>
      </c>
    </row>
    <row r="2178" spans="1:13" s="4" customFormat="1" x14ac:dyDescent="0.25">
      <c r="A2178" s="39"/>
      <c r="B2178" s="39"/>
      <c r="D2178" s="13">
        <v>231</v>
      </c>
      <c r="E2178" s="132" t="str">
        <f>INDEX([1]道具配置表!$D:$D,MATCH(D2178,[1]道具配置表!$A:$A,0))</f>
        <v>1万木材</v>
      </c>
      <c r="F2178" s="39">
        <v>2</v>
      </c>
      <c r="K2178" s="13">
        <v>1</v>
      </c>
      <c r="L2178" s="13"/>
      <c r="M2178" s="39" t="b">
        <v>1</v>
      </c>
    </row>
    <row r="2179" spans="1:13" s="4" customFormat="1" x14ac:dyDescent="0.25">
      <c r="A2179" s="39"/>
      <c r="B2179" s="39"/>
      <c r="D2179" s="13">
        <v>232</v>
      </c>
      <c r="E2179" s="132" t="str">
        <f>INDEX([1]道具配置表!$D:$D,MATCH(D2179,[1]道具配置表!$A:$A,0))</f>
        <v>1万食物</v>
      </c>
      <c r="F2179" s="39">
        <v>2</v>
      </c>
      <c r="K2179" s="13">
        <v>1</v>
      </c>
      <c r="L2179" s="13"/>
      <c r="M2179" s="39" t="b">
        <v>1</v>
      </c>
    </row>
    <row r="2180" spans="1:13" s="4" customFormat="1" x14ac:dyDescent="0.25">
      <c r="A2180" s="39"/>
      <c r="B2180" s="39"/>
      <c r="D2180" s="13">
        <v>233</v>
      </c>
      <c r="E2180" s="132" t="str">
        <f>INDEX([1]道具配置表!$D:$D,MATCH(D2180,[1]道具配置表!$A:$A,0))</f>
        <v>1万石头</v>
      </c>
      <c r="F2180" s="39">
        <v>2</v>
      </c>
      <c r="K2180" s="13">
        <v>1</v>
      </c>
      <c r="L2180" s="13"/>
      <c r="M2180" s="39" t="b">
        <v>1</v>
      </c>
    </row>
    <row r="2181" spans="1:13" s="4" customFormat="1" x14ac:dyDescent="0.25">
      <c r="A2181" s="39"/>
      <c r="B2181" s="39"/>
      <c r="D2181" s="13">
        <v>234</v>
      </c>
      <c r="E2181" s="132" t="str">
        <f>INDEX([1]道具配置表!$D:$D,MATCH(D2181,[1]道具配置表!$A:$A,0))</f>
        <v>1万黄金</v>
      </c>
      <c r="F2181" s="39">
        <v>2</v>
      </c>
      <c r="K2181" s="13">
        <v>1</v>
      </c>
      <c r="L2181" s="13"/>
      <c r="M2181" s="39" t="b">
        <v>1</v>
      </c>
    </row>
    <row r="2182" spans="1:13" s="4" customFormat="1" x14ac:dyDescent="0.25">
      <c r="A2182" s="39">
        <v>6610203</v>
      </c>
      <c r="B2182" s="39" t="s">
        <v>616</v>
      </c>
      <c r="D2182" s="13">
        <v>20000</v>
      </c>
      <c r="E2182" s="132" t="str">
        <f>INDEX([1]道具配置表!$D:$D,MATCH(D2182,[1]道具配置表!$A:$A,0))</f>
        <v>技能点1</v>
      </c>
      <c r="F2182" s="39">
        <v>200</v>
      </c>
      <c r="K2182" s="13">
        <v>1</v>
      </c>
      <c r="L2182" s="13"/>
      <c r="M2182" s="39" t="b">
        <v>1</v>
      </c>
    </row>
    <row r="2183" spans="1:13" s="4" customFormat="1" x14ac:dyDescent="0.25">
      <c r="A2183" s="39"/>
      <c r="B2183" s="39"/>
      <c r="D2183" s="13">
        <v>231</v>
      </c>
      <c r="E2183" s="132" t="str">
        <f>INDEX([1]道具配置表!$D:$D,MATCH(D2183,[1]道具配置表!$A:$A,0))</f>
        <v>1万木材</v>
      </c>
      <c r="F2183" s="39">
        <v>3</v>
      </c>
      <c r="K2183" s="13">
        <v>1</v>
      </c>
      <c r="L2183" s="13"/>
      <c r="M2183" s="39" t="b">
        <v>1</v>
      </c>
    </row>
    <row r="2184" spans="1:13" s="4" customFormat="1" x14ac:dyDescent="0.25">
      <c r="A2184" s="39"/>
      <c r="B2184" s="39"/>
      <c r="D2184" s="13">
        <v>232</v>
      </c>
      <c r="E2184" s="132" t="str">
        <f>INDEX([1]道具配置表!$D:$D,MATCH(D2184,[1]道具配置表!$A:$A,0))</f>
        <v>1万食物</v>
      </c>
      <c r="F2184" s="39">
        <v>3</v>
      </c>
      <c r="K2184" s="13">
        <v>1</v>
      </c>
      <c r="L2184" s="13"/>
      <c r="M2184" s="39" t="b">
        <v>1</v>
      </c>
    </row>
    <row r="2185" spans="1:13" s="4" customFormat="1" x14ac:dyDescent="0.25">
      <c r="A2185" s="39"/>
      <c r="B2185" s="39"/>
      <c r="D2185" s="13">
        <v>233</v>
      </c>
      <c r="E2185" s="132" t="str">
        <f>INDEX([1]道具配置表!$D:$D,MATCH(D2185,[1]道具配置表!$A:$A,0))</f>
        <v>1万石头</v>
      </c>
      <c r="F2185" s="39">
        <v>3</v>
      </c>
      <c r="K2185" s="13">
        <v>1</v>
      </c>
      <c r="L2185" s="13"/>
      <c r="M2185" s="39" t="b">
        <v>1</v>
      </c>
    </row>
    <row r="2186" spans="1:13" s="4" customFormat="1" x14ac:dyDescent="0.25">
      <c r="A2186" s="39"/>
      <c r="B2186" s="39"/>
      <c r="D2186" s="13">
        <v>234</v>
      </c>
      <c r="E2186" s="132" t="str">
        <f>INDEX([1]道具配置表!$D:$D,MATCH(D2186,[1]道具配置表!$A:$A,0))</f>
        <v>1万黄金</v>
      </c>
      <c r="F2186" s="39">
        <v>3</v>
      </c>
      <c r="K2186" s="13">
        <v>1</v>
      </c>
      <c r="L2186" s="13"/>
      <c r="M2186" s="39" t="b">
        <v>1</v>
      </c>
    </row>
    <row r="2187" spans="1:13" s="4" customFormat="1" x14ac:dyDescent="0.25">
      <c r="A2187" s="39">
        <v>6610204</v>
      </c>
      <c r="B2187" s="39" t="s">
        <v>617</v>
      </c>
      <c r="D2187" s="13">
        <v>20000</v>
      </c>
      <c r="E2187" s="132" t="str">
        <f>INDEX([1]道具配置表!$D:$D,MATCH(D2187,[1]道具配置表!$A:$A,0))</f>
        <v>技能点1</v>
      </c>
      <c r="F2187" s="39">
        <v>250</v>
      </c>
      <c r="K2187" s="13">
        <v>1</v>
      </c>
      <c r="L2187" s="13"/>
      <c r="M2187" s="39" t="b">
        <v>1</v>
      </c>
    </row>
    <row r="2188" spans="1:13" s="4" customFormat="1" x14ac:dyDescent="0.25">
      <c r="A2188" s="39"/>
      <c r="B2188" s="39"/>
      <c r="D2188" s="13">
        <v>231</v>
      </c>
      <c r="E2188" s="132" t="str">
        <f>INDEX([1]道具配置表!$D:$D,MATCH(D2188,[1]道具配置表!$A:$A,0))</f>
        <v>1万木材</v>
      </c>
      <c r="F2188" s="39">
        <v>4</v>
      </c>
      <c r="K2188" s="13">
        <v>1</v>
      </c>
      <c r="L2188" s="13"/>
      <c r="M2188" s="39" t="b">
        <v>1</v>
      </c>
    </row>
    <row r="2189" spans="1:13" s="4" customFormat="1" x14ac:dyDescent="0.25">
      <c r="A2189" s="39"/>
      <c r="B2189" s="39"/>
      <c r="D2189" s="13">
        <v>232</v>
      </c>
      <c r="E2189" s="132" t="str">
        <f>INDEX([1]道具配置表!$D:$D,MATCH(D2189,[1]道具配置表!$A:$A,0))</f>
        <v>1万食物</v>
      </c>
      <c r="F2189" s="39">
        <v>4</v>
      </c>
      <c r="K2189" s="13">
        <v>1</v>
      </c>
      <c r="L2189" s="13"/>
      <c r="M2189" s="39" t="b">
        <v>1</v>
      </c>
    </row>
    <row r="2190" spans="1:13" s="4" customFormat="1" x14ac:dyDescent="0.25">
      <c r="A2190" s="39"/>
      <c r="B2190" s="39"/>
      <c r="D2190" s="13">
        <v>233</v>
      </c>
      <c r="E2190" s="132" t="str">
        <f>INDEX([1]道具配置表!$D:$D,MATCH(D2190,[1]道具配置表!$A:$A,0))</f>
        <v>1万石头</v>
      </c>
      <c r="F2190" s="39">
        <v>4</v>
      </c>
      <c r="K2190" s="13">
        <v>1</v>
      </c>
      <c r="L2190" s="13"/>
      <c r="M2190" s="39" t="b">
        <v>1</v>
      </c>
    </row>
    <row r="2191" spans="1:13" s="4" customFormat="1" x14ac:dyDescent="0.25">
      <c r="A2191" s="39"/>
      <c r="B2191" s="39"/>
      <c r="D2191" s="13">
        <v>234</v>
      </c>
      <c r="E2191" s="132" t="str">
        <f>INDEX([1]道具配置表!$D:$D,MATCH(D2191,[1]道具配置表!$A:$A,0))</f>
        <v>1万黄金</v>
      </c>
      <c r="F2191" s="39">
        <v>4</v>
      </c>
      <c r="K2191" s="13">
        <v>1</v>
      </c>
      <c r="L2191" s="13"/>
      <c r="M2191" s="39" t="b">
        <v>1</v>
      </c>
    </row>
    <row r="2192" spans="1:13" s="4" customFormat="1" x14ac:dyDescent="0.25">
      <c r="A2192" s="39">
        <v>6610205</v>
      </c>
      <c r="B2192" s="39" t="s">
        <v>618</v>
      </c>
      <c r="D2192" s="13">
        <v>20000</v>
      </c>
      <c r="E2192" s="132" t="str">
        <f>INDEX([1]道具配置表!$D:$D,MATCH(D2192,[1]道具配置表!$A:$A,0))</f>
        <v>技能点1</v>
      </c>
      <c r="F2192" s="39">
        <v>300</v>
      </c>
      <c r="K2192" s="13">
        <v>1</v>
      </c>
      <c r="L2192" s="13"/>
      <c r="M2192" s="39" t="b">
        <v>1</v>
      </c>
    </row>
    <row r="2193" spans="1:13" s="4" customFormat="1" x14ac:dyDescent="0.25">
      <c r="A2193" s="39"/>
      <c r="B2193" s="39"/>
      <c r="D2193" s="13">
        <v>231</v>
      </c>
      <c r="E2193" s="132" t="str">
        <f>INDEX([1]道具配置表!$D:$D,MATCH(D2193,[1]道具配置表!$A:$A,0))</f>
        <v>1万木材</v>
      </c>
      <c r="F2193" s="39">
        <v>5</v>
      </c>
      <c r="K2193" s="13">
        <v>1</v>
      </c>
      <c r="L2193" s="13"/>
      <c r="M2193" s="39" t="b">
        <v>1</v>
      </c>
    </row>
    <row r="2194" spans="1:13" s="4" customFormat="1" x14ac:dyDescent="0.25">
      <c r="A2194" s="39"/>
      <c r="B2194" s="39"/>
      <c r="D2194" s="13">
        <v>232</v>
      </c>
      <c r="E2194" s="132" t="str">
        <f>INDEX([1]道具配置表!$D:$D,MATCH(D2194,[1]道具配置表!$A:$A,0))</f>
        <v>1万食物</v>
      </c>
      <c r="F2194" s="39">
        <v>5</v>
      </c>
      <c r="K2194" s="13">
        <v>1</v>
      </c>
      <c r="L2194" s="13"/>
      <c r="M2194" s="39" t="b">
        <v>1</v>
      </c>
    </row>
    <row r="2195" spans="1:13" s="4" customFormat="1" x14ac:dyDescent="0.25">
      <c r="A2195" s="39"/>
      <c r="B2195" s="39"/>
      <c r="D2195" s="13">
        <v>233</v>
      </c>
      <c r="E2195" s="132" t="str">
        <f>INDEX([1]道具配置表!$D:$D,MATCH(D2195,[1]道具配置表!$A:$A,0))</f>
        <v>1万石头</v>
      </c>
      <c r="F2195" s="39">
        <v>5</v>
      </c>
      <c r="K2195" s="13">
        <v>1</v>
      </c>
      <c r="L2195" s="13"/>
      <c r="M2195" s="39" t="b">
        <v>1</v>
      </c>
    </row>
    <row r="2196" spans="1:13" s="4" customFormat="1" x14ac:dyDescent="0.25">
      <c r="A2196" s="39"/>
      <c r="B2196" s="39"/>
      <c r="D2196" s="13">
        <v>234</v>
      </c>
      <c r="E2196" s="132" t="str">
        <f>INDEX([1]道具配置表!$D:$D,MATCH(D2196,[1]道具配置表!$A:$A,0))</f>
        <v>1万黄金</v>
      </c>
      <c r="F2196" s="39">
        <v>5</v>
      </c>
      <c r="K2196" s="13">
        <v>1</v>
      </c>
      <c r="L2196" s="13"/>
      <c r="M2196" s="39" t="b">
        <v>1</v>
      </c>
    </row>
    <row r="2197" spans="1:13" s="4" customFormat="1" x14ac:dyDescent="0.25">
      <c r="A2197" s="39">
        <v>6610206</v>
      </c>
      <c r="B2197" s="39" t="s">
        <v>623</v>
      </c>
      <c r="D2197" s="13">
        <v>20000</v>
      </c>
      <c r="E2197" s="132" t="str">
        <f>INDEX([1]道具配置表!$D:$D,MATCH(D2197,[1]道具配置表!$A:$A,0))</f>
        <v>技能点1</v>
      </c>
      <c r="F2197" s="39">
        <v>150</v>
      </c>
      <c r="K2197" s="13">
        <v>1</v>
      </c>
      <c r="L2197" s="13"/>
      <c r="M2197" s="39" t="b">
        <v>1</v>
      </c>
    </row>
    <row r="2198" spans="1:13" s="4" customFormat="1" x14ac:dyDescent="0.25">
      <c r="A2198" s="39"/>
      <c r="B2198" s="39"/>
      <c r="D2198" s="13">
        <v>231</v>
      </c>
      <c r="E2198" s="132" t="str">
        <f>INDEX([1]道具配置表!$D:$D,MATCH(D2198,[1]道具配置表!$A:$A,0))</f>
        <v>1万木材</v>
      </c>
      <c r="F2198" s="39">
        <v>2</v>
      </c>
      <c r="K2198" s="13">
        <v>1</v>
      </c>
      <c r="L2198" s="13"/>
      <c r="M2198" s="39" t="b">
        <v>1</v>
      </c>
    </row>
    <row r="2199" spans="1:13" s="4" customFormat="1" x14ac:dyDescent="0.25">
      <c r="A2199" s="39"/>
      <c r="B2199" s="39"/>
      <c r="D2199" s="13">
        <v>232</v>
      </c>
      <c r="E2199" s="132" t="str">
        <f>INDEX([1]道具配置表!$D:$D,MATCH(D2199,[1]道具配置表!$A:$A,0))</f>
        <v>1万食物</v>
      </c>
      <c r="F2199" s="39">
        <v>2</v>
      </c>
      <c r="K2199" s="13">
        <v>1</v>
      </c>
      <c r="L2199" s="13"/>
      <c r="M2199" s="39" t="b">
        <v>1</v>
      </c>
    </row>
    <row r="2200" spans="1:13" s="4" customFormat="1" x14ac:dyDescent="0.25">
      <c r="A2200" s="39"/>
      <c r="B2200" s="39"/>
      <c r="D2200" s="13">
        <v>233</v>
      </c>
      <c r="E2200" s="132" t="str">
        <f>INDEX([1]道具配置表!$D:$D,MATCH(D2200,[1]道具配置表!$A:$A,0))</f>
        <v>1万石头</v>
      </c>
      <c r="F2200" s="39">
        <v>2</v>
      </c>
      <c r="K2200" s="13">
        <v>1</v>
      </c>
      <c r="L2200" s="13"/>
      <c r="M2200" s="39" t="b">
        <v>1</v>
      </c>
    </row>
    <row r="2201" spans="1:13" s="4" customFormat="1" x14ac:dyDescent="0.25">
      <c r="A2201" s="39"/>
      <c r="B2201" s="39"/>
      <c r="D2201" s="13">
        <v>234</v>
      </c>
      <c r="E2201" s="132" t="str">
        <f>INDEX([1]道具配置表!$D:$D,MATCH(D2201,[1]道具配置表!$A:$A,0))</f>
        <v>1万黄金</v>
      </c>
      <c r="F2201" s="39">
        <v>2</v>
      </c>
      <c r="K2201" s="13">
        <v>1</v>
      </c>
      <c r="L2201" s="13"/>
      <c r="M2201" s="39" t="b">
        <v>1</v>
      </c>
    </row>
    <row r="2202" spans="1:13" s="4" customFormat="1" x14ac:dyDescent="0.25">
      <c r="A2202" s="39">
        <v>6610207</v>
      </c>
      <c r="B2202" s="39" t="s">
        <v>619</v>
      </c>
      <c r="D2202" s="13">
        <v>20000</v>
      </c>
      <c r="E2202" s="132" t="str">
        <f>INDEX([1]道具配置表!$D:$D,MATCH(D2202,[1]道具配置表!$A:$A,0))</f>
        <v>技能点1</v>
      </c>
      <c r="F2202" s="39">
        <v>200</v>
      </c>
      <c r="K2202" s="13">
        <v>1</v>
      </c>
      <c r="L2202" s="13"/>
      <c r="M2202" s="39" t="b">
        <v>1</v>
      </c>
    </row>
    <row r="2203" spans="1:13" s="4" customFormat="1" x14ac:dyDescent="0.25">
      <c r="A2203" s="39"/>
      <c r="B2203" s="39"/>
      <c r="D2203" s="13">
        <v>231</v>
      </c>
      <c r="E2203" s="132" t="str">
        <f>INDEX([1]道具配置表!$D:$D,MATCH(D2203,[1]道具配置表!$A:$A,0))</f>
        <v>1万木材</v>
      </c>
      <c r="F2203" s="39">
        <v>3</v>
      </c>
      <c r="K2203" s="13">
        <v>1</v>
      </c>
      <c r="L2203" s="13"/>
      <c r="M2203" s="39" t="b">
        <v>1</v>
      </c>
    </row>
    <row r="2204" spans="1:13" s="4" customFormat="1" x14ac:dyDescent="0.25">
      <c r="A2204" s="39"/>
      <c r="B2204" s="39"/>
      <c r="D2204" s="13">
        <v>232</v>
      </c>
      <c r="E2204" s="132" t="str">
        <f>INDEX([1]道具配置表!$D:$D,MATCH(D2204,[1]道具配置表!$A:$A,0))</f>
        <v>1万食物</v>
      </c>
      <c r="F2204" s="39">
        <v>3</v>
      </c>
      <c r="K2204" s="13">
        <v>1</v>
      </c>
      <c r="L2204" s="13"/>
      <c r="M2204" s="39" t="b">
        <v>1</v>
      </c>
    </row>
    <row r="2205" spans="1:13" s="4" customFormat="1" x14ac:dyDescent="0.25">
      <c r="A2205" s="39"/>
      <c r="B2205" s="39"/>
      <c r="D2205" s="13">
        <v>233</v>
      </c>
      <c r="E2205" s="132" t="str">
        <f>INDEX([1]道具配置表!$D:$D,MATCH(D2205,[1]道具配置表!$A:$A,0))</f>
        <v>1万石头</v>
      </c>
      <c r="F2205" s="39">
        <v>3</v>
      </c>
      <c r="K2205" s="13">
        <v>1</v>
      </c>
      <c r="L2205" s="13"/>
      <c r="M2205" s="39" t="b">
        <v>1</v>
      </c>
    </row>
    <row r="2206" spans="1:13" s="4" customFormat="1" x14ac:dyDescent="0.25">
      <c r="A2206" s="39"/>
      <c r="B2206" s="39"/>
      <c r="D2206" s="13">
        <v>234</v>
      </c>
      <c r="E2206" s="132" t="str">
        <f>INDEX([1]道具配置表!$D:$D,MATCH(D2206,[1]道具配置表!$A:$A,0))</f>
        <v>1万黄金</v>
      </c>
      <c r="F2206" s="39">
        <v>3</v>
      </c>
      <c r="K2206" s="13">
        <v>1</v>
      </c>
      <c r="L2206" s="13"/>
      <c r="M2206" s="39" t="b">
        <v>1</v>
      </c>
    </row>
    <row r="2207" spans="1:13" s="4" customFormat="1" x14ac:dyDescent="0.25">
      <c r="A2207" s="39">
        <v>6610208</v>
      </c>
      <c r="B2207" s="39" t="s">
        <v>620</v>
      </c>
      <c r="D2207" s="13">
        <v>20000</v>
      </c>
      <c r="E2207" s="132" t="str">
        <f>INDEX([1]道具配置表!$D:$D,MATCH(D2207,[1]道具配置表!$A:$A,0))</f>
        <v>技能点1</v>
      </c>
      <c r="F2207" s="39">
        <v>250</v>
      </c>
      <c r="K2207" s="13">
        <v>1</v>
      </c>
      <c r="L2207" s="13"/>
      <c r="M2207" s="39" t="b">
        <v>1</v>
      </c>
    </row>
    <row r="2208" spans="1:13" s="4" customFormat="1" x14ac:dyDescent="0.25">
      <c r="A2208" s="39"/>
      <c r="B2208" s="39"/>
      <c r="D2208" s="13">
        <v>231</v>
      </c>
      <c r="E2208" s="132" t="str">
        <f>INDEX([1]道具配置表!$D:$D,MATCH(D2208,[1]道具配置表!$A:$A,0))</f>
        <v>1万木材</v>
      </c>
      <c r="F2208" s="39">
        <v>4</v>
      </c>
      <c r="K2208" s="13">
        <v>1</v>
      </c>
      <c r="L2208" s="13"/>
      <c r="M2208" s="39" t="b">
        <v>1</v>
      </c>
    </row>
    <row r="2209" spans="1:13" s="4" customFormat="1" x14ac:dyDescent="0.25">
      <c r="A2209" s="39"/>
      <c r="B2209" s="39"/>
      <c r="D2209" s="13">
        <v>232</v>
      </c>
      <c r="E2209" s="132" t="str">
        <f>INDEX([1]道具配置表!$D:$D,MATCH(D2209,[1]道具配置表!$A:$A,0))</f>
        <v>1万食物</v>
      </c>
      <c r="F2209" s="39">
        <v>4</v>
      </c>
      <c r="K2209" s="13">
        <v>1</v>
      </c>
      <c r="L2209" s="13"/>
      <c r="M2209" s="39" t="b">
        <v>1</v>
      </c>
    </row>
    <row r="2210" spans="1:13" s="4" customFormat="1" x14ac:dyDescent="0.25">
      <c r="A2210" s="39"/>
      <c r="B2210" s="39"/>
      <c r="D2210" s="13">
        <v>233</v>
      </c>
      <c r="E2210" s="132" t="str">
        <f>INDEX([1]道具配置表!$D:$D,MATCH(D2210,[1]道具配置表!$A:$A,0))</f>
        <v>1万石头</v>
      </c>
      <c r="F2210" s="39">
        <v>4</v>
      </c>
      <c r="K2210" s="13">
        <v>1</v>
      </c>
      <c r="L2210" s="13"/>
      <c r="M2210" s="39" t="b">
        <v>1</v>
      </c>
    </row>
    <row r="2211" spans="1:13" s="4" customFormat="1" x14ac:dyDescent="0.25">
      <c r="A2211" s="39"/>
      <c r="B2211" s="39"/>
      <c r="D2211" s="13">
        <v>234</v>
      </c>
      <c r="E2211" s="132" t="str">
        <f>INDEX([1]道具配置表!$D:$D,MATCH(D2211,[1]道具配置表!$A:$A,0))</f>
        <v>1万黄金</v>
      </c>
      <c r="F2211" s="39">
        <v>4</v>
      </c>
      <c r="K2211" s="13">
        <v>1</v>
      </c>
      <c r="L2211" s="13"/>
      <c r="M2211" s="39" t="b">
        <v>1</v>
      </c>
    </row>
    <row r="2212" spans="1:13" s="4" customFormat="1" x14ac:dyDescent="0.25">
      <c r="A2212" s="39">
        <v>6610209</v>
      </c>
      <c r="B2212" s="39" t="s">
        <v>621</v>
      </c>
      <c r="D2212" s="13">
        <v>20000</v>
      </c>
      <c r="E2212" s="132" t="str">
        <f>INDEX([1]道具配置表!$D:$D,MATCH(D2212,[1]道具配置表!$A:$A,0))</f>
        <v>技能点1</v>
      </c>
      <c r="F2212" s="39">
        <v>300</v>
      </c>
      <c r="K2212" s="13">
        <v>1</v>
      </c>
      <c r="L2212" s="13"/>
      <c r="M2212" s="39" t="b">
        <v>1</v>
      </c>
    </row>
    <row r="2213" spans="1:13" s="4" customFormat="1" x14ac:dyDescent="0.25">
      <c r="A2213" s="39"/>
      <c r="B2213" s="39"/>
      <c r="D2213" s="13">
        <v>231</v>
      </c>
      <c r="E2213" s="132" t="str">
        <f>INDEX([1]道具配置表!$D:$D,MATCH(D2213,[1]道具配置表!$A:$A,0))</f>
        <v>1万木材</v>
      </c>
      <c r="F2213" s="39">
        <v>5</v>
      </c>
      <c r="K2213" s="13">
        <v>1</v>
      </c>
      <c r="L2213" s="13"/>
      <c r="M2213" s="39" t="b">
        <v>1</v>
      </c>
    </row>
    <row r="2214" spans="1:13" s="4" customFormat="1" x14ac:dyDescent="0.25">
      <c r="A2214" s="39"/>
      <c r="B2214" s="39"/>
      <c r="D2214" s="13">
        <v>232</v>
      </c>
      <c r="E2214" s="132" t="str">
        <f>INDEX([1]道具配置表!$D:$D,MATCH(D2214,[1]道具配置表!$A:$A,0))</f>
        <v>1万食物</v>
      </c>
      <c r="F2214" s="39">
        <v>5</v>
      </c>
      <c r="K2214" s="13">
        <v>1</v>
      </c>
      <c r="L2214" s="13"/>
      <c r="M2214" s="39" t="b">
        <v>1</v>
      </c>
    </row>
    <row r="2215" spans="1:13" s="4" customFormat="1" x14ac:dyDescent="0.25">
      <c r="A2215" s="39"/>
      <c r="B2215" s="39"/>
      <c r="D2215" s="13">
        <v>233</v>
      </c>
      <c r="E2215" s="132" t="str">
        <f>INDEX([1]道具配置表!$D:$D,MATCH(D2215,[1]道具配置表!$A:$A,0))</f>
        <v>1万石头</v>
      </c>
      <c r="F2215" s="39">
        <v>5</v>
      </c>
      <c r="K2215" s="13">
        <v>1</v>
      </c>
      <c r="L2215" s="13"/>
      <c r="M2215" s="39" t="b">
        <v>1</v>
      </c>
    </row>
    <row r="2216" spans="1:13" s="4" customFormat="1" x14ac:dyDescent="0.25">
      <c r="A2216" s="39"/>
      <c r="B2216" s="39"/>
      <c r="D2216" s="13">
        <v>234</v>
      </c>
      <c r="E2216" s="132" t="str">
        <f>INDEX([1]道具配置表!$D:$D,MATCH(D2216,[1]道具配置表!$A:$A,0))</f>
        <v>1万黄金</v>
      </c>
      <c r="F2216" s="39">
        <v>5</v>
      </c>
      <c r="K2216" s="13">
        <v>1</v>
      </c>
      <c r="L2216" s="13"/>
      <c r="M2216" s="39" t="b">
        <v>1</v>
      </c>
    </row>
    <row r="2217" spans="1:13" s="4" customFormat="1" x14ac:dyDescent="0.25">
      <c r="A2217" s="39">
        <v>6610210</v>
      </c>
      <c r="B2217" s="39" t="s">
        <v>622</v>
      </c>
      <c r="D2217" s="13">
        <v>20000</v>
      </c>
      <c r="E2217" s="132" t="str">
        <f>INDEX([1]道具配置表!$D:$D,MATCH(D2217,[1]道具配置表!$A:$A,0))</f>
        <v>技能点1</v>
      </c>
      <c r="F2217" s="39">
        <v>350</v>
      </c>
      <c r="K2217" s="13">
        <v>1</v>
      </c>
      <c r="L2217" s="13"/>
      <c r="M2217" s="39" t="b">
        <v>1</v>
      </c>
    </row>
    <row r="2218" spans="1:13" s="4" customFormat="1" x14ac:dyDescent="0.25">
      <c r="A2218" s="39"/>
      <c r="B2218" s="39"/>
      <c r="D2218" s="13">
        <v>231</v>
      </c>
      <c r="E2218" s="132" t="str">
        <f>INDEX([1]道具配置表!$D:$D,MATCH(D2218,[1]道具配置表!$A:$A,0))</f>
        <v>1万木材</v>
      </c>
      <c r="F2218" s="39">
        <v>6</v>
      </c>
      <c r="K2218" s="13">
        <v>1</v>
      </c>
      <c r="L2218" s="13"/>
      <c r="M2218" s="39" t="b">
        <v>1</v>
      </c>
    </row>
    <row r="2219" spans="1:13" s="4" customFormat="1" x14ac:dyDescent="0.25">
      <c r="A2219" s="39"/>
      <c r="B2219" s="39"/>
      <c r="D2219" s="13">
        <v>232</v>
      </c>
      <c r="E2219" s="132" t="str">
        <f>INDEX([1]道具配置表!$D:$D,MATCH(D2219,[1]道具配置表!$A:$A,0))</f>
        <v>1万食物</v>
      </c>
      <c r="F2219" s="39">
        <v>6</v>
      </c>
      <c r="K2219" s="13">
        <v>1</v>
      </c>
      <c r="L2219" s="13"/>
      <c r="M2219" s="39" t="b">
        <v>1</v>
      </c>
    </row>
    <row r="2220" spans="1:13" s="4" customFormat="1" x14ac:dyDescent="0.25">
      <c r="A2220" s="39"/>
      <c r="B2220" s="39"/>
      <c r="D2220" s="13">
        <v>233</v>
      </c>
      <c r="E2220" s="132" t="str">
        <f>INDEX([1]道具配置表!$D:$D,MATCH(D2220,[1]道具配置表!$A:$A,0))</f>
        <v>1万石头</v>
      </c>
      <c r="F2220" s="39">
        <v>6</v>
      </c>
      <c r="K2220" s="13">
        <v>1</v>
      </c>
      <c r="L2220" s="13"/>
      <c r="M2220" s="39" t="b">
        <v>1</v>
      </c>
    </row>
    <row r="2221" spans="1:13" s="4" customFormat="1" x14ac:dyDescent="0.25">
      <c r="A2221" s="39"/>
      <c r="B2221" s="39"/>
      <c r="D2221" s="13">
        <v>234</v>
      </c>
      <c r="E2221" s="132" t="str">
        <f>INDEX([1]道具配置表!$D:$D,MATCH(D2221,[1]道具配置表!$A:$A,0))</f>
        <v>1万黄金</v>
      </c>
      <c r="F2221" s="39">
        <v>6</v>
      </c>
      <c r="K2221" s="13">
        <v>1</v>
      </c>
      <c r="L2221" s="13"/>
      <c r="M2221" s="39" t="b">
        <v>1</v>
      </c>
    </row>
    <row r="2222" spans="1:13" s="4" customFormat="1" x14ac:dyDescent="0.25">
      <c r="A2222" s="39">
        <v>6610211</v>
      </c>
      <c r="B2222" s="39" t="s">
        <v>624</v>
      </c>
      <c r="D2222" s="13">
        <v>20000</v>
      </c>
      <c r="E2222" s="132" t="str">
        <f>INDEX([1]道具配置表!$D:$D,MATCH(D2222,[1]道具配置表!$A:$A,0))</f>
        <v>技能点1</v>
      </c>
      <c r="F2222" s="39">
        <v>200</v>
      </c>
      <c r="K2222" s="13">
        <v>1</v>
      </c>
      <c r="L2222" s="13"/>
      <c r="M2222" s="39" t="b">
        <v>1</v>
      </c>
    </row>
    <row r="2223" spans="1:13" s="4" customFormat="1" x14ac:dyDescent="0.25">
      <c r="A2223" s="39"/>
      <c r="B2223" s="39"/>
      <c r="D2223" s="13">
        <v>231</v>
      </c>
      <c r="E2223" s="132" t="str">
        <f>INDEX([1]道具配置表!$D:$D,MATCH(D2223,[1]道具配置表!$A:$A,0))</f>
        <v>1万木材</v>
      </c>
      <c r="F2223" s="39">
        <v>3</v>
      </c>
      <c r="K2223" s="13">
        <v>1</v>
      </c>
      <c r="L2223" s="13"/>
      <c r="M2223" s="39" t="b">
        <v>1</v>
      </c>
    </row>
    <row r="2224" spans="1:13" s="4" customFormat="1" x14ac:dyDescent="0.25">
      <c r="A2224" s="39"/>
      <c r="B2224" s="39"/>
      <c r="D2224" s="13">
        <v>232</v>
      </c>
      <c r="E2224" s="132" t="str">
        <f>INDEX([1]道具配置表!$D:$D,MATCH(D2224,[1]道具配置表!$A:$A,0))</f>
        <v>1万食物</v>
      </c>
      <c r="F2224" s="39">
        <v>3</v>
      </c>
      <c r="K2224" s="13">
        <v>1</v>
      </c>
      <c r="L2224" s="13"/>
      <c r="M2224" s="39" t="b">
        <v>1</v>
      </c>
    </row>
    <row r="2225" spans="1:13" s="4" customFormat="1" x14ac:dyDescent="0.25">
      <c r="A2225" s="39"/>
      <c r="B2225" s="39"/>
      <c r="D2225" s="13">
        <v>233</v>
      </c>
      <c r="E2225" s="132" t="str">
        <f>INDEX([1]道具配置表!$D:$D,MATCH(D2225,[1]道具配置表!$A:$A,0))</f>
        <v>1万石头</v>
      </c>
      <c r="F2225" s="39">
        <v>3</v>
      </c>
      <c r="K2225" s="13">
        <v>1</v>
      </c>
      <c r="L2225" s="13"/>
      <c r="M2225" s="39" t="b">
        <v>1</v>
      </c>
    </row>
    <row r="2226" spans="1:13" s="4" customFormat="1" x14ac:dyDescent="0.25">
      <c r="A2226" s="39"/>
      <c r="B2226" s="39"/>
      <c r="D2226" s="13">
        <v>234</v>
      </c>
      <c r="E2226" s="132" t="str">
        <f>INDEX([1]道具配置表!$D:$D,MATCH(D2226,[1]道具配置表!$A:$A,0))</f>
        <v>1万黄金</v>
      </c>
      <c r="F2226" s="39">
        <v>3</v>
      </c>
      <c r="K2226" s="13">
        <v>1</v>
      </c>
      <c r="L2226" s="13"/>
      <c r="M2226" s="39" t="b">
        <v>1</v>
      </c>
    </row>
    <row r="2227" spans="1:13" s="4" customFormat="1" x14ac:dyDescent="0.25">
      <c r="A2227" s="39">
        <v>6610212</v>
      </c>
      <c r="B2227" s="39" t="s">
        <v>625</v>
      </c>
      <c r="D2227" s="13">
        <v>20000</v>
      </c>
      <c r="E2227" s="132" t="str">
        <f>INDEX([1]道具配置表!$D:$D,MATCH(D2227,[1]道具配置表!$A:$A,0))</f>
        <v>技能点1</v>
      </c>
      <c r="F2227" s="39">
        <v>250</v>
      </c>
      <c r="K2227" s="13">
        <v>1</v>
      </c>
      <c r="L2227" s="13"/>
      <c r="M2227" s="39" t="b">
        <v>1</v>
      </c>
    </row>
    <row r="2228" spans="1:13" s="4" customFormat="1" x14ac:dyDescent="0.25">
      <c r="A2228" s="39"/>
      <c r="B2228" s="39"/>
      <c r="D2228" s="13">
        <v>231</v>
      </c>
      <c r="E2228" s="132" t="str">
        <f>INDEX([1]道具配置表!$D:$D,MATCH(D2228,[1]道具配置表!$A:$A,0))</f>
        <v>1万木材</v>
      </c>
      <c r="F2228" s="39">
        <v>4</v>
      </c>
      <c r="K2228" s="13">
        <v>1</v>
      </c>
      <c r="L2228" s="13"/>
      <c r="M2228" s="39" t="b">
        <v>1</v>
      </c>
    </row>
    <row r="2229" spans="1:13" s="4" customFormat="1" x14ac:dyDescent="0.25">
      <c r="A2229" s="39"/>
      <c r="B2229" s="39"/>
      <c r="D2229" s="13">
        <v>232</v>
      </c>
      <c r="E2229" s="132" t="str">
        <f>INDEX([1]道具配置表!$D:$D,MATCH(D2229,[1]道具配置表!$A:$A,0))</f>
        <v>1万食物</v>
      </c>
      <c r="F2229" s="39">
        <v>4</v>
      </c>
      <c r="K2229" s="13">
        <v>1</v>
      </c>
      <c r="L2229" s="13"/>
      <c r="M2229" s="39" t="b">
        <v>1</v>
      </c>
    </row>
    <row r="2230" spans="1:13" s="4" customFormat="1" x14ac:dyDescent="0.25">
      <c r="A2230" s="39"/>
      <c r="B2230" s="39"/>
      <c r="D2230" s="13">
        <v>233</v>
      </c>
      <c r="E2230" s="132" t="str">
        <f>INDEX([1]道具配置表!$D:$D,MATCH(D2230,[1]道具配置表!$A:$A,0))</f>
        <v>1万石头</v>
      </c>
      <c r="F2230" s="39">
        <v>4</v>
      </c>
      <c r="K2230" s="13">
        <v>1</v>
      </c>
      <c r="L2230" s="13"/>
      <c r="M2230" s="39" t="b">
        <v>1</v>
      </c>
    </row>
    <row r="2231" spans="1:13" s="4" customFormat="1" x14ac:dyDescent="0.25">
      <c r="A2231" s="39"/>
      <c r="B2231" s="39"/>
      <c r="D2231" s="13">
        <v>234</v>
      </c>
      <c r="E2231" s="132" t="str">
        <f>INDEX([1]道具配置表!$D:$D,MATCH(D2231,[1]道具配置表!$A:$A,0))</f>
        <v>1万黄金</v>
      </c>
      <c r="F2231" s="39">
        <v>4</v>
      </c>
      <c r="K2231" s="13">
        <v>1</v>
      </c>
      <c r="L2231" s="13"/>
      <c r="M2231" s="39" t="b">
        <v>1</v>
      </c>
    </row>
    <row r="2232" spans="1:13" s="4" customFormat="1" x14ac:dyDescent="0.25">
      <c r="A2232" s="39">
        <v>6610213</v>
      </c>
      <c r="B2232" s="39" t="s">
        <v>626</v>
      </c>
      <c r="D2232" s="13">
        <v>20000</v>
      </c>
      <c r="E2232" s="132" t="str">
        <f>INDEX([1]道具配置表!$D:$D,MATCH(D2232,[1]道具配置表!$A:$A,0))</f>
        <v>技能点1</v>
      </c>
      <c r="F2232" s="39">
        <v>300</v>
      </c>
      <c r="K2232" s="13">
        <v>1</v>
      </c>
      <c r="L2232" s="13"/>
      <c r="M2232" s="39" t="b">
        <v>1</v>
      </c>
    </row>
    <row r="2233" spans="1:13" s="4" customFormat="1" x14ac:dyDescent="0.25">
      <c r="A2233" s="39"/>
      <c r="B2233" s="39"/>
      <c r="D2233" s="13">
        <v>231</v>
      </c>
      <c r="E2233" s="132" t="str">
        <f>INDEX([1]道具配置表!$D:$D,MATCH(D2233,[1]道具配置表!$A:$A,0))</f>
        <v>1万木材</v>
      </c>
      <c r="F2233" s="39">
        <v>5</v>
      </c>
      <c r="K2233" s="13">
        <v>1</v>
      </c>
      <c r="L2233" s="13"/>
      <c r="M2233" s="39" t="b">
        <v>1</v>
      </c>
    </row>
    <row r="2234" spans="1:13" s="4" customFormat="1" x14ac:dyDescent="0.25">
      <c r="A2234" s="39"/>
      <c r="B2234" s="39"/>
      <c r="D2234" s="13">
        <v>232</v>
      </c>
      <c r="E2234" s="132" t="str">
        <f>INDEX([1]道具配置表!$D:$D,MATCH(D2234,[1]道具配置表!$A:$A,0))</f>
        <v>1万食物</v>
      </c>
      <c r="F2234" s="39">
        <v>5</v>
      </c>
      <c r="K2234" s="13">
        <v>1</v>
      </c>
      <c r="L2234" s="13"/>
      <c r="M2234" s="39" t="b">
        <v>1</v>
      </c>
    </row>
    <row r="2235" spans="1:13" s="4" customFormat="1" x14ac:dyDescent="0.25">
      <c r="A2235" s="39"/>
      <c r="B2235" s="39"/>
      <c r="D2235" s="13">
        <v>233</v>
      </c>
      <c r="E2235" s="132" t="str">
        <f>INDEX([1]道具配置表!$D:$D,MATCH(D2235,[1]道具配置表!$A:$A,0))</f>
        <v>1万石头</v>
      </c>
      <c r="F2235" s="39">
        <v>5</v>
      </c>
      <c r="K2235" s="13">
        <v>1</v>
      </c>
      <c r="L2235" s="13"/>
      <c r="M2235" s="39" t="b">
        <v>1</v>
      </c>
    </row>
    <row r="2236" spans="1:13" s="4" customFormat="1" x14ac:dyDescent="0.25">
      <c r="A2236" s="39"/>
      <c r="B2236" s="39"/>
      <c r="D2236" s="13">
        <v>234</v>
      </c>
      <c r="E2236" s="132" t="str">
        <f>INDEX([1]道具配置表!$D:$D,MATCH(D2236,[1]道具配置表!$A:$A,0))</f>
        <v>1万黄金</v>
      </c>
      <c r="F2236" s="39">
        <v>5</v>
      </c>
      <c r="K2236" s="13">
        <v>1</v>
      </c>
      <c r="L2236" s="13"/>
      <c r="M2236" s="39" t="b">
        <v>1</v>
      </c>
    </row>
    <row r="2237" spans="1:13" s="4" customFormat="1" x14ac:dyDescent="0.25">
      <c r="A2237" s="39">
        <v>6610214</v>
      </c>
      <c r="B2237" s="39" t="s">
        <v>627</v>
      </c>
      <c r="D2237" s="13">
        <v>20000</v>
      </c>
      <c r="E2237" s="132" t="str">
        <f>INDEX([1]道具配置表!$D:$D,MATCH(D2237,[1]道具配置表!$A:$A,0))</f>
        <v>技能点1</v>
      </c>
      <c r="F2237" s="39">
        <v>350</v>
      </c>
      <c r="K2237" s="13">
        <v>1</v>
      </c>
      <c r="L2237" s="13"/>
      <c r="M2237" s="39" t="b">
        <v>1</v>
      </c>
    </row>
    <row r="2238" spans="1:13" s="4" customFormat="1" x14ac:dyDescent="0.25">
      <c r="A2238" s="39"/>
      <c r="B2238" s="39"/>
      <c r="D2238" s="13">
        <v>231</v>
      </c>
      <c r="E2238" s="132" t="str">
        <f>INDEX([1]道具配置表!$D:$D,MATCH(D2238,[1]道具配置表!$A:$A,0))</f>
        <v>1万木材</v>
      </c>
      <c r="F2238" s="39">
        <v>6</v>
      </c>
      <c r="K2238" s="13">
        <v>1</v>
      </c>
      <c r="L2238" s="13"/>
      <c r="M2238" s="39" t="b">
        <v>1</v>
      </c>
    </row>
    <row r="2239" spans="1:13" s="4" customFormat="1" x14ac:dyDescent="0.25">
      <c r="A2239" s="39"/>
      <c r="B2239" s="39"/>
      <c r="D2239" s="13">
        <v>232</v>
      </c>
      <c r="E2239" s="132" t="str">
        <f>INDEX([1]道具配置表!$D:$D,MATCH(D2239,[1]道具配置表!$A:$A,0))</f>
        <v>1万食物</v>
      </c>
      <c r="F2239" s="39">
        <v>6</v>
      </c>
      <c r="K2239" s="13">
        <v>1</v>
      </c>
      <c r="L2239" s="13"/>
      <c r="M2239" s="39" t="b">
        <v>1</v>
      </c>
    </row>
    <row r="2240" spans="1:13" s="4" customFormat="1" x14ac:dyDescent="0.25">
      <c r="A2240" s="39"/>
      <c r="B2240" s="39"/>
      <c r="D2240" s="13">
        <v>233</v>
      </c>
      <c r="E2240" s="132" t="str">
        <f>INDEX([1]道具配置表!$D:$D,MATCH(D2240,[1]道具配置表!$A:$A,0))</f>
        <v>1万石头</v>
      </c>
      <c r="F2240" s="39">
        <v>6</v>
      </c>
      <c r="K2240" s="13">
        <v>1</v>
      </c>
      <c r="L2240" s="13"/>
      <c r="M2240" s="39" t="b">
        <v>1</v>
      </c>
    </row>
    <row r="2241" spans="1:13" s="4" customFormat="1" x14ac:dyDescent="0.25">
      <c r="A2241" s="39"/>
      <c r="B2241" s="39"/>
      <c r="D2241" s="13">
        <v>234</v>
      </c>
      <c r="E2241" s="132" t="str">
        <f>INDEX([1]道具配置表!$D:$D,MATCH(D2241,[1]道具配置表!$A:$A,0))</f>
        <v>1万黄金</v>
      </c>
      <c r="F2241" s="39">
        <v>6</v>
      </c>
      <c r="K2241" s="13">
        <v>1</v>
      </c>
      <c r="L2241" s="13"/>
      <c r="M2241" s="39" t="b">
        <v>1</v>
      </c>
    </row>
    <row r="2242" spans="1:13" s="4" customFormat="1" x14ac:dyDescent="0.25">
      <c r="A2242" s="39">
        <v>6610215</v>
      </c>
      <c r="B2242" s="39" t="s">
        <v>628</v>
      </c>
      <c r="D2242" s="13">
        <v>20000</v>
      </c>
      <c r="E2242" s="132" t="str">
        <f>INDEX([1]道具配置表!$D:$D,MATCH(D2242,[1]道具配置表!$A:$A,0))</f>
        <v>技能点1</v>
      </c>
      <c r="F2242" s="39">
        <v>400</v>
      </c>
      <c r="K2242" s="13">
        <v>1</v>
      </c>
      <c r="L2242" s="13"/>
      <c r="M2242" s="39" t="b">
        <v>1</v>
      </c>
    </row>
    <row r="2243" spans="1:13" s="4" customFormat="1" x14ac:dyDescent="0.25">
      <c r="A2243" s="39"/>
      <c r="B2243" s="39"/>
      <c r="D2243" s="13">
        <v>231</v>
      </c>
      <c r="E2243" s="132" t="str">
        <f>INDEX([1]道具配置表!$D:$D,MATCH(D2243,[1]道具配置表!$A:$A,0))</f>
        <v>1万木材</v>
      </c>
      <c r="F2243" s="39">
        <v>7</v>
      </c>
      <c r="K2243" s="13">
        <v>1</v>
      </c>
      <c r="L2243" s="13"/>
      <c r="M2243" s="39" t="b">
        <v>1</v>
      </c>
    </row>
    <row r="2244" spans="1:13" s="4" customFormat="1" x14ac:dyDescent="0.25">
      <c r="A2244" s="39"/>
      <c r="B2244" s="39"/>
      <c r="D2244" s="13">
        <v>232</v>
      </c>
      <c r="E2244" s="132" t="str">
        <f>INDEX([1]道具配置表!$D:$D,MATCH(D2244,[1]道具配置表!$A:$A,0))</f>
        <v>1万食物</v>
      </c>
      <c r="F2244" s="39">
        <v>7</v>
      </c>
      <c r="K2244" s="13">
        <v>1</v>
      </c>
      <c r="L2244" s="13"/>
      <c r="M2244" s="39" t="b">
        <v>1</v>
      </c>
    </row>
    <row r="2245" spans="1:13" s="4" customFormat="1" x14ac:dyDescent="0.25">
      <c r="A2245" s="39"/>
      <c r="B2245" s="39"/>
      <c r="D2245" s="13">
        <v>233</v>
      </c>
      <c r="E2245" s="132" t="str">
        <f>INDEX([1]道具配置表!$D:$D,MATCH(D2245,[1]道具配置表!$A:$A,0))</f>
        <v>1万石头</v>
      </c>
      <c r="F2245" s="39">
        <v>7</v>
      </c>
      <c r="K2245" s="13">
        <v>1</v>
      </c>
      <c r="L2245" s="13"/>
      <c r="M2245" s="39" t="b">
        <v>1</v>
      </c>
    </row>
    <row r="2246" spans="1:13" s="4" customFormat="1" x14ac:dyDescent="0.25">
      <c r="A2246" s="39"/>
      <c r="B2246" s="39"/>
      <c r="D2246" s="13">
        <v>234</v>
      </c>
      <c r="E2246" s="132" t="str">
        <f>INDEX([1]道具配置表!$D:$D,MATCH(D2246,[1]道具配置表!$A:$A,0))</f>
        <v>1万黄金</v>
      </c>
      <c r="F2246" s="39">
        <v>7</v>
      </c>
      <c r="K2246" s="13">
        <v>1</v>
      </c>
      <c r="L2246" s="13"/>
      <c r="M2246" s="39" t="b">
        <v>1</v>
      </c>
    </row>
    <row r="2247" spans="1:13" s="4" customFormat="1" x14ac:dyDescent="0.25">
      <c r="A2247" s="39">
        <v>6610216</v>
      </c>
      <c r="B2247" s="39" t="s">
        <v>629</v>
      </c>
      <c r="D2247" s="13">
        <v>20000</v>
      </c>
      <c r="E2247" s="132" t="str">
        <f>INDEX([1]道具配置表!$D:$D,MATCH(D2247,[1]道具配置表!$A:$A,0))</f>
        <v>技能点1</v>
      </c>
      <c r="F2247" s="39">
        <v>250</v>
      </c>
      <c r="K2247" s="13">
        <v>1</v>
      </c>
      <c r="L2247" s="13"/>
      <c r="M2247" s="39" t="b">
        <v>1</v>
      </c>
    </row>
    <row r="2248" spans="1:13" s="4" customFormat="1" x14ac:dyDescent="0.25">
      <c r="A2248" s="39"/>
      <c r="B2248" s="39"/>
      <c r="D2248" s="13">
        <v>231</v>
      </c>
      <c r="E2248" s="132" t="str">
        <f>INDEX([1]道具配置表!$D:$D,MATCH(D2248,[1]道具配置表!$A:$A,0))</f>
        <v>1万木材</v>
      </c>
      <c r="F2248" s="39">
        <v>4</v>
      </c>
      <c r="K2248" s="13">
        <v>1</v>
      </c>
      <c r="L2248" s="13"/>
      <c r="M2248" s="39" t="b">
        <v>1</v>
      </c>
    </row>
    <row r="2249" spans="1:13" s="4" customFormat="1" x14ac:dyDescent="0.25">
      <c r="A2249" s="39"/>
      <c r="B2249" s="39"/>
      <c r="D2249" s="13">
        <v>232</v>
      </c>
      <c r="E2249" s="132" t="str">
        <f>INDEX([1]道具配置表!$D:$D,MATCH(D2249,[1]道具配置表!$A:$A,0))</f>
        <v>1万食物</v>
      </c>
      <c r="F2249" s="39">
        <v>4</v>
      </c>
      <c r="K2249" s="13">
        <v>1</v>
      </c>
      <c r="L2249" s="13"/>
      <c r="M2249" s="39" t="b">
        <v>1</v>
      </c>
    </row>
    <row r="2250" spans="1:13" s="4" customFormat="1" x14ac:dyDescent="0.25">
      <c r="A2250" s="39"/>
      <c r="B2250" s="39"/>
      <c r="D2250" s="13">
        <v>233</v>
      </c>
      <c r="E2250" s="132" t="str">
        <f>INDEX([1]道具配置表!$D:$D,MATCH(D2250,[1]道具配置表!$A:$A,0))</f>
        <v>1万石头</v>
      </c>
      <c r="F2250" s="39">
        <v>4</v>
      </c>
      <c r="K2250" s="13">
        <v>1</v>
      </c>
      <c r="L2250" s="13"/>
      <c r="M2250" s="39" t="b">
        <v>1</v>
      </c>
    </row>
    <row r="2251" spans="1:13" s="4" customFormat="1" x14ac:dyDescent="0.25">
      <c r="A2251" s="39"/>
      <c r="B2251" s="39"/>
      <c r="D2251" s="13">
        <v>234</v>
      </c>
      <c r="E2251" s="132" t="str">
        <f>INDEX([1]道具配置表!$D:$D,MATCH(D2251,[1]道具配置表!$A:$A,0))</f>
        <v>1万黄金</v>
      </c>
      <c r="F2251" s="39">
        <v>4</v>
      </c>
      <c r="K2251" s="13">
        <v>1</v>
      </c>
      <c r="L2251" s="13"/>
      <c r="M2251" s="39" t="b">
        <v>1</v>
      </c>
    </row>
    <row r="2252" spans="1:13" s="4" customFormat="1" x14ac:dyDescent="0.25">
      <c r="A2252" s="39">
        <v>6610217</v>
      </c>
      <c r="B2252" s="39" t="s">
        <v>630</v>
      </c>
      <c r="D2252" s="13">
        <v>20000</v>
      </c>
      <c r="E2252" s="132" t="str">
        <f>INDEX([1]道具配置表!$D:$D,MATCH(D2252,[1]道具配置表!$A:$A,0))</f>
        <v>技能点1</v>
      </c>
      <c r="F2252" s="39">
        <v>300</v>
      </c>
      <c r="K2252" s="13">
        <v>1</v>
      </c>
      <c r="L2252" s="13"/>
      <c r="M2252" s="39" t="b">
        <v>1</v>
      </c>
    </row>
    <row r="2253" spans="1:13" s="4" customFormat="1" x14ac:dyDescent="0.25">
      <c r="A2253" s="39"/>
      <c r="B2253" s="39"/>
      <c r="D2253" s="13">
        <v>231</v>
      </c>
      <c r="E2253" s="132" t="str">
        <f>INDEX([1]道具配置表!$D:$D,MATCH(D2253,[1]道具配置表!$A:$A,0))</f>
        <v>1万木材</v>
      </c>
      <c r="F2253" s="39">
        <v>5</v>
      </c>
      <c r="K2253" s="13">
        <v>1</v>
      </c>
      <c r="L2253" s="13"/>
      <c r="M2253" s="39" t="b">
        <v>1</v>
      </c>
    </row>
    <row r="2254" spans="1:13" s="4" customFormat="1" x14ac:dyDescent="0.25">
      <c r="A2254" s="39"/>
      <c r="B2254" s="39"/>
      <c r="D2254" s="13">
        <v>232</v>
      </c>
      <c r="E2254" s="132" t="str">
        <f>INDEX([1]道具配置表!$D:$D,MATCH(D2254,[1]道具配置表!$A:$A,0))</f>
        <v>1万食物</v>
      </c>
      <c r="F2254" s="39">
        <v>5</v>
      </c>
      <c r="K2254" s="13">
        <v>1</v>
      </c>
      <c r="L2254" s="13"/>
      <c r="M2254" s="39" t="b">
        <v>1</v>
      </c>
    </row>
    <row r="2255" spans="1:13" s="4" customFormat="1" x14ac:dyDescent="0.25">
      <c r="A2255" s="39"/>
      <c r="B2255" s="39"/>
      <c r="D2255" s="13">
        <v>233</v>
      </c>
      <c r="E2255" s="132" t="str">
        <f>INDEX([1]道具配置表!$D:$D,MATCH(D2255,[1]道具配置表!$A:$A,0))</f>
        <v>1万石头</v>
      </c>
      <c r="F2255" s="39">
        <v>5</v>
      </c>
      <c r="K2255" s="13">
        <v>1</v>
      </c>
      <c r="L2255" s="13"/>
      <c r="M2255" s="39" t="b">
        <v>1</v>
      </c>
    </row>
    <row r="2256" spans="1:13" s="4" customFormat="1" x14ac:dyDescent="0.25">
      <c r="A2256" s="39"/>
      <c r="B2256" s="39"/>
      <c r="D2256" s="13">
        <v>234</v>
      </c>
      <c r="E2256" s="132" t="str">
        <f>INDEX([1]道具配置表!$D:$D,MATCH(D2256,[1]道具配置表!$A:$A,0))</f>
        <v>1万黄金</v>
      </c>
      <c r="F2256" s="39">
        <v>5</v>
      </c>
      <c r="K2256" s="13">
        <v>1</v>
      </c>
      <c r="L2256" s="13"/>
      <c r="M2256" s="39" t="b">
        <v>1</v>
      </c>
    </row>
    <row r="2257" spans="1:14" s="4" customFormat="1" x14ac:dyDescent="0.25">
      <c r="A2257" s="39">
        <v>6610218</v>
      </c>
      <c r="B2257" s="39" t="s">
        <v>631</v>
      </c>
      <c r="D2257" s="13">
        <v>20000</v>
      </c>
      <c r="E2257" s="132" t="str">
        <f>INDEX([1]道具配置表!$D:$D,MATCH(D2257,[1]道具配置表!$A:$A,0))</f>
        <v>技能点1</v>
      </c>
      <c r="F2257" s="39">
        <v>350</v>
      </c>
      <c r="K2257" s="13">
        <v>1</v>
      </c>
      <c r="L2257" s="13"/>
      <c r="M2257" s="39" t="b">
        <v>1</v>
      </c>
    </row>
    <row r="2258" spans="1:14" s="4" customFormat="1" x14ac:dyDescent="0.25">
      <c r="A2258" s="39"/>
      <c r="B2258" s="39"/>
      <c r="D2258" s="13">
        <v>231</v>
      </c>
      <c r="E2258" s="132" t="str">
        <f>INDEX([1]道具配置表!$D:$D,MATCH(D2258,[1]道具配置表!$A:$A,0))</f>
        <v>1万木材</v>
      </c>
      <c r="F2258" s="39">
        <v>6</v>
      </c>
      <c r="K2258" s="13">
        <v>1</v>
      </c>
      <c r="L2258" s="13"/>
      <c r="M2258" s="39" t="b">
        <v>1</v>
      </c>
    </row>
    <row r="2259" spans="1:14" s="4" customFormat="1" x14ac:dyDescent="0.25">
      <c r="A2259" s="39"/>
      <c r="B2259" s="39"/>
      <c r="D2259" s="13">
        <v>232</v>
      </c>
      <c r="E2259" s="132" t="str">
        <f>INDEX([1]道具配置表!$D:$D,MATCH(D2259,[1]道具配置表!$A:$A,0))</f>
        <v>1万食物</v>
      </c>
      <c r="F2259" s="39">
        <v>6</v>
      </c>
      <c r="K2259" s="13">
        <v>1</v>
      </c>
      <c r="L2259" s="13"/>
      <c r="M2259" s="39" t="b">
        <v>1</v>
      </c>
    </row>
    <row r="2260" spans="1:14" s="4" customFormat="1" x14ac:dyDescent="0.25">
      <c r="A2260" s="39"/>
      <c r="B2260" s="39"/>
      <c r="D2260" s="13">
        <v>233</v>
      </c>
      <c r="E2260" s="132" t="str">
        <f>INDEX([1]道具配置表!$D:$D,MATCH(D2260,[1]道具配置表!$A:$A,0))</f>
        <v>1万石头</v>
      </c>
      <c r="F2260" s="39">
        <v>6</v>
      </c>
      <c r="K2260" s="13">
        <v>1</v>
      </c>
      <c r="L2260" s="13"/>
      <c r="M2260" s="39" t="b">
        <v>1</v>
      </c>
    </row>
    <row r="2261" spans="1:14" x14ac:dyDescent="0.25">
      <c r="A2261" s="39"/>
      <c r="B2261" s="39"/>
      <c r="C2261" s="4"/>
      <c r="D2261" s="13">
        <v>234</v>
      </c>
      <c r="E2261" s="132" t="str">
        <f>INDEX([1]道具配置表!$D:$D,MATCH(D2261,[1]道具配置表!$A:$A,0))</f>
        <v>1万黄金</v>
      </c>
      <c r="F2261" s="39">
        <v>6</v>
      </c>
      <c r="G2261" s="4"/>
      <c r="H2261" s="4"/>
      <c r="I2261" s="4"/>
      <c r="J2261" s="4"/>
      <c r="K2261" s="13">
        <v>1</v>
      </c>
      <c r="M2261" s="39" t="b">
        <v>1</v>
      </c>
      <c r="N2261" s="11"/>
    </row>
    <row r="2262" spans="1:14" x14ac:dyDescent="0.25">
      <c r="A2262" s="39">
        <v>6610219</v>
      </c>
      <c r="B2262" s="39" t="s">
        <v>632</v>
      </c>
      <c r="C2262" s="4"/>
      <c r="D2262" s="13">
        <v>20000</v>
      </c>
      <c r="E2262" s="132" t="str">
        <f>INDEX([1]道具配置表!$D:$D,MATCH(D2262,[1]道具配置表!$A:$A,0))</f>
        <v>技能点1</v>
      </c>
      <c r="F2262" s="39">
        <v>400</v>
      </c>
      <c r="G2262" s="4"/>
      <c r="H2262" s="4"/>
      <c r="I2262" s="4"/>
      <c r="J2262" s="4"/>
      <c r="K2262" s="13">
        <v>1</v>
      </c>
      <c r="M2262" s="39" t="b">
        <v>1</v>
      </c>
      <c r="N2262" s="11"/>
    </row>
    <row r="2263" spans="1:14" x14ac:dyDescent="0.25">
      <c r="A2263" s="39"/>
      <c r="B2263" s="39"/>
      <c r="C2263" s="4"/>
      <c r="D2263" s="13">
        <v>231</v>
      </c>
      <c r="E2263" s="132" t="str">
        <f>INDEX([1]道具配置表!$D:$D,MATCH(D2263,[1]道具配置表!$A:$A,0))</f>
        <v>1万木材</v>
      </c>
      <c r="F2263" s="39">
        <v>7</v>
      </c>
      <c r="G2263" s="4"/>
      <c r="H2263" s="4"/>
      <c r="I2263" s="4"/>
      <c r="J2263" s="4"/>
      <c r="K2263" s="13">
        <v>1</v>
      </c>
      <c r="M2263" s="39" t="b">
        <v>1</v>
      </c>
      <c r="N2263" s="11"/>
    </row>
    <row r="2264" spans="1:14" x14ac:dyDescent="0.25">
      <c r="A2264" s="39"/>
      <c r="B2264" s="39"/>
      <c r="C2264" s="4"/>
      <c r="D2264" s="13">
        <v>232</v>
      </c>
      <c r="E2264" s="132" t="str">
        <f>INDEX([1]道具配置表!$D:$D,MATCH(D2264,[1]道具配置表!$A:$A,0))</f>
        <v>1万食物</v>
      </c>
      <c r="F2264" s="39">
        <v>7</v>
      </c>
      <c r="G2264" s="4"/>
      <c r="H2264" s="4"/>
      <c r="I2264" s="4"/>
      <c r="J2264" s="4"/>
      <c r="K2264" s="13">
        <v>1</v>
      </c>
      <c r="M2264" s="39" t="b">
        <v>1</v>
      </c>
      <c r="N2264" s="11"/>
    </row>
    <row r="2265" spans="1:14" x14ac:dyDescent="0.25">
      <c r="A2265" s="39"/>
      <c r="B2265" s="39"/>
      <c r="C2265" s="4"/>
      <c r="D2265" s="13">
        <v>233</v>
      </c>
      <c r="E2265" s="132" t="str">
        <f>INDEX([1]道具配置表!$D:$D,MATCH(D2265,[1]道具配置表!$A:$A,0))</f>
        <v>1万石头</v>
      </c>
      <c r="F2265" s="39">
        <v>7</v>
      </c>
      <c r="G2265" s="4"/>
      <c r="H2265" s="4"/>
      <c r="I2265" s="4"/>
      <c r="J2265" s="4"/>
      <c r="K2265" s="13">
        <v>1</v>
      </c>
      <c r="M2265" s="39" t="b">
        <v>1</v>
      </c>
      <c r="N2265" s="11"/>
    </row>
    <row r="2266" spans="1:14" x14ac:dyDescent="0.25">
      <c r="A2266" s="39"/>
      <c r="B2266" s="39"/>
      <c r="C2266" s="4"/>
      <c r="D2266" s="13">
        <v>234</v>
      </c>
      <c r="E2266" s="132" t="str">
        <f>INDEX([1]道具配置表!$D:$D,MATCH(D2266,[1]道具配置表!$A:$A,0))</f>
        <v>1万黄金</v>
      </c>
      <c r="F2266" s="39">
        <v>7</v>
      </c>
      <c r="G2266" s="4"/>
      <c r="H2266" s="4"/>
      <c r="I2266" s="4"/>
      <c r="J2266" s="4"/>
      <c r="K2266" s="13">
        <v>1</v>
      </c>
      <c r="M2266" s="39" t="b">
        <v>1</v>
      </c>
      <c r="N2266" s="11"/>
    </row>
    <row r="2267" spans="1:14" x14ac:dyDescent="0.25">
      <c r="A2267" s="39">
        <v>6610220</v>
      </c>
      <c r="B2267" s="39" t="s">
        <v>633</v>
      </c>
      <c r="C2267" s="4"/>
      <c r="D2267" s="13">
        <v>20000</v>
      </c>
      <c r="E2267" s="132" t="str">
        <f>INDEX([1]道具配置表!$D:$D,MATCH(D2267,[1]道具配置表!$A:$A,0))</f>
        <v>技能点1</v>
      </c>
      <c r="F2267" s="39">
        <v>450</v>
      </c>
      <c r="G2267" s="4"/>
      <c r="H2267" s="4"/>
      <c r="I2267" s="4"/>
      <c r="J2267" s="4"/>
      <c r="K2267" s="13">
        <v>1</v>
      </c>
      <c r="M2267" s="39" t="b">
        <v>1</v>
      </c>
      <c r="N2267" s="11"/>
    </row>
    <row r="2268" spans="1:14" x14ac:dyDescent="0.25">
      <c r="A2268" s="39"/>
      <c r="B2268" s="39"/>
      <c r="C2268" s="4"/>
      <c r="D2268" s="13">
        <v>231</v>
      </c>
      <c r="E2268" s="132" t="str">
        <f>INDEX([1]道具配置表!$D:$D,MATCH(D2268,[1]道具配置表!$A:$A,0))</f>
        <v>1万木材</v>
      </c>
      <c r="F2268" s="39">
        <v>8</v>
      </c>
      <c r="G2268" s="4"/>
      <c r="H2268" s="4"/>
      <c r="I2268" s="4"/>
      <c r="J2268" s="4"/>
      <c r="K2268" s="13">
        <v>1</v>
      </c>
      <c r="M2268" s="39" t="b">
        <v>1</v>
      </c>
      <c r="N2268" s="11"/>
    </row>
    <row r="2269" spans="1:14" x14ac:dyDescent="0.25">
      <c r="A2269" s="39"/>
      <c r="B2269" s="39"/>
      <c r="C2269" s="4"/>
      <c r="D2269" s="13">
        <v>232</v>
      </c>
      <c r="E2269" s="132" t="str">
        <f>INDEX([1]道具配置表!$D:$D,MATCH(D2269,[1]道具配置表!$A:$A,0))</f>
        <v>1万食物</v>
      </c>
      <c r="F2269" s="39">
        <v>8</v>
      </c>
      <c r="G2269" s="4"/>
      <c r="H2269" s="4"/>
      <c r="I2269" s="4"/>
      <c r="J2269" s="4"/>
      <c r="K2269" s="13">
        <v>1</v>
      </c>
      <c r="M2269" s="39" t="b">
        <v>1</v>
      </c>
      <c r="N2269" s="11"/>
    </row>
    <row r="2270" spans="1:14" x14ac:dyDescent="0.25">
      <c r="A2270" s="39"/>
      <c r="B2270" s="39"/>
      <c r="C2270" s="4"/>
      <c r="D2270" s="13">
        <v>233</v>
      </c>
      <c r="E2270" s="132" t="str">
        <f>INDEX([1]道具配置表!$D:$D,MATCH(D2270,[1]道具配置表!$A:$A,0))</f>
        <v>1万石头</v>
      </c>
      <c r="F2270" s="39">
        <v>8</v>
      </c>
      <c r="G2270" s="4"/>
      <c r="H2270" s="4"/>
      <c r="I2270" s="4"/>
      <c r="J2270" s="4"/>
      <c r="K2270" s="13">
        <v>1</v>
      </c>
      <c r="M2270" s="39" t="b">
        <v>1</v>
      </c>
      <c r="N2270" s="11"/>
    </row>
    <row r="2271" spans="1:14" x14ac:dyDescent="0.25">
      <c r="A2271" s="39"/>
      <c r="B2271" s="39"/>
      <c r="C2271" s="4"/>
      <c r="D2271" s="13">
        <v>234</v>
      </c>
      <c r="E2271" s="132" t="str">
        <f>INDEX([1]道具配置表!$D:$D,MATCH(D2271,[1]道具配置表!$A:$A,0))</f>
        <v>1万黄金</v>
      </c>
      <c r="F2271" s="39">
        <v>8</v>
      </c>
      <c r="G2271" s="4"/>
      <c r="H2271" s="4"/>
      <c r="I2271" s="4"/>
      <c r="J2271" s="4"/>
      <c r="K2271" s="13">
        <v>1</v>
      </c>
      <c r="M2271" s="39" t="b">
        <v>1</v>
      </c>
      <c r="N2271" s="11"/>
    </row>
    <row r="2272" spans="1:14" x14ac:dyDescent="0.25">
      <c r="A2272" s="65">
        <v>6610221</v>
      </c>
      <c r="B2272" s="65" t="s">
        <v>629</v>
      </c>
      <c r="C2272" s="4"/>
      <c r="D2272" s="13">
        <v>20000</v>
      </c>
      <c r="E2272" s="132" t="str">
        <f>INDEX([1]道具配置表!$D:$D,MATCH(D2272,[1]道具配置表!$A:$A,0))</f>
        <v>技能点1</v>
      </c>
      <c r="F2272" s="65">
        <v>300</v>
      </c>
      <c r="G2272" s="4"/>
      <c r="H2272" s="4"/>
      <c r="I2272" s="4"/>
      <c r="J2272" s="4"/>
      <c r="K2272" s="13">
        <v>1</v>
      </c>
      <c r="M2272" s="65" t="b">
        <v>1</v>
      </c>
      <c r="N2272" s="11"/>
    </row>
    <row r="2273" spans="1:14" x14ac:dyDescent="0.25">
      <c r="A2273" s="65"/>
      <c r="B2273" s="65"/>
      <c r="C2273" s="4"/>
      <c r="D2273" s="13">
        <v>231</v>
      </c>
      <c r="E2273" s="132" t="str">
        <f>INDEX([1]道具配置表!$D:$D,MATCH(D2273,[1]道具配置表!$A:$A,0))</f>
        <v>1万木材</v>
      </c>
      <c r="F2273" s="65">
        <v>5</v>
      </c>
      <c r="G2273" s="4"/>
      <c r="H2273" s="4"/>
      <c r="I2273" s="4"/>
      <c r="J2273" s="4"/>
      <c r="K2273" s="13">
        <v>1</v>
      </c>
      <c r="M2273" s="65" t="b">
        <v>1</v>
      </c>
      <c r="N2273" s="11"/>
    </row>
    <row r="2274" spans="1:14" x14ac:dyDescent="0.25">
      <c r="A2274" s="65"/>
      <c r="B2274" s="65"/>
      <c r="C2274" s="4"/>
      <c r="D2274" s="13">
        <v>232</v>
      </c>
      <c r="E2274" s="132" t="str">
        <f>INDEX([1]道具配置表!$D:$D,MATCH(D2274,[1]道具配置表!$A:$A,0))</f>
        <v>1万食物</v>
      </c>
      <c r="F2274" s="65">
        <v>5</v>
      </c>
      <c r="G2274" s="4"/>
      <c r="H2274" s="4"/>
      <c r="I2274" s="4"/>
      <c r="J2274" s="4"/>
      <c r="K2274" s="13">
        <v>1</v>
      </c>
      <c r="M2274" s="65" t="b">
        <v>1</v>
      </c>
      <c r="N2274" s="11"/>
    </row>
    <row r="2275" spans="1:14" x14ac:dyDescent="0.25">
      <c r="A2275" s="65"/>
      <c r="B2275" s="65"/>
      <c r="C2275" s="4"/>
      <c r="D2275" s="13">
        <v>233</v>
      </c>
      <c r="E2275" s="132" t="str">
        <f>INDEX([1]道具配置表!$D:$D,MATCH(D2275,[1]道具配置表!$A:$A,0))</f>
        <v>1万石头</v>
      </c>
      <c r="F2275" s="65">
        <v>5</v>
      </c>
      <c r="G2275" s="4"/>
      <c r="H2275" s="4"/>
      <c r="I2275" s="4"/>
      <c r="J2275" s="4"/>
      <c r="K2275" s="13">
        <v>1</v>
      </c>
      <c r="M2275" s="65" t="b">
        <v>1</v>
      </c>
      <c r="N2275" s="11"/>
    </row>
    <row r="2276" spans="1:14" x14ac:dyDescent="0.25">
      <c r="A2276" s="65"/>
      <c r="B2276" s="65"/>
      <c r="C2276" s="4"/>
      <c r="D2276" s="13">
        <v>234</v>
      </c>
      <c r="E2276" s="132" t="str">
        <f>INDEX([1]道具配置表!$D:$D,MATCH(D2276,[1]道具配置表!$A:$A,0))</f>
        <v>1万黄金</v>
      </c>
      <c r="F2276" s="65">
        <v>5</v>
      </c>
      <c r="G2276" s="4"/>
      <c r="H2276" s="4"/>
      <c r="I2276" s="4"/>
      <c r="J2276" s="4"/>
      <c r="K2276" s="13">
        <v>1</v>
      </c>
      <c r="M2276" s="65" t="b">
        <v>1</v>
      </c>
      <c r="N2276" s="11"/>
    </row>
    <row r="2277" spans="1:14" x14ac:dyDescent="0.25">
      <c r="A2277" s="65">
        <v>6610222</v>
      </c>
      <c r="B2277" s="65" t="s">
        <v>630</v>
      </c>
      <c r="C2277" s="4"/>
      <c r="D2277" s="13">
        <v>20000</v>
      </c>
      <c r="E2277" s="132" t="str">
        <f>INDEX([1]道具配置表!$D:$D,MATCH(D2277,[1]道具配置表!$A:$A,0))</f>
        <v>技能点1</v>
      </c>
      <c r="F2277" s="65">
        <v>350</v>
      </c>
      <c r="G2277" s="4"/>
      <c r="H2277" s="4"/>
      <c r="I2277" s="4"/>
      <c r="J2277" s="4"/>
      <c r="K2277" s="13">
        <v>1</v>
      </c>
      <c r="M2277" s="65" t="b">
        <v>1</v>
      </c>
      <c r="N2277" s="11"/>
    </row>
    <row r="2278" spans="1:14" x14ac:dyDescent="0.25">
      <c r="A2278" s="65"/>
      <c r="B2278" s="65"/>
      <c r="C2278" s="4"/>
      <c r="D2278" s="13">
        <v>231</v>
      </c>
      <c r="E2278" s="132" t="str">
        <f>INDEX([1]道具配置表!$D:$D,MATCH(D2278,[1]道具配置表!$A:$A,0))</f>
        <v>1万木材</v>
      </c>
      <c r="F2278" s="65">
        <v>6</v>
      </c>
      <c r="G2278" s="4"/>
      <c r="H2278" s="4"/>
      <c r="I2278" s="4"/>
      <c r="J2278" s="4"/>
      <c r="K2278" s="13">
        <v>1</v>
      </c>
      <c r="M2278" s="65" t="b">
        <v>1</v>
      </c>
      <c r="N2278" s="11"/>
    </row>
    <row r="2279" spans="1:14" x14ac:dyDescent="0.25">
      <c r="A2279" s="65"/>
      <c r="B2279" s="65"/>
      <c r="C2279" s="4"/>
      <c r="D2279" s="13">
        <v>232</v>
      </c>
      <c r="E2279" s="132" t="str">
        <f>INDEX([1]道具配置表!$D:$D,MATCH(D2279,[1]道具配置表!$A:$A,0))</f>
        <v>1万食物</v>
      </c>
      <c r="F2279" s="65">
        <v>6</v>
      </c>
      <c r="G2279" s="4"/>
      <c r="H2279" s="4"/>
      <c r="I2279" s="4"/>
      <c r="J2279" s="4"/>
      <c r="K2279" s="13">
        <v>1</v>
      </c>
      <c r="M2279" s="65" t="b">
        <v>1</v>
      </c>
      <c r="N2279" s="11"/>
    </row>
    <row r="2280" spans="1:14" x14ac:dyDescent="0.25">
      <c r="A2280" s="65"/>
      <c r="B2280" s="65"/>
      <c r="C2280" s="4"/>
      <c r="D2280" s="13">
        <v>233</v>
      </c>
      <c r="E2280" s="132" t="str">
        <f>INDEX([1]道具配置表!$D:$D,MATCH(D2280,[1]道具配置表!$A:$A,0))</f>
        <v>1万石头</v>
      </c>
      <c r="F2280" s="65">
        <v>6</v>
      </c>
      <c r="G2280" s="4"/>
      <c r="H2280" s="4"/>
      <c r="I2280" s="4"/>
      <c r="J2280" s="4"/>
      <c r="K2280" s="13">
        <v>1</v>
      </c>
      <c r="M2280" s="65" t="b">
        <v>1</v>
      </c>
      <c r="N2280" s="11"/>
    </row>
    <row r="2281" spans="1:14" x14ac:dyDescent="0.25">
      <c r="A2281" s="65"/>
      <c r="B2281" s="65"/>
      <c r="C2281" s="4"/>
      <c r="D2281" s="13">
        <v>234</v>
      </c>
      <c r="E2281" s="132" t="str">
        <f>INDEX([1]道具配置表!$D:$D,MATCH(D2281,[1]道具配置表!$A:$A,0))</f>
        <v>1万黄金</v>
      </c>
      <c r="F2281" s="65">
        <v>6</v>
      </c>
      <c r="G2281" s="4"/>
      <c r="H2281" s="4"/>
      <c r="I2281" s="4"/>
      <c r="J2281" s="4"/>
      <c r="K2281" s="13">
        <v>1</v>
      </c>
      <c r="M2281" s="65" t="b">
        <v>1</v>
      </c>
      <c r="N2281" s="11"/>
    </row>
    <row r="2282" spans="1:14" x14ac:dyDescent="0.25">
      <c r="A2282" s="65">
        <v>6610223</v>
      </c>
      <c r="B2282" s="65" t="s">
        <v>631</v>
      </c>
      <c r="C2282" s="4"/>
      <c r="D2282" s="13">
        <v>20000</v>
      </c>
      <c r="E2282" s="132" t="str">
        <f>INDEX([1]道具配置表!$D:$D,MATCH(D2282,[1]道具配置表!$A:$A,0))</f>
        <v>技能点1</v>
      </c>
      <c r="F2282" s="65">
        <v>400</v>
      </c>
      <c r="G2282" s="4"/>
      <c r="H2282" s="4"/>
      <c r="I2282" s="4"/>
      <c r="J2282" s="4"/>
      <c r="K2282" s="13">
        <v>1</v>
      </c>
      <c r="M2282" s="65" t="b">
        <v>1</v>
      </c>
      <c r="N2282" s="11"/>
    </row>
    <row r="2283" spans="1:14" x14ac:dyDescent="0.25">
      <c r="A2283" s="65"/>
      <c r="B2283" s="65"/>
      <c r="C2283" s="4"/>
      <c r="D2283" s="13">
        <v>231</v>
      </c>
      <c r="E2283" s="132" t="str">
        <f>INDEX([1]道具配置表!$D:$D,MATCH(D2283,[1]道具配置表!$A:$A,0))</f>
        <v>1万木材</v>
      </c>
      <c r="F2283" s="65">
        <v>7</v>
      </c>
      <c r="G2283" s="4"/>
      <c r="H2283" s="4"/>
      <c r="I2283" s="4"/>
      <c r="J2283" s="4"/>
      <c r="K2283" s="13">
        <v>1</v>
      </c>
      <c r="M2283" s="65" t="b">
        <v>1</v>
      </c>
      <c r="N2283" s="11"/>
    </row>
    <row r="2284" spans="1:14" x14ac:dyDescent="0.25">
      <c r="A2284" s="65"/>
      <c r="B2284" s="65"/>
      <c r="C2284" s="4"/>
      <c r="D2284" s="13">
        <v>232</v>
      </c>
      <c r="E2284" s="132" t="str">
        <f>INDEX([1]道具配置表!$D:$D,MATCH(D2284,[1]道具配置表!$A:$A,0))</f>
        <v>1万食物</v>
      </c>
      <c r="F2284" s="65">
        <v>7</v>
      </c>
      <c r="G2284" s="4"/>
      <c r="H2284" s="4"/>
      <c r="I2284" s="4"/>
      <c r="J2284" s="4"/>
      <c r="K2284" s="13">
        <v>1</v>
      </c>
      <c r="M2284" s="65" t="b">
        <v>1</v>
      </c>
      <c r="N2284" s="11"/>
    </row>
    <row r="2285" spans="1:14" x14ac:dyDescent="0.25">
      <c r="A2285" s="65"/>
      <c r="B2285" s="65"/>
      <c r="C2285" s="4"/>
      <c r="D2285" s="13">
        <v>233</v>
      </c>
      <c r="E2285" s="132" t="str">
        <f>INDEX([1]道具配置表!$D:$D,MATCH(D2285,[1]道具配置表!$A:$A,0))</f>
        <v>1万石头</v>
      </c>
      <c r="F2285" s="65">
        <v>7</v>
      </c>
      <c r="G2285" s="4"/>
      <c r="H2285" s="4"/>
      <c r="I2285" s="4"/>
      <c r="J2285" s="4"/>
      <c r="K2285" s="13">
        <v>1</v>
      </c>
      <c r="M2285" s="65" t="b">
        <v>1</v>
      </c>
      <c r="N2285" s="11"/>
    </row>
    <row r="2286" spans="1:14" x14ac:dyDescent="0.25">
      <c r="A2286" s="65"/>
      <c r="B2286" s="65"/>
      <c r="C2286" s="4"/>
      <c r="D2286" s="13">
        <v>234</v>
      </c>
      <c r="E2286" s="132" t="str">
        <f>INDEX([1]道具配置表!$D:$D,MATCH(D2286,[1]道具配置表!$A:$A,0))</f>
        <v>1万黄金</v>
      </c>
      <c r="F2286" s="65">
        <v>7</v>
      </c>
      <c r="G2286" s="4"/>
      <c r="H2286" s="4"/>
      <c r="I2286" s="4"/>
      <c r="J2286" s="4"/>
      <c r="K2286" s="13">
        <v>1</v>
      </c>
      <c r="M2286" s="65" t="b">
        <v>1</v>
      </c>
      <c r="N2286" s="11"/>
    </row>
    <row r="2287" spans="1:14" x14ac:dyDescent="0.25">
      <c r="A2287" s="65">
        <v>6610224</v>
      </c>
      <c r="B2287" s="65" t="s">
        <v>632</v>
      </c>
      <c r="C2287" s="4"/>
      <c r="D2287" s="13">
        <v>20000</v>
      </c>
      <c r="E2287" s="132" t="str">
        <f>INDEX([1]道具配置表!$D:$D,MATCH(D2287,[1]道具配置表!$A:$A,0))</f>
        <v>技能点1</v>
      </c>
      <c r="F2287" s="65">
        <v>450</v>
      </c>
      <c r="G2287" s="4"/>
      <c r="H2287" s="4"/>
      <c r="I2287" s="4"/>
      <c r="J2287" s="4"/>
      <c r="K2287" s="13">
        <v>1</v>
      </c>
      <c r="M2287" s="65" t="b">
        <v>1</v>
      </c>
      <c r="N2287" s="11"/>
    </row>
    <row r="2288" spans="1:14" x14ac:dyDescent="0.25">
      <c r="A2288" s="65"/>
      <c r="B2288" s="65"/>
      <c r="C2288" s="4"/>
      <c r="D2288" s="13">
        <v>231</v>
      </c>
      <c r="E2288" s="132" t="str">
        <f>INDEX([1]道具配置表!$D:$D,MATCH(D2288,[1]道具配置表!$A:$A,0))</f>
        <v>1万木材</v>
      </c>
      <c r="F2288" s="65">
        <v>8</v>
      </c>
      <c r="G2288" s="4"/>
      <c r="H2288" s="4"/>
      <c r="I2288" s="4"/>
      <c r="J2288" s="4"/>
      <c r="K2288" s="13">
        <v>1</v>
      </c>
      <c r="M2288" s="65" t="b">
        <v>1</v>
      </c>
      <c r="N2288" s="11"/>
    </row>
    <row r="2289" spans="1:14" x14ac:dyDescent="0.25">
      <c r="A2289" s="65"/>
      <c r="B2289" s="65"/>
      <c r="C2289" s="4"/>
      <c r="D2289" s="13">
        <v>232</v>
      </c>
      <c r="E2289" s="132" t="str">
        <f>INDEX([1]道具配置表!$D:$D,MATCH(D2289,[1]道具配置表!$A:$A,0))</f>
        <v>1万食物</v>
      </c>
      <c r="F2289" s="65">
        <v>8</v>
      </c>
      <c r="G2289" s="4"/>
      <c r="H2289" s="4"/>
      <c r="I2289" s="4"/>
      <c r="J2289" s="4"/>
      <c r="K2289" s="13">
        <v>1</v>
      </c>
      <c r="M2289" s="65" t="b">
        <v>1</v>
      </c>
      <c r="N2289" s="11"/>
    </row>
    <row r="2290" spans="1:14" x14ac:dyDescent="0.25">
      <c r="A2290" s="65"/>
      <c r="B2290" s="65"/>
      <c r="C2290" s="4"/>
      <c r="D2290" s="13">
        <v>233</v>
      </c>
      <c r="E2290" s="132" t="str">
        <f>INDEX([1]道具配置表!$D:$D,MATCH(D2290,[1]道具配置表!$A:$A,0))</f>
        <v>1万石头</v>
      </c>
      <c r="F2290" s="65">
        <v>8</v>
      </c>
      <c r="G2290" s="4"/>
      <c r="H2290" s="4"/>
      <c r="I2290" s="4"/>
      <c r="J2290" s="4"/>
      <c r="K2290" s="13">
        <v>1</v>
      </c>
      <c r="M2290" s="65" t="b">
        <v>1</v>
      </c>
      <c r="N2290" s="11"/>
    </row>
    <row r="2291" spans="1:14" x14ac:dyDescent="0.25">
      <c r="A2291" s="65"/>
      <c r="B2291" s="65"/>
      <c r="C2291" s="4"/>
      <c r="D2291" s="13">
        <v>234</v>
      </c>
      <c r="E2291" s="132" t="str">
        <f>INDEX([1]道具配置表!$D:$D,MATCH(D2291,[1]道具配置表!$A:$A,0))</f>
        <v>1万黄金</v>
      </c>
      <c r="F2291" s="65">
        <v>8</v>
      </c>
      <c r="G2291" s="4"/>
      <c r="H2291" s="4"/>
      <c r="I2291" s="4"/>
      <c r="J2291" s="4"/>
      <c r="K2291" s="13">
        <v>1</v>
      </c>
      <c r="M2291" s="65" t="b">
        <v>1</v>
      </c>
      <c r="N2291" s="11"/>
    </row>
    <row r="2292" spans="1:14" x14ac:dyDescent="0.25">
      <c r="A2292" s="65">
        <v>6610225</v>
      </c>
      <c r="B2292" s="65" t="s">
        <v>633</v>
      </c>
      <c r="C2292" s="4"/>
      <c r="D2292" s="13">
        <v>20000</v>
      </c>
      <c r="E2292" s="132" t="str">
        <f>INDEX([1]道具配置表!$D:$D,MATCH(D2292,[1]道具配置表!$A:$A,0))</f>
        <v>技能点1</v>
      </c>
      <c r="F2292" s="65">
        <v>500</v>
      </c>
      <c r="G2292" s="4"/>
      <c r="H2292" s="4"/>
      <c r="I2292" s="4"/>
      <c r="J2292" s="4"/>
      <c r="K2292" s="13">
        <v>1</v>
      </c>
      <c r="M2292" s="65" t="b">
        <v>1</v>
      </c>
      <c r="N2292" s="11"/>
    </row>
    <row r="2293" spans="1:14" x14ac:dyDescent="0.25">
      <c r="A2293" s="65"/>
      <c r="B2293" s="65"/>
      <c r="C2293" s="4"/>
      <c r="D2293" s="13">
        <v>231</v>
      </c>
      <c r="E2293" s="132" t="str">
        <f>INDEX([1]道具配置表!$D:$D,MATCH(D2293,[1]道具配置表!$A:$A,0))</f>
        <v>1万木材</v>
      </c>
      <c r="F2293" s="65">
        <v>9</v>
      </c>
      <c r="G2293" s="4"/>
      <c r="H2293" s="4"/>
      <c r="I2293" s="4"/>
      <c r="J2293" s="4"/>
      <c r="K2293" s="13">
        <v>1</v>
      </c>
      <c r="M2293" s="65" t="b">
        <v>1</v>
      </c>
      <c r="N2293" s="11"/>
    </row>
    <row r="2294" spans="1:14" x14ac:dyDescent="0.25">
      <c r="A2294" s="65"/>
      <c r="B2294" s="65"/>
      <c r="C2294" s="4"/>
      <c r="D2294" s="13">
        <v>232</v>
      </c>
      <c r="E2294" s="132" t="str">
        <f>INDEX([1]道具配置表!$D:$D,MATCH(D2294,[1]道具配置表!$A:$A,0))</f>
        <v>1万食物</v>
      </c>
      <c r="F2294" s="65">
        <v>9</v>
      </c>
      <c r="G2294" s="4"/>
      <c r="H2294" s="4"/>
      <c r="I2294" s="4"/>
      <c r="J2294" s="4"/>
      <c r="K2294" s="13">
        <v>1</v>
      </c>
      <c r="M2294" s="65" t="b">
        <v>1</v>
      </c>
      <c r="N2294" s="11"/>
    </row>
    <row r="2295" spans="1:14" x14ac:dyDescent="0.25">
      <c r="A2295" s="65"/>
      <c r="B2295" s="65"/>
      <c r="C2295" s="4"/>
      <c r="D2295" s="13">
        <v>233</v>
      </c>
      <c r="E2295" s="132" t="str">
        <f>INDEX([1]道具配置表!$D:$D,MATCH(D2295,[1]道具配置表!$A:$A,0))</f>
        <v>1万石头</v>
      </c>
      <c r="F2295" s="65">
        <v>9</v>
      </c>
      <c r="G2295" s="4"/>
      <c r="H2295" s="4"/>
      <c r="I2295" s="4"/>
      <c r="J2295" s="4"/>
      <c r="K2295" s="13">
        <v>1</v>
      </c>
      <c r="M2295" s="65" t="b">
        <v>1</v>
      </c>
      <c r="N2295" s="11"/>
    </row>
    <row r="2296" spans="1:14" x14ac:dyDescent="0.25">
      <c r="A2296" s="65"/>
      <c r="B2296" s="65"/>
      <c r="C2296" s="4"/>
      <c r="D2296" s="13">
        <v>234</v>
      </c>
      <c r="E2296" s="132" t="str">
        <f>INDEX([1]道具配置表!$D:$D,MATCH(D2296,[1]道具配置表!$A:$A,0))</f>
        <v>1万黄金</v>
      </c>
      <c r="F2296" s="65">
        <v>9</v>
      </c>
      <c r="G2296" s="4"/>
      <c r="H2296" s="4"/>
      <c r="I2296" s="4"/>
      <c r="J2296" s="4"/>
      <c r="K2296" s="13">
        <v>1</v>
      </c>
      <c r="M2296" s="65" t="b">
        <v>1</v>
      </c>
      <c r="N2296" s="11"/>
    </row>
    <row r="2297" spans="1:14" x14ac:dyDescent="0.25">
      <c r="A2297" s="65">
        <v>6610226</v>
      </c>
      <c r="B2297" s="65" t="s">
        <v>1052</v>
      </c>
      <c r="C2297" s="4"/>
      <c r="D2297" s="13">
        <v>20000</v>
      </c>
      <c r="E2297" s="132" t="str">
        <f>INDEX([1]道具配置表!$D:$D,MATCH(D2297,[1]道具配置表!$A:$A,0))</f>
        <v>技能点1</v>
      </c>
      <c r="F2297" s="65">
        <v>350</v>
      </c>
      <c r="G2297" s="4"/>
      <c r="H2297" s="4"/>
      <c r="I2297" s="4"/>
      <c r="J2297" s="4"/>
      <c r="K2297" s="13">
        <v>1</v>
      </c>
      <c r="M2297" s="65" t="b">
        <v>1</v>
      </c>
      <c r="N2297" s="11"/>
    </row>
    <row r="2298" spans="1:14" x14ac:dyDescent="0.25">
      <c r="A2298" s="65"/>
      <c r="B2298" s="65"/>
      <c r="C2298" s="4"/>
      <c r="D2298" s="13">
        <v>231</v>
      </c>
      <c r="E2298" s="132" t="str">
        <f>INDEX([1]道具配置表!$D:$D,MATCH(D2298,[1]道具配置表!$A:$A,0))</f>
        <v>1万木材</v>
      </c>
      <c r="F2298" s="65">
        <v>6</v>
      </c>
      <c r="G2298" s="4"/>
      <c r="H2298" s="4"/>
      <c r="I2298" s="4"/>
      <c r="J2298" s="4"/>
      <c r="K2298" s="13">
        <v>1</v>
      </c>
      <c r="M2298" s="65" t="b">
        <v>1</v>
      </c>
      <c r="N2298" s="11"/>
    </row>
    <row r="2299" spans="1:14" x14ac:dyDescent="0.25">
      <c r="A2299" s="65"/>
      <c r="B2299" s="65"/>
      <c r="C2299" s="4"/>
      <c r="D2299" s="13">
        <v>232</v>
      </c>
      <c r="E2299" s="132" t="str">
        <f>INDEX([1]道具配置表!$D:$D,MATCH(D2299,[1]道具配置表!$A:$A,0))</f>
        <v>1万食物</v>
      </c>
      <c r="F2299" s="65">
        <v>6</v>
      </c>
      <c r="G2299" s="4"/>
      <c r="H2299" s="4"/>
      <c r="I2299" s="4"/>
      <c r="J2299" s="4"/>
      <c r="K2299" s="13">
        <v>1</v>
      </c>
      <c r="M2299" s="65" t="b">
        <v>1</v>
      </c>
      <c r="N2299" s="11"/>
    </row>
    <row r="2300" spans="1:14" x14ac:dyDescent="0.25">
      <c r="A2300" s="65"/>
      <c r="B2300" s="65"/>
      <c r="C2300" s="4"/>
      <c r="D2300" s="13">
        <v>233</v>
      </c>
      <c r="E2300" s="132" t="str">
        <f>INDEX([1]道具配置表!$D:$D,MATCH(D2300,[1]道具配置表!$A:$A,0))</f>
        <v>1万石头</v>
      </c>
      <c r="F2300" s="65">
        <v>6</v>
      </c>
      <c r="G2300" s="4"/>
      <c r="H2300" s="4"/>
      <c r="I2300" s="4"/>
      <c r="J2300" s="4"/>
      <c r="K2300" s="13">
        <v>1</v>
      </c>
      <c r="M2300" s="65" t="b">
        <v>1</v>
      </c>
      <c r="N2300" s="11"/>
    </row>
    <row r="2301" spans="1:14" x14ac:dyDescent="0.25">
      <c r="A2301" s="65"/>
      <c r="B2301" s="65"/>
      <c r="C2301" s="4"/>
      <c r="D2301" s="13">
        <v>234</v>
      </c>
      <c r="E2301" s="132" t="str">
        <f>INDEX([1]道具配置表!$D:$D,MATCH(D2301,[1]道具配置表!$A:$A,0))</f>
        <v>1万黄金</v>
      </c>
      <c r="F2301" s="65">
        <v>6</v>
      </c>
      <c r="G2301" s="4"/>
      <c r="H2301" s="4"/>
      <c r="I2301" s="4"/>
      <c r="J2301" s="4"/>
      <c r="K2301" s="13">
        <v>1</v>
      </c>
      <c r="M2301" s="65" t="b">
        <v>1</v>
      </c>
      <c r="N2301" s="11"/>
    </row>
    <row r="2302" spans="1:14" x14ac:dyDescent="0.25">
      <c r="A2302" s="65">
        <v>6610227</v>
      </c>
      <c r="B2302" s="65" t="s">
        <v>1053</v>
      </c>
      <c r="C2302" s="4"/>
      <c r="D2302" s="13">
        <v>20000</v>
      </c>
      <c r="E2302" s="132" t="str">
        <f>INDEX([1]道具配置表!$D:$D,MATCH(D2302,[1]道具配置表!$A:$A,0))</f>
        <v>技能点1</v>
      </c>
      <c r="F2302" s="65">
        <v>400</v>
      </c>
      <c r="G2302" s="4"/>
      <c r="H2302" s="4"/>
      <c r="I2302" s="4"/>
      <c r="J2302" s="4"/>
      <c r="K2302" s="13">
        <v>1</v>
      </c>
      <c r="M2302" s="65" t="b">
        <v>1</v>
      </c>
      <c r="N2302" s="11"/>
    </row>
    <row r="2303" spans="1:14" x14ac:dyDescent="0.25">
      <c r="A2303" s="65"/>
      <c r="B2303" s="65"/>
      <c r="C2303" s="4"/>
      <c r="D2303" s="13">
        <v>231</v>
      </c>
      <c r="E2303" s="132" t="str">
        <f>INDEX([1]道具配置表!$D:$D,MATCH(D2303,[1]道具配置表!$A:$A,0))</f>
        <v>1万木材</v>
      </c>
      <c r="F2303" s="65">
        <v>7</v>
      </c>
      <c r="G2303" s="4"/>
      <c r="H2303" s="4"/>
      <c r="I2303" s="4"/>
      <c r="J2303" s="4"/>
      <c r="K2303" s="13">
        <v>1</v>
      </c>
      <c r="M2303" s="65" t="b">
        <v>1</v>
      </c>
      <c r="N2303" s="11"/>
    </row>
    <row r="2304" spans="1:14" x14ac:dyDescent="0.25">
      <c r="A2304" s="65"/>
      <c r="B2304" s="65"/>
      <c r="C2304" s="4"/>
      <c r="D2304" s="13">
        <v>232</v>
      </c>
      <c r="E2304" s="132" t="str">
        <f>INDEX([1]道具配置表!$D:$D,MATCH(D2304,[1]道具配置表!$A:$A,0))</f>
        <v>1万食物</v>
      </c>
      <c r="F2304" s="65">
        <v>7</v>
      </c>
      <c r="G2304" s="4"/>
      <c r="H2304" s="4"/>
      <c r="I2304" s="4"/>
      <c r="J2304" s="4"/>
      <c r="K2304" s="13">
        <v>1</v>
      </c>
      <c r="M2304" s="65" t="b">
        <v>1</v>
      </c>
      <c r="N2304" s="11"/>
    </row>
    <row r="2305" spans="1:14" x14ac:dyDescent="0.25">
      <c r="A2305" s="65"/>
      <c r="B2305" s="65"/>
      <c r="C2305" s="4"/>
      <c r="D2305" s="13">
        <v>233</v>
      </c>
      <c r="E2305" s="132" t="str">
        <f>INDEX([1]道具配置表!$D:$D,MATCH(D2305,[1]道具配置表!$A:$A,0))</f>
        <v>1万石头</v>
      </c>
      <c r="F2305" s="65">
        <v>7</v>
      </c>
      <c r="G2305" s="4"/>
      <c r="H2305" s="4"/>
      <c r="I2305" s="4"/>
      <c r="J2305" s="4"/>
      <c r="K2305" s="13">
        <v>1</v>
      </c>
      <c r="M2305" s="65" t="b">
        <v>1</v>
      </c>
      <c r="N2305" s="11"/>
    </row>
    <row r="2306" spans="1:14" x14ac:dyDescent="0.25">
      <c r="A2306" s="65"/>
      <c r="B2306" s="65"/>
      <c r="C2306" s="4"/>
      <c r="D2306" s="13">
        <v>234</v>
      </c>
      <c r="E2306" s="132" t="str">
        <f>INDEX([1]道具配置表!$D:$D,MATCH(D2306,[1]道具配置表!$A:$A,0))</f>
        <v>1万黄金</v>
      </c>
      <c r="F2306" s="65">
        <v>7</v>
      </c>
      <c r="G2306" s="4"/>
      <c r="H2306" s="4"/>
      <c r="I2306" s="4"/>
      <c r="J2306" s="4"/>
      <c r="K2306" s="13">
        <v>1</v>
      </c>
      <c r="M2306" s="65" t="b">
        <v>1</v>
      </c>
      <c r="N2306" s="11"/>
    </row>
    <row r="2307" spans="1:14" x14ac:dyDescent="0.25">
      <c r="A2307" s="65">
        <v>6610228</v>
      </c>
      <c r="B2307" s="65" t="s">
        <v>1054</v>
      </c>
      <c r="C2307" s="4"/>
      <c r="D2307" s="13">
        <v>20000</v>
      </c>
      <c r="E2307" s="132" t="str">
        <f>INDEX([1]道具配置表!$D:$D,MATCH(D2307,[1]道具配置表!$A:$A,0))</f>
        <v>技能点1</v>
      </c>
      <c r="F2307" s="65">
        <v>450</v>
      </c>
      <c r="G2307" s="4"/>
      <c r="H2307" s="4"/>
      <c r="I2307" s="4"/>
      <c r="J2307" s="4"/>
      <c r="K2307" s="13">
        <v>1</v>
      </c>
      <c r="M2307" s="65" t="b">
        <v>1</v>
      </c>
      <c r="N2307" s="11"/>
    </row>
    <row r="2308" spans="1:14" x14ac:dyDescent="0.25">
      <c r="A2308" s="65"/>
      <c r="B2308" s="65"/>
      <c r="C2308" s="4"/>
      <c r="D2308" s="13">
        <v>231</v>
      </c>
      <c r="E2308" s="132" t="str">
        <f>INDEX([1]道具配置表!$D:$D,MATCH(D2308,[1]道具配置表!$A:$A,0))</f>
        <v>1万木材</v>
      </c>
      <c r="F2308" s="65">
        <v>8</v>
      </c>
      <c r="G2308" s="4"/>
      <c r="H2308" s="4"/>
      <c r="I2308" s="4"/>
      <c r="J2308" s="4"/>
      <c r="K2308" s="13">
        <v>1</v>
      </c>
      <c r="M2308" s="65" t="b">
        <v>1</v>
      </c>
      <c r="N2308" s="11"/>
    </row>
    <row r="2309" spans="1:14" x14ac:dyDescent="0.25">
      <c r="A2309" s="65"/>
      <c r="B2309" s="65"/>
      <c r="C2309" s="4"/>
      <c r="D2309" s="13">
        <v>232</v>
      </c>
      <c r="E2309" s="132" t="str">
        <f>INDEX([1]道具配置表!$D:$D,MATCH(D2309,[1]道具配置表!$A:$A,0))</f>
        <v>1万食物</v>
      </c>
      <c r="F2309" s="65">
        <v>8</v>
      </c>
      <c r="G2309" s="4"/>
      <c r="H2309" s="4"/>
      <c r="I2309" s="4"/>
      <c r="J2309" s="4"/>
      <c r="K2309" s="13">
        <v>1</v>
      </c>
      <c r="M2309" s="65" t="b">
        <v>1</v>
      </c>
      <c r="N2309" s="11"/>
    </row>
    <row r="2310" spans="1:14" x14ac:dyDescent="0.25">
      <c r="A2310" s="65"/>
      <c r="B2310" s="65"/>
      <c r="C2310" s="4"/>
      <c r="D2310" s="13">
        <v>233</v>
      </c>
      <c r="E2310" s="132" t="str">
        <f>INDEX([1]道具配置表!$D:$D,MATCH(D2310,[1]道具配置表!$A:$A,0))</f>
        <v>1万石头</v>
      </c>
      <c r="F2310" s="65">
        <v>8</v>
      </c>
      <c r="G2310" s="4"/>
      <c r="H2310" s="4"/>
      <c r="I2310" s="4"/>
      <c r="J2310" s="4"/>
      <c r="K2310" s="13">
        <v>1</v>
      </c>
      <c r="M2310" s="65" t="b">
        <v>1</v>
      </c>
      <c r="N2310" s="11"/>
    </row>
    <row r="2311" spans="1:14" x14ac:dyDescent="0.25">
      <c r="A2311" s="65"/>
      <c r="B2311" s="65"/>
      <c r="C2311" s="4"/>
      <c r="D2311" s="13">
        <v>234</v>
      </c>
      <c r="E2311" s="132" t="str">
        <f>INDEX([1]道具配置表!$D:$D,MATCH(D2311,[1]道具配置表!$A:$A,0))</f>
        <v>1万黄金</v>
      </c>
      <c r="F2311" s="65">
        <v>8</v>
      </c>
      <c r="G2311" s="4"/>
      <c r="H2311" s="4"/>
      <c r="I2311" s="4"/>
      <c r="J2311" s="4"/>
      <c r="K2311" s="13">
        <v>1</v>
      </c>
      <c r="M2311" s="65" t="b">
        <v>1</v>
      </c>
      <c r="N2311" s="11"/>
    </row>
    <row r="2312" spans="1:14" x14ac:dyDescent="0.25">
      <c r="A2312" s="65">
        <v>6610229</v>
      </c>
      <c r="B2312" s="65" t="s">
        <v>1055</v>
      </c>
      <c r="C2312" s="4"/>
      <c r="D2312" s="13">
        <v>20000</v>
      </c>
      <c r="E2312" s="132" t="str">
        <f>INDEX([1]道具配置表!$D:$D,MATCH(D2312,[1]道具配置表!$A:$A,0))</f>
        <v>技能点1</v>
      </c>
      <c r="F2312" s="65">
        <v>500</v>
      </c>
      <c r="G2312" s="4"/>
      <c r="H2312" s="4"/>
      <c r="I2312" s="4"/>
      <c r="J2312" s="4"/>
      <c r="K2312" s="13">
        <v>1</v>
      </c>
      <c r="M2312" s="65" t="b">
        <v>1</v>
      </c>
      <c r="N2312" s="11"/>
    </row>
    <row r="2313" spans="1:14" x14ac:dyDescent="0.25">
      <c r="A2313" s="65"/>
      <c r="B2313" s="65"/>
      <c r="C2313" s="4"/>
      <c r="D2313" s="13">
        <v>231</v>
      </c>
      <c r="E2313" s="132" t="str">
        <f>INDEX([1]道具配置表!$D:$D,MATCH(D2313,[1]道具配置表!$A:$A,0))</f>
        <v>1万木材</v>
      </c>
      <c r="F2313" s="65">
        <v>9</v>
      </c>
      <c r="G2313" s="4"/>
      <c r="H2313" s="4"/>
      <c r="I2313" s="4"/>
      <c r="J2313" s="4"/>
      <c r="K2313" s="13">
        <v>1</v>
      </c>
      <c r="M2313" s="65" t="b">
        <v>1</v>
      </c>
      <c r="N2313" s="11"/>
    </row>
    <row r="2314" spans="1:14" x14ac:dyDescent="0.25">
      <c r="A2314" s="65"/>
      <c r="B2314" s="65"/>
      <c r="C2314" s="4"/>
      <c r="D2314" s="13">
        <v>232</v>
      </c>
      <c r="E2314" s="132" t="str">
        <f>INDEX([1]道具配置表!$D:$D,MATCH(D2314,[1]道具配置表!$A:$A,0))</f>
        <v>1万食物</v>
      </c>
      <c r="F2314" s="65">
        <v>9</v>
      </c>
      <c r="G2314" s="4"/>
      <c r="H2314" s="4"/>
      <c r="I2314" s="4"/>
      <c r="J2314" s="4"/>
      <c r="K2314" s="13">
        <v>1</v>
      </c>
      <c r="M2314" s="65" t="b">
        <v>1</v>
      </c>
      <c r="N2314" s="11"/>
    </row>
    <row r="2315" spans="1:14" x14ac:dyDescent="0.25">
      <c r="A2315" s="65"/>
      <c r="B2315" s="65"/>
      <c r="C2315" s="4"/>
      <c r="D2315" s="13">
        <v>233</v>
      </c>
      <c r="E2315" s="132" t="str">
        <f>INDEX([1]道具配置表!$D:$D,MATCH(D2315,[1]道具配置表!$A:$A,0))</f>
        <v>1万石头</v>
      </c>
      <c r="F2315" s="65">
        <v>9</v>
      </c>
      <c r="G2315" s="4"/>
      <c r="H2315" s="4"/>
      <c r="I2315" s="4"/>
      <c r="J2315" s="4"/>
      <c r="K2315" s="13">
        <v>1</v>
      </c>
      <c r="M2315" s="65" t="b">
        <v>1</v>
      </c>
      <c r="N2315" s="11"/>
    </row>
    <row r="2316" spans="1:14" x14ac:dyDescent="0.25">
      <c r="A2316" s="65"/>
      <c r="B2316" s="65"/>
      <c r="C2316" s="4"/>
      <c r="D2316" s="13">
        <v>234</v>
      </c>
      <c r="E2316" s="132" t="str">
        <f>INDEX([1]道具配置表!$D:$D,MATCH(D2316,[1]道具配置表!$A:$A,0))</f>
        <v>1万黄金</v>
      </c>
      <c r="F2316" s="65">
        <v>9</v>
      </c>
      <c r="G2316" s="4"/>
      <c r="H2316" s="4"/>
      <c r="I2316" s="4"/>
      <c r="J2316" s="4"/>
      <c r="K2316" s="13">
        <v>1</v>
      </c>
      <c r="M2316" s="65" t="b">
        <v>1</v>
      </c>
      <c r="N2316" s="11"/>
    </row>
    <row r="2317" spans="1:14" x14ac:dyDescent="0.25">
      <c r="A2317" s="65">
        <v>6610230</v>
      </c>
      <c r="B2317" s="65" t="s">
        <v>1056</v>
      </c>
      <c r="C2317" s="4"/>
      <c r="D2317" s="13">
        <v>20000</v>
      </c>
      <c r="E2317" s="132" t="str">
        <f>INDEX([1]道具配置表!$D:$D,MATCH(D2317,[1]道具配置表!$A:$A,0))</f>
        <v>技能点1</v>
      </c>
      <c r="F2317" s="65">
        <v>550</v>
      </c>
      <c r="G2317" s="4"/>
      <c r="H2317" s="4"/>
      <c r="I2317" s="4"/>
      <c r="J2317" s="4"/>
      <c r="K2317" s="13">
        <v>1</v>
      </c>
      <c r="M2317" s="65" t="b">
        <v>1</v>
      </c>
      <c r="N2317" s="11"/>
    </row>
    <row r="2318" spans="1:14" x14ac:dyDescent="0.25">
      <c r="A2318" s="65"/>
      <c r="B2318" s="65"/>
      <c r="C2318" s="4"/>
      <c r="D2318" s="13">
        <v>231</v>
      </c>
      <c r="E2318" s="132" t="str">
        <f>INDEX([1]道具配置表!$D:$D,MATCH(D2318,[1]道具配置表!$A:$A,0))</f>
        <v>1万木材</v>
      </c>
      <c r="F2318" s="65">
        <v>10</v>
      </c>
      <c r="G2318" s="4"/>
      <c r="H2318" s="4"/>
      <c r="I2318" s="4"/>
      <c r="J2318" s="4"/>
      <c r="K2318" s="13">
        <v>1</v>
      </c>
      <c r="M2318" s="65" t="b">
        <v>1</v>
      </c>
      <c r="N2318" s="11"/>
    </row>
    <row r="2319" spans="1:14" x14ac:dyDescent="0.25">
      <c r="A2319" s="65"/>
      <c r="B2319" s="65"/>
      <c r="C2319" s="4"/>
      <c r="D2319" s="13">
        <v>232</v>
      </c>
      <c r="E2319" s="132" t="str">
        <f>INDEX([1]道具配置表!$D:$D,MATCH(D2319,[1]道具配置表!$A:$A,0))</f>
        <v>1万食物</v>
      </c>
      <c r="F2319" s="65">
        <v>10</v>
      </c>
      <c r="G2319" s="4"/>
      <c r="H2319" s="4"/>
      <c r="I2319" s="4"/>
      <c r="J2319" s="4"/>
      <c r="K2319" s="13">
        <v>1</v>
      </c>
      <c r="M2319" s="65" t="b">
        <v>1</v>
      </c>
      <c r="N2319" s="11"/>
    </row>
    <row r="2320" spans="1:14" x14ac:dyDescent="0.25">
      <c r="A2320" s="65"/>
      <c r="B2320" s="65"/>
      <c r="C2320" s="4"/>
      <c r="D2320" s="13">
        <v>233</v>
      </c>
      <c r="E2320" s="132" t="str">
        <f>INDEX([1]道具配置表!$D:$D,MATCH(D2320,[1]道具配置表!$A:$A,0))</f>
        <v>1万石头</v>
      </c>
      <c r="F2320" s="65">
        <v>10</v>
      </c>
      <c r="G2320" s="4"/>
      <c r="H2320" s="4"/>
      <c r="I2320" s="4"/>
      <c r="J2320" s="4"/>
      <c r="K2320" s="13">
        <v>1</v>
      </c>
      <c r="M2320" s="65" t="b">
        <v>1</v>
      </c>
      <c r="N2320" s="11"/>
    </row>
    <row r="2321" spans="1:14" x14ac:dyDescent="0.25">
      <c r="A2321" s="65"/>
      <c r="B2321" s="65"/>
      <c r="C2321" s="4"/>
      <c r="D2321" s="13">
        <v>234</v>
      </c>
      <c r="E2321" s="132" t="str">
        <f>INDEX([1]道具配置表!$D:$D,MATCH(D2321,[1]道具配置表!$A:$A,0))</f>
        <v>1万黄金</v>
      </c>
      <c r="F2321" s="65">
        <v>10</v>
      </c>
      <c r="G2321" s="4"/>
      <c r="H2321" s="4"/>
      <c r="I2321" s="4"/>
      <c r="J2321" s="4"/>
      <c r="K2321" s="13">
        <v>1</v>
      </c>
      <c r="M2321" s="65" t="b">
        <v>1</v>
      </c>
      <c r="N2321" s="11"/>
    </row>
    <row r="2322" spans="1:14" x14ac:dyDescent="0.25">
      <c r="A2322" s="67">
        <v>6610301</v>
      </c>
      <c r="B2322" s="67" t="s">
        <v>1057</v>
      </c>
      <c r="C2322" s="4"/>
      <c r="D2322" s="13">
        <v>7003</v>
      </c>
      <c r="E2322" s="132" t="str">
        <f>INDEX([1]道具配置表!$D:$D,MATCH(D2322,[1]道具配置表!$A:$A,0))</f>
        <v>1银币（立即使用，不进背包）</v>
      </c>
      <c r="F2322" s="67">
        <v>500</v>
      </c>
      <c r="G2322" s="4"/>
      <c r="H2322" s="4"/>
      <c r="I2322" s="4"/>
      <c r="J2322" s="4"/>
      <c r="K2322" s="13">
        <v>1</v>
      </c>
      <c r="M2322" s="67" t="b">
        <v>1</v>
      </c>
      <c r="N2322" s="11"/>
    </row>
    <row r="2323" spans="1:14" x14ac:dyDescent="0.25">
      <c r="A2323" s="67"/>
      <c r="B2323" s="67"/>
      <c r="C2323" s="4"/>
      <c r="D2323" s="13">
        <v>504</v>
      </c>
      <c r="E2323" s="132" t="str">
        <f>INDEX([1]道具配置表!$D:$D,MATCH(D2323,[1]道具配置表!$A:$A,0))</f>
        <v>10万资源自选宝箱</v>
      </c>
      <c r="F2323" s="67">
        <v>7</v>
      </c>
      <c r="G2323" s="4"/>
      <c r="H2323" s="4"/>
      <c r="I2323" s="4"/>
      <c r="J2323" s="4"/>
      <c r="K2323" s="13">
        <v>1</v>
      </c>
      <c r="M2323" s="67" t="b">
        <v>1</v>
      </c>
      <c r="N2323" s="11"/>
    </row>
    <row r="2324" spans="1:14" x14ac:dyDescent="0.25">
      <c r="A2324" s="67">
        <v>6610302</v>
      </c>
      <c r="B2324" s="67" t="s">
        <v>1058</v>
      </c>
      <c r="C2324" s="4"/>
      <c r="D2324" s="13">
        <v>7003</v>
      </c>
      <c r="E2324" s="132" t="str">
        <f>INDEX([1]道具配置表!$D:$D,MATCH(D2324,[1]道具配置表!$A:$A,0))</f>
        <v>1银币（立即使用，不进背包）</v>
      </c>
      <c r="F2324" s="67">
        <v>400</v>
      </c>
      <c r="G2324" s="4"/>
      <c r="H2324" s="4"/>
      <c r="I2324" s="4"/>
      <c r="J2324" s="4"/>
      <c r="K2324" s="13">
        <v>1</v>
      </c>
      <c r="M2324" s="67" t="b">
        <v>1</v>
      </c>
      <c r="N2324" s="11"/>
    </row>
    <row r="2325" spans="1:14" x14ac:dyDescent="0.25">
      <c r="A2325" s="67"/>
      <c r="B2325" s="67"/>
      <c r="C2325" s="4"/>
      <c r="D2325" s="13">
        <v>504</v>
      </c>
      <c r="E2325" s="132" t="str">
        <f>INDEX([1]道具配置表!$D:$D,MATCH(D2325,[1]道具配置表!$A:$A,0))</f>
        <v>10万资源自选宝箱</v>
      </c>
      <c r="F2325" s="67">
        <v>6</v>
      </c>
      <c r="G2325" s="4"/>
      <c r="H2325" s="4"/>
      <c r="I2325" s="4"/>
      <c r="J2325" s="4"/>
      <c r="K2325" s="13">
        <v>1</v>
      </c>
      <c r="M2325" s="67" t="b">
        <v>1</v>
      </c>
      <c r="N2325" s="11"/>
    </row>
    <row r="2326" spans="1:14" x14ac:dyDescent="0.25">
      <c r="A2326" s="67">
        <v>6610303</v>
      </c>
      <c r="B2326" s="67" t="s">
        <v>1059</v>
      </c>
      <c r="C2326" s="4"/>
      <c r="D2326" s="13">
        <v>7003</v>
      </c>
      <c r="E2326" s="132" t="str">
        <f>INDEX([1]道具配置表!$D:$D,MATCH(D2326,[1]道具配置表!$A:$A,0))</f>
        <v>1银币（立即使用，不进背包）</v>
      </c>
      <c r="F2326" s="67">
        <v>300</v>
      </c>
      <c r="G2326" s="4"/>
      <c r="H2326" s="4"/>
      <c r="I2326" s="4"/>
      <c r="J2326" s="4"/>
      <c r="K2326" s="13">
        <v>1</v>
      </c>
      <c r="M2326" s="67" t="b">
        <v>1</v>
      </c>
      <c r="N2326" s="11"/>
    </row>
    <row r="2327" spans="1:14" x14ac:dyDescent="0.25">
      <c r="A2327" s="67"/>
      <c r="B2327" s="67"/>
      <c r="C2327" s="4"/>
      <c r="D2327" s="13">
        <v>504</v>
      </c>
      <c r="E2327" s="132" t="str">
        <f>INDEX([1]道具配置表!$D:$D,MATCH(D2327,[1]道具配置表!$A:$A,0))</f>
        <v>10万资源自选宝箱</v>
      </c>
      <c r="F2327" s="67">
        <v>5</v>
      </c>
      <c r="G2327" s="4"/>
      <c r="H2327" s="4"/>
      <c r="I2327" s="4"/>
      <c r="J2327" s="4"/>
      <c r="K2327" s="13">
        <v>1</v>
      </c>
      <c r="M2327" s="67" t="b">
        <v>1</v>
      </c>
      <c r="N2327" s="11"/>
    </row>
    <row r="2328" spans="1:14" x14ac:dyDescent="0.25">
      <c r="A2328" s="67">
        <v>6610304</v>
      </c>
      <c r="B2328" s="67" t="s">
        <v>1060</v>
      </c>
      <c r="C2328" s="4"/>
      <c r="D2328" s="13">
        <v>7003</v>
      </c>
      <c r="E2328" s="132" t="str">
        <f>INDEX([1]道具配置表!$D:$D,MATCH(D2328,[1]道具配置表!$A:$A,0))</f>
        <v>1银币（立即使用，不进背包）</v>
      </c>
      <c r="F2328" s="67">
        <v>250</v>
      </c>
      <c r="G2328" s="4"/>
      <c r="H2328" s="4"/>
      <c r="I2328" s="4"/>
      <c r="J2328" s="4"/>
      <c r="K2328" s="13">
        <v>1</v>
      </c>
      <c r="M2328" s="67" t="b">
        <v>1</v>
      </c>
      <c r="N2328" s="11"/>
    </row>
    <row r="2329" spans="1:14" x14ac:dyDescent="0.25">
      <c r="A2329" s="67"/>
      <c r="B2329" s="67"/>
      <c r="C2329" s="4"/>
      <c r="D2329" s="13">
        <v>504</v>
      </c>
      <c r="E2329" s="132" t="str">
        <f>INDEX([1]道具配置表!$D:$D,MATCH(D2329,[1]道具配置表!$A:$A,0))</f>
        <v>10万资源自选宝箱</v>
      </c>
      <c r="F2329" s="67">
        <v>4</v>
      </c>
      <c r="G2329" s="4"/>
      <c r="H2329" s="4"/>
      <c r="I2329" s="4"/>
      <c r="J2329" s="4"/>
      <c r="K2329" s="13">
        <v>1</v>
      </c>
      <c r="M2329" s="67" t="b">
        <v>1</v>
      </c>
      <c r="N2329" s="11"/>
    </row>
    <row r="2330" spans="1:14" x14ac:dyDescent="0.25">
      <c r="A2330" s="67">
        <v>6610305</v>
      </c>
      <c r="B2330" s="67" t="s">
        <v>1061</v>
      </c>
      <c r="C2330" s="4"/>
      <c r="D2330" s="13">
        <v>7003</v>
      </c>
      <c r="E2330" s="132" t="str">
        <f>INDEX([1]道具配置表!$D:$D,MATCH(D2330,[1]道具配置表!$A:$A,0))</f>
        <v>1银币（立即使用，不进背包）</v>
      </c>
      <c r="F2330" s="67">
        <v>200</v>
      </c>
      <c r="G2330" s="4"/>
      <c r="H2330" s="4"/>
      <c r="I2330" s="4"/>
      <c r="J2330" s="4"/>
      <c r="K2330" s="13">
        <v>1</v>
      </c>
      <c r="M2330" s="67" t="b">
        <v>1</v>
      </c>
      <c r="N2330" s="11"/>
    </row>
    <row r="2331" spans="1:14" x14ac:dyDescent="0.25">
      <c r="A2331" s="67"/>
      <c r="B2331" s="67"/>
      <c r="C2331" s="4"/>
      <c r="D2331" s="13">
        <v>504</v>
      </c>
      <c r="E2331" s="132" t="str">
        <f>INDEX([1]道具配置表!$D:$D,MATCH(D2331,[1]道具配置表!$A:$A,0))</f>
        <v>10万资源自选宝箱</v>
      </c>
      <c r="F2331" s="67">
        <v>3</v>
      </c>
      <c r="G2331" s="4"/>
      <c r="H2331" s="4"/>
      <c r="I2331" s="4"/>
      <c r="J2331" s="4"/>
      <c r="K2331" s="13">
        <v>1</v>
      </c>
      <c r="M2331" s="67" t="b">
        <v>1</v>
      </c>
      <c r="N2331" s="11"/>
    </row>
    <row r="2332" spans="1:14" x14ac:dyDescent="0.25">
      <c r="A2332" s="67">
        <v>6610306</v>
      </c>
      <c r="B2332" s="67" t="s">
        <v>1062</v>
      </c>
      <c r="C2332" s="4"/>
      <c r="D2332" s="13">
        <v>7003</v>
      </c>
      <c r="E2332" s="132" t="str">
        <f>INDEX([1]道具配置表!$D:$D,MATCH(D2332,[1]道具配置表!$A:$A,0))</f>
        <v>1银币（立即使用，不进背包）</v>
      </c>
      <c r="F2332" s="67">
        <v>150</v>
      </c>
      <c r="G2332" s="4"/>
      <c r="H2332" s="4"/>
      <c r="I2332" s="4"/>
      <c r="J2332" s="4"/>
      <c r="K2332" s="13">
        <v>1</v>
      </c>
      <c r="M2332" s="67" t="b">
        <v>1</v>
      </c>
      <c r="N2332" s="11"/>
    </row>
    <row r="2333" spans="1:14" x14ac:dyDescent="0.25">
      <c r="A2333" s="67"/>
      <c r="B2333" s="67"/>
      <c r="C2333" s="4"/>
      <c r="D2333" s="13">
        <v>504</v>
      </c>
      <c r="E2333" s="132" t="str">
        <f>INDEX([1]道具配置表!$D:$D,MATCH(D2333,[1]道具配置表!$A:$A,0))</f>
        <v>10万资源自选宝箱</v>
      </c>
      <c r="F2333" s="67">
        <v>2</v>
      </c>
      <c r="G2333" s="4"/>
      <c r="H2333" s="4"/>
      <c r="I2333" s="4"/>
      <c r="J2333" s="4"/>
      <c r="K2333" s="13">
        <v>1</v>
      </c>
      <c r="M2333" s="67" t="b">
        <v>1</v>
      </c>
      <c r="N2333" s="11"/>
    </row>
    <row r="2334" spans="1:14" x14ac:dyDescent="0.25">
      <c r="A2334" s="67">
        <v>6610307</v>
      </c>
      <c r="B2334" s="67" t="s">
        <v>1063</v>
      </c>
      <c r="C2334" s="4"/>
      <c r="D2334" s="13">
        <v>7003</v>
      </c>
      <c r="E2334" s="132" t="str">
        <f>INDEX([1]道具配置表!$D:$D,MATCH(D2334,[1]道具配置表!$A:$A,0))</f>
        <v>1银币（立即使用，不进背包）</v>
      </c>
      <c r="F2334" s="67">
        <v>100</v>
      </c>
      <c r="G2334" s="4"/>
      <c r="H2334" s="4"/>
      <c r="I2334" s="4"/>
      <c r="J2334" s="4"/>
      <c r="K2334" s="13">
        <v>1</v>
      </c>
      <c r="M2334" s="67" t="b">
        <v>1</v>
      </c>
      <c r="N2334" s="11"/>
    </row>
    <row r="2335" spans="1:14" x14ac:dyDescent="0.25">
      <c r="A2335" s="67"/>
      <c r="B2335" s="67"/>
      <c r="C2335" s="4"/>
      <c r="D2335" s="13">
        <v>504</v>
      </c>
      <c r="E2335" s="132" t="str">
        <f>INDEX([1]道具配置表!$D:$D,MATCH(D2335,[1]道具配置表!$A:$A,0))</f>
        <v>10万资源自选宝箱</v>
      </c>
      <c r="F2335" s="67">
        <v>1</v>
      </c>
      <c r="G2335" s="4"/>
      <c r="H2335" s="4"/>
      <c r="I2335" s="4"/>
      <c r="J2335" s="4"/>
      <c r="K2335" s="13">
        <v>1</v>
      </c>
      <c r="M2335" s="67" t="b">
        <v>1</v>
      </c>
      <c r="N2335" s="11"/>
    </row>
    <row r="2336" spans="1:14" x14ac:dyDescent="0.25">
      <c r="A2336" s="108">
        <v>6611001</v>
      </c>
      <c r="B2336" s="108" t="s">
        <v>1533</v>
      </c>
      <c r="C2336" s="4"/>
      <c r="D2336" s="13">
        <v>2007</v>
      </c>
      <c r="E2336" s="132" t="str">
        <f>INDEX([1]道具配置表!$D:$D,MATCH(D2336,[1]道具配置表!$A:$A,0))</f>
        <v>大奖池招募券</v>
      </c>
      <c r="F2336" s="108">
        <v>1</v>
      </c>
      <c r="G2336" s="4"/>
      <c r="H2336" s="4"/>
      <c r="I2336" s="4"/>
      <c r="J2336" s="4"/>
      <c r="K2336" s="13">
        <v>1</v>
      </c>
      <c r="M2336" s="108" t="b">
        <v>1</v>
      </c>
      <c r="N2336" s="11"/>
    </row>
    <row r="2337" spans="1:14" x14ac:dyDescent="0.25">
      <c r="A2337" s="108"/>
      <c r="B2337" s="108"/>
      <c r="C2337" s="4"/>
      <c r="D2337" s="13">
        <v>7003</v>
      </c>
      <c r="E2337" s="132" t="str">
        <f>INDEX([1]道具配置表!$D:$D,MATCH(D2337,[1]道具配置表!$A:$A,0))</f>
        <v>1银币（立即使用，不进背包）</v>
      </c>
      <c r="F2337" s="108">
        <v>100</v>
      </c>
      <c r="G2337" s="4"/>
      <c r="H2337" s="4"/>
      <c r="I2337" s="4"/>
      <c r="J2337" s="4"/>
      <c r="K2337" s="13">
        <v>1</v>
      </c>
      <c r="M2337" s="108" t="b">
        <v>1</v>
      </c>
      <c r="N2337" s="11"/>
    </row>
    <row r="2338" spans="1:14" x14ac:dyDescent="0.25">
      <c r="A2338" s="108"/>
      <c r="B2338" s="108"/>
      <c r="C2338" s="4"/>
      <c r="D2338" s="13">
        <v>7228</v>
      </c>
      <c r="E2338" s="132" t="str">
        <f>INDEX([1]道具配置表!$D:$D,MATCH(D2338,[1]道具配置表!$A:$A,0))</f>
        <v>经验书*10000</v>
      </c>
      <c r="F2338" s="108">
        <v>2</v>
      </c>
      <c r="G2338" s="4"/>
      <c r="H2338" s="4"/>
      <c r="I2338" s="4"/>
      <c r="J2338" s="4"/>
      <c r="K2338" s="13">
        <v>1</v>
      </c>
      <c r="M2338" s="108" t="b">
        <v>1</v>
      </c>
      <c r="N2338" s="11"/>
    </row>
    <row r="2339" spans="1:14" x14ac:dyDescent="0.25">
      <c r="A2339" s="108">
        <v>6611002</v>
      </c>
      <c r="B2339" s="108" t="s">
        <v>1534</v>
      </c>
      <c r="C2339" s="4"/>
      <c r="D2339" s="13">
        <v>2007</v>
      </c>
      <c r="E2339" s="132" t="str">
        <f>INDEX([1]道具配置表!$D:$D,MATCH(D2339,[1]道具配置表!$A:$A,0))</f>
        <v>大奖池招募券</v>
      </c>
      <c r="F2339" s="108">
        <v>1</v>
      </c>
      <c r="G2339" s="4"/>
      <c r="H2339" s="4"/>
      <c r="I2339" s="4"/>
      <c r="J2339" s="4"/>
      <c r="K2339" s="13">
        <v>1</v>
      </c>
      <c r="M2339" s="108" t="b">
        <v>1</v>
      </c>
      <c r="N2339" s="11"/>
    </row>
    <row r="2340" spans="1:14" x14ac:dyDescent="0.25">
      <c r="A2340" s="108"/>
      <c r="B2340" s="108"/>
      <c r="C2340" s="4"/>
      <c r="D2340" s="13">
        <v>7003</v>
      </c>
      <c r="E2340" s="132" t="str">
        <f>INDEX([1]道具配置表!$D:$D,MATCH(D2340,[1]道具配置表!$A:$A,0))</f>
        <v>1银币（立即使用，不进背包）</v>
      </c>
      <c r="F2340" s="108">
        <v>100</v>
      </c>
      <c r="G2340" s="4"/>
      <c r="H2340" s="4"/>
      <c r="I2340" s="4"/>
      <c r="J2340" s="4"/>
      <c r="K2340" s="13">
        <v>1</v>
      </c>
      <c r="M2340" s="108" t="b">
        <v>1</v>
      </c>
      <c r="N2340" s="11"/>
    </row>
    <row r="2341" spans="1:14" x14ac:dyDescent="0.25">
      <c r="A2341" s="108"/>
      <c r="B2341" s="108"/>
      <c r="C2341" s="4"/>
      <c r="D2341" s="13">
        <v>7228</v>
      </c>
      <c r="E2341" s="132" t="str">
        <f>INDEX([1]道具配置表!$D:$D,MATCH(D2341,[1]道具配置表!$A:$A,0))</f>
        <v>经验书*10000</v>
      </c>
      <c r="F2341" s="108">
        <v>2</v>
      </c>
      <c r="G2341" s="4"/>
      <c r="H2341" s="4"/>
      <c r="I2341" s="4"/>
      <c r="J2341" s="4"/>
      <c r="K2341" s="13">
        <v>1</v>
      </c>
      <c r="M2341" s="108" t="b">
        <v>1</v>
      </c>
      <c r="N2341" s="11"/>
    </row>
    <row r="2342" spans="1:14" x14ac:dyDescent="0.25">
      <c r="A2342" s="108">
        <v>6611003</v>
      </c>
      <c r="B2342" s="108" t="s">
        <v>1535</v>
      </c>
      <c r="C2342" s="4"/>
      <c r="D2342" s="13">
        <v>2007</v>
      </c>
      <c r="E2342" s="132" t="str">
        <f>INDEX([1]道具配置表!$D:$D,MATCH(D2342,[1]道具配置表!$A:$A,0))</f>
        <v>大奖池招募券</v>
      </c>
      <c r="F2342" s="108">
        <v>1</v>
      </c>
      <c r="G2342" s="4"/>
      <c r="H2342" s="4"/>
      <c r="I2342" s="4"/>
      <c r="J2342" s="4"/>
      <c r="K2342" s="13">
        <v>1</v>
      </c>
      <c r="M2342" s="108" t="b">
        <v>1</v>
      </c>
      <c r="N2342" s="11"/>
    </row>
    <row r="2343" spans="1:14" x14ac:dyDescent="0.25">
      <c r="A2343" s="108"/>
      <c r="B2343" s="108"/>
      <c r="C2343" s="4"/>
      <c r="D2343" s="13">
        <v>7003</v>
      </c>
      <c r="E2343" s="132" t="str">
        <f>INDEX([1]道具配置表!$D:$D,MATCH(D2343,[1]道具配置表!$A:$A,0))</f>
        <v>1银币（立即使用，不进背包）</v>
      </c>
      <c r="F2343" s="108">
        <v>100</v>
      </c>
      <c r="G2343" s="4"/>
      <c r="H2343" s="4"/>
      <c r="I2343" s="4"/>
      <c r="J2343" s="4"/>
      <c r="K2343" s="13">
        <v>1</v>
      </c>
      <c r="M2343" s="108" t="b">
        <v>1</v>
      </c>
      <c r="N2343" s="11"/>
    </row>
    <row r="2344" spans="1:14" x14ac:dyDescent="0.25">
      <c r="A2344" s="108"/>
      <c r="B2344" s="108"/>
      <c r="C2344" s="4"/>
      <c r="D2344" s="13">
        <v>7228</v>
      </c>
      <c r="E2344" s="132" t="str">
        <f>INDEX([1]道具配置表!$D:$D,MATCH(D2344,[1]道具配置表!$A:$A,0))</f>
        <v>经验书*10000</v>
      </c>
      <c r="F2344" s="108">
        <v>2</v>
      </c>
      <c r="G2344" s="4"/>
      <c r="H2344" s="4"/>
      <c r="I2344" s="4"/>
      <c r="J2344" s="4"/>
      <c r="K2344" s="13">
        <v>1</v>
      </c>
      <c r="M2344" s="108" t="b">
        <v>1</v>
      </c>
      <c r="N2344" s="11"/>
    </row>
    <row r="2345" spans="1:14" x14ac:dyDescent="0.25">
      <c r="A2345" s="108">
        <v>6611004</v>
      </c>
      <c r="B2345" s="108" t="s">
        <v>1536</v>
      </c>
      <c r="C2345" s="4"/>
      <c r="D2345" s="13">
        <v>2007</v>
      </c>
      <c r="E2345" s="132" t="str">
        <f>INDEX([1]道具配置表!$D:$D,MATCH(D2345,[1]道具配置表!$A:$A,0))</f>
        <v>大奖池招募券</v>
      </c>
      <c r="F2345" s="108">
        <v>2</v>
      </c>
      <c r="G2345" s="4"/>
      <c r="H2345" s="4"/>
      <c r="I2345" s="4"/>
      <c r="J2345" s="4"/>
      <c r="K2345" s="13">
        <v>1</v>
      </c>
      <c r="M2345" s="108" t="b">
        <v>1</v>
      </c>
      <c r="N2345" s="11"/>
    </row>
    <row r="2346" spans="1:14" x14ac:dyDescent="0.25">
      <c r="A2346" s="108"/>
      <c r="B2346" s="108"/>
      <c r="C2346" s="4"/>
      <c r="D2346" s="13">
        <v>7003</v>
      </c>
      <c r="E2346" s="132" t="str">
        <f>INDEX([1]道具配置表!$D:$D,MATCH(D2346,[1]道具配置表!$A:$A,0))</f>
        <v>1银币（立即使用，不进背包）</v>
      </c>
      <c r="F2346" s="108">
        <v>200</v>
      </c>
      <c r="G2346" s="4"/>
      <c r="H2346" s="4"/>
      <c r="I2346" s="4"/>
      <c r="J2346" s="4"/>
      <c r="K2346" s="13">
        <v>1</v>
      </c>
      <c r="M2346" s="108" t="b">
        <v>1</v>
      </c>
      <c r="N2346" s="11"/>
    </row>
    <row r="2347" spans="1:14" x14ac:dyDescent="0.25">
      <c r="A2347" s="108"/>
      <c r="B2347" s="108"/>
      <c r="C2347" s="4"/>
      <c r="D2347" s="13">
        <v>7228</v>
      </c>
      <c r="E2347" s="132" t="str">
        <f>INDEX([1]道具配置表!$D:$D,MATCH(D2347,[1]道具配置表!$A:$A,0))</f>
        <v>经验书*10000</v>
      </c>
      <c r="F2347" s="108">
        <v>2</v>
      </c>
      <c r="G2347" s="4"/>
      <c r="H2347" s="4"/>
      <c r="I2347" s="4"/>
      <c r="J2347" s="4"/>
      <c r="K2347" s="13">
        <v>1</v>
      </c>
      <c r="M2347" s="108" t="b">
        <v>1</v>
      </c>
      <c r="N2347" s="11"/>
    </row>
    <row r="2348" spans="1:14" x14ac:dyDescent="0.25">
      <c r="A2348" s="108">
        <v>6611005</v>
      </c>
      <c r="B2348" s="108" t="s">
        <v>1537</v>
      </c>
      <c r="C2348" s="4"/>
      <c r="D2348" s="13">
        <v>2007</v>
      </c>
      <c r="E2348" s="132" t="str">
        <f>INDEX([1]道具配置表!$D:$D,MATCH(D2348,[1]道具配置表!$A:$A,0))</f>
        <v>大奖池招募券</v>
      </c>
      <c r="F2348" s="108">
        <v>1</v>
      </c>
      <c r="G2348" s="4"/>
      <c r="H2348" s="4"/>
      <c r="I2348" s="4"/>
      <c r="J2348" s="4"/>
      <c r="K2348" s="13">
        <v>1</v>
      </c>
      <c r="M2348" s="108" t="b">
        <v>1</v>
      </c>
      <c r="N2348" s="11"/>
    </row>
    <row r="2349" spans="1:14" x14ac:dyDescent="0.25">
      <c r="A2349" s="108"/>
      <c r="B2349" s="108"/>
      <c r="C2349" s="4"/>
      <c r="D2349" s="13">
        <v>7003</v>
      </c>
      <c r="E2349" s="132" t="str">
        <f>INDEX([1]道具配置表!$D:$D,MATCH(D2349,[1]道具配置表!$A:$A,0))</f>
        <v>1银币（立即使用，不进背包）</v>
      </c>
      <c r="F2349" s="108">
        <v>100</v>
      </c>
      <c r="G2349" s="4"/>
      <c r="H2349" s="4"/>
      <c r="I2349" s="4"/>
      <c r="J2349" s="4"/>
      <c r="K2349" s="13">
        <v>1</v>
      </c>
      <c r="M2349" s="108" t="b">
        <v>1</v>
      </c>
      <c r="N2349" s="11"/>
    </row>
    <row r="2350" spans="1:14" x14ac:dyDescent="0.25">
      <c r="A2350" s="108"/>
      <c r="B2350" s="108"/>
      <c r="C2350" s="4"/>
      <c r="D2350" s="13">
        <v>7228</v>
      </c>
      <c r="E2350" s="132" t="str">
        <f>INDEX([1]道具配置表!$D:$D,MATCH(D2350,[1]道具配置表!$A:$A,0))</f>
        <v>经验书*10000</v>
      </c>
      <c r="F2350" s="108">
        <v>2</v>
      </c>
      <c r="G2350" s="4"/>
      <c r="H2350" s="4"/>
      <c r="I2350" s="4"/>
      <c r="J2350" s="4"/>
      <c r="K2350" s="13">
        <v>1</v>
      </c>
      <c r="M2350" s="108" t="b">
        <v>1</v>
      </c>
      <c r="N2350" s="11"/>
    </row>
    <row r="2351" spans="1:14" x14ac:dyDescent="0.25">
      <c r="A2351" s="108">
        <v>6611006</v>
      </c>
      <c r="B2351" s="108" t="s">
        <v>1538</v>
      </c>
      <c r="C2351" s="4"/>
      <c r="D2351" s="13">
        <v>2007</v>
      </c>
      <c r="E2351" s="132" t="str">
        <f>INDEX([1]道具配置表!$D:$D,MATCH(D2351,[1]道具配置表!$A:$A,0))</f>
        <v>大奖池招募券</v>
      </c>
      <c r="F2351" s="108">
        <v>1</v>
      </c>
      <c r="G2351" s="4"/>
      <c r="H2351" s="4"/>
      <c r="I2351" s="4"/>
      <c r="J2351" s="4"/>
      <c r="K2351" s="13">
        <v>1</v>
      </c>
      <c r="M2351" s="108" t="b">
        <v>1</v>
      </c>
      <c r="N2351" s="11"/>
    </row>
    <row r="2352" spans="1:14" x14ac:dyDescent="0.25">
      <c r="A2352" s="108"/>
      <c r="B2352" s="108"/>
      <c r="C2352" s="4"/>
      <c r="D2352" s="13">
        <v>7003</v>
      </c>
      <c r="E2352" s="132" t="str">
        <f>INDEX([1]道具配置表!$D:$D,MATCH(D2352,[1]道具配置表!$A:$A,0))</f>
        <v>1银币（立即使用，不进背包）</v>
      </c>
      <c r="F2352" s="108">
        <v>100</v>
      </c>
      <c r="G2352" s="4"/>
      <c r="H2352" s="4"/>
      <c r="I2352" s="4"/>
      <c r="J2352" s="4"/>
      <c r="K2352" s="13">
        <v>1</v>
      </c>
      <c r="M2352" s="108" t="b">
        <v>1</v>
      </c>
      <c r="N2352" s="11"/>
    </row>
    <row r="2353" spans="1:14" x14ac:dyDescent="0.25">
      <c r="A2353" s="108"/>
      <c r="B2353" s="108"/>
      <c r="C2353" s="4"/>
      <c r="D2353" s="13">
        <v>7228</v>
      </c>
      <c r="E2353" s="132" t="str">
        <f>INDEX([1]道具配置表!$D:$D,MATCH(D2353,[1]道具配置表!$A:$A,0))</f>
        <v>经验书*10000</v>
      </c>
      <c r="F2353" s="108">
        <v>2</v>
      </c>
      <c r="G2353" s="4"/>
      <c r="H2353" s="4"/>
      <c r="I2353" s="4"/>
      <c r="J2353" s="4"/>
      <c r="K2353" s="13">
        <v>1</v>
      </c>
      <c r="M2353" s="108" t="b">
        <v>1</v>
      </c>
      <c r="N2353" s="11"/>
    </row>
    <row r="2354" spans="1:14" x14ac:dyDescent="0.25">
      <c r="A2354" s="108">
        <v>6611007</v>
      </c>
      <c r="B2354" s="108" t="s">
        <v>1539</v>
      </c>
      <c r="C2354" s="4"/>
      <c r="D2354" s="13">
        <v>2007</v>
      </c>
      <c r="E2354" s="132" t="str">
        <f>INDEX([1]道具配置表!$D:$D,MATCH(D2354,[1]道具配置表!$A:$A,0))</f>
        <v>大奖池招募券</v>
      </c>
      <c r="F2354" s="108">
        <v>1</v>
      </c>
      <c r="G2354" s="4"/>
      <c r="H2354" s="4"/>
      <c r="I2354" s="4"/>
      <c r="J2354" s="4"/>
      <c r="K2354" s="13">
        <v>1</v>
      </c>
      <c r="M2354" s="108" t="b">
        <v>1</v>
      </c>
      <c r="N2354" s="11"/>
    </row>
    <row r="2355" spans="1:14" x14ac:dyDescent="0.25">
      <c r="A2355" s="108"/>
      <c r="B2355" s="108"/>
      <c r="C2355" s="4"/>
      <c r="D2355" s="13">
        <v>7003</v>
      </c>
      <c r="E2355" s="132" t="str">
        <f>INDEX([1]道具配置表!$D:$D,MATCH(D2355,[1]道具配置表!$A:$A,0))</f>
        <v>1银币（立即使用，不进背包）</v>
      </c>
      <c r="F2355" s="108">
        <v>100</v>
      </c>
      <c r="G2355" s="4"/>
      <c r="H2355" s="4"/>
      <c r="I2355" s="4"/>
      <c r="J2355" s="4"/>
      <c r="K2355" s="13">
        <v>1</v>
      </c>
      <c r="M2355" s="108" t="b">
        <v>1</v>
      </c>
      <c r="N2355" s="11"/>
    </row>
    <row r="2356" spans="1:14" x14ac:dyDescent="0.25">
      <c r="A2356" s="108"/>
      <c r="B2356" s="108"/>
      <c r="C2356" s="4"/>
      <c r="D2356" s="13">
        <v>7228</v>
      </c>
      <c r="E2356" s="132" t="str">
        <f>INDEX([1]道具配置表!$D:$D,MATCH(D2356,[1]道具配置表!$A:$A,0))</f>
        <v>经验书*10000</v>
      </c>
      <c r="F2356" s="108">
        <v>2</v>
      </c>
      <c r="G2356" s="4"/>
      <c r="H2356" s="4"/>
      <c r="I2356" s="4"/>
      <c r="J2356" s="4"/>
      <c r="K2356" s="13">
        <v>1</v>
      </c>
      <c r="M2356" s="108" t="b">
        <v>1</v>
      </c>
      <c r="N2356" s="11"/>
    </row>
    <row r="2357" spans="1:14" x14ac:dyDescent="0.25">
      <c r="A2357" s="108">
        <v>6611008</v>
      </c>
      <c r="B2357" s="108" t="s">
        <v>1540</v>
      </c>
      <c r="C2357" s="4"/>
      <c r="D2357" s="13">
        <v>2007</v>
      </c>
      <c r="E2357" s="132" t="str">
        <f>INDEX([1]道具配置表!$D:$D,MATCH(D2357,[1]道具配置表!$A:$A,0))</f>
        <v>大奖池招募券</v>
      </c>
      <c r="F2357" s="108">
        <v>2</v>
      </c>
      <c r="G2357" s="4"/>
      <c r="H2357" s="4"/>
      <c r="I2357" s="4"/>
      <c r="J2357" s="4"/>
      <c r="K2357" s="13">
        <v>1</v>
      </c>
      <c r="M2357" s="108" t="b">
        <v>1</v>
      </c>
      <c r="N2357" s="11"/>
    </row>
    <row r="2358" spans="1:14" x14ac:dyDescent="0.25">
      <c r="A2358" s="108"/>
      <c r="B2358" s="108"/>
      <c r="C2358" s="4"/>
      <c r="D2358" s="13">
        <v>7003</v>
      </c>
      <c r="E2358" s="132" t="str">
        <f>INDEX([1]道具配置表!$D:$D,MATCH(D2358,[1]道具配置表!$A:$A,0))</f>
        <v>1银币（立即使用，不进背包）</v>
      </c>
      <c r="F2358" s="108">
        <v>200</v>
      </c>
      <c r="G2358" s="4"/>
      <c r="H2358" s="4"/>
      <c r="I2358" s="4"/>
      <c r="J2358" s="4"/>
      <c r="K2358" s="13">
        <v>1</v>
      </c>
      <c r="M2358" s="108" t="b">
        <v>1</v>
      </c>
      <c r="N2358" s="11"/>
    </row>
    <row r="2359" spans="1:14" x14ac:dyDescent="0.25">
      <c r="A2359" s="108"/>
      <c r="B2359" s="108"/>
      <c r="C2359" s="4"/>
      <c r="D2359" s="13">
        <v>7228</v>
      </c>
      <c r="E2359" s="132" t="str">
        <f>INDEX([1]道具配置表!$D:$D,MATCH(D2359,[1]道具配置表!$A:$A,0))</f>
        <v>经验书*10000</v>
      </c>
      <c r="F2359" s="108">
        <v>3</v>
      </c>
      <c r="G2359" s="4"/>
      <c r="H2359" s="4"/>
      <c r="I2359" s="4"/>
      <c r="J2359" s="4"/>
      <c r="K2359" s="13">
        <v>1</v>
      </c>
      <c r="M2359" s="108" t="b">
        <v>1</v>
      </c>
      <c r="N2359" s="11"/>
    </row>
    <row r="2360" spans="1:14" x14ac:dyDescent="0.25">
      <c r="A2360" s="108">
        <v>6611009</v>
      </c>
      <c r="B2360" s="108" t="s">
        <v>1541</v>
      </c>
      <c r="C2360" s="4"/>
      <c r="D2360" s="13">
        <v>2007</v>
      </c>
      <c r="E2360" s="132" t="str">
        <f>INDEX([1]道具配置表!$D:$D,MATCH(D2360,[1]道具配置表!$A:$A,0))</f>
        <v>大奖池招募券</v>
      </c>
      <c r="F2360" s="108">
        <v>2</v>
      </c>
      <c r="G2360" s="4"/>
      <c r="H2360" s="4"/>
      <c r="I2360" s="4"/>
      <c r="J2360" s="4"/>
      <c r="K2360" s="13">
        <v>1</v>
      </c>
      <c r="M2360" s="108" t="b">
        <v>1</v>
      </c>
      <c r="N2360" s="11"/>
    </row>
    <row r="2361" spans="1:14" x14ac:dyDescent="0.25">
      <c r="A2361" s="108"/>
      <c r="B2361" s="108"/>
      <c r="C2361" s="4"/>
      <c r="D2361" s="13">
        <v>7003</v>
      </c>
      <c r="E2361" s="132" t="str">
        <f>INDEX([1]道具配置表!$D:$D,MATCH(D2361,[1]道具配置表!$A:$A,0))</f>
        <v>1银币（立即使用，不进背包）</v>
      </c>
      <c r="F2361" s="108">
        <v>300</v>
      </c>
      <c r="G2361" s="4"/>
      <c r="H2361" s="4"/>
      <c r="I2361" s="4"/>
      <c r="J2361" s="4"/>
      <c r="K2361" s="13">
        <v>1</v>
      </c>
      <c r="M2361" s="108" t="b">
        <v>1</v>
      </c>
      <c r="N2361" s="11"/>
    </row>
    <row r="2362" spans="1:14" x14ac:dyDescent="0.25">
      <c r="A2362" s="108"/>
      <c r="B2362" s="108"/>
      <c r="C2362" s="4"/>
      <c r="D2362" s="13">
        <v>7228</v>
      </c>
      <c r="E2362" s="132" t="str">
        <f>INDEX([1]道具配置表!$D:$D,MATCH(D2362,[1]道具配置表!$A:$A,0))</f>
        <v>经验书*10000</v>
      </c>
      <c r="F2362" s="108">
        <v>3</v>
      </c>
      <c r="G2362" s="4"/>
      <c r="H2362" s="4"/>
      <c r="I2362" s="4"/>
      <c r="J2362" s="4"/>
      <c r="K2362" s="13">
        <v>1</v>
      </c>
      <c r="M2362" s="108" t="b">
        <v>1</v>
      </c>
      <c r="N2362" s="11"/>
    </row>
    <row r="2363" spans="1:14" x14ac:dyDescent="0.25">
      <c r="A2363" s="108">
        <v>6611010</v>
      </c>
      <c r="B2363" s="108" t="s">
        <v>1542</v>
      </c>
      <c r="C2363" s="4"/>
      <c r="D2363" s="13">
        <v>2007</v>
      </c>
      <c r="E2363" s="132" t="str">
        <f>INDEX([1]道具配置表!$D:$D,MATCH(D2363,[1]道具配置表!$A:$A,0))</f>
        <v>大奖池招募券</v>
      </c>
      <c r="F2363" s="108">
        <v>1</v>
      </c>
      <c r="G2363" s="4"/>
      <c r="H2363" s="4"/>
      <c r="I2363" s="4"/>
      <c r="J2363" s="4"/>
      <c r="K2363" s="13">
        <v>1</v>
      </c>
      <c r="M2363" s="108" t="b">
        <v>1</v>
      </c>
      <c r="N2363" s="11"/>
    </row>
    <row r="2364" spans="1:14" x14ac:dyDescent="0.25">
      <c r="A2364" s="108"/>
      <c r="B2364" s="108"/>
      <c r="C2364" s="4"/>
      <c r="D2364" s="13">
        <v>7003</v>
      </c>
      <c r="E2364" s="132" t="str">
        <f>INDEX([1]道具配置表!$D:$D,MATCH(D2364,[1]道具配置表!$A:$A,0))</f>
        <v>1银币（立即使用，不进背包）</v>
      </c>
      <c r="F2364" s="108">
        <v>150</v>
      </c>
      <c r="G2364" s="4"/>
      <c r="H2364" s="4"/>
      <c r="I2364" s="4"/>
      <c r="J2364" s="4"/>
      <c r="K2364" s="13">
        <v>1</v>
      </c>
      <c r="M2364" s="108" t="b">
        <v>1</v>
      </c>
      <c r="N2364" s="11"/>
    </row>
    <row r="2365" spans="1:14" x14ac:dyDescent="0.25">
      <c r="A2365" s="108"/>
      <c r="B2365" s="108"/>
      <c r="C2365" s="4"/>
      <c r="D2365" s="13">
        <v>7228</v>
      </c>
      <c r="E2365" s="132" t="str">
        <f>INDEX([1]道具配置表!$D:$D,MATCH(D2365,[1]道具配置表!$A:$A,0))</f>
        <v>经验书*10000</v>
      </c>
      <c r="F2365" s="108">
        <v>3</v>
      </c>
      <c r="G2365" s="4"/>
      <c r="H2365" s="4"/>
      <c r="I2365" s="4"/>
      <c r="J2365" s="4"/>
      <c r="K2365" s="13">
        <v>1</v>
      </c>
      <c r="M2365" s="108" t="b">
        <v>1</v>
      </c>
      <c r="N2365" s="11"/>
    </row>
    <row r="2366" spans="1:14" x14ac:dyDescent="0.25">
      <c r="A2366" s="108">
        <v>6611011</v>
      </c>
      <c r="B2366" s="108" t="s">
        <v>1543</v>
      </c>
      <c r="C2366" s="4"/>
      <c r="D2366" s="13">
        <v>2007</v>
      </c>
      <c r="E2366" s="132" t="str">
        <f>INDEX([1]道具配置表!$D:$D,MATCH(D2366,[1]道具配置表!$A:$A,0))</f>
        <v>大奖池招募券</v>
      </c>
      <c r="F2366" s="108">
        <v>1</v>
      </c>
      <c r="G2366" s="4"/>
      <c r="H2366" s="4"/>
      <c r="I2366" s="4"/>
      <c r="J2366" s="4"/>
      <c r="K2366" s="13">
        <v>1</v>
      </c>
      <c r="M2366" s="108" t="b">
        <v>1</v>
      </c>
      <c r="N2366" s="11"/>
    </row>
    <row r="2367" spans="1:14" x14ac:dyDescent="0.25">
      <c r="A2367" s="108"/>
      <c r="B2367" s="108"/>
      <c r="C2367" s="4"/>
      <c r="D2367" s="13">
        <v>7003</v>
      </c>
      <c r="E2367" s="132" t="str">
        <f>INDEX([1]道具配置表!$D:$D,MATCH(D2367,[1]道具配置表!$A:$A,0))</f>
        <v>1银币（立即使用，不进背包）</v>
      </c>
      <c r="F2367" s="108">
        <v>150</v>
      </c>
      <c r="G2367" s="4"/>
      <c r="H2367" s="4"/>
      <c r="I2367" s="4"/>
      <c r="J2367" s="4"/>
      <c r="K2367" s="13">
        <v>1</v>
      </c>
      <c r="M2367" s="108" t="b">
        <v>1</v>
      </c>
      <c r="N2367" s="11"/>
    </row>
    <row r="2368" spans="1:14" x14ac:dyDescent="0.25">
      <c r="A2368" s="108"/>
      <c r="B2368" s="108"/>
      <c r="C2368" s="4"/>
      <c r="D2368" s="13">
        <v>7228</v>
      </c>
      <c r="E2368" s="132" t="str">
        <f>INDEX([1]道具配置表!$D:$D,MATCH(D2368,[1]道具配置表!$A:$A,0))</f>
        <v>经验书*10000</v>
      </c>
      <c r="F2368" s="108">
        <v>3</v>
      </c>
      <c r="G2368" s="4"/>
      <c r="H2368" s="4"/>
      <c r="I2368" s="4"/>
      <c r="J2368" s="4"/>
      <c r="K2368" s="13">
        <v>1</v>
      </c>
      <c r="M2368" s="108" t="b">
        <v>1</v>
      </c>
      <c r="N2368" s="11"/>
    </row>
    <row r="2369" spans="1:14" x14ac:dyDescent="0.25">
      <c r="A2369" s="108">
        <v>6611012</v>
      </c>
      <c r="B2369" s="108" t="s">
        <v>1544</v>
      </c>
      <c r="C2369" s="4"/>
      <c r="D2369" s="13">
        <v>2007</v>
      </c>
      <c r="E2369" s="132" t="str">
        <f>INDEX([1]道具配置表!$D:$D,MATCH(D2369,[1]道具配置表!$A:$A,0))</f>
        <v>大奖池招募券</v>
      </c>
      <c r="F2369" s="108">
        <v>1</v>
      </c>
      <c r="G2369" s="4"/>
      <c r="H2369" s="4"/>
      <c r="I2369" s="4"/>
      <c r="J2369" s="4"/>
      <c r="K2369" s="13">
        <v>1</v>
      </c>
      <c r="M2369" s="108" t="b">
        <v>1</v>
      </c>
      <c r="N2369" s="11"/>
    </row>
    <row r="2370" spans="1:14" x14ac:dyDescent="0.25">
      <c r="A2370" s="108"/>
      <c r="B2370" s="108"/>
      <c r="C2370" s="4"/>
      <c r="D2370" s="13">
        <v>7003</v>
      </c>
      <c r="E2370" s="132" t="str">
        <f>INDEX([1]道具配置表!$D:$D,MATCH(D2370,[1]道具配置表!$A:$A,0))</f>
        <v>1银币（立即使用，不进背包）</v>
      </c>
      <c r="F2370" s="108">
        <v>150</v>
      </c>
      <c r="G2370" s="4"/>
      <c r="H2370" s="4"/>
      <c r="I2370" s="4"/>
      <c r="J2370" s="4"/>
      <c r="K2370" s="13">
        <v>1</v>
      </c>
      <c r="M2370" s="108" t="b">
        <v>1</v>
      </c>
      <c r="N2370" s="11"/>
    </row>
    <row r="2371" spans="1:14" x14ac:dyDescent="0.25">
      <c r="A2371" s="108"/>
      <c r="B2371" s="108"/>
      <c r="C2371" s="4"/>
      <c r="D2371" s="13">
        <v>7228</v>
      </c>
      <c r="E2371" s="132" t="str">
        <f>INDEX([1]道具配置表!$D:$D,MATCH(D2371,[1]道具配置表!$A:$A,0))</f>
        <v>经验书*10000</v>
      </c>
      <c r="F2371" s="108">
        <v>3</v>
      </c>
      <c r="G2371" s="4"/>
      <c r="H2371" s="4"/>
      <c r="I2371" s="4"/>
      <c r="J2371" s="4"/>
      <c r="K2371" s="13">
        <v>1</v>
      </c>
      <c r="M2371" s="108" t="b">
        <v>1</v>
      </c>
      <c r="N2371" s="11"/>
    </row>
    <row r="2372" spans="1:14" x14ac:dyDescent="0.25">
      <c r="A2372" s="108">
        <v>6611013</v>
      </c>
      <c r="B2372" s="108" t="s">
        <v>1545</v>
      </c>
      <c r="C2372" s="4"/>
      <c r="D2372" s="13">
        <v>2007</v>
      </c>
      <c r="E2372" s="132" t="str">
        <f>INDEX([1]道具配置表!$D:$D,MATCH(D2372,[1]道具配置表!$A:$A,0))</f>
        <v>大奖池招募券</v>
      </c>
      <c r="F2372" s="108">
        <v>1</v>
      </c>
      <c r="G2372" s="4"/>
      <c r="H2372" s="4"/>
      <c r="I2372" s="4"/>
      <c r="J2372" s="4"/>
      <c r="K2372" s="13">
        <v>1</v>
      </c>
      <c r="M2372" s="108" t="b">
        <v>1</v>
      </c>
      <c r="N2372" s="11"/>
    </row>
    <row r="2373" spans="1:14" x14ac:dyDescent="0.25">
      <c r="A2373" s="108"/>
      <c r="B2373" s="108"/>
      <c r="C2373" s="4"/>
      <c r="D2373" s="13">
        <v>7003</v>
      </c>
      <c r="E2373" s="132" t="str">
        <f>INDEX([1]道具配置表!$D:$D,MATCH(D2373,[1]道具配置表!$A:$A,0))</f>
        <v>1银币（立即使用，不进背包）</v>
      </c>
      <c r="F2373" s="108">
        <v>150</v>
      </c>
      <c r="G2373" s="4"/>
      <c r="H2373" s="4"/>
      <c r="I2373" s="4"/>
      <c r="J2373" s="4"/>
      <c r="K2373" s="13">
        <v>1</v>
      </c>
      <c r="M2373" s="108" t="b">
        <v>1</v>
      </c>
      <c r="N2373" s="11"/>
    </row>
    <row r="2374" spans="1:14" x14ac:dyDescent="0.25">
      <c r="A2374" s="108"/>
      <c r="B2374" s="108"/>
      <c r="C2374" s="4"/>
      <c r="D2374" s="13">
        <v>7228</v>
      </c>
      <c r="E2374" s="132" t="str">
        <f>INDEX([1]道具配置表!$D:$D,MATCH(D2374,[1]道具配置表!$A:$A,0))</f>
        <v>经验书*10000</v>
      </c>
      <c r="F2374" s="108">
        <v>3</v>
      </c>
      <c r="G2374" s="4"/>
      <c r="H2374" s="4"/>
      <c r="I2374" s="4"/>
      <c r="J2374" s="4"/>
      <c r="K2374" s="13">
        <v>1</v>
      </c>
      <c r="M2374" s="108" t="b">
        <v>1</v>
      </c>
      <c r="N2374" s="11"/>
    </row>
    <row r="2375" spans="1:14" x14ac:dyDescent="0.25">
      <c r="A2375" s="108">
        <v>6611014</v>
      </c>
      <c r="B2375" s="108" t="s">
        <v>1546</v>
      </c>
      <c r="C2375" s="4"/>
      <c r="D2375" s="13">
        <v>2007</v>
      </c>
      <c r="E2375" s="132" t="str">
        <f>INDEX([1]道具配置表!$D:$D,MATCH(D2375,[1]道具配置表!$A:$A,0))</f>
        <v>大奖池招募券</v>
      </c>
      <c r="F2375" s="108">
        <v>1</v>
      </c>
      <c r="G2375" s="4"/>
      <c r="H2375" s="4"/>
      <c r="I2375" s="4"/>
      <c r="J2375" s="4"/>
      <c r="K2375" s="13">
        <v>1</v>
      </c>
      <c r="M2375" s="108" t="b">
        <v>1</v>
      </c>
      <c r="N2375" s="11"/>
    </row>
    <row r="2376" spans="1:14" x14ac:dyDescent="0.25">
      <c r="A2376" s="108"/>
      <c r="B2376" s="108"/>
      <c r="C2376" s="4"/>
      <c r="D2376" s="13">
        <v>7003</v>
      </c>
      <c r="E2376" s="132" t="str">
        <f>INDEX([1]道具配置表!$D:$D,MATCH(D2376,[1]道具配置表!$A:$A,0))</f>
        <v>1银币（立即使用，不进背包）</v>
      </c>
      <c r="F2376" s="108">
        <v>150</v>
      </c>
      <c r="G2376" s="4"/>
      <c r="H2376" s="4"/>
      <c r="I2376" s="4"/>
      <c r="J2376" s="4"/>
      <c r="K2376" s="13">
        <v>1</v>
      </c>
      <c r="M2376" s="108" t="b">
        <v>1</v>
      </c>
      <c r="N2376" s="11"/>
    </row>
    <row r="2377" spans="1:14" x14ac:dyDescent="0.25">
      <c r="A2377" s="108"/>
      <c r="B2377" s="108"/>
      <c r="C2377" s="4"/>
      <c r="D2377" s="13">
        <v>7228</v>
      </c>
      <c r="E2377" s="132" t="str">
        <f>INDEX([1]道具配置表!$D:$D,MATCH(D2377,[1]道具配置表!$A:$A,0))</f>
        <v>经验书*10000</v>
      </c>
      <c r="F2377" s="108">
        <v>4</v>
      </c>
      <c r="G2377" s="4"/>
      <c r="H2377" s="4"/>
      <c r="I2377" s="4"/>
      <c r="J2377" s="4"/>
      <c r="K2377" s="13">
        <v>1</v>
      </c>
      <c r="M2377" s="108" t="b">
        <v>1</v>
      </c>
      <c r="N2377" s="11"/>
    </row>
    <row r="2378" spans="1:14" x14ac:dyDescent="0.25">
      <c r="A2378" s="108">
        <v>6611015</v>
      </c>
      <c r="B2378" s="108" t="s">
        <v>1547</v>
      </c>
      <c r="C2378" s="4"/>
      <c r="D2378" s="13">
        <v>2007</v>
      </c>
      <c r="E2378" s="132" t="str">
        <f>INDEX([1]道具配置表!$D:$D,MATCH(D2378,[1]道具配置表!$A:$A,0))</f>
        <v>大奖池招募券</v>
      </c>
      <c r="F2378" s="108">
        <v>2</v>
      </c>
      <c r="G2378" s="4"/>
      <c r="H2378" s="4"/>
      <c r="I2378" s="4"/>
      <c r="J2378" s="4"/>
      <c r="K2378" s="13">
        <v>1</v>
      </c>
      <c r="M2378" s="108" t="b">
        <v>1</v>
      </c>
      <c r="N2378" s="11"/>
    </row>
    <row r="2379" spans="1:14" x14ac:dyDescent="0.25">
      <c r="A2379" s="108"/>
      <c r="B2379" s="108"/>
      <c r="C2379" s="4"/>
      <c r="D2379" s="13">
        <v>7003</v>
      </c>
      <c r="E2379" s="132" t="str">
        <f>INDEX([1]道具配置表!$D:$D,MATCH(D2379,[1]道具配置表!$A:$A,0))</f>
        <v>1银币（立即使用，不进背包）</v>
      </c>
      <c r="F2379" s="108">
        <v>300</v>
      </c>
      <c r="G2379" s="4"/>
      <c r="H2379" s="4"/>
      <c r="I2379" s="4"/>
      <c r="J2379" s="4"/>
      <c r="K2379" s="13">
        <v>1</v>
      </c>
      <c r="M2379" s="108" t="b">
        <v>1</v>
      </c>
      <c r="N2379" s="11"/>
    </row>
    <row r="2380" spans="1:14" x14ac:dyDescent="0.25">
      <c r="A2380" s="108"/>
      <c r="B2380" s="108"/>
      <c r="C2380" s="4"/>
      <c r="D2380" s="13">
        <v>7228</v>
      </c>
      <c r="E2380" s="132" t="str">
        <f>INDEX([1]道具配置表!$D:$D,MATCH(D2380,[1]道具配置表!$A:$A,0))</f>
        <v>经验书*10000</v>
      </c>
      <c r="F2380" s="108">
        <v>4</v>
      </c>
      <c r="G2380" s="4"/>
      <c r="H2380" s="4"/>
      <c r="I2380" s="4"/>
      <c r="J2380" s="4"/>
      <c r="K2380" s="13">
        <v>1</v>
      </c>
      <c r="M2380" s="108" t="b">
        <v>1</v>
      </c>
      <c r="N2380" s="11"/>
    </row>
    <row r="2381" spans="1:14" x14ac:dyDescent="0.25">
      <c r="A2381" s="32">
        <v>6622001</v>
      </c>
      <c r="B2381" s="32" t="s">
        <v>449</v>
      </c>
      <c r="C2381" s="26" t="str">
        <f>IF(A2381="","",IF((COUNTIFS(A:A,A2381))&gt;1,"ID重复",""))</f>
        <v/>
      </c>
      <c r="D2381" s="11">
        <v>102</v>
      </c>
      <c r="E2381" s="132" t="str">
        <f>INDEX([1]道具配置表!$D:$D,MATCH(D2381,[1]道具配置表!$A:$A,0))</f>
        <v>1食物</v>
      </c>
      <c r="F2381" s="32">
        <v>1000</v>
      </c>
      <c r="G2381" s="11"/>
      <c r="H2381" s="11"/>
      <c r="I2381" s="11"/>
      <c r="J2381" s="11"/>
      <c r="K2381" s="13">
        <v>1</v>
      </c>
      <c r="M2381" s="32" t="b">
        <v>1</v>
      </c>
      <c r="N2381" s="11"/>
    </row>
    <row r="2382" spans="1:14" x14ac:dyDescent="0.25">
      <c r="A2382" s="32" t="s">
        <v>119</v>
      </c>
      <c r="B2382" s="32" t="s">
        <v>119</v>
      </c>
      <c r="C2382" s="26" t="str">
        <f>IF(A2382="","",IF((COUNTIFS(A:A,A2382))&gt;1,"ID重复",""))</f>
        <v/>
      </c>
      <c r="D2382" s="11">
        <v>101</v>
      </c>
      <c r="E2382" s="132" t="str">
        <f>INDEX([1]道具配置表!$D:$D,MATCH(D2382,[1]道具配置表!$A:$A,0))</f>
        <v>1木材</v>
      </c>
      <c r="F2382" s="32">
        <v>1000</v>
      </c>
      <c r="G2382" s="11"/>
      <c r="H2382" s="11"/>
      <c r="I2382" s="11"/>
      <c r="J2382" s="11"/>
      <c r="K2382" s="13">
        <v>1</v>
      </c>
      <c r="L2382" s="11"/>
      <c r="M2382" s="11" t="b">
        <v>1</v>
      </c>
      <c r="N2382" s="11"/>
    </row>
    <row r="2383" spans="1:14" x14ac:dyDescent="0.25">
      <c r="A2383" s="32" t="s">
        <v>119</v>
      </c>
      <c r="B2383" s="32" t="s">
        <v>119</v>
      </c>
      <c r="C2383" s="26" t="str">
        <f>IF(A2383="","",IF((COUNTIFS(A:A,A2383))&gt;1,"ID重复",""))</f>
        <v/>
      </c>
      <c r="D2383" s="11">
        <v>7003</v>
      </c>
      <c r="E2383" s="132" t="str">
        <f>INDEX([1]道具配置表!$D:$D,MATCH(D2383,[1]道具配置表!$A:$A,0))</f>
        <v>1银币（立即使用，不进背包）</v>
      </c>
      <c r="F2383" s="32">
        <v>50</v>
      </c>
      <c r="G2383" s="11"/>
      <c r="H2383" s="11"/>
      <c r="I2383" s="11"/>
      <c r="J2383" s="11"/>
      <c r="K2383" s="13">
        <v>1</v>
      </c>
      <c r="L2383" s="11"/>
      <c r="M2383" s="11" t="b">
        <v>1</v>
      </c>
      <c r="N2383" s="11"/>
    </row>
    <row r="2384" spans="1:14" x14ac:dyDescent="0.25">
      <c r="A2384" s="32">
        <v>6622002</v>
      </c>
      <c r="B2384" s="32" t="s">
        <v>450</v>
      </c>
      <c r="C2384" s="26" t="str">
        <f>IF(A2384="","",IF((COUNTIFS(A:A,A2384))&gt;1,"ID重复",""))</f>
        <v/>
      </c>
      <c r="D2384" s="11">
        <v>102</v>
      </c>
      <c r="E2384" s="132" t="str">
        <f>INDEX([1]道具配置表!$D:$D,MATCH(D2384,[1]道具配置表!$A:$A,0))</f>
        <v>1食物</v>
      </c>
      <c r="F2384" s="32">
        <v>1500</v>
      </c>
      <c r="G2384" s="11"/>
      <c r="H2384" s="11"/>
      <c r="I2384" s="11"/>
      <c r="J2384" s="11"/>
      <c r="K2384" s="13">
        <v>1</v>
      </c>
      <c r="L2384" s="11"/>
      <c r="M2384" s="11" t="b">
        <v>1</v>
      </c>
      <c r="N2384" s="11"/>
    </row>
    <row r="2385" spans="1:14" x14ac:dyDescent="0.25">
      <c r="A2385" s="32" t="s">
        <v>119</v>
      </c>
      <c r="B2385" s="32" t="s">
        <v>119</v>
      </c>
      <c r="C2385" s="26" t="str">
        <f>IF(A2385="","",IF((COUNTIFS(A:A,A2385))&gt;1,"ID重复",""))</f>
        <v/>
      </c>
      <c r="D2385" s="11">
        <v>101</v>
      </c>
      <c r="E2385" s="132" t="str">
        <f>INDEX([1]道具配置表!$D:$D,MATCH(D2385,[1]道具配置表!$A:$A,0))</f>
        <v>1木材</v>
      </c>
      <c r="F2385" s="32">
        <v>1500</v>
      </c>
      <c r="G2385" s="11"/>
      <c r="H2385" s="11"/>
      <c r="I2385" s="11"/>
      <c r="J2385" s="11"/>
      <c r="K2385" s="13">
        <v>1</v>
      </c>
      <c r="L2385" s="11"/>
      <c r="M2385" s="11" t="b">
        <v>1</v>
      </c>
      <c r="N2385" s="11"/>
    </row>
    <row r="2386" spans="1:14" x14ac:dyDescent="0.25">
      <c r="A2386" s="32" t="s">
        <v>119</v>
      </c>
      <c r="B2386" s="32" t="s">
        <v>119</v>
      </c>
      <c r="C2386" s="26" t="str">
        <f>IF(A2386="","",IF((COUNTIFS(A:A,A2386))&gt;1,"ID重复",""))</f>
        <v/>
      </c>
      <c r="D2386" s="11">
        <v>7003</v>
      </c>
      <c r="E2386" s="132" t="str">
        <f>INDEX([1]道具配置表!$D:$D,MATCH(D2386,[1]道具配置表!$A:$A,0))</f>
        <v>1银币（立即使用，不进背包）</v>
      </c>
      <c r="F2386" s="32">
        <v>50</v>
      </c>
      <c r="G2386" s="11"/>
      <c r="H2386" s="11"/>
      <c r="I2386" s="11"/>
      <c r="J2386" s="11"/>
      <c r="K2386" s="13">
        <v>1</v>
      </c>
      <c r="L2386" s="11"/>
      <c r="M2386" s="11" t="b">
        <v>1</v>
      </c>
      <c r="N2386" s="11"/>
    </row>
    <row r="2387" spans="1:14" x14ac:dyDescent="0.25">
      <c r="A2387" s="32">
        <v>6622003</v>
      </c>
      <c r="B2387" s="32" t="s">
        <v>451</v>
      </c>
      <c r="C2387" s="26" t="str">
        <f>IF(A2387="","",IF((COUNTIFS(A:A,A2387))&gt;1,"ID重复",""))</f>
        <v/>
      </c>
      <c r="D2387" s="11">
        <v>102</v>
      </c>
      <c r="E2387" s="132" t="str">
        <f>INDEX([1]道具配置表!$D:$D,MATCH(D2387,[1]道具配置表!$A:$A,0))</f>
        <v>1食物</v>
      </c>
      <c r="F2387" s="32">
        <v>2000</v>
      </c>
      <c r="G2387" s="11"/>
      <c r="H2387" s="11"/>
      <c r="I2387" s="11"/>
      <c r="J2387" s="11"/>
      <c r="K2387" s="13">
        <v>1</v>
      </c>
      <c r="L2387" s="11"/>
      <c r="M2387" s="11" t="b">
        <v>1</v>
      </c>
      <c r="N2387" s="11"/>
    </row>
    <row r="2388" spans="1:14" x14ac:dyDescent="0.25">
      <c r="A2388" s="32" t="s">
        <v>119</v>
      </c>
      <c r="B2388" s="32" t="s">
        <v>119</v>
      </c>
      <c r="C2388" s="26" t="str">
        <f>IF(A2388="","",IF((COUNTIFS(A:A,A2388))&gt;1,"ID重复",""))</f>
        <v/>
      </c>
      <c r="D2388" s="11">
        <v>101</v>
      </c>
      <c r="E2388" s="132" t="str">
        <f>INDEX([1]道具配置表!$D:$D,MATCH(D2388,[1]道具配置表!$A:$A,0))</f>
        <v>1木材</v>
      </c>
      <c r="F2388" s="32">
        <v>2000</v>
      </c>
      <c r="G2388" s="11"/>
      <c r="H2388" s="11"/>
      <c r="I2388" s="11"/>
      <c r="J2388" s="11"/>
      <c r="K2388" s="13">
        <v>1</v>
      </c>
      <c r="L2388" s="11"/>
      <c r="M2388" s="11" t="b">
        <v>1</v>
      </c>
      <c r="N2388" s="11"/>
    </row>
    <row r="2389" spans="1:14" x14ac:dyDescent="0.25">
      <c r="A2389" s="32" t="s">
        <v>119</v>
      </c>
      <c r="B2389" s="32" t="s">
        <v>119</v>
      </c>
      <c r="C2389" s="26" t="str">
        <f>IF(A2389="","",IF((COUNTIFS(A:A,A2389))&gt;1,"ID重复",""))</f>
        <v/>
      </c>
      <c r="D2389" s="11">
        <v>7003</v>
      </c>
      <c r="E2389" s="132" t="str">
        <f>INDEX([1]道具配置表!$D:$D,MATCH(D2389,[1]道具配置表!$A:$A,0))</f>
        <v>1银币（立即使用，不进背包）</v>
      </c>
      <c r="F2389" s="32">
        <v>50</v>
      </c>
      <c r="G2389" s="11"/>
      <c r="H2389" s="11"/>
      <c r="I2389" s="11"/>
      <c r="J2389" s="11"/>
      <c r="K2389" s="13">
        <v>1</v>
      </c>
      <c r="L2389" s="11"/>
      <c r="M2389" s="11" t="b">
        <v>1</v>
      </c>
      <c r="N2389" s="11"/>
    </row>
    <row r="2390" spans="1:14" x14ac:dyDescent="0.25">
      <c r="A2390" s="32">
        <v>6622004</v>
      </c>
      <c r="B2390" s="32" t="s">
        <v>452</v>
      </c>
      <c r="C2390" s="26" t="str">
        <f>IF(A2390="","",IF((COUNTIFS(A:A,A2390))&gt;1,"ID重复",""))</f>
        <v/>
      </c>
      <c r="D2390" s="11">
        <v>102</v>
      </c>
      <c r="E2390" s="132" t="str">
        <f>INDEX([1]道具配置表!$D:$D,MATCH(D2390,[1]道具配置表!$A:$A,0))</f>
        <v>1食物</v>
      </c>
      <c r="F2390" s="32">
        <v>3000</v>
      </c>
      <c r="G2390" s="11"/>
      <c r="H2390" s="11"/>
      <c r="I2390" s="11"/>
      <c r="J2390" s="11"/>
      <c r="K2390" s="13">
        <v>1</v>
      </c>
      <c r="L2390" s="11"/>
      <c r="M2390" s="11" t="b">
        <v>1</v>
      </c>
      <c r="N2390" s="11"/>
    </row>
    <row r="2391" spans="1:14" x14ac:dyDescent="0.25">
      <c r="A2391" s="32" t="s">
        <v>119</v>
      </c>
      <c r="B2391" s="32" t="s">
        <v>119</v>
      </c>
      <c r="C2391" s="26" t="str">
        <f>IF(A2391="","",IF((COUNTIFS(A:A,A2391))&gt;1,"ID重复",""))</f>
        <v/>
      </c>
      <c r="D2391" s="11">
        <v>101</v>
      </c>
      <c r="E2391" s="132" t="str">
        <f>INDEX([1]道具配置表!$D:$D,MATCH(D2391,[1]道具配置表!$A:$A,0))</f>
        <v>1木材</v>
      </c>
      <c r="F2391" s="32">
        <v>3000</v>
      </c>
      <c r="G2391" s="11"/>
      <c r="H2391" s="11"/>
      <c r="I2391" s="11"/>
      <c r="J2391" s="11"/>
      <c r="K2391" s="13">
        <v>1</v>
      </c>
      <c r="L2391" s="11"/>
      <c r="M2391" s="11" t="b">
        <v>1</v>
      </c>
      <c r="N2391" s="11"/>
    </row>
    <row r="2392" spans="1:14" x14ac:dyDescent="0.25">
      <c r="A2392" s="32" t="s">
        <v>119</v>
      </c>
      <c r="B2392" s="32" t="s">
        <v>119</v>
      </c>
      <c r="C2392" s="26" t="str">
        <f>IF(A2392="","",IF((COUNTIFS(A:A,A2392))&gt;1,"ID重复",""))</f>
        <v/>
      </c>
      <c r="D2392" s="11">
        <v>103</v>
      </c>
      <c r="E2392" s="132" t="str">
        <f>INDEX([1]道具配置表!$D:$D,MATCH(D2392,[1]道具配置表!$A:$A,0))</f>
        <v>1石头</v>
      </c>
      <c r="F2392" s="32">
        <v>3000</v>
      </c>
      <c r="G2392" s="11"/>
      <c r="H2392" s="11"/>
      <c r="I2392" s="11"/>
      <c r="J2392" s="11"/>
      <c r="K2392" s="13">
        <v>1</v>
      </c>
      <c r="L2392" s="11"/>
      <c r="M2392" s="11" t="b">
        <v>1</v>
      </c>
      <c r="N2392" s="11"/>
    </row>
    <row r="2393" spans="1:14" x14ac:dyDescent="0.25">
      <c r="A2393" s="32" t="s">
        <v>119</v>
      </c>
      <c r="B2393" s="32" t="s">
        <v>119</v>
      </c>
      <c r="C2393" s="26" t="str">
        <f>IF(A2393="","",IF((COUNTIFS(A:A,A2393))&gt;1,"ID重复",""))</f>
        <v/>
      </c>
      <c r="D2393" s="11">
        <v>7003</v>
      </c>
      <c r="E2393" s="132" t="str">
        <f>INDEX([1]道具配置表!$D:$D,MATCH(D2393,[1]道具配置表!$A:$A,0))</f>
        <v>1银币（立即使用，不进背包）</v>
      </c>
      <c r="F2393" s="32">
        <v>50</v>
      </c>
      <c r="G2393" s="11"/>
      <c r="H2393" s="11"/>
      <c r="I2393" s="11"/>
      <c r="J2393" s="11"/>
      <c r="K2393" s="13">
        <v>1</v>
      </c>
      <c r="L2393" s="11"/>
      <c r="M2393" s="11" t="b">
        <v>1</v>
      </c>
      <c r="N2393" s="11"/>
    </row>
    <row r="2394" spans="1:14" x14ac:dyDescent="0.25">
      <c r="A2394" s="32">
        <v>6622005</v>
      </c>
      <c r="B2394" s="32" t="s">
        <v>453</v>
      </c>
      <c r="C2394" s="26" t="str">
        <f>IF(A2394="","",IF((COUNTIFS(A:A,A2394))&gt;1,"ID重复",""))</f>
        <v/>
      </c>
      <c r="D2394" s="11">
        <v>102</v>
      </c>
      <c r="E2394" s="132" t="str">
        <f>INDEX([1]道具配置表!$D:$D,MATCH(D2394,[1]道具配置表!$A:$A,0))</f>
        <v>1食物</v>
      </c>
      <c r="F2394" s="32">
        <v>4000</v>
      </c>
      <c r="G2394" s="11"/>
      <c r="H2394" s="11"/>
      <c r="I2394" s="11"/>
      <c r="J2394" s="11"/>
      <c r="K2394" s="13">
        <v>1</v>
      </c>
      <c r="L2394" s="11"/>
      <c r="M2394" s="11" t="b">
        <v>1</v>
      </c>
      <c r="N2394" s="11"/>
    </row>
    <row r="2395" spans="1:14" x14ac:dyDescent="0.25">
      <c r="A2395" s="32" t="s">
        <v>119</v>
      </c>
      <c r="B2395" s="32" t="s">
        <v>119</v>
      </c>
      <c r="C2395" s="26" t="str">
        <f>IF(A2395="","",IF((COUNTIFS(A:A,A2395))&gt;1,"ID重复",""))</f>
        <v/>
      </c>
      <c r="D2395" s="11">
        <v>101</v>
      </c>
      <c r="E2395" s="132" t="str">
        <f>INDEX([1]道具配置表!$D:$D,MATCH(D2395,[1]道具配置表!$A:$A,0))</f>
        <v>1木材</v>
      </c>
      <c r="F2395" s="32">
        <v>4000</v>
      </c>
      <c r="G2395" s="11"/>
      <c r="H2395" s="11"/>
      <c r="I2395" s="11"/>
      <c r="J2395" s="11"/>
      <c r="K2395" s="13">
        <v>1</v>
      </c>
      <c r="L2395" s="11"/>
      <c r="M2395" s="11" t="b">
        <v>1</v>
      </c>
      <c r="N2395" s="11"/>
    </row>
    <row r="2396" spans="1:14" x14ac:dyDescent="0.25">
      <c r="A2396" s="32" t="s">
        <v>119</v>
      </c>
      <c r="B2396" s="32" t="s">
        <v>119</v>
      </c>
      <c r="C2396" s="26" t="str">
        <f>IF(A2396="","",IF((COUNTIFS(A:A,A2396))&gt;1,"ID重复",""))</f>
        <v/>
      </c>
      <c r="D2396" s="11">
        <v>103</v>
      </c>
      <c r="E2396" s="132" t="str">
        <f>INDEX([1]道具配置表!$D:$D,MATCH(D2396,[1]道具配置表!$A:$A,0))</f>
        <v>1石头</v>
      </c>
      <c r="F2396" s="32">
        <v>4000</v>
      </c>
      <c r="G2396" s="11"/>
      <c r="H2396" s="11"/>
      <c r="I2396" s="11"/>
      <c r="J2396" s="11"/>
      <c r="K2396" s="13">
        <v>1</v>
      </c>
      <c r="L2396" s="11"/>
      <c r="M2396" s="11" t="b">
        <v>1</v>
      </c>
      <c r="N2396" s="11"/>
    </row>
    <row r="2397" spans="1:14" x14ac:dyDescent="0.25">
      <c r="A2397" s="32" t="s">
        <v>119</v>
      </c>
      <c r="B2397" s="32" t="s">
        <v>119</v>
      </c>
      <c r="C2397" s="26" t="str">
        <f>IF(A2397="","",IF((COUNTIFS(A:A,A2397))&gt;1,"ID重复",""))</f>
        <v/>
      </c>
      <c r="D2397" s="11">
        <v>7003</v>
      </c>
      <c r="E2397" s="132" t="str">
        <f>INDEX([1]道具配置表!$D:$D,MATCH(D2397,[1]道具配置表!$A:$A,0))</f>
        <v>1银币（立即使用，不进背包）</v>
      </c>
      <c r="F2397" s="32">
        <v>50</v>
      </c>
      <c r="G2397" s="11"/>
      <c r="H2397" s="11"/>
      <c r="I2397" s="11"/>
      <c r="J2397" s="11"/>
      <c r="K2397" s="13">
        <v>1</v>
      </c>
      <c r="L2397" s="11"/>
      <c r="M2397" s="11" t="b">
        <v>1</v>
      </c>
      <c r="N2397" s="11"/>
    </row>
    <row r="2398" spans="1:14" x14ac:dyDescent="0.25">
      <c r="A2398" s="32">
        <v>6622006</v>
      </c>
      <c r="B2398" s="32" t="s">
        <v>454</v>
      </c>
      <c r="C2398" s="26" t="str">
        <f>IF(A2398="","",IF((COUNTIFS(A:A,A2398))&gt;1,"ID重复",""))</f>
        <v/>
      </c>
      <c r="D2398" s="11">
        <v>102</v>
      </c>
      <c r="E2398" s="132" t="str">
        <f>INDEX([1]道具配置表!$D:$D,MATCH(D2398,[1]道具配置表!$A:$A,0))</f>
        <v>1食物</v>
      </c>
      <c r="F2398" s="32">
        <v>5000</v>
      </c>
      <c r="G2398" s="11"/>
      <c r="H2398" s="11"/>
      <c r="I2398" s="11"/>
      <c r="J2398" s="11"/>
      <c r="K2398" s="13">
        <v>1</v>
      </c>
      <c r="L2398" s="11"/>
      <c r="M2398" s="11" t="b">
        <v>1</v>
      </c>
      <c r="N2398" s="11"/>
    </row>
    <row r="2399" spans="1:14" x14ac:dyDescent="0.25">
      <c r="A2399" s="32" t="s">
        <v>119</v>
      </c>
      <c r="B2399" s="32" t="s">
        <v>119</v>
      </c>
      <c r="C2399" s="26" t="str">
        <f>IF(A2399="","",IF((COUNTIFS(A:A,A2399))&gt;1,"ID重复",""))</f>
        <v/>
      </c>
      <c r="D2399" s="11">
        <v>101</v>
      </c>
      <c r="E2399" s="132" t="str">
        <f>INDEX([1]道具配置表!$D:$D,MATCH(D2399,[1]道具配置表!$A:$A,0))</f>
        <v>1木材</v>
      </c>
      <c r="F2399" s="32">
        <v>5000</v>
      </c>
      <c r="G2399" s="11"/>
      <c r="H2399" s="11"/>
      <c r="I2399" s="11"/>
      <c r="J2399" s="11"/>
      <c r="K2399" s="13">
        <v>1</v>
      </c>
      <c r="L2399" s="11"/>
      <c r="M2399" s="11" t="b">
        <v>1</v>
      </c>
      <c r="N2399" s="11"/>
    </row>
    <row r="2400" spans="1:14" x14ac:dyDescent="0.25">
      <c r="A2400" s="32" t="s">
        <v>119</v>
      </c>
      <c r="B2400" s="32" t="s">
        <v>119</v>
      </c>
      <c r="C2400" s="26" t="str">
        <f>IF(A2400="","",IF((COUNTIFS(A:A,A2400))&gt;1,"ID重复",""))</f>
        <v/>
      </c>
      <c r="D2400" s="11">
        <v>103</v>
      </c>
      <c r="E2400" s="132" t="str">
        <f>INDEX([1]道具配置表!$D:$D,MATCH(D2400,[1]道具配置表!$A:$A,0))</f>
        <v>1石头</v>
      </c>
      <c r="F2400" s="32">
        <v>5000</v>
      </c>
      <c r="G2400" s="11"/>
      <c r="H2400" s="11"/>
      <c r="I2400" s="11"/>
      <c r="J2400" s="11"/>
      <c r="K2400" s="13">
        <v>1</v>
      </c>
      <c r="L2400" s="11"/>
      <c r="M2400" s="11" t="b">
        <v>1</v>
      </c>
      <c r="N2400" s="11"/>
    </row>
    <row r="2401" spans="1:14" x14ac:dyDescent="0.25">
      <c r="A2401" s="32" t="s">
        <v>119</v>
      </c>
      <c r="B2401" s="32" t="s">
        <v>119</v>
      </c>
      <c r="C2401" s="26" t="str">
        <f>IF(A2401="","",IF((COUNTIFS(A:A,A2401))&gt;1,"ID重复",""))</f>
        <v/>
      </c>
      <c r="D2401" s="11">
        <v>7003</v>
      </c>
      <c r="E2401" s="132" t="str">
        <f>INDEX([1]道具配置表!$D:$D,MATCH(D2401,[1]道具配置表!$A:$A,0))</f>
        <v>1银币（立即使用，不进背包）</v>
      </c>
      <c r="F2401" s="32">
        <v>50</v>
      </c>
      <c r="G2401" s="11"/>
      <c r="H2401" s="11"/>
      <c r="I2401" s="11"/>
      <c r="J2401" s="11"/>
      <c r="K2401" s="13">
        <v>1</v>
      </c>
      <c r="L2401" s="11"/>
      <c r="M2401" s="11" t="b">
        <v>1</v>
      </c>
      <c r="N2401" s="11"/>
    </row>
    <row r="2402" spans="1:14" x14ac:dyDescent="0.25">
      <c r="A2402" s="32">
        <v>6622007</v>
      </c>
      <c r="B2402" s="32" t="s">
        <v>455</v>
      </c>
      <c r="C2402" s="26" t="str">
        <f>IF(A2402="","",IF((COUNTIFS(A:A,A2402))&gt;1,"ID重复",""))</f>
        <v/>
      </c>
      <c r="D2402" s="11">
        <v>102</v>
      </c>
      <c r="E2402" s="132" t="str">
        <f>INDEX([1]道具配置表!$D:$D,MATCH(D2402,[1]道具配置表!$A:$A,0))</f>
        <v>1食物</v>
      </c>
      <c r="F2402" s="32">
        <v>6000</v>
      </c>
      <c r="G2402" s="11"/>
      <c r="H2402" s="11"/>
      <c r="I2402" s="11"/>
      <c r="J2402" s="11"/>
      <c r="K2402" s="13">
        <v>1</v>
      </c>
      <c r="L2402" s="11"/>
      <c r="M2402" s="11" t="b">
        <v>1</v>
      </c>
      <c r="N2402" s="11"/>
    </row>
    <row r="2403" spans="1:14" x14ac:dyDescent="0.25">
      <c r="A2403" s="32" t="s">
        <v>119</v>
      </c>
      <c r="B2403" s="32" t="s">
        <v>119</v>
      </c>
      <c r="C2403" s="26" t="str">
        <f>IF(A2403="","",IF((COUNTIFS(A:A,A2403))&gt;1,"ID重复",""))</f>
        <v/>
      </c>
      <c r="D2403" s="11">
        <v>101</v>
      </c>
      <c r="E2403" s="132" t="str">
        <f>INDEX([1]道具配置表!$D:$D,MATCH(D2403,[1]道具配置表!$A:$A,0))</f>
        <v>1木材</v>
      </c>
      <c r="F2403" s="32">
        <v>6000</v>
      </c>
      <c r="G2403" s="11"/>
      <c r="H2403" s="11"/>
      <c r="I2403" s="11"/>
      <c r="J2403" s="11"/>
      <c r="K2403" s="13">
        <v>1</v>
      </c>
      <c r="L2403" s="11"/>
      <c r="M2403" s="11" t="b">
        <v>1</v>
      </c>
      <c r="N2403" s="11"/>
    </row>
    <row r="2404" spans="1:14" x14ac:dyDescent="0.25">
      <c r="A2404" s="32" t="s">
        <v>119</v>
      </c>
      <c r="B2404" s="32" t="s">
        <v>119</v>
      </c>
      <c r="C2404" s="26" t="str">
        <f>IF(A2404="","",IF((COUNTIFS(A:A,A2404))&gt;1,"ID重复",""))</f>
        <v/>
      </c>
      <c r="D2404" s="11">
        <v>103</v>
      </c>
      <c r="E2404" s="132" t="str">
        <f>INDEX([1]道具配置表!$D:$D,MATCH(D2404,[1]道具配置表!$A:$A,0))</f>
        <v>1石头</v>
      </c>
      <c r="F2404" s="32">
        <v>6000</v>
      </c>
      <c r="G2404" s="11"/>
      <c r="H2404" s="11"/>
      <c r="I2404" s="11"/>
      <c r="J2404" s="11"/>
      <c r="K2404" s="13">
        <v>1</v>
      </c>
      <c r="L2404" s="11"/>
      <c r="M2404" s="11" t="b">
        <v>1</v>
      </c>
      <c r="N2404" s="11"/>
    </row>
    <row r="2405" spans="1:14" x14ac:dyDescent="0.25">
      <c r="A2405" s="32" t="s">
        <v>119</v>
      </c>
      <c r="B2405" s="32" t="s">
        <v>119</v>
      </c>
      <c r="C2405" s="26" t="str">
        <f>IF(A2405="","",IF((COUNTIFS(A:A,A2405))&gt;1,"ID重复",""))</f>
        <v/>
      </c>
      <c r="D2405" s="11">
        <v>7003</v>
      </c>
      <c r="E2405" s="132" t="str">
        <f>INDEX([1]道具配置表!$D:$D,MATCH(D2405,[1]道具配置表!$A:$A,0))</f>
        <v>1银币（立即使用，不进背包）</v>
      </c>
      <c r="F2405" s="32">
        <v>50</v>
      </c>
      <c r="G2405" s="11"/>
      <c r="H2405" s="11"/>
      <c r="I2405" s="11"/>
      <c r="J2405" s="11"/>
      <c r="K2405" s="13">
        <v>1</v>
      </c>
      <c r="L2405" s="11"/>
      <c r="M2405" s="11" t="b">
        <v>1</v>
      </c>
      <c r="N2405" s="11"/>
    </row>
    <row r="2406" spans="1:14" x14ac:dyDescent="0.25">
      <c r="A2406" s="32">
        <v>6622008</v>
      </c>
      <c r="B2406" s="32" t="s">
        <v>456</v>
      </c>
      <c r="C2406" s="26" t="str">
        <f>IF(A2406="","",IF((COUNTIFS(A:A,A2406))&gt;1,"ID重复",""))</f>
        <v/>
      </c>
      <c r="D2406" s="11">
        <v>102</v>
      </c>
      <c r="E2406" s="132" t="str">
        <f>INDEX([1]道具配置表!$D:$D,MATCH(D2406,[1]道具配置表!$A:$A,0))</f>
        <v>1食物</v>
      </c>
      <c r="F2406" s="32">
        <v>7000</v>
      </c>
      <c r="G2406" s="11"/>
      <c r="H2406" s="11"/>
      <c r="I2406" s="11"/>
      <c r="J2406" s="11"/>
      <c r="K2406" s="13">
        <v>1</v>
      </c>
      <c r="L2406" s="11"/>
      <c r="M2406" s="11" t="b">
        <v>1</v>
      </c>
      <c r="N2406" s="11"/>
    </row>
    <row r="2407" spans="1:14" x14ac:dyDescent="0.25">
      <c r="A2407" s="32" t="s">
        <v>119</v>
      </c>
      <c r="B2407" s="32" t="s">
        <v>119</v>
      </c>
      <c r="C2407" s="26" t="str">
        <f>IF(A2407="","",IF((COUNTIFS(A:A,A2407))&gt;1,"ID重复",""))</f>
        <v/>
      </c>
      <c r="D2407" s="11">
        <v>101</v>
      </c>
      <c r="E2407" s="132" t="str">
        <f>INDEX([1]道具配置表!$D:$D,MATCH(D2407,[1]道具配置表!$A:$A,0))</f>
        <v>1木材</v>
      </c>
      <c r="F2407" s="32">
        <v>7000</v>
      </c>
      <c r="G2407" s="11"/>
      <c r="H2407" s="11"/>
      <c r="I2407" s="11"/>
      <c r="J2407" s="11"/>
      <c r="K2407" s="13">
        <v>1</v>
      </c>
      <c r="L2407" s="11"/>
      <c r="M2407" s="11" t="b">
        <v>1</v>
      </c>
      <c r="N2407" s="11"/>
    </row>
    <row r="2408" spans="1:14" x14ac:dyDescent="0.25">
      <c r="A2408" s="32" t="s">
        <v>119</v>
      </c>
      <c r="B2408" s="32" t="s">
        <v>119</v>
      </c>
      <c r="C2408" s="26" t="str">
        <f>IF(A2408="","",IF((COUNTIFS(A:A,A2408))&gt;1,"ID重复",""))</f>
        <v/>
      </c>
      <c r="D2408" s="11">
        <v>103</v>
      </c>
      <c r="E2408" s="132" t="str">
        <f>INDEX([1]道具配置表!$D:$D,MATCH(D2408,[1]道具配置表!$A:$A,0))</f>
        <v>1石头</v>
      </c>
      <c r="F2408" s="32">
        <v>7000</v>
      </c>
      <c r="G2408" s="11"/>
      <c r="H2408" s="11"/>
      <c r="I2408" s="11"/>
      <c r="J2408" s="11"/>
      <c r="K2408" s="13">
        <v>1</v>
      </c>
      <c r="L2408" s="11"/>
      <c r="M2408" s="11" t="b">
        <v>1</v>
      </c>
      <c r="N2408" s="11"/>
    </row>
    <row r="2409" spans="1:14" x14ac:dyDescent="0.25">
      <c r="A2409" s="32" t="s">
        <v>119</v>
      </c>
      <c r="B2409" s="32" t="s">
        <v>119</v>
      </c>
      <c r="C2409" s="26" t="str">
        <f>IF(A2409="","",IF((COUNTIFS(A:A,A2409))&gt;1,"ID重复",""))</f>
        <v/>
      </c>
      <c r="D2409" s="11">
        <v>7003</v>
      </c>
      <c r="E2409" s="132" t="str">
        <f>INDEX([1]道具配置表!$D:$D,MATCH(D2409,[1]道具配置表!$A:$A,0))</f>
        <v>1银币（立即使用，不进背包）</v>
      </c>
      <c r="F2409" s="32">
        <v>50</v>
      </c>
      <c r="G2409" s="11"/>
      <c r="H2409" s="11"/>
      <c r="I2409" s="11"/>
      <c r="J2409" s="11"/>
      <c r="K2409" s="13">
        <v>1</v>
      </c>
      <c r="L2409" s="11"/>
      <c r="M2409" s="11" t="b">
        <v>1</v>
      </c>
      <c r="N2409" s="11"/>
    </row>
    <row r="2410" spans="1:14" x14ac:dyDescent="0.25">
      <c r="A2410" s="32">
        <v>6622009</v>
      </c>
      <c r="B2410" s="32" t="s">
        <v>457</v>
      </c>
      <c r="C2410" s="26" t="str">
        <f>IF(A2410="","",IF((COUNTIFS(A:A,A2410))&gt;1,"ID重复",""))</f>
        <v/>
      </c>
      <c r="D2410" s="11">
        <v>102</v>
      </c>
      <c r="E2410" s="132" t="str">
        <f>INDEX([1]道具配置表!$D:$D,MATCH(D2410,[1]道具配置表!$A:$A,0))</f>
        <v>1食物</v>
      </c>
      <c r="F2410" s="32">
        <v>8000</v>
      </c>
      <c r="G2410" s="11"/>
      <c r="H2410" s="11"/>
      <c r="I2410" s="11"/>
      <c r="J2410" s="11"/>
      <c r="K2410" s="13">
        <v>1</v>
      </c>
      <c r="L2410" s="11"/>
      <c r="M2410" s="11" t="b">
        <v>1</v>
      </c>
      <c r="N2410" s="11"/>
    </row>
    <row r="2411" spans="1:14" x14ac:dyDescent="0.25">
      <c r="A2411" s="32" t="s">
        <v>119</v>
      </c>
      <c r="B2411" s="32" t="s">
        <v>119</v>
      </c>
      <c r="C2411" s="26" t="str">
        <f>IF(A2411="","",IF((COUNTIFS(A:A,A2411))&gt;1,"ID重复",""))</f>
        <v/>
      </c>
      <c r="D2411" s="11">
        <v>101</v>
      </c>
      <c r="E2411" s="132" t="str">
        <f>INDEX([1]道具配置表!$D:$D,MATCH(D2411,[1]道具配置表!$A:$A,0))</f>
        <v>1木材</v>
      </c>
      <c r="F2411" s="32">
        <v>8000</v>
      </c>
      <c r="G2411" s="11"/>
      <c r="H2411" s="11"/>
      <c r="I2411" s="11"/>
      <c r="J2411" s="11"/>
      <c r="K2411" s="13">
        <v>1</v>
      </c>
      <c r="L2411" s="11"/>
      <c r="M2411" s="11" t="b">
        <v>1</v>
      </c>
      <c r="N2411" s="11"/>
    </row>
    <row r="2412" spans="1:14" x14ac:dyDescent="0.25">
      <c r="A2412" s="32" t="s">
        <v>119</v>
      </c>
      <c r="B2412" s="32" t="s">
        <v>119</v>
      </c>
      <c r="C2412" s="26" t="str">
        <f>IF(A2412="","",IF((COUNTIFS(A:A,A2412))&gt;1,"ID重复",""))</f>
        <v/>
      </c>
      <c r="D2412" s="11">
        <v>103</v>
      </c>
      <c r="E2412" s="132" t="str">
        <f>INDEX([1]道具配置表!$D:$D,MATCH(D2412,[1]道具配置表!$A:$A,0))</f>
        <v>1石头</v>
      </c>
      <c r="F2412" s="32">
        <v>8000</v>
      </c>
      <c r="G2412" s="11"/>
      <c r="H2412" s="11"/>
      <c r="I2412" s="11"/>
      <c r="J2412" s="11"/>
      <c r="K2412" s="13">
        <v>1</v>
      </c>
      <c r="L2412" s="11"/>
      <c r="M2412" s="11" t="b">
        <v>1</v>
      </c>
      <c r="N2412" s="11"/>
    </row>
    <row r="2413" spans="1:14" x14ac:dyDescent="0.25">
      <c r="A2413" s="32" t="s">
        <v>119</v>
      </c>
      <c r="B2413" s="32" t="s">
        <v>119</v>
      </c>
      <c r="C2413" s="26" t="str">
        <f>IF(A2413="","",IF((COUNTIFS(A:A,A2413))&gt;1,"ID重复",""))</f>
        <v/>
      </c>
      <c r="D2413" s="11">
        <v>7003</v>
      </c>
      <c r="E2413" s="132" t="str">
        <f>INDEX([1]道具配置表!$D:$D,MATCH(D2413,[1]道具配置表!$A:$A,0))</f>
        <v>1银币（立即使用，不进背包）</v>
      </c>
      <c r="F2413" s="32">
        <v>50</v>
      </c>
      <c r="G2413" s="11"/>
      <c r="H2413" s="11"/>
      <c r="I2413" s="11"/>
      <c r="J2413" s="11"/>
      <c r="K2413" s="13">
        <v>1</v>
      </c>
      <c r="L2413" s="11"/>
      <c r="M2413" s="11" t="b">
        <v>1</v>
      </c>
      <c r="N2413" s="11"/>
    </row>
    <row r="2414" spans="1:14" x14ac:dyDescent="0.25">
      <c r="A2414" s="32">
        <v>6622010</v>
      </c>
      <c r="B2414" s="32" t="s">
        <v>458</v>
      </c>
      <c r="C2414" s="26" t="str">
        <f>IF(A2414="","",IF((COUNTIFS(A:A,A2414))&gt;1,"ID重复",""))</f>
        <v/>
      </c>
      <c r="D2414" s="11">
        <v>102</v>
      </c>
      <c r="E2414" s="132" t="str">
        <f>INDEX([1]道具配置表!$D:$D,MATCH(D2414,[1]道具配置表!$A:$A,0))</f>
        <v>1食物</v>
      </c>
      <c r="F2414" s="32">
        <v>10000</v>
      </c>
      <c r="G2414" s="11"/>
      <c r="H2414" s="11"/>
      <c r="I2414" s="11"/>
      <c r="J2414" s="11"/>
      <c r="K2414" s="13">
        <v>1</v>
      </c>
      <c r="L2414" s="11"/>
      <c r="M2414" s="11" t="b">
        <v>1</v>
      </c>
      <c r="N2414" s="11"/>
    </row>
    <row r="2415" spans="1:14" x14ac:dyDescent="0.25">
      <c r="A2415" s="32" t="s">
        <v>119</v>
      </c>
      <c r="B2415" s="32" t="s">
        <v>119</v>
      </c>
      <c r="C2415" s="26" t="str">
        <f>IF(A2415="","",IF((COUNTIFS(A:A,A2415))&gt;1,"ID重复",""))</f>
        <v/>
      </c>
      <c r="D2415" s="11">
        <v>101</v>
      </c>
      <c r="E2415" s="132" t="str">
        <f>INDEX([1]道具配置表!$D:$D,MATCH(D2415,[1]道具配置表!$A:$A,0))</f>
        <v>1木材</v>
      </c>
      <c r="F2415" s="32">
        <v>10000</v>
      </c>
      <c r="G2415" s="11"/>
      <c r="H2415" s="11"/>
      <c r="I2415" s="11"/>
      <c r="J2415" s="11"/>
      <c r="K2415" s="13">
        <v>1</v>
      </c>
      <c r="L2415" s="11"/>
      <c r="M2415" s="11" t="b">
        <v>1</v>
      </c>
      <c r="N2415" s="11"/>
    </row>
    <row r="2416" spans="1:14" x14ac:dyDescent="0.25">
      <c r="A2416" s="32" t="s">
        <v>119</v>
      </c>
      <c r="B2416" s="32" t="s">
        <v>119</v>
      </c>
      <c r="C2416" s="26" t="str">
        <f>IF(A2416="","",IF((COUNTIFS(A:A,A2416))&gt;1,"ID重复",""))</f>
        <v/>
      </c>
      <c r="D2416" s="11">
        <v>103</v>
      </c>
      <c r="E2416" s="132" t="str">
        <f>INDEX([1]道具配置表!$D:$D,MATCH(D2416,[1]道具配置表!$A:$A,0))</f>
        <v>1石头</v>
      </c>
      <c r="F2416" s="32">
        <v>10000</v>
      </c>
      <c r="G2416" s="11"/>
      <c r="H2416" s="11"/>
      <c r="I2416" s="11"/>
      <c r="J2416" s="11"/>
      <c r="K2416" s="13">
        <v>1</v>
      </c>
      <c r="L2416" s="11"/>
      <c r="M2416" s="11" t="b">
        <v>1</v>
      </c>
      <c r="N2416" s="11"/>
    </row>
    <row r="2417" spans="1:14" x14ac:dyDescent="0.25">
      <c r="A2417" s="32" t="s">
        <v>119</v>
      </c>
      <c r="B2417" s="32" t="s">
        <v>119</v>
      </c>
      <c r="C2417" s="26" t="str">
        <f>IF(A2417="","",IF((COUNTIFS(A:A,A2417))&gt;1,"ID重复",""))</f>
        <v/>
      </c>
      <c r="D2417" s="11">
        <v>104</v>
      </c>
      <c r="E2417" s="132" t="str">
        <f>INDEX([1]道具配置表!$D:$D,MATCH(D2417,[1]道具配置表!$A:$A,0))</f>
        <v>1黄金</v>
      </c>
      <c r="F2417" s="32">
        <v>10000</v>
      </c>
      <c r="G2417" s="11"/>
      <c r="H2417" s="11"/>
      <c r="I2417" s="11"/>
      <c r="J2417" s="11"/>
      <c r="K2417" s="11">
        <v>1</v>
      </c>
      <c r="L2417" s="11"/>
      <c r="M2417" s="11" t="b">
        <v>1</v>
      </c>
      <c r="N2417" s="11"/>
    </row>
    <row r="2418" spans="1:14" x14ac:dyDescent="0.25">
      <c r="A2418" s="32" t="s">
        <v>119</v>
      </c>
      <c r="B2418" s="32" t="s">
        <v>119</v>
      </c>
      <c r="C2418" s="26" t="str">
        <f>IF(A2418="","",IF((COUNTIFS(A:A,A2418))&gt;1,"ID重复",""))</f>
        <v/>
      </c>
      <c r="D2418" s="11">
        <v>7003</v>
      </c>
      <c r="E2418" s="132" t="str">
        <f>INDEX([1]道具配置表!$D:$D,MATCH(D2418,[1]道具配置表!$A:$A,0))</f>
        <v>1银币（立即使用，不进背包）</v>
      </c>
      <c r="F2418" s="32">
        <v>50</v>
      </c>
      <c r="G2418" s="11"/>
      <c r="H2418" s="11"/>
      <c r="I2418" s="11"/>
      <c r="J2418" s="11"/>
      <c r="K2418" s="11">
        <v>1</v>
      </c>
      <c r="L2418" s="11"/>
      <c r="M2418" s="11" t="b">
        <v>1</v>
      </c>
      <c r="N2418" s="11"/>
    </row>
    <row r="2419" spans="1:14" x14ac:dyDescent="0.25">
      <c r="A2419" s="32">
        <v>6622011</v>
      </c>
      <c r="B2419" s="32" t="s">
        <v>459</v>
      </c>
      <c r="C2419" s="26" t="str">
        <f>IF(A2419="","",IF((COUNTIFS(A:A,A2419))&gt;1,"ID重复",""))</f>
        <v/>
      </c>
      <c r="D2419" s="11">
        <v>102</v>
      </c>
      <c r="E2419" s="132" t="str">
        <f>INDEX([1]道具配置表!$D:$D,MATCH(D2419,[1]道具配置表!$A:$A,0))</f>
        <v>1食物</v>
      </c>
      <c r="F2419" s="32">
        <v>12000</v>
      </c>
      <c r="G2419" s="11"/>
      <c r="H2419" s="11"/>
      <c r="I2419" s="11"/>
      <c r="J2419" s="11"/>
      <c r="K2419" s="11">
        <v>1</v>
      </c>
      <c r="L2419" s="11"/>
      <c r="M2419" s="11" t="b">
        <v>1</v>
      </c>
      <c r="N2419" s="45"/>
    </row>
    <row r="2420" spans="1:14" x14ac:dyDescent="0.25">
      <c r="A2420" s="32" t="s">
        <v>119</v>
      </c>
      <c r="B2420" s="32" t="s">
        <v>119</v>
      </c>
      <c r="C2420" s="26" t="str">
        <f>IF(A2420="","",IF((COUNTIFS(A:A,A2420))&gt;1,"ID重复",""))</f>
        <v/>
      </c>
      <c r="D2420" s="11">
        <v>101</v>
      </c>
      <c r="E2420" s="132" t="str">
        <f>INDEX([1]道具配置表!$D:$D,MATCH(D2420,[1]道具配置表!$A:$A,0))</f>
        <v>1木材</v>
      </c>
      <c r="F2420" s="32">
        <v>12000</v>
      </c>
      <c r="G2420" s="11"/>
      <c r="H2420" s="11"/>
      <c r="I2420" s="11"/>
      <c r="J2420" s="11"/>
      <c r="K2420" s="11">
        <v>1</v>
      </c>
      <c r="L2420" s="11"/>
      <c r="M2420" s="11" t="b">
        <v>1</v>
      </c>
      <c r="N2420" s="11"/>
    </row>
    <row r="2421" spans="1:14" s="22" customFormat="1" x14ac:dyDescent="0.25">
      <c r="A2421" s="32" t="s">
        <v>119</v>
      </c>
      <c r="B2421" s="32" t="s">
        <v>119</v>
      </c>
      <c r="C2421" s="26" t="str">
        <f>IF(A2421="","",IF((COUNTIFS(A:A,A2421))&gt;1,"ID重复",""))</f>
        <v/>
      </c>
      <c r="D2421" s="11">
        <v>103</v>
      </c>
      <c r="E2421" s="132" t="str">
        <f>INDEX([1]道具配置表!$D:$D,MATCH(D2421,[1]道具配置表!$A:$A,0))</f>
        <v>1石头</v>
      </c>
      <c r="F2421" s="32">
        <v>12000</v>
      </c>
      <c r="G2421" s="11"/>
      <c r="H2421" s="11"/>
      <c r="I2421" s="11"/>
      <c r="J2421" s="11"/>
      <c r="K2421" s="11">
        <v>1</v>
      </c>
      <c r="L2421" s="11"/>
      <c r="M2421" s="11" t="b">
        <v>1</v>
      </c>
    </row>
    <row r="2422" spans="1:14" x14ac:dyDescent="0.25">
      <c r="A2422" s="32" t="s">
        <v>119</v>
      </c>
      <c r="B2422" s="32" t="s">
        <v>119</v>
      </c>
      <c r="C2422" s="26" t="str">
        <f>IF(A2422="","",IF((COUNTIFS(A:A,A2422))&gt;1,"ID重复",""))</f>
        <v/>
      </c>
      <c r="D2422" s="11">
        <v>104</v>
      </c>
      <c r="E2422" s="132" t="str">
        <f>INDEX([1]道具配置表!$D:$D,MATCH(D2422,[1]道具配置表!$A:$A,0))</f>
        <v>1黄金</v>
      </c>
      <c r="F2422" s="32">
        <v>12000</v>
      </c>
      <c r="G2422" s="11"/>
      <c r="H2422" s="11"/>
      <c r="I2422" s="11"/>
      <c r="J2422" s="11"/>
      <c r="K2422" s="11">
        <v>1</v>
      </c>
      <c r="L2422" s="11"/>
      <c r="M2422" s="11" t="b">
        <v>1</v>
      </c>
      <c r="N2422" s="11"/>
    </row>
    <row r="2423" spans="1:14" x14ac:dyDescent="0.25">
      <c r="A2423" s="32" t="s">
        <v>119</v>
      </c>
      <c r="B2423" s="32" t="s">
        <v>119</v>
      </c>
      <c r="C2423" s="26" t="str">
        <f>IF(A2423="","",IF((COUNTIFS(A:A,A2423))&gt;1,"ID重复",""))</f>
        <v/>
      </c>
      <c r="D2423" s="11">
        <v>7003</v>
      </c>
      <c r="E2423" s="132" t="str">
        <f>INDEX([1]道具配置表!$D:$D,MATCH(D2423,[1]道具配置表!$A:$A,0))</f>
        <v>1银币（立即使用，不进背包）</v>
      </c>
      <c r="F2423" s="32">
        <v>50</v>
      </c>
      <c r="G2423" s="11"/>
      <c r="H2423" s="11"/>
      <c r="I2423" s="11"/>
      <c r="J2423" s="11"/>
      <c r="K2423" s="11">
        <v>1</v>
      </c>
      <c r="L2423" s="11"/>
      <c r="M2423" s="11" t="b">
        <v>1</v>
      </c>
      <c r="N2423" s="11"/>
    </row>
    <row r="2424" spans="1:14" x14ac:dyDescent="0.25">
      <c r="A2424" s="32">
        <v>6622012</v>
      </c>
      <c r="B2424" s="32" t="s">
        <v>460</v>
      </c>
      <c r="C2424" s="26" t="str">
        <f>IF(A2424="","",IF((COUNTIFS(A:A,A2424))&gt;1,"ID重复",""))</f>
        <v/>
      </c>
      <c r="D2424" s="11">
        <v>102</v>
      </c>
      <c r="E2424" s="132" t="str">
        <f>INDEX([1]道具配置表!$D:$D,MATCH(D2424,[1]道具配置表!$A:$A,0))</f>
        <v>1食物</v>
      </c>
      <c r="F2424" s="32">
        <v>14000</v>
      </c>
      <c r="G2424" s="11"/>
      <c r="H2424" s="11"/>
      <c r="I2424" s="11"/>
      <c r="J2424" s="11"/>
      <c r="K2424" s="11">
        <v>1</v>
      </c>
      <c r="L2424" s="11"/>
      <c r="M2424" s="11" t="b">
        <v>1</v>
      </c>
      <c r="N2424" s="11"/>
    </row>
    <row r="2425" spans="1:14" x14ac:dyDescent="0.25">
      <c r="A2425" s="32" t="s">
        <v>119</v>
      </c>
      <c r="B2425" s="32" t="s">
        <v>119</v>
      </c>
      <c r="C2425" s="26" t="str">
        <f>IF(A2425="","",IF((COUNTIFS(A:A,A2425))&gt;1,"ID重复",""))</f>
        <v/>
      </c>
      <c r="D2425" s="11">
        <v>101</v>
      </c>
      <c r="E2425" s="132" t="str">
        <f>INDEX([1]道具配置表!$D:$D,MATCH(D2425,[1]道具配置表!$A:$A,0))</f>
        <v>1木材</v>
      </c>
      <c r="F2425" s="32">
        <v>14000</v>
      </c>
      <c r="G2425" s="11"/>
      <c r="H2425" s="11"/>
      <c r="I2425" s="11"/>
      <c r="J2425" s="11"/>
      <c r="K2425" s="11">
        <v>1</v>
      </c>
      <c r="L2425" s="11"/>
      <c r="M2425" s="11" t="b">
        <v>1</v>
      </c>
      <c r="N2425" s="11"/>
    </row>
    <row r="2426" spans="1:14" x14ac:dyDescent="0.25">
      <c r="A2426" s="32" t="s">
        <v>119</v>
      </c>
      <c r="B2426" s="32" t="s">
        <v>119</v>
      </c>
      <c r="C2426" s="26" t="str">
        <f>IF(A2426="","",IF((COUNTIFS(A:A,A2426))&gt;1,"ID重复",""))</f>
        <v/>
      </c>
      <c r="D2426" s="11">
        <v>103</v>
      </c>
      <c r="E2426" s="132" t="str">
        <f>INDEX([1]道具配置表!$D:$D,MATCH(D2426,[1]道具配置表!$A:$A,0))</f>
        <v>1石头</v>
      </c>
      <c r="F2426" s="32">
        <v>14000</v>
      </c>
      <c r="G2426" s="11"/>
      <c r="H2426" s="11"/>
      <c r="I2426" s="11"/>
      <c r="J2426" s="11"/>
      <c r="K2426" s="11">
        <v>1</v>
      </c>
      <c r="L2426" s="11"/>
      <c r="M2426" s="11" t="b">
        <v>1</v>
      </c>
      <c r="N2426" s="11"/>
    </row>
    <row r="2427" spans="1:14" s="22" customFormat="1" x14ac:dyDescent="0.25">
      <c r="A2427" s="32" t="s">
        <v>119</v>
      </c>
      <c r="B2427" s="32" t="s">
        <v>119</v>
      </c>
      <c r="C2427" s="26" t="str">
        <f>IF(A2427="","",IF((COUNTIFS(A:A,A2427))&gt;1,"ID重复",""))</f>
        <v/>
      </c>
      <c r="D2427" s="11">
        <v>104</v>
      </c>
      <c r="E2427" s="132" t="str">
        <f>INDEX([1]道具配置表!$D:$D,MATCH(D2427,[1]道具配置表!$A:$A,0))</f>
        <v>1黄金</v>
      </c>
      <c r="F2427" s="32">
        <v>14000</v>
      </c>
      <c r="G2427" s="11"/>
      <c r="H2427" s="11"/>
      <c r="I2427" s="11"/>
      <c r="J2427" s="11"/>
      <c r="K2427" s="11">
        <v>1</v>
      </c>
      <c r="L2427" s="11"/>
      <c r="M2427" s="11" t="b">
        <v>1</v>
      </c>
    </row>
    <row r="2428" spans="1:14" x14ac:dyDescent="0.25">
      <c r="A2428" s="32" t="s">
        <v>119</v>
      </c>
      <c r="B2428" s="32" t="s">
        <v>119</v>
      </c>
      <c r="C2428" s="26" t="str">
        <f>IF(A2428="","",IF((COUNTIFS(A:A,A2428))&gt;1,"ID重复",""))</f>
        <v/>
      </c>
      <c r="D2428" s="11">
        <v>7003</v>
      </c>
      <c r="E2428" s="132" t="str">
        <f>INDEX([1]道具配置表!$D:$D,MATCH(D2428,[1]道具配置表!$A:$A,0))</f>
        <v>1银币（立即使用，不进背包）</v>
      </c>
      <c r="F2428" s="32">
        <v>50</v>
      </c>
      <c r="G2428" s="11"/>
      <c r="H2428" s="11"/>
      <c r="I2428" s="11"/>
      <c r="J2428" s="11"/>
      <c r="K2428" s="11">
        <v>1</v>
      </c>
      <c r="L2428" s="11"/>
      <c r="M2428" s="11" t="b">
        <v>1</v>
      </c>
      <c r="N2428" s="11"/>
    </row>
    <row r="2429" spans="1:14" x14ac:dyDescent="0.25">
      <c r="A2429" s="32">
        <v>6622013</v>
      </c>
      <c r="B2429" s="32" t="s">
        <v>461</v>
      </c>
      <c r="C2429" s="26" t="str">
        <f>IF(A2429="","",IF((COUNTIFS(A:A,A2429))&gt;1,"ID重复",""))</f>
        <v/>
      </c>
      <c r="D2429" s="11">
        <v>102</v>
      </c>
      <c r="E2429" s="132" t="str">
        <f>INDEX([1]道具配置表!$D:$D,MATCH(D2429,[1]道具配置表!$A:$A,0))</f>
        <v>1食物</v>
      </c>
      <c r="F2429" s="32">
        <v>16000</v>
      </c>
      <c r="G2429" s="11"/>
      <c r="H2429" s="11"/>
      <c r="I2429" s="11"/>
      <c r="J2429" s="11"/>
      <c r="K2429" s="11">
        <v>1</v>
      </c>
      <c r="L2429" s="11"/>
      <c r="M2429" s="11" t="b">
        <v>1</v>
      </c>
      <c r="N2429" s="11"/>
    </row>
    <row r="2430" spans="1:14" x14ac:dyDescent="0.25">
      <c r="A2430" s="32" t="s">
        <v>119</v>
      </c>
      <c r="B2430" s="32" t="s">
        <v>119</v>
      </c>
      <c r="C2430" s="26" t="str">
        <f>IF(A2430="","",IF((COUNTIFS(A:A,A2430))&gt;1,"ID重复",""))</f>
        <v/>
      </c>
      <c r="D2430" s="11">
        <v>101</v>
      </c>
      <c r="E2430" s="132" t="str">
        <f>INDEX([1]道具配置表!$D:$D,MATCH(D2430,[1]道具配置表!$A:$A,0))</f>
        <v>1木材</v>
      </c>
      <c r="F2430" s="32">
        <v>16000</v>
      </c>
      <c r="G2430" s="11"/>
      <c r="H2430" s="11"/>
      <c r="I2430" s="11"/>
      <c r="J2430" s="11"/>
      <c r="K2430" s="11">
        <v>1</v>
      </c>
      <c r="L2430" s="11"/>
      <c r="M2430" s="11" t="b">
        <v>1</v>
      </c>
      <c r="N2430" s="11"/>
    </row>
    <row r="2431" spans="1:14" x14ac:dyDescent="0.25">
      <c r="A2431" s="32" t="s">
        <v>119</v>
      </c>
      <c r="B2431" s="32" t="s">
        <v>119</v>
      </c>
      <c r="C2431" s="26" t="str">
        <f>IF(A2431="","",IF((COUNTIFS(A:A,A2431))&gt;1,"ID重复",""))</f>
        <v/>
      </c>
      <c r="D2431" s="11">
        <v>103</v>
      </c>
      <c r="E2431" s="132" t="str">
        <f>INDEX([1]道具配置表!$D:$D,MATCH(D2431,[1]道具配置表!$A:$A,0))</f>
        <v>1石头</v>
      </c>
      <c r="F2431" s="32">
        <v>16000</v>
      </c>
      <c r="G2431" s="11"/>
      <c r="H2431" s="11"/>
      <c r="I2431" s="11"/>
      <c r="J2431" s="11"/>
      <c r="K2431" s="11">
        <v>1</v>
      </c>
      <c r="L2431" s="11"/>
      <c r="M2431" s="11" t="b">
        <v>1</v>
      </c>
      <c r="N2431" s="11"/>
    </row>
    <row r="2432" spans="1:14" x14ac:dyDescent="0.25">
      <c r="A2432" s="32" t="s">
        <v>119</v>
      </c>
      <c r="B2432" s="32" t="s">
        <v>119</v>
      </c>
      <c r="C2432" s="26" t="str">
        <f>IF(A2432="","",IF((COUNTIFS(A:A,A2432))&gt;1,"ID重复",""))</f>
        <v/>
      </c>
      <c r="D2432" s="11">
        <v>104</v>
      </c>
      <c r="E2432" s="132" t="str">
        <f>INDEX([1]道具配置表!$D:$D,MATCH(D2432,[1]道具配置表!$A:$A,0))</f>
        <v>1黄金</v>
      </c>
      <c r="F2432" s="32">
        <v>16000</v>
      </c>
      <c r="G2432" s="11"/>
      <c r="H2432" s="11"/>
      <c r="I2432" s="11"/>
      <c r="J2432" s="11"/>
      <c r="K2432" s="11">
        <v>1</v>
      </c>
      <c r="L2432" s="11"/>
      <c r="M2432" s="11" t="b">
        <v>1</v>
      </c>
      <c r="N2432" s="11"/>
    </row>
    <row r="2433" spans="1:14" s="22" customFormat="1" x14ac:dyDescent="0.25">
      <c r="A2433" s="32" t="s">
        <v>119</v>
      </c>
      <c r="B2433" s="32" t="s">
        <v>119</v>
      </c>
      <c r="C2433" s="26" t="str">
        <f>IF(A2433="","",IF((COUNTIFS(A:A,A2433))&gt;1,"ID重复",""))</f>
        <v/>
      </c>
      <c r="D2433" s="11">
        <v>7003</v>
      </c>
      <c r="E2433" s="132" t="str">
        <f>INDEX([1]道具配置表!$D:$D,MATCH(D2433,[1]道具配置表!$A:$A,0))</f>
        <v>1银币（立即使用，不进背包）</v>
      </c>
      <c r="F2433" s="32">
        <v>50</v>
      </c>
      <c r="G2433" s="11"/>
      <c r="H2433" s="11"/>
      <c r="I2433" s="11"/>
      <c r="J2433" s="11"/>
      <c r="K2433" s="11">
        <v>1</v>
      </c>
      <c r="L2433" s="11"/>
      <c r="M2433" s="11" t="b">
        <v>1</v>
      </c>
    </row>
    <row r="2434" spans="1:14" x14ac:dyDescent="0.25">
      <c r="A2434" s="32">
        <v>6622014</v>
      </c>
      <c r="B2434" s="32" t="s">
        <v>462</v>
      </c>
      <c r="C2434" s="26" t="str">
        <f>IF(A2434="","",IF((COUNTIFS(A:A,A2434))&gt;1,"ID重复",""))</f>
        <v/>
      </c>
      <c r="D2434" s="11">
        <v>102</v>
      </c>
      <c r="E2434" s="132" t="str">
        <f>INDEX([1]道具配置表!$D:$D,MATCH(D2434,[1]道具配置表!$A:$A,0))</f>
        <v>1食物</v>
      </c>
      <c r="F2434" s="32">
        <v>18000</v>
      </c>
      <c r="G2434" s="11"/>
      <c r="H2434" s="11"/>
      <c r="I2434" s="11"/>
      <c r="J2434" s="11"/>
      <c r="K2434" s="11">
        <v>1</v>
      </c>
      <c r="L2434" s="11"/>
      <c r="M2434" s="11" t="b">
        <v>1</v>
      </c>
      <c r="N2434" s="11"/>
    </row>
    <row r="2435" spans="1:14" x14ac:dyDescent="0.25">
      <c r="A2435" s="32" t="s">
        <v>119</v>
      </c>
      <c r="B2435" s="32" t="s">
        <v>119</v>
      </c>
      <c r="C2435" s="26" t="str">
        <f>IF(A2435="","",IF((COUNTIFS(A:A,A2435))&gt;1,"ID重复",""))</f>
        <v/>
      </c>
      <c r="D2435" s="11">
        <v>101</v>
      </c>
      <c r="E2435" s="132" t="str">
        <f>INDEX([1]道具配置表!$D:$D,MATCH(D2435,[1]道具配置表!$A:$A,0))</f>
        <v>1木材</v>
      </c>
      <c r="F2435" s="32">
        <v>18000</v>
      </c>
      <c r="G2435" s="11"/>
      <c r="H2435" s="11"/>
      <c r="I2435" s="11"/>
      <c r="J2435" s="11"/>
      <c r="K2435" s="11">
        <v>1</v>
      </c>
      <c r="L2435" s="11"/>
      <c r="M2435" s="11" t="b">
        <v>1</v>
      </c>
      <c r="N2435" s="11"/>
    </row>
    <row r="2436" spans="1:14" x14ac:dyDescent="0.25">
      <c r="A2436" s="32" t="s">
        <v>119</v>
      </c>
      <c r="B2436" s="32" t="s">
        <v>119</v>
      </c>
      <c r="C2436" s="26" t="str">
        <f>IF(A2436="","",IF((COUNTIFS(A:A,A2436))&gt;1,"ID重复",""))</f>
        <v/>
      </c>
      <c r="D2436" s="11">
        <v>103</v>
      </c>
      <c r="E2436" s="132" t="str">
        <f>INDEX([1]道具配置表!$D:$D,MATCH(D2436,[1]道具配置表!$A:$A,0))</f>
        <v>1石头</v>
      </c>
      <c r="F2436" s="32">
        <v>18000</v>
      </c>
      <c r="G2436" s="11"/>
      <c r="H2436" s="11"/>
      <c r="I2436" s="11"/>
      <c r="J2436" s="11"/>
      <c r="K2436" s="11">
        <v>1</v>
      </c>
      <c r="L2436" s="11"/>
      <c r="M2436" s="11" t="b">
        <v>1</v>
      </c>
      <c r="N2436" s="11"/>
    </row>
    <row r="2437" spans="1:14" x14ac:dyDescent="0.25">
      <c r="A2437" s="32" t="s">
        <v>119</v>
      </c>
      <c r="B2437" s="32" t="s">
        <v>119</v>
      </c>
      <c r="C2437" s="26" t="str">
        <f>IF(A2437="","",IF((COUNTIFS(A:A,A2437))&gt;1,"ID重复",""))</f>
        <v/>
      </c>
      <c r="D2437" s="11">
        <v>104</v>
      </c>
      <c r="E2437" s="132" t="str">
        <f>INDEX([1]道具配置表!$D:$D,MATCH(D2437,[1]道具配置表!$A:$A,0))</f>
        <v>1黄金</v>
      </c>
      <c r="F2437" s="32">
        <v>18000</v>
      </c>
      <c r="G2437" s="11"/>
      <c r="H2437" s="11"/>
      <c r="I2437" s="11"/>
      <c r="J2437" s="11"/>
      <c r="K2437" s="11">
        <v>1</v>
      </c>
      <c r="L2437" s="11"/>
      <c r="M2437" s="11" t="b">
        <v>1</v>
      </c>
      <c r="N2437" s="11"/>
    </row>
    <row r="2438" spans="1:14" x14ac:dyDescent="0.25">
      <c r="A2438" s="32" t="s">
        <v>119</v>
      </c>
      <c r="B2438" s="32" t="s">
        <v>119</v>
      </c>
      <c r="C2438" s="26" t="str">
        <f>IF(A2438="","",IF((COUNTIFS(A:A,A2438))&gt;1,"ID重复",""))</f>
        <v/>
      </c>
      <c r="D2438" s="11">
        <v>7003</v>
      </c>
      <c r="E2438" s="132" t="str">
        <f>INDEX([1]道具配置表!$D:$D,MATCH(D2438,[1]道具配置表!$A:$A,0))</f>
        <v>1银币（立即使用，不进背包）</v>
      </c>
      <c r="F2438" s="32">
        <v>50</v>
      </c>
      <c r="G2438" s="11"/>
      <c r="H2438" s="11"/>
      <c r="I2438" s="11"/>
      <c r="J2438" s="11"/>
      <c r="K2438" s="11">
        <v>1</v>
      </c>
      <c r="L2438" s="11"/>
      <c r="M2438" s="11" t="b">
        <v>1</v>
      </c>
      <c r="N2438" s="11"/>
    </row>
    <row r="2439" spans="1:14" s="22" customFormat="1" x14ac:dyDescent="0.25">
      <c r="A2439" s="32">
        <v>6622015</v>
      </c>
      <c r="B2439" s="32" t="s">
        <v>463</v>
      </c>
      <c r="C2439" s="26" t="str">
        <f>IF(A2439="","",IF((COUNTIFS(A:A,A2439))&gt;1,"ID重复",""))</f>
        <v/>
      </c>
      <c r="D2439" s="11">
        <v>102</v>
      </c>
      <c r="E2439" s="132" t="str">
        <f>INDEX([1]道具配置表!$D:$D,MATCH(D2439,[1]道具配置表!$A:$A,0))</f>
        <v>1食物</v>
      </c>
      <c r="F2439" s="32">
        <v>20000</v>
      </c>
      <c r="G2439" s="11"/>
      <c r="H2439" s="11"/>
      <c r="I2439" s="11"/>
      <c r="J2439" s="11"/>
      <c r="K2439" s="11">
        <v>1</v>
      </c>
      <c r="L2439" s="11"/>
      <c r="M2439" s="11" t="b">
        <v>1</v>
      </c>
    </row>
    <row r="2440" spans="1:14" x14ac:dyDescent="0.25">
      <c r="A2440" s="32" t="s">
        <v>119</v>
      </c>
      <c r="B2440" s="32" t="s">
        <v>119</v>
      </c>
      <c r="C2440" s="26" t="str">
        <f>IF(A2440="","",IF((COUNTIFS(A:A,A2440))&gt;1,"ID重复",""))</f>
        <v/>
      </c>
      <c r="D2440" s="11">
        <v>101</v>
      </c>
      <c r="E2440" s="132" t="str">
        <f>INDEX([1]道具配置表!$D:$D,MATCH(D2440,[1]道具配置表!$A:$A,0))</f>
        <v>1木材</v>
      </c>
      <c r="F2440" s="32">
        <v>20000</v>
      </c>
      <c r="G2440" s="11"/>
      <c r="H2440" s="11"/>
      <c r="I2440" s="11"/>
      <c r="J2440" s="11"/>
      <c r="K2440" s="11">
        <v>1</v>
      </c>
      <c r="L2440" s="11"/>
      <c r="M2440" s="11" t="b">
        <v>1</v>
      </c>
      <c r="N2440" s="11"/>
    </row>
    <row r="2441" spans="1:14" x14ac:dyDescent="0.25">
      <c r="A2441" s="32" t="s">
        <v>119</v>
      </c>
      <c r="B2441" s="32" t="s">
        <v>119</v>
      </c>
      <c r="C2441" s="26" t="str">
        <f>IF(A2441="","",IF((COUNTIFS(A:A,A2441))&gt;1,"ID重复",""))</f>
        <v/>
      </c>
      <c r="D2441" s="11">
        <v>103</v>
      </c>
      <c r="E2441" s="132" t="str">
        <f>INDEX([1]道具配置表!$D:$D,MATCH(D2441,[1]道具配置表!$A:$A,0))</f>
        <v>1石头</v>
      </c>
      <c r="F2441" s="32">
        <v>20000</v>
      </c>
      <c r="G2441" s="11"/>
      <c r="H2441" s="11"/>
      <c r="I2441" s="11"/>
      <c r="J2441" s="11"/>
      <c r="K2441" s="11">
        <v>1</v>
      </c>
      <c r="L2441" s="11"/>
      <c r="M2441" s="11" t="b">
        <v>1</v>
      </c>
      <c r="N2441" s="11"/>
    </row>
    <row r="2442" spans="1:14" x14ac:dyDescent="0.25">
      <c r="A2442" s="32" t="s">
        <v>119</v>
      </c>
      <c r="B2442" s="32" t="s">
        <v>119</v>
      </c>
      <c r="C2442" s="26" t="str">
        <f>IF(A2442="","",IF((COUNTIFS(A:A,A2442))&gt;1,"ID重复",""))</f>
        <v/>
      </c>
      <c r="D2442" s="11">
        <v>104</v>
      </c>
      <c r="E2442" s="132" t="str">
        <f>INDEX([1]道具配置表!$D:$D,MATCH(D2442,[1]道具配置表!$A:$A,0))</f>
        <v>1黄金</v>
      </c>
      <c r="F2442" s="32">
        <v>20000</v>
      </c>
      <c r="G2442" s="11"/>
      <c r="H2442" s="11"/>
      <c r="I2442" s="11"/>
      <c r="J2442" s="11"/>
      <c r="K2442" s="11">
        <v>1</v>
      </c>
      <c r="L2442" s="11"/>
      <c r="M2442" s="11" t="b">
        <v>1</v>
      </c>
      <c r="N2442" s="11"/>
    </row>
    <row r="2443" spans="1:14" x14ac:dyDescent="0.25">
      <c r="A2443" s="32" t="s">
        <v>119</v>
      </c>
      <c r="B2443" s="32" t="s">
        <v>119</v>
      </c>
      <c r="C2443" s="26" t="str">
        <f>IF(A2443="","",IF((COUNTIFS(A:A,A2443))&gt;1,"ID重复",""))</f>
        <v/>
      </c>
      <c r="D2443" s="11">
        <v>7003</v>
      </c>
      <c r="E2443" s="132" t="str">
        <f>INDEX([1]道具配置表!$D:$D,MATCH(D2443,[1]道具配置表!$A:$A,0))</f>
        <v>1银币（立即使用，不进背包）</v>
      </c>
      <c r="F2443" s="32">
        <v>50</v>
      </c>
      <c r="G2443" s="11"/>
      <c r="H2443" s="11"/>
      <c r="I2443" s="11"/>
      <c r="J2443" s="11"/>
      <c r="K2443" s="11">
        <v>1</v>
      </c>
      <c r="L2443" s="11"/>
      <c r="M2443" s="11" t="b">
        <v>1</v>
      </c>
      <c r="N2443" s="11"/>
    </row>
    <row r="2444" spans="1:14" x14ac:dyDescent="0.25">
      <c r="A2444" s="32">
        <v>6622016</v>
      </c>
      <c r="B2444" s="32" t="s">
        <v>464</v>
      </c>
      <c r="C2444" s="26" t="str">
        <f>IF(A2444="","",IF((COUNTIFS(A:A,A2444))&gt;1,"ID重复",""))</f>
        <v/>
      </c>
      <c r="D2444" s="11">
        <v>102</v>
      </c>
      <c r="E2444" s="132" t="str">
        <f>INDEX([1]道具配置表!$D:$D,MATCH(D2444,[1]道具配置表!$A:$A,0))</f>
        <v>1食物</v>
      </c>
      <c r="F2444" s="32">
        <v>25000</v>
      </c>
      <c r="G2444" s="11"/>
      <c r="H2444" s="11"/>
      <c r="I2444" s="11"/>
      <c r="J2444" s="11"/>
      <c r="K2444" s="11">
        <v>1</v>
      </c>
      <c r="L2444" s="11"/>
      <c r="M2444" s="11" t="b">
        <v>1</v>
      </c>
      <c r="N2444" s="11"/>
    </row>
    <row r="2445" spans="1:14" s="22" customFormat="1" x14ac:dyDescent="0.25">
      <c r="A2445" s="32" t="s">
        <v>119</v>
      </c>
      <c r="B2445" s="32" t="s">
        <v>119</v>
      </c>
      <c r="C2445" s="26" t="str">
        <f>IF(A2445="","",IF((COUNTIFS(A:A,A2445))&gt;1,"ID重复",""))</f>
        <v/>
      </c>
      <c r="D2445" s="11">
        <v>101</v>
      </c>
      <c r="E2445" s="132" t="str">
        <f>INDEX([1]道具配置表!$D:$D,MATCH(D2445,[1]道具配置表!$A:$A,0))</f>
        <v>1木材</v>
      </c>
      <c r="F2445" s="32">
        <v>25000</v>
      </c>
      <c r="G2445" s="11"/>
      <c r="H2445" s="11"/>
      <c r="I2445" s="11"/>
      <c r="J2445" s="11"/>
      <c r="K2445" s="11">
        <v>1</v>
      </c>
      <c r="L2445" s="11"/>
      <c r="M2445" s="11" t="b">
        <v>1</v>
      </c>
    </row>
    <row r="2446" spans="1:14" x14ac:dyDescent="0.25">
      <c r="A2446" s="32" t="s">
        <v>119</v>
      </c>
      <c r="B2446" s="32" t="s">
        <v>119</v>
      </c>
      <c r="C2446" s="26" t="str">
        <f>IF(A2446="","",IF((COUNTIFS(A:A,A2446))&gt;1,"ID重复",""))</f>
        <v/>
      </c>
      <c r="D2446" s="11">
        <v>103</v>
      </c>
      <c r="E2446" s="132" t="str">
        <f>INDEX([1]道具配置表!$D:$D,MATCH(D2446,[1]道具配置表!$A:$A,0))</f>
        <v>1石头</v>
      </c>
      <c r="F2446" s="32">
        <v>25000</v>
      </c>
      <c r="G2446" s="11"/>
      <c r="H2446" s="11"/>
      <c r="I2446" s="11"/>
      <c r="J2446" s="11"/>
      <c r="K2446" s="11">
        <v>1</v>
      </c>
      <c r="L2446" s="11"/>
      <c r="M2446" s="11" t="b">
        <v>1</v>
      </c>
      <c r="N2446" s="11"/>
    </row>
    <row r="2447" spans="1:14" x14ac:dyDescent="0.25">
      <c r="A2447" s="32" t="s">
        <v>119</v>
      </c>
      <c r="B2447" s="32" t="s">
        <v>119</v>
      </c>
      <c r="C2447" s="26" t="str">
        <f>IF(A2447="","",IF((COUNTIFS(A:A,A2447))&gt;1,"ID重复",""))</f>
        <v/>
      </c>
      <c r="D2447" s="11">
        <v>104</v>
      </c>
      <c r="E2447" s="132" t="str">
        <f>INDEX([1]道具配置表!$D:$D,MATCH(D2447,[1]道具配置表!$A:$A,0))</f>
        <v>1黄金</v>
      </c>
      <c r="F2447" s="32">
        <v>25000</v>
      </c>
      <c r="G2447" s="11"/>
      <c r="H2447" s="11"/>
      <c r="I2447" s="11"/>
      <c r="J2447" s="11"/>
      <c r="K2447" s="11">
        <v>1</v>
      </c>
      <c r="L2447" s="11"/>
      <c r="M2447" s="11" t="b">
        <v>1</v>
      </c>
      <c r="N2447" s="11"/>
    </row>
    <row r="2448" spans="1:14" x14ac:dyDescent="0.25">
      <c r="A2448" s="32" t="s">
        <v>119</v>
      </c>
      <c r="B2448" s="32" t="s">
        <v>119</v>
      </c>
      <c r="C2448" s="26" t="str">
        <f>IF(A2448="","",IF((COUNTIFS(A:A,A2448))&gt;1,"ID重复",""))</f>
        <v/>
      </c>
      <c r="D2448" s="11">
        <v>7003</v>
      </c>
      <c r="E2448" s="132" t="str">
        <f>INDEX([1]道具配置表!$D:$D,MATCH(D2448,[1]道具配置表!$A:$A,0))</f>
        <v>1银币（立即使用，不进背包）</v>
      </c>
      <c r="F2448" s="32">
        <v>50</v>
      </c>
      <c r="G2448" s="11"/>
      <c r="H2448" s="11"/>
      <c r="I2448" s="11"/>
      <c r="J2448" s="11"/>
      <c r="K2448" s="11">
        <v>1</v>
      </c>
      <c r="L2448" s="11"/>
      <c r="M2448" s="11" t="b">
        <v>1</v>
      </c>
      <c r="N2448" s="11"/>
    </row>
    <row r="2449" spans="1:14" x14ac:dyDescent="0.25">
      <c r="A2449" s="32">
        <v>6622017</v>
      </c>
      <c r="B2449" s="32" t="s">
        <v>465</v>
      </c>
      <c r="C2449" s="26" t="str">
        <f>IF(A2449="","",IF((COUNTIFS(A:A,A2449))&gt;1,"ID重复",""))</f>
        <v/>
      </c>
      <c r="D2449" s="11">
        <v>102</v>
      </c>
      <c r="E2449" s="132" t="str">
        <f>INDEX([1]道具配置表!$D:$D,MATCH(D2449,[1]道具配置表!$A:$A,0))</f>
        <v>1食物</v>
      </c>
      <c r="F2449" s="32">
        <v>30000</v>
      </c>
      <c r="G2449" s="11"/>
      <c r="H2449" s="11"/>
      <c r="I2449" s="11"/>
      <c r="J2449" s="11"/>
      <c r="K2449" s="11">
        <v>1</v>
      </c>
      <c r="L2449" s="11"/>
      <c r="M2449" s="11" t="b">
        <v>1</v>
      </c>
      <c r="N2449" s="11"/>
    </row>
    <row r="2450" spans="1:14" x14ac:dyDescent="0.25">
      <c r="A2450" s="32" t="s">
        <v>119</v>
      </c>
      <c r="B2450" s="32" t="s">
        <v>119</v>
      </c>
      <c r="C2450" s="26" t="str">
        <f>IF(A2450="","",IF((COUNTIFS(A:A,A2450))&gt;1,"ID重复",""))</f>
        <v/>
      </c>
      <c r="D2450" s="11">
        <v>101</v>
      </c>
      <c r="E2450" s="132" t="str">
        <f>INDEX([1]道具配置表!$D:$D,MATCH(D2450,[1]道具配置表!$A:$A,0))</f>
        <v>1木材</v>
      </c>
      <c r="F2450" s="32">
        <v>30000</v>
      </c>
      <c r="G2450" s="11"/>
      <c r="H2450" s="11"/>
      <c r="I2450" s="11"/>
      <c r="J2450" s="11"/>
      <c r="K2450" s="11">
        <v>1</v>
      </c>
      <c r="L2450" s="11"/>
      <c r="M2450" s="11" t="b">
        <v>1</v>
      </c>
      <c r="N2450" s="11"/>
    </row>
    <row r="2451" spans="1:14" s="22" customFormat="1" x14ac:dyDescent="0.25">
      <c r="A2451" s="32" t="s">
        <v>119</v>
      </c>
      <c r="B2451" s="32" t="s">
        <v>119</v>
      </c>
      <c r="C2451" s="26" t="str">
        <f>IF(A2451="","",IF((COUNTIFS(A:A,A2451))&gt;1,"ID重复",""))</f>
        <v/>
      </c>
      <c r="D2451" s="11">
        <v>103</v>
      </c>
      <c r="E2451" s="132" t="str">
        <f>INDEX([1]道具配置表!$D:$D,MATCH(D2451,[1]道具配置表!$A:$A,0))</f>
        <v>1石头</v>
      </c>
      <c r="F2451" s="32">
        <v>30000</v>
      </c>
      <c r="G2451" s="11"/>
      <c r="H2451" s="11"/>
      <c r="I2451" s="11"/>
      <c r="J2451" s="11"/>
      <c r="K2451" s="11">
        <v>1</v>
      </c>
      <c r="L2451" s="11"/>
      <c r="M2451" s="11" t="b">
        <v>1</v>
      </c>
    </row>
    <row r="2452" spans="1:14" x14ac:dyDescent="0.25">
      <c r="A2452" s="32" t="s">
        <v>119</v>
      </c>
      <c r="B2452" s="32" t="s">
        <v>119</v>
      </c>
      <c r="C2452" s="26" t="str">
        <f>IF(A2452="","",IF((COUNTIFS(A:A,A2452))&gt;1,"ID重复",""))</f>
        <v/>
      </c>
      <c r="D2452" s="11">
        <v>104</v>
      </c>
      <c r="E2452" s="132" t="str">
        <f>INDEX([1]道具配置表!$D:$D,MATCH(D2452,[1]道具配置表!$A:$A,0))</f>
        <v>1黄金</v>
      </c>
      <c r="F2452" s="32">
        <v>30000</v>
      </c>
      <c r="G2452" s="11"/>
      <c r="H2452" s="11"/>
      <c r="I2452" s="11"/>
      <c r="J2452" s="11"/>
      <c r="K2452" s="11">
        <v>1</v>
      </c>
      <c r="L2452" s="11"/>
      <c r="M2452" s="11" t="b">
        <v>1</v>
      </c>
      <c r="N2452" s="11"/>
    </row>
    <row r="2453" spans="1:14" x14ac:dyDescent="0.25">
      <c r="A2453" s="32" t="s">
        <v>119</v>
      </c>
      <c r="B2453" s="32" t="s">
        <v>119</v>
      </c>
      <c r="C2453" s="26" t="str">
        <f>IF(A2453="","",IF((COUNTIFS(A:A,A2453))&gt;1,"ID重复",""))</f>
        <v/>
      </c>
      <c r="D2453" s="11">
        <v>7003</v>
      </c>
      <c r="E2453" s="132" t="str">
        <f>INDEX([1]道具配置表!$D:$D,MATCH(D2453,[1]道具配置表!$A:$A,0))</f>
        <v>1银币（立即使用，不进背包）</v>
      </c>
      <c r="F2453" s="32">
        <v>50</v>
      </c>
      <c r="G2453" s="11"/>
      <c r="H2453" s="11"/>
      <c r="I2453" s="11"/>
      <c r="J2453" s="11"/>
      <c r="K2453" s="11">
        <v>1</v>
      </c>
      <c r="L2453" s="11"/>
      <c r="M2453" s="11" t="b">
        <v>1</v>
      </c>
      <c r="N2453" s="11"/>
    </row>
    <row r="2454" spans="1:14" x14ac:dyDescent="0.25">
      <c r="A2454" s="32">
        <v>6622018</v>
      </c>
      <c r="B2454" s="32" t="s">
        <v>466</v>
      </c>
      <c r="C2454" s="26" t="str">
        <f>IF(A2454="","",IF((COUNTIFS(A:A,A2454))&gt;1,"ID重复",""))</f>
        <v/>
      </c>
      <c r="D2454" s="11">
        <v>102</v>
      </c>
      <c r="E2454" s="132" t="str">
        <f>INDEX([1]道具配置表!$D:$D,MATCH(D2454,[1]道具配置表!$A:$A,0))</f>
        <v>1食物</v>
      </c>
      <c r="F2454" s="32">
        <v>35000</v>
      </c>
      <c r="G2454" s="11"/>
      <c r="H2454" s="11"/>
      <c r="I2454" s="11"/>
      <c r="J2454" s="11"/>
      <c r="K2454" s="11">
        <v>1</v>
      </c>
      <c r="L2454" s="11"/>
      <c r="M2454" s="11" t="b">
        <v>1</v>
      </c>
      <c r="N2454" s="11"/>
    </row>
    <row r="2455" spans="1:14" x14ac:dyDescent="0.25">
      <c r="A2455" s="32" t="s">
        <v>119</v>
      </c>
      <c r="B2455" s="32" t="s">
        <v>119</v>
      </c>
      <c r="C2455" s="26" t="str">
        <f>IF(A2455="","",IF((COUNTIFS(A:A,A2455))&gt;1,"ID重复",""))</f>
        <v/>
      </c>
      <c r="D2455" s="11">
        <v>101</v>
      </c>
      <c r="E2455" s="132" t="str">
        <f>INDEX([1]道具配置表!$D:$D,MATCH(D2455,[1]道具配置表!$A:$A,0))</f>
        <v>1木材</v>
      </c>
      <c r="F2455" s="32">
        <v>35000</v>
      </c>
      <c r="G2455" s="11"/>
      <c r="H2455" s="11"/>
      <c r="I2455" s="11"/>
      <c r="J2455" s="11"/>
      <c r="K2455" s="11">
        <v>1</v>
      </c>
      <c r="L2455" s="11"/>
      <c r="M2455" s="11" t="b">
        <v>1</v>
      </c>
      <c r="N2455" s="11"/>
    </row>
    <row r="2456" spans="1:14" x14ac:dyDescent="0.25">
      <c r="A2456" s="32" t="s">
        <v>119</v>
      </c>
      <c r="B2456" s="32" t="s">
        <v>119</v>
      </c>
      <c r="C2456" s="26" t="str">
        <f>IF(A2456="","",IF((COUNTIFS(A:A,A2456))&gt;1,"ID重复",""))</f>
        <v/>
      </c>
      <c r="D2456" s="11">
        <v>103</v>
      </c>
      <c r="E2456" s="132" t="str">
        <f>INDEX([1]道具配置表!$D:$D,MATCH(D2456,[1]道具配置表!$A:$A,0))</f>
        <v>1石头</v>
      </c>
      <c r="F2456" s="32">
        <v>35000</v>
      </c>
      <c r="G2456" s="11"/>
      <c r="H2456" s="11"/>
      <c r="I2456" s="11"/>
      <c r="J2456" s="11"/>
      <c r="K2456" s="11">
        <v>1</v>
      </c>
      <c r="L2456" s="11"/>
      <c r="M2456" s="11" t="b">
        <v>1</v>
      </c>
      <c r="N2456" s="11"/>
    </row>
    <row r="2457" spans="1:14" x14ac:dyDescent="0.25">
      <c r="A2457" s="32" t="s">
        <v>119</v>
      </c>
      <c r="B2457" s="32" t="s">
        <v>119</v>
      </c>
      <c r="C2457" s="26" t="str">
        <f>IF(A2457="","",IF((COUNTIFS(A:A,A2457))&gt;1,"ID重复",""))</f>
        <v/>
      </c>
      <c r="D2457" s="11">
        <v>104</v>
      </c>
      <c r="E2457" s="132" t="str">
        <f>INDEX([1]道具配置表!$D:$D,MATCH(D2457,[1]道具配置表!$A:$A,0))</f>
        <v>1黄金</v>
      </c>
      <c r="F2457" s="32">
        <v>35000</v>
      </c>
      <c r="G2457" s="11"/>
      <c r="H2457" s="11"/>
      <c r="I2457" s="11"/>
      <c r="J2457" s="11"/>
      <c r="K2457" s="11">
        <v>1</v>
      </c>
      <c r="L2457" s="11"/>
      <c r="M2457" s="11" t="b">
        <v>1</v>
      </c>
      <c r="N2457" s="11"/>
    </row>
    <row r="2458" spans="1:14" x14ac:dyDescent="0.25">
      <c r="A2458" s="32" t="s">
        <v>119</v>
      </c>
      <c r="B2458" s="32" t="s">
        <v>119</v>
      </c>
      <c r="C2458" s="26" t="str">
        <f>IF(A2458="","",IF((COUNTIFS(A:A,A2458))&gt;1,"ID重复",""))</f>
        <v/>
      </c>
      <c r="D2458" s="11">
        <v>7003</v>
      </c>
      <c r="E2458" s="132" t="str">
        <f>INDEX([1]道具配置表!$D:$D,MATCH(D2458,[1]道具配置表!$A:$A,0))</f>
        <v>1银币（立即使用，不进背包）</v>
      </c>
      <c r="F2458" s="32">
        <v>50</v>
      </c>
      <c r="G2458" s="11"/>
      <c r="H2458" s="11"/>
      <c r="I2458" s="11"/>
      <c r="J2458" s="11"/>
      <c r="K2458" s="11">
        <v>1</v>
      </c>
      <c r="L2458" s="11"/>
      <c r="M2458" s="11" t="b">
        <v>1</v>
      </c>
      <c r="N2458" s="11"/>
    </row>
    <row r="2459" spans="1:14" x14ac:dyDescent="0.25">
      <c r="A2459" s="32">
        <v>6622019</v>
      </c>
      <c r="B2459" s="32" t="s">
        <v>467</v>
      </c>
      <c r="C2459" s="26" t="str">
        <f>IF(A2459="","",IF((COUNTIFS(A:A,A2459))&gt;1,"ID重复",""))</f>
        <v/>
      </c>
      <c r="D2459" s="11">
        <v>102</v>
      </c>
      <c r="E2459" s="132" t="str">
        <f>INDEX([1]道具配置表!$D:$D,MATCH(D2459,[1]道具配置表!$A:$A,0))</f>
        <v>1食物</v>
      </c>
      <c r="F2459" s="32">
        <v>40000</v>
      </c>
      <c r="G2459" s="11"/>
      <c r="H2459" s="11"/>
      <c r="I2459" s="11"/>
      <c r="J2459" s="11"/>
      <c r="K2459" s="11">
        <v>1</v>
      </c>
      <c r="L2459" s="11"/>
      <c r="M2459" s="11" t="b">
        <v>1</v>
      </c>
      <c r="N2459" s="11"/>
    </row>
    <row r="2460" spans="1:14" x14ac:dyDescent="0.25">
      <c r="A2460" s="32" t="s">
        <v>119</v>
      </c>
      <c r="B2460" s="32" t="s">
        <v>119</v>
      </c>
      <c r="C2460" s="26" t="str">
        <f>IF(A2460="","",IF((COUNTIFS(A:A,A2460))&gt;1,"ID重复",""))</f>
        <v/>
      </c>
      <c r="D2460" s="11">
        <v>101</v>
      </c>
      <c r="E2460" s="132" t="str">
        <f>INDEX([1]道具配置表!$D:$D,MATCH(D2460,[1]道具配置表!$A:$A,0))</f>
        <v>1木材</v>
      </c>
      <c r="F2460" s="32">
        <v>40000</v>
      </c>
      <c r="G2460" s="11"/>
      <c r="H2460" s="11"/>
      <c r="I2460" s="11"/>
      <c r="J2460" s="11"/>
      <c r="K2460" s="11">
        <v>1</v>
      </c>
      <c r="L2460" s="11"/>
      <c r="M2460" s="11" t="b">
        <v>1</v>
      </c>
      <c r="N2460" s="11"/>
    </row>
    <row r="2461" spans="1:14" x14ac:dyDescent="0.25">
      <c r="A2461" s="32" t="s">
        <v>119</v>
      </c>
      <c r="B2461" s="32" t="s">
        <v>119</v>
      </c>
      <c r="C2461" s="26" t="str">
        <f>IF(A2461="","",IF((COUNTIFS(A:A,A2461))&gt;1,"ID重复",""))</f>
        <v/>
      </c>
      <c r="D2461" s="11">
        <v>103</v>
      </c>
      <c r="E2461" s="132" t="str">
        <f>INDEX([1]道具配置表!$D:$D,MATCH(D2461,[1]道具配置表!$A:$A,0))</f>
        <v>1石头</v>
      </c>
      <c r="F2461" s="32">
        <v>40000</v>
      </c>
      <c r="G2461" s="11"/>
      <c r="H2461" s="11"/>
      <c r="I2461" s="11"/>
      <c r="J2461" s="11"/>
      <c r="K2461" s="11">
        <v>1</v>
      </c>
      <c r="L2461" s="11"/>
      <c r="M2461" s="11" t="b">
        <v>1</v>
      </c>
      <c r="N2461" s="45"/>
    </row>
    <row r="2462" spans="1:14" x14ac:dyDescent="0.25">
      <c r="A2462" s="32" t="s">
        <v>119</v>
      </c>
      <c r="B2462" s="32" t="s">
        <v>119</v>
      </c>
      <c r="C2462" s="26" t="str">
        <f>IF(A2462="","",IF((COUNTIFS(A:A,A2462))&gt;1,"ID重复",""))</f>
        <v/>
      </c>
      <c r="D2462" s="11">
        <v>104</v>
      </c>
      <c r="E2462" s="132" t="str">
        <f>INDEX([1]道具配置表!$D:$D,MATCH(D2462,[1]道具配置表!$A:$A,0))</f>
        <v>1黄金</v>
      </c>
      <c r="F2462" s="32">
        <v>40000</v>
      </c>
      <c r="G2462" s="11"/>
      <c r="H2462" s="11"/>
      <c r="I2462" s="11"/>
      <c r="J2462" s="11"/>
      <c r="K2462" s="11">
        <v>1</v>
      </c>
      <c r="L2462" s="11"/>
      <c r="M2462" s="11" t="b">
        <v>1</v>
      </c>
      <c r="N2462" s="11"/>
    </row>
    <row r="2463" spans="1:14" x14ac:dyDescent="0.25">
      <c r="A2463" s="32" t="s">
        <v>119</v>
      </c>
      <c r="B2463" s="32" t="s">
        <v>119</v>
      </c>
      <c r="C2463" s="26" t="str">
        <f>IF(A2463="","",IF((COUNTIFS(A:A,A2463))&gt;1,"ID重复",""))</f>
        <v/>
      </c>
      <c r="D2463" s="11">
        <v>7003</v>
      </c>
      <c r="E2463" s="132" t="str">
        <f>INDEX([1]道具配置表!$D:$D,MATCH(D2463,[1]道具配置表!$A:$A,0))</f>
        <v>1银币（立即使用，不进背包）</v>
      </c>
      <c r="F2463" s="32">
        <v>50</v>
      </c>
      <c r="G2463" s="11"/>
      <c r="H2463" s="11"/>
      <c r="I2463" s="11"/>
      <c r="J2463" s="11"/>
      <c r="K2463" s="11">
        <v>1</v>
      </c>
      <c r="L2463" s="11"/>
      <c r="M2463" s="11" t="b">
        <v>1</v>
      </c>
      <c r="N2463" s="11"/>
    </row>
    <row r="2464" spans="1:14" x14ac:dyDescent="0.25">
      <c r="A2464" s="32">
        <v>6622020</v>
      </c>
      <c r="B2464" s="32" t="s">
        <v>468</v>
      </c>
      <c r="C2464" s="26" t="str">
        <f>IF(A2464="","",IF((COUNTIFS(A:A,A2464))&gt;1,"ID重复",""))</f>
        <v/>
      </c>
      <c r="D2464" s="11">
        <v>102</v>
      </c>
      <c r="E2464" s="132" t="str">
        <f>INDEX([1]道具配置表!$D:$D,MATCH(D2464,[1]道具配置表!$A:$A,0))</f>
        <v>1食物</v>
      </c>
      <c r="F2464" s="32">
        <v>45000</v>
      </c>
      <c r="G2464" s="11"/>
      <c r="H2464" s="11"/>
      <c r="I2464" s="11"/>
      <c r="J2464" s="11"/>
      <c r="K2464" s="11">
        <v>1</v>
      </c>
      <c r="L2464" s="11"/>
      <c r="M2464" s="11" t="b">
        <v>1</v>
      </c>
      <c r="N2464" s="11"/>
    </row>
    <row r="2465" spans="1:14" x14ac:dyDescent="0.25">
      <c r="A2465" s="32" t="s">
        <v>119</v>
      </c>
      <c r="B2465" s="32" t="s">
        <v>119</v>
      </c>
      <c r="C2465" s="26" t="str">
        <f>IF(A2465="","",IF((COUNTIFS(A:A,A2465))&gt;1,"ID重复",""))</f>
        <v/>
      </c>
      <c r="D2465" s="11">
        <v>101</v>
      </c>
      <c r="E2465" s="132" t="str">
        <f>INDEX([1]道具配置表!$D:$D,MATCH(D2465,[1]道具配置表!$A:$A,0))</f>
        <v>1木材</v>
      </c>
      <c r="F2465" s="32">
        <v>45000</v>
      </c>
      <c r="G2465" s="11"/>
      <c r="H2465" s="11"/>
      <c r="I2465" s="11"/>
      <c r="J2465" s="11"/>
      <c r="K2465" s="11">
        <v>1</v>
      </c>
      <c r="L2465" s="11"/>
      <c r="M2465" s="11" t="b">
        <v>1</v>
      </c>
      <c r="N2465" s="11"/>
    </row>
    <row r="2466" spans="1:14" x14ac:dyDescent="0.25">
      <c r="A2466" s="32" t="s">
        <v>119</v>
      </c>
      <c r="B2466" s="32" t="s">
        <v>119</v>
      </c>
      <c r="C2466" s="26" t="str">
        <f>IF(A2466="","",IF((COUNTIFS(A:A,A2466))&gt;1,"ID重复",""))</f>
        <v/>
      </c>
      <c r="D2466" s="11">
        <v>103</v>
      </c>
      <c r="E2466" s="132" t="str">
        <f>INDEX([1]道具配置表!$D:$D,MATCH(D2466,[1]道具配置表!$A:$A,0))</f>
        <v>1石头</v>
      </c>
      <c r="F2466" s="32">
        <v>45000</v>
      </c>
      <c r="G2466" s="11"/>
      <c r="H2466" s="11"/>
      <c r="I2466" s="11"/>
      <c r="J2466" s="11"/>
      <c r="K2466" s="11">
        <v>1</v>
      </c>
      <c r="L2466" s="11"/>
      <c r="M2466" s="11" t="b">
        <v>1</v>
      </c>
      <c r="N2466" s="11"/>
    </row>
    <row r="2467" spans="1:14" x14ac:dyDescent="0.25">
      <c r="A2467" s="32" t="s">
        <v>119</v>
      </c>
      <c r="B2467" s="32" t="s">
        <v>119</v>
      </c>
      <c r="C2467" s="26" t="str">
        <f>IF(A2467="","",IF((COUNTIFS(A:A,A2467))&gt;1,"ID重复",""))</f>
        <v/>
      </c>
      <c r="D2467" s="11">
        <v>104</v>
      </c>
      <c r="E2467" s="132" t="str">
        <f>INDEX([1]道具配置表!$D:$D,MATCH(D2467,[1]道具配置表!$A:$A,0))</f>
        <v>1黄金</v>
      </c>
      <c r="F2467" s="32">
        <v>45000</v>
      </c>
      <c r="G2467" s="11"/>
      <c r="H2467" s="11"/>
      <c r="I2467" s="11"/>
      <c r="J2467" s="11"/>
      <c r="K2467" s="11">
        <v>1</v>
      </c>
      <c r="L2467" s="11"/>
      <c r="M2467" s="11" t="b">
        <v>1</v>
      </c>
      <c r="N2467" s="11"/>
    </row>
    <row r="2468" spans="1:14" x14ac:dyDescent="0.25">
      <c r="A2468" s="32" t="s">
        <v>119</v>
      </c>
      <c r="B2468" s="32" t="s">
        <v>119</v>
      </c>
      <c r="C2468" s="26" t="str">
        <f>IF(A2468="","",IF((COUNTIFS(A:A,A2468))&gt;1,"ID重复",""))</f>
        <v/>
      </c>
      <c r="D2468" s="11">
        <v>7003</v>
      </c>
      <c r="E2468" s="132" t="str">
        <f>INDEX([1]道具配置表!$D:$D,MATCH(D2468,[1]道具配置表!$A:$A,0))</f>
        <v>1银币（立即使用，不进背包）</v>
      </c>
      <c r="F2468" s="32">
        <v>50</v>
      </c>
      <c r="G2468" s="11"/>
      <c r="H2468" s="11"/>
      <c r="I2468" s="11"/>
      <c r="J2468" s="11"/>
      <c r="K2468" s="11">
        <v>1</v>
      </c>
      <c r="L2468" s="11"/>
      <c r="M2468" s="11" t="b">
        <v>1</v>
      </c>
      <c r="N2468" s="11"/>
    </row>
    <row r="2469" spans="1:14" x14ac:dyDescent="0.25">
      <c r="A2469" s="32">
        <v>6622021</v>
      </c>
      <c r="B2469" s="32" t="s">
        <v>469</v>
      </c>
      <c r="C2469" s="26" t="str">
        <f>IF(A2469="","",IF((COUNTIFS(A:A,A2469))&gt;1,"ID重复",""))</f>
        <v/>
      </c>
      <c r="D2469" s="11">
        <v>102</v>
      </c>
      <c r="E2469" s="132" t="str">
        <f>INDEX([1]道具配置表!$D:$D,MATCH(D2469,[1]道具配置表!$A:$A,0))</f>
        <v>1食物</v>
      </c>
      <c r="F2469" s="32">
        <v>55000</v>
      </c>
      <c r="G2469" s="11"/>
      <c r="H2469" s="11"/>
      <c r="I2469" s="11"/>
      <c r="J2469" s="11"/>
      <c r="K2469" s="11">
        <v>1</v>
      </c>
      <c r="L2469" s="11"/>
      <c r="M2469" s="11" t="b">
        <v>1</v>
      </c>
      <c r="N2469" s="11"/>
    </row>
    <row r="2470" spans="1:14" x14ac:dyDescent="0.25">
      <c r="A2470" s="32" t="s">
        <v>119</v>
      </c>
      <c r="B2470" s="32" t="s">
        <v>119</v>
      </c>
      <c r="C2470" s="26" t="str">
        <f>IF(A2470="","",IF((COUNTIFS(A:A,A2470))&gt;1,"ID重复",""))</f>
        <v/>
      </c>
      <c r="D2470" s="11">
        <v>101</v>
      </c>
      <c r="E2470" s="132" t="str">
        <f>INDEX([1]道具配置表!$D:$D,MATCH(D2470,[1]道具配置表!$A:$A,0))</f>
        <v>1木材</v>
      </c>
      <c r="F2470" s="32">
        <v>55000</v>
      </c>
      <c r="G2470" s="11"/>
      <c r="H2470" s="11"/>
      <c r="I2470" s="11"/>
      <c r="J2470" s="11"/>
      <c r="K2470" s="11">
        <v>1</v>
      </c>
      <c r="L2470" s="11"/>
      <c r="M2470" s="11" t="b">
        <v>1</v>
      </c>
      <c r="N2470" s="11"/>
    </row>
    <row r="2471" spans="1:14" x14ac:dyDescent="0.25">
      <c r="A2471" s="32" t="s">
        <v>119</v>
      </c>
      <c r="B2471" s="32" t="s">
        <v>119</v>
      </c>
      <c r="C2471" s="26" t="str">
        <f>IF(A2471="","",IF((COUNTIFS(A:A,A2471))&gt;1,"ID重复",""))</f>
        <v/>
      </c>
      <c r="D2471" s="11">
        <v>103</v>
      </c>
      <c r="E2471" s="132" t="str">
        <f>INDEX([1]道具配置表!$D:$D,MATCH(D2471,[1]道具配置表!$A:$A,0))</f>
        <v>1石头</v>
      </c>
      <c r="F2471" s="32">
        <v>55000</v>
      </c>
      <c r="G2471" s="11"/>
      <c r="H2471" s="11"/>
      <c r="I2471" s="11"/>
      <c r="J2471" s="11"/>
      <c r="K2471" s="11">
        <v>1</v>
      </c>
      <c r="L2471" s="11"/>
      <c r="M2471" s="11" t="b">
        <v>1</v>
      </c>
      <c r="N2471" s="11"/>
    </row>
    <row r="2472" spans="1:14" x14ac:dyDescent="0.25">
      <c r="A2472" s="32" t="s">
        <v>119</v>
      </c>
      <c r="B2472" s="32" t="s">
        <v>119</v>
      </c>
      <c r="C2472" s="26" t="str">
        <f>IF(A2472="","",IF((COUNTIFS(A:A,A2472))&gt;1,"ID重复",""))</f>
        <v/>
      </c>
      <c r="D2472" s="11">
        <v>104</v>
      </c>
      <c r="E2472" s="132" t="str">
        <f>INDEX([1]道具配置表!$D:$D,MATCH(D2472,[1]道具配置表!$A:$A,0))</f>
        <v>1黄金</v>
      </c>
      <c r="F2472" s="32">
        <v>55000</v>
      </c>
      <c r="G2472" s="11"/>
      <c r="H2472" s="11"/>
      <c r="I2472" s="11"/>
      <c r="J2472" s="11"/>
      <c r="K2472" s="11">
        <v>1</v>
      </c>
      <c r="L2472" s="11"/>
      <c r="M2472" s="11" t="b">
        <v>1</v>
      </c>
      <c r="N2472" s="11"/>
    </row>
    <row r="2473" spans="1:14" x14ac:dyDescent="0.25">
      <c r="A2473" s="32" t="s">
        <v>119</v>
      </c>
      <c r="B2473" s="32" t="s">
        <v>119</v>
      </c>
      <c r="C2473" s="26" t="str">
        <f>IF(A2473="","",IF((COUNTIFS(A:A,A2473))&gt;1,"ID重复",""))</f>
        <v/>
      </c>
      <c r="D2473" s="11">
        <v>7003</v>
      </c>
      <c r="E2473" s="132" t="str">
        <f>INDEX([1]道具配置表!$D:$D,MATCH(D2473,[1]道具配置表!$A:$A,0))</f>
        <v>1银币（立即使用，不进背包）</v>
      </c>
      <c r="F2473" s="32">
        <v>50</v>
      </c>
      <c r="G2473" s="11"/>
      <c r="H2473" s="11"/>
      <c r="I2473" s="11"/>
      <c r="J2473" s="11"/>
      <c r="K2473" s="11">
        <v>1</v>
      </c>
      <c r="L2473" s="11"/>
      <c r="M2473" s="11" t="b">
        <v>1</v>
      </c>
      <c r="N2473" s="11"/>
    </row>
    <row r="2474" spans="1:14" x14ac:dyDescent="0.25">
      <c r="A2474" s="32">
        <v>6622022</v>
      </c>
      <c r="B2474" s="32" t="s">
        <v>470</v>
      </c>
      <c r="C2474" s="26" t="str">
        <f>IF(A2474="","",IF((COUNTIFS(A:A,A2474))&gt;1,"ID重复",""))</f>
        <v/>
      </c>
      <c r="D2474" s="11">
        <v>102</v>
      </c>
      <c r="E2474" s="132" t="str">
        <f>INDEX([1]道具配置表!$D:$D,MATCH(D2474,[1]道具配置表!$A:$A,0))</f>
        <v>1食物</v>
      </c>
      <c r="F2474" s="32">
        <v>65000</v>
      </c>
      <c r="G2474" s="11"/>
      <c r="H2474" s="11"/>
      <c r="I2474" s="11"/>
      <c r="J2474" s="11"/>
      <c r="K2474" s="11">
        <v>1</v>
      </c>
      <c r="L2474" s="11"/>
      <c r="M2474" s="11" t="b">
        <v>1</v>
      </c>
      <c r="N2474" s="11"/>
    </row>
    <row r="2475" spans="1:14" x14ac:dyDescent="0.25">
      <c r="A2475" s="32" t="s">
        <v>119</v>
      </c>
      <c r="B2475" s="32" t="s">
        <v>119</v>
      </c>
      <c r="C2475" s="26" t="str">
        <f>IF(A2475="","",IF((COUNTIFS(A:A,A2475))&gt;1,"ID重复",""))</f>
        <v/>
      </c>
      <c r="D2475" s="11">
        <v>101</v>
      </c>
      <c r="E2475" s="132" t="str">
        <f>INDEX([1]道具配置表!$D:$D,MATCH(D2475,[1]道具配置表!$A:$A,0))</f>
        <v>1木材</v>
      </c>
      <c r="F2475" s="32">
        <v>65000</v>
      </c>
      <c r="G2475" s="11"/>
      <c r="H2475" s="11"/>
      <c r="I2475" s="11"/>
      <c r="J2475" s="11"/>
      <c r="K2475" s="11">
        <v>1</v>
      </c>
      <c r="L2475" s="11"/>
      <c r="M2475" s="11" t="b">
        <v>1</v>
      </c>
      <c r="N2475" s="11"/>
    </row>
    <row r="2476" spans="1:14" x14ac:dyDescent="0.25">
      <c r="A2476" s="32" t="s">
        <v>119</v>
      </c>
      <c r="B2476" s="32" t="s">
        <v>119</v>
      </c>
      <c r="C2476" s="26" t="str">
        <f>IF(A2476="","",IF((COUNTIFS(A:A,A2476))&gt;1,"ID重复",""))</f>
        <v/>
      </c>
      <c r="D2476" s="11">
        <v>103</v>
      </c>
      <c r="E2476" s="132" t="str">
        <f>INDEX([1]道具配置表!$D:$D,MATCH(D2476,[1]道具配置表!$A:$A,0))</f>
        <v>1石头</v>
      </c>
      <c r="F2476" s="32">
        <v>65000</v>
      </c>
      <c r="G2476" s="11"/>
      <c r="H2476" s="11"/>
      <c r="I2476" s="11"/>
      <c r="J2476" s="11"/>
      <c r="K2476" s="11">
        <v>1</v>
      </c>
      <c r="L2476" s="11"/>
      <c r="M2476" s="11" t="b">
        <v>1</v>
      </c>
      <c r="N2476" s="11"/>
    </row>
    <row r="2477" spans="1:14" x14ac:dyDescent="0.25">
      <c r="A2477" s="32" t="s">
        <v>119</v>
      </c>
      <c r="B2477" s="32" t="s">
        <v>119</v>
      </c>
      <c r="C2477" s="26" t="str">
        <f>IF(A2477="","",IF((COUNTIFS(A:A,A2477))&gt;1,"ID重复",""))</f>
        <v/>
      </c>
      <c r="D2477" s="11">
        <v>104</v>
      </c>
      <c r="E2477" s="132" t="str">
        <f>INDEX([1]道具配置表!$D:$D,MATCH(D2477,[1]道具配置表!$A:$A,0))</f>
        <v>1黄金</v>
      </c>
      <c r="F2477" s="32">
        <v>65000</v>
      </c>
      <c r="G2477" s="11"/>
      <c r="H2477" s="11"/>
      <c r="I2477" s="11"/>
      <c r="J2477" s="11"/>
      <c r="K2477" s="11">
        <v>1</v>
      </c>
      <c r="L2477" s="11"/>
      <c r="M2477" s="11" t="b">
        <v>1</v>
      </c>
      <c r="N2477" s="11"/>
    </row>
    <row r="2478" spans="1:14" x14ac:dyDescent="0.25">
      <c r="A2478" s="32" t="s">
        <v>119</v>
      </c>
      <c r="B2478" s="32" t="s">
        <v>119</v>
      </c>
      <c r="C2478" s="26" t="str">
        <f>IF(A2478="","",IF((COUNTIFS(A:A,A2478))&gt;1,"ID重复",""))</f>
        <v/>
      </c>
      <c r="D2478" s="11">
        <v>7003</v>
      </c>
      <c r="E2478" s="132" t="str">
        <f>INDEX([1]道具配置表!$D:$D,MATCH(D2478,[1]道具配置表!$A:$A,0))</f>
        <v>1银币（立即使用，不进背包）</v>
      </c>
      <c r="F2478" s="32">
        <v>50</v>
      </c>
      <c r="G2478" s="11"/>
      <c r="H2478" s="11"/>
      <c r="I2478" s="11"/>
      <c r="J2478" s="11"/>
      <c r="K2478" s="11">
        <v>1</v>
      </c>
      <c r="L2478" s="11"/>
      <c r="M2478" s="11" t="b">
        <v>1</v>
      </c>
      <c r="N2478" s="11"/>
    </row>
    <row r="2479" spans="1:14" x14ac:dyDescent="0.25">
      <c r="A2479" s="32">
        <v>6622023</v>
      </c>
      <c r="B2479" s="32" t="s">
        <v>471</v>
      </c>
      <c r="C2479" s="26" t="str">
        <f>IF(A2479="","",IF((COUNTIFS(A:A,A2479))&gt;1,"ID重复",""))</f>
        <v/>
      </c>
      <c r="D2479" s="11">
        <v>102</v>
      </c>
      <c r="E2479" s="132" t="str">
        <f>INDEX([1]道具配置表!$D:$D,MATCH(D2479,[1]道具配置表!$A:$A,0))</f>
        <v>1食物</v>
      </c>
      <c r="F2479" s="32">
        <v>75000</v>
      </c>
      <c r="G2479" s="11"/>
      <c r="H2479" s="11"/>
      <c r="I2479" s="11"/>
      <c r="J2479" s="11"/>
      <c r="K2479" s="11">
        <v>1</v>
      </c>
      <c r="L2479" s="11"/>
      <c r="M2479" s="11" t="b">
        <v>1</v>
      </c>
      <c r="N2479" s="11"/>
    </row>
    <row r="2480" spans="1:14" x14ac:dyDescent="0.25">
      <c r="A2480" s="32" t="s">
        <v>119</v>
      </c>
      <c r="B2480" s="32" t="s">
        <v>119</v>
      </c>
      <c r="C2480" s="26" t="str">
        <f>IF(A2480="","",IF((COUNTIFS(A:A,A2480))&gt;1,"ID重复",""))</f>
        <v/>
      </c>
      <c r="D2480" s="11">
        <v>101</v>
      </c>
      <c r="E2480" s="132" t="str">
        <f>INDEX([1]道具配置表!$D:$D,MATCH(D2480,[1]道具配置表!$A:$A,0))</f>
        <v>1木材</v>
      </c>
      <c r="F2480" s="32">
        <v>75000</v>
      </c>
      <c r="G2480" s="11"/>
      <c r="H2480" s="11"/>
      <c r="I2480" s="11"/>
      <c r="J2480" s="11"/>
      <c r="K2480" s="11">
        <v>1</v>
      </c>
      <c r="L2480" s="11"/>
      <c r="M2480" s="11" t="b">
        <v>1</v>
      </c>
      <c r="N2480" s="11"/>
    </row>
    <row r="2481" spans="1:14" x14ac:dyDescent="0.25">
      <c r="A2481" s="32" t="s">
        <v>119</v>
      </c>
      <c r="B2481" s="32" t="s">
        <v>119</v>
      </c>
      <c r="C2481" s="26" t="str">
        <f>IF(A2481="","",IF((COUNTIFS(A:A,A2481))&gt;1,"ID重复",""))</f>
        <v/>
      </c>
      <c r="D2481" s="11">
        <v>103</v>
      </c>
      <c r="E2481" s="132" t="str">
        <f>INDEX([1]道具配置表!$D:$D,MATCH(D2481,[1]道具配置表!$A:$A,0))</f>
        <v>1石头</v>
      </c>
      <c r="F2481" s="32">
        <v>75000</v>
      </c>
      <c r="G2481" s="11"/>
      <c r="H2481" s="11"/>
      <c r="I2481" s="11"/>
      <c r="J2481" s="11"/>
      <c r="K2481" s="11">
        <v>1</v>
      </c>
      <c r="L2481" s="11"/>
      <c r="M2481" s="11" t="b">
        <v>1</v>
      </c>
      <c r="N2481" s="11"/>
    </row>
    <row r="2482" spans="1:14" x14ac:dyDescent="0.25">
      <c r="A2482" s="32" t="s">
        <v>119</v>
      </c>
      <c r="B2482" s="32" t="s">
        <v>119</v>
      </c>
      <c r="C2482" s="26" t="str">
        <f>IF(A2482="","",IF((COUNTIFS(A:A,A2482))&gt;1,"ID重复",""))</f>
        <v/>
      </c>
      <c r="D2482" s="11">
        <v>104</v>
      </c>
      <c r="E2482" s="132" t="str">
        <f>INDEX([1]道具配置表!$D:$D,MATCH(D2482,[1]道具配置表!$A:$A,0))</f>
        <v>1黄金</v>
      </c>
      <c r="F2482" s="32">
        <v>75000</v>
      </c>
      <c r="G2482" s="11"/>
      <c r="H2482" s="11"/>
      <c r="I2482" s="11"/>
      <c r="J2482" s="11"/>
      <c r="K2482" s="11">
        <v>1</v>
      </c>
      <c r="L2482" s="11"/>
      <c r="M2482" s="11" t="b">
        <v>1</v>
      </c>
      <c r="N2482" s="11"/>
    </row>
    <row r="2483" spans="1:14" x14ac:dyDescent="0.25">
      <c r="A2483" s="32" t="s">
        <v>119</v>
      </c>
      <c r="B2483" s="32" t="s">
        <v>119</v>
      </c>
      <c r="C2483" s="26" t="str">
        <f>IF(A2483="","",IF((COUNTIFS(A:A,A2483))&gt;1,"ID重复",""))</f>
        <v/>
      </c>
      <c r="D2483" s="11">
        <v>7003</v>
      </c>
      <c r="E2483" s="132" t="str">
        <f>INDEX([1]道具配置表!$D:$D,MATCH(D2483,[1]道具配置表!$A:$A,0))</f>
        <v>1银币（立即使用，不进背包）</v>
      </c>
      <c r="F2483" s="32">
        <v>50</v>
      </c>
      <c r="G2483" s="11"/>
      <c r="H2483" s="11"/>
      <c r="I2483" s="11"/>
      <c r="J2483" s="11"/>
      <c r="K2483" s="11">
        <v>1</v>
      </c>
      <c r="L2483" s="11"/>
      <c r="M2483" s="11" t="b">
        <v>1</v>
      </c>
      <c r="N2483" s="11"/>
    </row>
    <row r="2484" spans="1:14" x14ac:dyDescent="0.25">
      <c r="A2484" s="32">
        <v>6622024</v>
      </c>
      <c r="B2484" s="32" t="s">
        <v>472</v>
      </c>
      <c r="C2484" s="26" t="str">
        <f>IF(A2484="","",IF((COUNTIFS(A:A,A2484))&gt;1,"ID重复",""))</f>
        <v/>
      </c>
      <c r="D2484" s="11">
        <v>102</v>
      </c>
      <c r="E2484" s="132" t="str">
        <f>INDEX([1]道具配置表!$D:$D,MATCH(D2484,[1]道具配置表!$A:$A,0))</f>
        <v>1食物</v>
      </c>
      <c r="F2484" s="32">
        <v>85000</v>
      </c>
      <c r="G2484" s="11"/>
      <c r="H2484" s="11"/>
      <c r="I2484" s="11"/>
      <c r="J2484" s="11"/>
      <c r="K2484" s="11">
        <v>1</v>
      </c>
      <c r="L2484" s="11"/>
      <c r="M2484" s="11" t="b">
        <v>1</v>
      </c>
      <c r="N2484" s="11"/>
    </row>
    <row r="2485" spans="1:14" x14ac:dyDescent="0.25">
      <c r="A2485" s="32" t="s">
        <v>119</v>
      </c>
      <c r="B2485" s="32" t="s">
        <v>119</v>
      </c>
      <c r="C2485" s="26" t="str">
        <f>IF(A2485="","",IF((COUNTIFS(A:A,A2485))&gt;1,"ID重复",""))</f>
        <v/>
      </c>
      <c r="D2485" s="11">
        <v>101</v>
      </c>
      <c r="E2485" s="132" t="str">
        <f>INDEX([1]道具配置表!$D:$D,MATCH(D2485,[1]道具配置表!$A:$A,0))</f>
        <v>1木材</v>
      </c>
      <c r="F2485" s="32">
        <v>85000</v>
      </c>
      <c r="G2485" s="11"/>
      <c r="H2485" s="11"/>
      <c r="I2485" s="11"/>
      <c r="J2485" s="11"/>
      <c r="K2485" s="11">
        <v>1</v>
      </c>
      <c r="L2485" s="11"/>
      <c r="M2485" s="11" t="b">
        <v>1</v>
      </c>
      <c r="N2485" s="11"/>
    </row>
    <row r="2486" spans="1:14" x14ac:dyDescent="0.25">
      <c r="A2486" s="32" t="s">
        <v>119</v>
      </c>
      <c r="B2486" s="32" t="s">
        <v>119</v>
      </c>
      <c r="C2486" s="26" t="str">
        <f>IF(A2486="","",IF((COUNTIFS(A:A,A2486))&gt;1,"ID重复",""))</f>
        <v/>
      </c>
      <c r="D2486" s="11">
        <v>103</v>
      </c>
      <c r="E2486" s="132" t="str">
        <f>INDEX([1]道具配置表!$D:$D,MATCH(D2486,[1]道具配置表!$A:$A,0))</f>
        <v>1石头</v>
      </c>
      <c r="F2486" s="32">
        <v>85000</v>
      </c>
      <c r="G2486" s="11"/>
      <c r="H2486" s="11"/>
      <c r="I2486" s="11"/>
      <c r="J2486" s="11"/>
      <c r="K2486" s="11">
        <v>1</v>
      </c>
      <c r="L2486" s="11"/>
      <c r="M2486" s="11" t="b">
        <v>1</v>
      </c>
      <c r="N2486" s="11"/>
    </row>
    <row r="2487" spans="1:14" x14ac:dyDescent="0.25">
      <c r="A2487" s="32" t="s">
        <v>119</v>
      </c>
      <c r="B2487" s="32" t="s">
        <v>119</v>
      </c>
      <c r="C2487" s="26" t="str">
        <f>IF(A2487="","",IF((COUNTIFS(A:A,A2487))&gt;1,"ID重复",""))</f>
        <v/>
      </c>
      <c r="D2487" s="11">
        <v>104</v>
      </c>
      <c r="E2487" s="132" t="str">
        <f>INDEX([1]道具配置表!$D:$D,MATCH(D2487,[1]道具配置表!$A:$A,0))</f>
        <v>1黄金</v>
      </c>
      <c r="F2487" s="32">
        <v>85000</v>
      </c>
      <c r="G2487" s="11"/>
      <c r="H2487" s="11"/>
      <c r="I2487" s="11"/>
      <c r="J2487" s="11"/>
      <c r="K2487" s="11">
        <v>1</v>
      </c>
      <c r="L2487" s="11"/>
      <c r="M2487" s="11" t="b">
        <v>1</v>
      </c>
      <c r="N2487" s="11"/>
    </row>
    <row r="2488" spans="1:14" x14ac:dyDescent="0.25">
      <c r="A2488" s="32" t="s">
        <v>119</v>
      </c>
      <c r="B2488" s="32" t="s">
        <v>119</v>
      </c>
      <c r="C2488" s="26" t="str">
        <f>IF(A2488="","",IF((COUNTIFS(A:A,A2488))&gt;1,"ID重复",""))</f>
        <v/>
      </c>
      <c r="D2488" s="11">
        <v>7003</v>
      </c>
      <c r="E2488" s="132" t="str">
        <f>INDEX([1]道具配置表!$D:$D,MATCH(D2488,[1]道具配置表!$A:$A,0))</f>
        <v>1银币（立即使用，不进背包）</v>
      </c>
      <c r="F2488" s="32">
        <v>50</v>
      </c>
      <c r="G2488" s="11"/>
      <c r="H2488" s="11"/>
      <c r="I2488" s="11"/>
      <c r="J2488" s="11"/>
      <c r="K2488" s="11">
        <v>1</v>
      </c>
      <c r="L2488" s="11"/>
      <c r="M2488" s="11" t="b">
        <v>1</v>
      </c>
      <c r="N2488" s="11"/>
    </row>
    <row r="2489" spans="1:14" x14ac:dyDescent="0.25">
      <c r="A2489" s="32">
        <v>6622025</v>
      </c>
      <c r="B2489" s="32" t="s">
        <v>473</v>
      </c>
      <c r="C2489" s="26" t="str">
        <f>IF(A2489="","",IF((COUNTIFS(A:A,A2489))&gt;1,"ID重复",""))</f>
        <v/>
      </c>
      <c r="D2489" s="11">
        <v>102</v>
      </c>
      <c r="E2489" s="132" t="str">
        <f>INDEX([1]道具配置表!$D:$D,MATCH(D2489,[1]道具配置表!$A:$A,0))</f>
        <v>1食物</v>
      </c>
      <c r="F2489" s="32">
        <v>95000</v>
      </c>
      <c r="G2489" s="11"/>
      <c r="H2489" s="11"/>
      <c r="I2489" s="11"/>
      <c r="J2489" s="11"/>
      <c r="K2489" s="11">
        <v>1</v>
      </c>
      <c r="L2489" s="11"/>
      <c r="M2489" s="11" t="b">
        <v>1</v>
      </c>
      <c r="N2489" s="11"/>
    </row>
    <row r="2490" spans="1:14" x14ac:dyDescent="0.25">
      <c r="A2490" s="32" t="s">
        <v>119</v>
      </c>
      <c r="B2490" s="32" t="s">
        <v>119</v>
      </c>
      <c r="C2490" s="26" t="str">
        <f>IF(A2490="","",IF((COUNTIFS(A:A,A2490))&gt;1,"ID重复",""))</f>
        <v/>
      </c>
      <c r="D2490" s="11">
        <v>101</v>
      </c>
      <c r="E2490" s="132" t="str">
        <f>INDEX([1]道具配置表!$D:$D,MATCH(D2490,[1]道具配置表!$A:$A,0))</f>
        <v>1木材</v>
      </c>
      <c r="F2490" s="32">
        <v>95000</v>
      </c>
      <c r="G2490" s="11"/>
      <c r="H2490" s="11"/>
      <c r="I2490" s="11"/>
      <c r="J2490" s="11"/>
      <c r="K2490" s="11">
        <v>1</v>
      </c>
      <c r="L2490" s="11"/>
      <c r="M2490" s="11" t="b">
        <v>1</v>
      </c>
      <c r="N2490" s="11"/>
    </row>
    <row r="2491" spans="1:14" x14ac:dyDescent="0.25">
      <c r="A2491" s="32" t="s">
        <v>119</v>
      </c>
      <c r="B2491" s="32" t="s">
        <v>119</v>
      </c>
      <c r="C2491" s="26" t="str">
        <f>IF(A2491="","",IF((COUNTIFS(A:A,A2491))&gt;1,"ID重复",""))</f>
        <v/>
      </c>
      <c r="D2491" s="11">
        <v>103</v>
      </c>
      <c r="E2491" s="132" t="str">
        <f>INDEX([1]道具配置表!$D:$D,MATCH(D2491,[1]道具配置表!$A:$A,0))</f>
        <v>1石头</v>
      </c>
      <c r="F2491" s="32">
        <v>95000</v>
      </c>
      <c r="G2491" s="11"/>
      <c r="H2491" s="11"/>
      <c r="I2491" s="11"/>
      <c r="J2491" s="11"/>
      <c r="K2491" s="11">
        <v>1</v>
      </c>
      <c r="L2491" s="11"/>
      <c r="M2491" s="11" t="b">
        <v>1</v>
      </c>
      <c r="N2491" s="11"/>
    </row>
    <row r="2492" spans="1:14" x14ac:dyDescent="0.25">
      <c r="A2492" s="32" t="s">
        <v>119</v>
      </c>
      <c r="B2492" s="32" t="s">
        <v>119</v>
      </c>
      <c r="C2492" s="26" t="str">
        <f>IF(A2492="","",IF((COUNTIFS(A:A,A2492))&gt;1,"ID重复",""))</f>
        <v/>
      </c>
      <c r="D2492" s="11">
        <v>104</v>
      </c>
      <c r="E2492" s="132" t="str">
        <f>INDEX([1]道具配置表!$D:$D,MATCH(D2492,[1]道具配置表!$A:$A,0))</f>
        <v>1黄金</v>
      </c>
      <c r="F2492" s="32">
        <v>95000</v>
      </c>
      <c r="G2492" s="11"/>
      <c r="H2492" s="11"/>
      <c r="I2492" s="11"/>
      <c r="J2492" s="11"/>
      <c r="K2492" s="11">
        <v>1</v>
      </c>
      <c r="L2492" s="11"/>
      <c r="M2492" s="11" t="b">
        <v>1</v>
      </c>
      <c r="N2492" s="11"/>
    </row>
    <row r="2493" spans="1:14" x14ac:dyDescent="0.25">
      <c r="A2493" s="32" t="s">
        <v>119</v>
      </c>
      <c r="B2493" s="32" t="s">
        <v>119</v>
      </c>
      <c r="C2493" s="26" t="str">
        <f>IF(A2493="","",IF((COUNTIFS(A:A,A2493))&gt;1,"ID重复",""))</f>
        <v/>
      </c>
      <c r="D2493" s="11">
        <v>7003</v>
      </c>
      <c r="E2493" s="132" t="str">
        <f>INDEX([1]道具配置表!$D:$D,MATCH(D2493,[1]道具配置表!$A:$A,0))</f>
        <v>1银币（立即使用，不进背包）</v>
      </c>
      <c r="F2493" s="32">
        <v>50</v>
      </c>
      <c r="G2493" s="11"/>
      <c r="H2493" s="11"/>
      <c r="I2493" s="11"/>
      <c r="J2493" s="11"/>
      <c r="K2493" s="11">
        <v>1</v>
      </c>
      <c r="L2493" s="11"/>
      <c r="M2493" s="11" t="b">
        <v>1</v>
      </c>
      <c r="N2493" s="11"/>
    </row>
    <row r="2494" spans="1:14" x14ac:dyDescent="0.25">
      <c r="A2494" s="32">
        <v>6622026</v>
      </c>
      <c r="B2494" s="32" t="s">
        <v>474</v>
      </c>
      <c r="C2494" s="26" t="str">
        <f>IF(A2494="","",IF((COUNTIFS(A:A,A2494))&gt;1,"ID重复",""))</f>
        <v/>
      </c>
      <c r="D2494" s="11">
        <v>102</v>
      </c>
      <c r="E2494" s="132" t="str">
        <f>INDEX([1]道具配置表!$D:$D,MATCH(D2494,[1]道具配置表!$A:$A,0))</f>
        <v>1食物</v>
      </c>
      <c r="F2494" s="32">
        <v>110000</v>
      </c>
      <c r="G2494" s="11"/>
      <c r="H2494" s="11"/>
      <c r="I2494" s="11"/>
      <c r="J2494" s="11"/>
      <c r="K2494" s="11">
        <v>1</v>
      </c>
      <c r="L2494" s="11"/>
      <c r="M2494" s="11" t="b">
        <v>1</v>
      </c>
      <c r="N2494" s="11"/>
    </row>
    <row r="2495" spans="1:14" x14ac:dyDescent="0.25">
      <c r="A2495" s="32" t="s">
        <v>119</v>
      </c>
      <c r="B2495" s="32" t="s">
        <v>119</v>
      </c>
      <c r="C2495" s="26" t="str">
        <f>IF(A2495="","",IF((COUNTIFS(A:A,A2495))&gt;1,"ID重复",""))</f>
        <v/>
      </c>
      <c r="D2495" s="11">
        <v>101</v>
      </c>
      <c r="E2495" s="132" t="str">
        <f>INDEX([1]道具配置表!$D:$D,MATCH(D2495,[1]道具配置表!$A:$A,0))</f>
        <v>1木材</v>
      </c>
      <c r="F2495" s="32">
        <v>110000</v>
      </c>
      <c r="G2495" s="11"/>
      <c r="H2495" s="11"/>
      <c r="I2495" s="11"/>
      <c r="J2495" s="11"/>
      <c r="K2495" s="11">
        <v>1</v>
      </c>
      <c r="L2495" s="11"/>
      <c r="M2495" s="11" t="b">
        <v>1</v>
      </c>
      <c r="N2495" s="11"/>
    </row>
    <row r="2496" spans="1:14" x14ac:dyDescent="0.25">
      <c r="A2496" s="32" t="s">
        <v>119</v>
      </c>
      <c r="B2496" s="32" t="s">
        <v>119</v>
      </c>
      <c r="C2496" s="26" t="str">
        <f>IF(A2496="","",IF((COUNTIFS(A:A,A2496))&gt;1,"ID重复",""))</f>
        <v/>
      </c>
      <c r="D2496" s="11">
        <v>103</v>
      </c>
      <c r="E2496" s="132" t="str">
        <f>INDEX([1]道具配置表!$D:$D,MATCH(D2496,[1]道具配置表!$A:$A,0))</f>
        <v>1石头</v>
      </c>
      <c r="F2496" s="32">
        <v>110000</v>
      </c>
      <c r="G2496" s="11"/>
      <c r="H2496" s="11"/>
      <c r="I2496" s="11"/>
      <c r="J2496" s="11"/>
      <c r="K2496" s="11">
        <v>1</v>
      </c>
      <c r="L2496" s="11"/>
      <c r="M2496" s="11" t="b">
        <v>1</v>
      </c>
      <c r="N2496" s="11"/>
    </row>
    <row r="2497" spans="1:14" x14ac:dyDescent="0.25">
      <c r="A2497" s="32" t="s">
        <v>119</v>
      </c>
      <c r="B2497" s="32" t="s">
        <v>119</v>
      </c>
      <c r="C2497" s="26" t="str">
        <f>IF(A2497="","",IF((COUNTIFS(A:A,A2497))&gt;1,"ID重复",""))</f>
        <v/>
      </c>
      <c r="D2497" s="11">
        <v>104</v>
      </c>
      <c r="E2497" s="132" t="str">
        <f>INDEX([1]道具配置表!$D:$D,MATCH(D2497,[1]道具配置表!$A:$A,0))</f>
        <v>1黄金</v>
      </c>
      <c r="F2497" s="32">
        <v>110000</v>
      </c>
      <c r="G2497" s="11"/>
      <c r="H2497" s="11"/>
      <c r="I2497" s="11"/>
      <c r="J2497" s="11"/>
      <c r="K2497" s="11">
        <v>1</v>
      </c>
      <c r="L2497" s="11"/>
      <c r="M2497" s="11" t="b">
        <v>1</v>
      </c>
      <c r="N2497" s="11"/>
    </row>
    <row r="2498" spans="1:14" x14ac:dyDescent="0.25">
      <c r="A2498" s="32" t="s">
        <v>119</v>
      </c>
      <c r="B2498" s="32" t="s">
        <v>119</v>
      </c>
      <c r="C2498" s="26" t="str">
        <f>IF(A2498="","",IF((COUNTIFS(A:A,A2498))&gt;1,"ID重复",""))</f>
        <v/>
      </c>
      <c r="D2498" s="11">
        <v>7003</v>
      </c>
      <c r="E2498" s="132" t="str">
        <f>INDEX([1]道具配置表!$D:$D,MATCH(D2498,[1]道具配置表!$A:$A,0))</f>
        <v>1银币（立即使用，不进背包）</v>
      </c>
      <c r="F2498" s="32">
        <v>50</v>
      </c>
      <c r="G2498" s="11"/>
      <c r="H2498" s="11"/>
      <c r="I2498" s="11"/>
      <c r="J2498" s="11"/>
      <c r="K2498" s="11">
        <v>1</v>
      </c>
      <c r="L2498" s="11"/>
      <c r="M2498" s="11" t="b">
        <v>1</v>
      </c>
      <c r="N2498" s="11"/>
    </row>
    <row r="2499" spans="1:14" x14ac:dyDescent="0.25">
      <c r="A2499" s="32">
        <v>6622027</v>
      </c>
      <c r="B2499" s="32" t="s">
        <v>475</v>
      </c>
      <c r="C2499" s="26" t="str">
        <f>IF(A2499="","",IF((COUNTIFS(A:A,A2499))&gt;1,"ID重复",""))</f>
        <v/>
      </c>
      <c r="D2499" s="11">
        <v>102</v>
      </c>
      <c r="E2499" s="132" t="str">
        <f>INDEX([1]道具配置表!$D:$D,MATCH(D2499,[1]道具配置表!$A:$A,0))</f>
        <v>1食物</v>
      </c>
      <c r="F2499" s="32">
        <v>125000</v>
      </c>
      <c r="G2499" s="11"/>
      <c r="H2499" s="11"/>
      <c r="I2499" s="11"/>
      <c r="J2499" s="11"/>
      <c r="K2499" s="11">
        <v>1</v>
      </c>
      <c r="L2499" s="11"/>
      <c r="M2499" s="11" t="b">
        <v>1</v>
      </c>
      <c r="N2499" s="11"/>
    </row>
    <row r="2500" spans="1:14" x14ac:dyDescent="0.25">
      <c r="A2500" s="32" t="s">
        <v>119</v>
      </c>
      <c r="B2500" s="32" t="s">
        <v>119</v>
      </c>
      <c r="C2500" s="26" t="str">
        <f>IF(A2500="","",IF((COUNTIFS(A:A,A2500))&gt;1,"ID重复",""))</f>
        <v/>
      </c>
      <c r="D2500" s="11">
        <v>101</v>
      </c>
      <c r="E2500" s="132" t="str">
        <f>INDEX([1]道具配置表!$D:$D,MATCH(D2500,[1]道具配置表!$A:$A,0))</f>
        <v>1木材</v>
      </c>
      <c r="F2500" s="32">
        <v>125000</v>
      </c>
      <c r="G2500" s="11"/>
      <c r="H2500" s="11"/>
      <c r="I2500" s="11"/>
      <c r="J2500" s="11"/>
      <c r="K2500" s="11">
        <v>1</v>
      </c>
      <c r="L2500" s="11"/>
      <c r="M2500" s="11" t="b">
        <v>1</v>
      </c>
      <c r="N2500" s="11"/>
    </row>
    <row r="2501" spans="1:14" x14ac:dyDescent="0.25">
      <c r="A2501" s="32" t="s">
        <v>119</v>
      </c>
      <c r="B2501" s="32" t="s">
        <v>119</v>
      </c>
      <c r="C2501" s="26" t="str">
        <f>IF(A2501="","",IF((COUNTIFS(A:A,A2501))&gt;1,"ID重复",""))</f>
        <v/>
      </c>
      <c r="D2501" s="11">
        <v>103</v>
      </c>
      <c r="E2501" s="132" t="str">
        <f>INDEX([1]道具配置表!$D:$D,MATCH(D2501,[1]道具配置表!$A:$A,0))</f>
        <v>1石头</v>
      </c>
      <c r="F2501" s="32">
        <v>125000</v>
      </c>
      <c r="G2501" s="11"/>
      <c r="H2501" s="11"/>
      <c r="I2501" s="11"/>
      <c r="J2501" s="11"/>
      <c r="K2501" s="11">
        <v>1</v>
      </c>
      <c r="L2501" s="11"/>
      <c r="M2501" s="11" t="b">
        <v>1</v>
      </c>
      <c r="N2501" s="11"/>
    </row>
    <row r="2502" spans="1:14" x14ac:dyDescent="0.25">
      <c r="A2502" s="32" t="s">
        <v>119</v>
      </c>
      <c r="B2502" s="32" t="s">
        <v>119</v>
      </c>
      <c r="C2502" s="26" t="str">
        <f>IF(A2502="","",IF((COUNTIFS(A:A,A2502))&gt;1,"ID重复",""))</f>
        <v/>
      </c>
      <c r="D2502" s="11">
        <v>104</v>
      </c>
      <c r="E2502" s="132" t="str">
        <f>INDEX([1]道具配置表!$D:$D,MATCH(D2502,[1]道具配置表!$A:$A,0))</f>
        <v>1黄金</v>
      </c>
      <c r="F2502" s="32">
        <v>125000</v>
      </c>
      <c r="G2502" s="11"/>
      <c r="H2502" s="11"/>
      <c r="I2502" s="11"/>
      <c r="J2502" s="11"/>
      <c r="K2502" s="11">
        <v>1</v>
      </c>
      <c r="L2502" s="11"/>
      <c r="M2502" s="11" t="b">
        <v>1</v>
      </c>
      <c r="N2502" s="11"/>
    </row>
    <row r="2503" spans="1:14" x14ac:dyDescent="0.25">
      <c r="A2503" s="32" t="s">
        <v>119</v>
      </c>
      <c r="B2503" s="32" t="s">
        <v>119</v>
      </c>
      <c r="C2503" s="26" t="str">
        <f>IF(A2503="","",IF((COUNTIFS(A:A,A2503))&gt;1,"ID重复",""))</f>
        <v/>
      </c>
      <c r="D2503" s="11">
        <v>7003</v>
      </c>
      <c r="E2503" s="132" t="str">
        <f>INDEX([1]道具配置表!$D:$D,MATCH(D2503,[1]道具配置表!$A:$A,0))</f>
        <v>1银币（立即使用，不进背包）</v>
      </c>
      <c r="F2503" s="32">
        <v>50</v>
      </c>
      <c r="G2503" s="11"/>
      <c r="H2503" s="11"/>
      <c r="I2503" s="11"/>
      <c r="J2503" s="11"/>
      <c r="K2503" s="11">
        <v>1</v>
      </c>
      <c r="L2503" s="11"/>
      <c r="M2503" s="11" t="b">
        <v>1</v>
      </c>
      <c r="N2503" s="11"/>
    </row>
    <row r="2504" spans="1:14" x14ac:dyDescent="0.25">
      <c r="A2504" s="32">
        <v>6622028</v>
      </c>
      <c r="B2504" s="32" t="s">
        <v>476</v>
      </c>
      <c r="C2504" s="26" t="str">
        <f>IF(A2504="","",IF((COUNTIFS(A:A,A2504))&gt;1,"ID重复",""))</f>
        <v/>
      </c>
      <c r="D2504" s="11">
        <v>102</v>
      </c>
      <c r="E2504" s="132" t="str">
        <f>INDEX([1]道具配置表!$D:$D,MATCH(D2504,[1]道具配置表!$A:$A,0))</f>
        <v>1食物</v>
      </c>
      <c r="F2504" s="32">
        <v>140000</v>
      </c>
      <c r="G2504" s="11"/>
      <c r="H2504" s="11"/>
      <c r="I2504" s="11"/>
      <c r="J2504" s="11"/>
      <c r="K2504" s="11">
        <v>1</v>
      </c>
      <c r="L2504" s="11"/>
      <c r="M2504" s="11" t="b">
        <v>1</v>
      </c>
      <c r="N2504" s="11"/>
    </row>
    <row r="2505" spans="1:14" x14ac:dyDescent="0.25">
      <c r="A2505" s="32" t="s">
        <v>119</v>
      </c>
      <c r="B2505" s="32" t="s">
        <v>119</v>
      </c>
      <c r="C2505" s="26" t="str">
        <f>IF(A2505="","",IF((COUNTIFS(A:A,A2505))&gt;1,"ID重复",""))</f>
        <v/>
      </c>
      <c r="D2505" s="11">
        <v>101</v>
      </c>
      <c r="E2505" s="132" t="str">
        <f>INDEX([1]道具配置表!$D:$D,MATCH(D2505,[1]道具配置表!$A:$A,0))</f>
        <v>1木材</v>
      </c>
      <c r="F2505" s="32">
        <v>140000</v>
      </c>
      <c r="G2505" s="11"/>
      <c r="H2505" s="11"/>
      <c r="I2505" s="11"/>
      <c r="J2505" s="11"/>
      <c r="K2505" s="11">
        <v>1</v>
      </c>
      <c r="L2505" s="11"/>
      <c r="M2505" s="11" t="b">
        <v>1</v>
      </c>
      <c r="N2505" s="11"/>
    </row>
    <row r="2506" spans="1:14" x14ac:dyDescent="0.25">
      <c r="A2506" s="32" t="s">
        <v>119</v>
      </c>
      <c r="B2506" s="32" t="s">
        <v>119</v>
      </c>
      <c r="C2506" s="26" t="str">
        <f>IF(A2506="","",IF((COUNTIFS(A:A,A2506))&gt;1,"ID重复",""))</f>
        <v/>
      </c>
      <c r="D2506" s="11">
        <v>103</v>
      </c>
      <c r="E2506" s="132" t="str">
        <f>INDEX([1]道具配置表!$D:$D,MATCH(D2506,[1]道具配置表!$A:$A,0))</f>
        <v>1石头</v>
      </c>
      <c r="F2506" s="32">
        <v>140000</v>
      </c>
      <c r="G2506" s="11"/>
      <c r="H2506" s="11"/>
      <c r="I2506" s="11"/>
      <c r="J2506" s="11"/>
      <c r="K2506" s="11">
        <v>1</v>
      </c>
      <c r="L2506" s="11"/>
      <c r="M2506" s="11" t="b">
        <v>1</v>
      </c>
      <c r="N2506" s="11"/>
    </row>
    <row r="2507" spans="1:14" x14ac:dyDescent="0.25">
      <c r="A2507" s="32" t="s">
        <v>119</v>
      </c>
      <c r="B2507" s="32" t="s">
        <v>119</v>
      </c>
      <c r="C2507" s="26" t="str">
        <f>IF(A2507="","",IF((COUNTIFS(A:A,A2507))&gt;1,"ID重复",""))</f>
        <v/>
      </c>
      <c r="D2507" s="11">
        <v>104</v>
      </c>
      <c r="E2507" s="132" t="str">
        <f>INDEX([1]道具配置表!$D:$D,MATCH(D2507,[1]道具配置表!$A:$A,0))</f>
        <v>1黄金</v>
      </c>
      <c r="F2507" s="32">
        <v>140000</v>
      </c>
      <c r="G2507" s="11"/>
      <c r="H2507" s="11"/>
      <c r="I2507" s="11"/>
      <c r="J2507" s="11"/>
      <c r="K2507" s="11">
        <v>1</v>
      </c>
      <c r="L2507" s="11"/>
      <c r="M2507" s="11" t="b">
        <v>1</v>
      </c>
      <c r="N2507" s="11"/>
    </row>
    <row r="2508" spans="1:14" s="22" customFormat="1" x14ac:dyDescent="0.25">
      <c r="A2508" s="32" t="s">
        <v>119</v>
      </c>
      <c r="B2508" s="32" t="s">
        <v>119</v>
      </c>
      <c r="C2508" s="26" t="str">
        <f>IF(A2508="","",IF((COUNTIFS(A:A,A2508))&gt;1,"ID重复",""))</f>
        <v/>
      </c>
      <c r="D2508" s="11">
        <v>7003</v>
      </c>
      <c r="E2508" s="132" t="str">
        <f>INDEX([1]道具配置表!$D:$D,MATCH(D2508,[1]道具配置表!$A:$A,0))</f>
        <v>1银币（立即使用，不进背包）</v>
      </c>
      <c r="F2508" s="32">
        <v>50</v>
      </c>
      <c r="G2508" s="11"/>
      <c r="H2508" s="11"/>
      <c r="I2508" s="11"/>
      <c r="J2508" s="11"/>
      <c r="K2508" s="11">
        <v>1</v>
      </c>
      <c r="L2508" s="11"/>
      <c r="M2508" s="11" t="b">
        <v>1</v>
      </c>
    </row>
    <row r="2509" spans="1:14" s="22" customFormat="1" x14ac:dyDescent="0.25">
      <c r="A2509" s="32">
        <v>6622029</v>
      </c>
      <c r="B2509" s="32" t="s">
        <v>477</v>
      </c>
      <c r="C2509" s="26" t="str">
        <f>IF(A2509="","",IF((COUNTIFS(A:A,A2509))&gt;1,"ID重复",""))</f>
        <v/>
      </c>
      <c r="D2509" s="11">
        <v>102</v>
      </c>
      <c r="E2509" s="132" t="str">
        <f>INDEX([1]道具配置表!$D:$D,MATCH(D2509,[1]道具配置表!$A:$A,0))</f>
        <v>1食物</v>
      </c>
      <c r="F2509" s="32">
        <v>155000</v>
      </c>
      <c r="G2509" s="11"/>
      <c r="H2509" s="11"/>
      <c r="I2509" s="11"/>
      <c r="J2509" s="11"/>
      <c r="K2509" s="11">
        <v>1</v>
      </c>
      <c r="L2509" s="11"/>
      <c r="M2509" s="11" t="b">
        <v>1</v>
      </c>
    </row>
    <row r="2510" spans="1:14" s="22" customFormat="1" x14ac:dyDescent="0.25">
      <c r="A2510" s="32" t="s">
        <v>119</v>
      </c>
      <c r="B2510" s="32" t="s">
        <v>119</v>
      </c>
      <c r="C2510" s="26" t="str">
        <f>IF(A2510="","",IF((COUNTIFS(A:A,A2510))&gt;1,"ID重复",""))</f>
        <v/>
      </c>
      <c r="D2510" s="11">
        <v>101</v>
      </c>
      <c r="E2510" s="132" t="str">
        <f>INDEX([1]道具配置表!$D:$D,MATCH(D2510,[1]道具配置表!$A:$A,0))</f>
        <v>1木材</v>
      </c>
      <c r="F2510" s="32">
        <v>155000</v>
      </c>
      <c r="G2510" s="11"/>
      <c r="H2510" s="11"/>
      <c r="I2510" s="11"/>
      <c r="J2510" s="11"/>
      <c r="K2510" s="11">
        <v>1</v>
      </c>
      <c r="L2510" s="11"/>
      <c r="M2510" s="11" t="b">
        <v>1</v>
      </c>
    </row>
    <row r="2511" spans="1:14" x14ac:dyDescent="0.25">
      <c r="A2511" s="32" t="s">
        <v>119</v>
      </c>
      <c r="B2511" s="32" t="s">
        <v>119</v>
      </c>
      <c r="C2511" s="26" t="str">
        <f>IF(A2511="","",IF((COUNTIFS(A:A,A2511))&gt;1,"ID重复",""))</f>
        <v/>
      </c>
      <c r="D2511" s="11">
        <v>103</v>
      </c>
      <c r="E2511" s="132" t="str">
        <f>INDEX([1]道具配置表!$D:$D,MATCH(D2511,[1]道具配置表!$A:$A,0))</f>
        <v>1石头</v>
      </c>
      <c r="F2511" s="32">
        <v>155000</v>
      </c>
      <c r="G2511" s="11"/>
      <c r="H2511" s="11"/>
      <c r="I2511" s="11"/>
      <c r="J2511" s="11"/>
      <c r="K2511" s="11">
        <v>1</v>
      </c>
      <c r="L2511" s="11"/>
      <c r="M2511" s="11" t="b">
        <v>1</v>
      </c>
      <c r="N2511" s="11"/>
    </row>
    <row r="2512" spans="1:14" x14ac:dyDescent="0.25">
      <c r="A2512" s="32" t="s">
        <v>119</v>
      </c>
      <c r="B2512" s="32" t="s">
        <v>119</v>
      </c>
      <c r="C2512" s="26" t="str">
        <f>IF(A2512="","",IF((COUNTIFS(A:A,A2512))&gt;1,"ID重复",""))</f>
        <v/>
      </c>
      <c r="D2512" s="11">
        <v>104</v>
      </c>
      <c r="E2512" s="132" t="str">
        <f>INDEX([1]道具配置表!$D:$D,MATCH(D2512,[1]道具配置表!$A:$A,0))</f>
        <v>1黄金</v>
      </c>
      <c r="F2512" s="32">
        <v>155000</v>
      </c>
      <c r="G2512" s="11"/>
      <c r="H2512" s="11"/>
      <c r="I2512" s="11"/>
      <c r="J2512" s="11"/>
      <c r="K2512" s="11">
        <v>1</v>
      </c>
      <c r="L2512" s="11"/>
      <c r="M2512" s="11" t="b">
        <v>1</v>
      </c>
      <c r="N2512" s="11"/>
    </row>
    <row r="2513" spans="1:14" x14ac:dyDescent="0.25">
      <c r="A2513" s="32" t="s">
        <v>119</v>
      </c>
      <c r="B2513" s="32" t="s">
        <v>119</v>
      </c>
      <c r="C2513" s="26" t="str">
        <f>IF(A2513="","",IF((COUNTIFS(A:A,A2513))&gt;1,"ID重复",""))</f>
        <v/>
      </c>
      <c r="D2513" s="11">
        <v>7003</v>
      </c>
      <c r="E2513" s="132" t="str">
        <f>INDEX([1]道具配置表!$D:$D,MATCH(D2513,[1]道具配置表!$A:$A,0))</f>
        <v>1银币（立即使用，不进背包）</v>
      </c>
      <c r="F2513" s="32">
        <v>50</v>
      </c>
      <c r="G2513" s="11"/>
      <c r="H2513" s="11"/>
      <c r="I2513" s="11"/>
      <c r="J2513" s="11"/>
      <c r="K2513" s="11">
        <v>1</v>
      </c>
      <c r="L2513" s="11"/>
      <c r="M2513" s="11" t="b">
        <v>1</v>
      </c>
      <c r="N2513" s="11"/>
    </row>
    <row r="2514" spans="1:14" x14ac:dyDescent="0.25">
      <c r="A2514" s="32">
        <v>6622030</v>
      </c>
      <c r="B2514" s="32" t="s">
        <v>478</v>
      </c>
      <c r="C2514" s="26" t="str">
        <f>IF(A2514="","",IF((COUNTIFS(A:A,A2514))&gt;1,"ID重复",""))</f>
        <v/>
      </c>
      <c r="D2514" s="11">
        <v>102</v>
      </c>
      <c r="E2514" s="132" t="str">
        <f>INDEX([1]道具配置表!$D:$D,MATCH(D2514,[1]道具配置表!$A:$A,0))</f>
        <v>1食物</v>
      </c>
      <c r="F2514" s="32">
        <v>170000</v>
      </c>
      <c r="G2514" s="11"/>
      <c r="H2514" s="11"/>
      <c r="I2514" s="11"/>
      <c r="J2514" s="11"/>
      <c r="K2514" s="11">
        <v>1</v>
      </c>
      <c r="L2514" s="11"/>
      <c r="M2514" s="11" t="b">
        <v>1</v>
      </c>
      <c r="N2514" s="11"/>
    </row>
    <row r="2515" spans="1:14" x14ac:dyDescent="0.25">
      <c r="A2515" s="32" t="s">
        <v>119</v>
      </c>
      <c r="B2515" s="32" t="s">
        <v>119</v>
      </c>
      <c r="C2515" s="26" t="str">
        <f>IF(A2515="","",IF((COUNTIFS(A:A,A2515))&gt;1,"ID重复",""))</f>
        <v/>
      </c>
      <c r="D2515" s="11">
        <v>101</v>
      </c>
      <c r="E2515" s="132" t="str">
        <f>INDEX([1]道具配置表!$D:$D,MATCH(D2515,[1]道具配置表!$A:$A,0))</f>
        <v>1木材</v>
      </c>
      <c r="F2515" s="32">
        <v>170000</v>
      </c>
      <c r="G2515" s="11"/>
      <c r="H2515" s="11"/>
      <c r="I2515" s="11"/>
      <c r="J2515" s="11"/>
      <c r="K2515" s="11">
        <v>1</v>
      </c>
      <c r="L2515" s="11"/>
      <c r="M2515" s="11" t="b">
        <v>1</v>
      </c>
      <c r="N2515" s="11"/>
    </row>
    <row r="2516" spans="1:14" x14ac:dyDescent="0.25">
      <c r="A2516" s="32" t="s">
        <v>119</v>
      </c>
      <c r="B2516" s="32" t="s">
        <v>119</v>
      </c>
      <c r="C2516" s="26" t="str">
        <f>IF(A2516="","",IF((COUNTIFS(A:A,A2516))&gt;1,"ID重复",""))</f>
        <v/>
      </c>
      <c r="D2516" s="11">
        <v>103</v>
      </c>
      <c r="E2516" s="132" t="str">
        <f>INDEX([1]道具配置表!$D:$D,MATCH(D2516,[1]道具配置表!$A:$A,0))</f>
        <v>1石头</v>
      </c>
      <c r="F2516" s="32">
        <v>170000</v>
      </c>
      <c r="G2516" s="11"/>
      <c r="H2516" s="11"/>
      <c r="I2516" s="11"/>
      <c r="J2516" s="11"/>
      <c r="K2516" s="11">
        <v>1</v>
      </c>
      <c r="L2516" s="11"/>
      <c r="M2516" s="11" t="b">
        <v>1</v>
      </c>
      <c r="N2516" s="11"/>
    </row>
    <row r="2517" spans="1:14" x14ac:dyDescent="0.25">
      <c r="A2517" s="32" t="s">
        <v>119</v>
      </c>
      <c r="B2517" s="32" t="s">
        <v>119</v>
      </c>
      <c r="C2517" s="26" t="str">
        <f>IF(A2517="","",IF((COUNTIFS(A:A,A2517))&gt;1,"ID重复",""))</f>
        <v/>
      </c>
      <c r="D2517" s="11">
        <v>104</v>
      </c>
      <c r="E2517" s="132" t="str">
        <f>INDEX([1]道具配置表!$D:$D,MATCH(D2517,[1]道具配置表!$A:$A,0))</f>
        <v>1黄金</v>
      </c>
      <c r="F2517" s="32">
        <v>170000</v>
      </c>
      <c r="G2517" s="11"/>
      <c r="H2517" s="11"/>
      <c r="I2517" s="11"/>
      <c r="J2517" s="11"/>
      <c r="K2517" s="11">
        <v>1</v>
      </c>
      <c r="L2517" s="11"/>
      <c r="M2517" s="11" t="b">
        <v>1</v>
      </c>
      <c r="N2517" s="11"/>
    </row>
    <row r="2518" spans="1:14" x14ac:dyDescent="0.25">
      <c r="A2518" s="32" t="s">
        <v>119</v>
      </c>
      <c r="B2518" s="32" t="s">
        <v>119</v>
      </c>
      <c r="C2518" s="26" t="str">
        <f>IF(A2518="","",IF((COUNTIFS(A:A,A2518))&gt;1,"ID重复",""))</f>
        <v/>
      </c>
      <c r="D2518" s="11">
        <v>7003</v>
      </c>
      <c r="E2518" s="132" t="str">
        <f>INDEX([1]道具配置表!$D:$D,MATCH(D2518,[1]道具配置表!$A:$A,0))</f>
        <v>1银币（立即使用，不进背包）</v>
      </c>
      <c r="F2518" s="32">
        <v>50</v>
      </c>
      <c r="G2518" s="11"/>
      <c r="H2518" s="11"/>
      <c r="I2518" s="11"/>
      <c r="J2518" s="11"/>
      <c r="K2518" s="11">
        <v>1</v>
      </c>
      <c r="L2518" s="11"/>
      <c r="M2518" s="11" t="b">
        <v>1</v>
      </c>
      <c r="N2518" s="11"/>
    </row>
    <row r="2519" spans="1:14" x14ac:dyDescent="0.25">
      <c r="A2519" s="32">
        <v>6622101</v>
      </c>
      <c r="B2519" s="32" t="s">
        <v>479</v>
      </c>
      <c r="C2519" s="26" t="str">
        <f>IF(A2519="","",IF((COUNTIFS(A:A,A2519))&gt;1,"ID重复",""))</f>
        <v/>
      </c>
      <c r="D2519" s="11">
        <v>2007</v>
      </c>
      <c r="E2519" s="132" t="str">
        <f>INDEX([1]道具配置表!$D:$D,MATCH(D2519,[1]道具配置表!$A:$A,0))</f>
        <v>大奖池招募券</v>
      </c>
      <c r="F2519" s="32">
        <v>1</v>
      </c>
      <c r="G2519" s="11"/>
      <c r="H2519" s="11"/>
      <c r="I2519" s="11"/>
      <c r="J2519" s="11"/>
      <c r="K2519" s="11">
        <v>1</v>
      </c>
      <c r="L2519" s="11"/>
      <c r="M2519" s="11" t="b">
        <v>1</v>
      </c>
      <c r="N2519" s="11"/>
    </row>
    <row r="2520" spans="1:14" x14ac:dyDescent="0.25">
      <c r="A2520" s="32" t="s">
        <v>119</v>
      </c>
      <c r="B2520" s="32" t="s">
        <v>119</v>
      </c>
      <c r="C2520" s="26" t="str">
        <f>IF(A2520="","",IF((COUNTIFS(A:A,A2520))&gt;1,"ID重复",""))</f>
        <v/>
      </c>
      <c r="D2520" s="11">
        <v>9511</v>
      </c>
      <c r="E2520" s="132" t="str">
        <f>INDEX([1]道具配置表!$D:$D,MATCH(D2520,[1]道具配置表!$A:$A,0))</f>
        <v>剑士等级1</v>
      </c>
      <c r="F2520" s="32">
        <v>700</v>
      </c>
      <c r="G2520" s="11"/>
      <c r="H2520" s="11"/>
      <c r="I2520" s="11"/>
      <c r="J2520" s="11"/>
      <c r="K2520" s="11">
        <v>1</v>
      </c>
      <c r="L2520" s="11"/>
      <c r="M2520" s="11" t="b">
        <v>1</v>
      </c>
      <c r="N2520" s="11"/>
    </row>
    <row r="2521" spans="1:14" x14ac:dyDescent="0.25">
      <c r="A2521" s="32" t="s">
        <v>119</v>
      </c>
      <c r="B2521" s="32" t="s">
        <v>119</v>
      </c>
      <c r="C2521" s="26" t="str">
        <f>IF(A2521="","",IF((COUNTIFS(A:A,A2521))&gt;1,"ID重复",""))</f>
        <v/>
      </c>
      <c r="D2521" s="11">
        <v>9512</v>
      </c>
      <c r="E2521" s="132" t="str">
        <f>INDEX([1]道具配置表!$D:$D,MATCH(D2521,[1]道具配置表!$A:$A,0))</f>
        <v>枪兵等级1</v>
      </c>
      <c r="F2521" s="32">
        <v>700</v>
      </c>
      <c r="G2521" s="11"/>
      <c r="H2521" s="11"/>
      <c r="I2521" s="11"/>
      <c r="J2521" s="11"/>
      <c r="K2521" s="11">
        <v>1</v>
      </c>
      <c r="L2521" s="11"/>
      <c r="M2521" s="11" t="b">
        <v>1</v>
      </c>
      <c r="N2521" s="11"/>
    </row>
    <row r="2522" spans="1:14" x14ac:dyDescent="0.25">
      <c r="A2522" s="32" t="s">
        <v>119</v>
      </c>
      <c r="B2522" s="32" t="s">
        <v>119</v>
      </c>
      <c r="C2522" s="26" t="str">
        <f>IF(A2522="","",IF((COUNTIFS(A:A,A2522))&gt;1,"ID重复",""))</f>
        <v/>
      </c>
      <c r="D2522" s="11">
        <v>9513</v>
      </c>
      <c r="E2522" s="132" t="str">
        <f>INDEX([1]道具配置表!$D:$D,MATCH(D2522,[1]道具配置表!$A:$A,0))</f>
        <v>骑兵等级1</v>
      </c>
      <c r="F2522" s="32">
        <v>700</v>
      </c>
      <c r="G2522" s="11"/>
      <c r="H2522" s="11"/>
      <c r="I2522" s="11"/>
      <c r="J2522" s="11"/>
      <c r="K2522" s="11">
        <v>1</v>
      </c>
      <c r="L2522" s="11"/>
      <c r="M2522" s="11" t="b">
        <v>1</v>
      </c>
      <c r="N2522" s="11"/>
    </row>
    <row r="2523" spans="1:14" x14ac:dyDescent="0.25">
      <c r="A2523" s="32" t="s">
        <v>119</v>
      </c>
      <c r="B2523" s="32" t="s">
        <v>119</v>
      </c>
      <c r="C2523" s="26" t="str">
        <f>IF(A2523="","",IF((COUNTIFS(A:A,A2523))&gt;1,"ID重复",""))</f>
        <v/>
      </c>
      <c r="D2523" s="11">
        <v>9514</v>
      </c>
      <c r="E2523" s="132" t="str">
        <f>INDEX([1]道具配置表!$D:$D,MATCH(D2523,[1]道具配置表!$A:$A,0))</f>
        <v>弓兵等级1</v>
      </c>
      <c r="F2523" s="32">
        <v>700</v>
      </c>
      <c r="G2523" s="11"/>
      <c r="H2523" s="11"/>
      <c r="I2523" s="11"/>
      <c r="J2523" s="11"/>
      <c r="K2523" s="11">
        <v>1</v>
      </c>
      <c r="L2523" s="11"/>
      <c r="M2523" s="11" t="b">
        <v>1</v>
      </c>
      <c r="N2523" s="11"/>
    </row>
    <row r="2524" spans="1:14" x14ac:dyDescent="0.25">
      <c r="A2524" s="32">
        <v>6622102</v>
      </c>
      <c r="B2524" s="32" t="s">
        <v>174</v>
      </c>
      <c r="C2524" s="26" t="str">
        <f>IF(A2524="","",IF((COUNTIFS(A:A,A2524))&gt;1,"ID重复",""))</f>
        <v/>
      </c>
      <c r="D2524" s="11">
        <v>2007</v>
      </c>
      <c r="E2524" s="132" t="str">
        <f>INDEX([1]道具配置表!$D:$D,MATCH(D2524,[1]道具配置表!$A:$A,0))</f>
        <v>大奖池招募券</v>
      </c>
      <c r="F2524" s="32">
        <v>1</v>
      </c>
      <c r="G2524" s="11"/>
      <c r="H2524" s="11"/>
      <c r="I2524" s="11"/>
      <c r="J2524" s="11"/>
      <c r="K2524" s="11">
        <v>1</v>
      </c>
      <c r="L2524" s="11"/>
      <c r="M2524" s="11" t="b">
        <v>1</v>
      </c>
      <c r="N2524" s="11"/>
    </row>
    <row r="2525" spans="1:14" x14ac:dyDescent="0.25">
      <c r="A2525" s="32" t="s">
        <v>119</v>
      </c>
      <c r="B2525" s="32" t="s">
        <v>119</v>
      </c>
      <c r="C2525" s="26" t="str">
        <f>IF(A2525="","",IF((COUNTIFS(A:A,A2525))&gt;1,"ID重复",""))</f>
        <v/>
      </c>
      <c r="D2525" s="69">
        <v>9511</v>
      </c>
      <c r="E2525" s="132" t="str">
        <f>INDEX([1]道具配置表!$D:$D,MATCH(D2525,[1]道具配置表!$A:$A,0))</f>
        <v>剑士等级1</v>
      </c>
      <c r="F2525" s="32">
        <v>800</v>
      </c>
      <c r="G2525" s="11"/>
      <c r="H2525" s="11"/>
      <c r="I2525" s="11"/>
      <c r="J2525" s="11"/>
      <c r="K2525" s="11">
        <v>1</v>
      </c>
      <c r="L2525" s="11"/>
      <c r="M2525" s="11" t="b">
        <v>1</v>
      </c>
      <c r="N2525" s="11"/>
    </row>
    <row r="2526" spans="1:14" x14ac:dyDescent="0.25">
      <c r="A2526" s="32" t="s">
        <v>119</v>
      </c>
      <c r="B2526" s="32" t="s">
        <v>119</v>
      </c>
      <c r="C2526" s="26" t="str">
        <f>IF(A2526="","",IF((COUNTIFS(A:A,A2526))&gt;1,"ID重复",""))</f>
        <v/>
      </c>
      <c r="D2526" s="69">
        <v>9512</v>
      </c>
      <c r="E2526" s="132" t="str">
        <f>INDEX([1]道具配置表!$D:$D,MATCH(D2526,[1]道具配置表!$A:$A,0))</f>
        <v>枪兵等级1</v>
      </c>
      <c r="F2526" s="32">
        <v>800</v>
      </c>
      <c r="G2526" s="11"/>
      <c r="H2526" s="11"/>
      <c r="I2526" s="11"/>
      <c r="J2526" s="11"/>
      <c r="K2526" s="11">
        <v>1</v>
      </c>
      <c r="L2526" s="11"/>
      <c r="M2526" s="11" t="b">
        <v>1</v>
      </c>
      <c r="N2526" s="11"/>
    </row>
    <row r="2527" spans="1:14" x14ac:dyDescent="0.25">
      <c r="A2527" s="32" t="s">
        <v>119</v>
      </c>
      <c r="B2527" s="32" t="s">
        <v>119</v>
      </c>
      <c r="C2527" s="26" t="str">
        <f>IF(A2527="","",IF((COUNTIFS(A:A,A2527))&gt;1,"ID重复",""))</f>
        <v/>
      </c>
      <c r="D2527" s="69">
        <v>9513</v>
      </c>
      <c r="E2527" s="132" t="str">
        <f>INDEX([1]道具配置表!$D:$D,MATCH(D2527,[1]道具配置表!$A:$A,0))</f>
        <v>骑兵等级1</v>
      </c>
      <c r="F2527" s="32">
        <v>800</v>
      </c>
      <c r="G2527" s="11"/>
      <c r="H2527" s="11"/>
      <c r="I2527" s="11"/>
      <c r="J2527" s="11"/>
      <c r="K2527" s="11">
        <v>1</v>
      </c>
      <c r="L2527" s="11"/>
      <c r="M2527" s="11" t="b">
        <v>1</v>
      </c>
      <c r="N2527" s="11"/>
    </row>
    <row r="2528" spans="1:14" x14ac:dyDescent="0.25">
      <c r="A2528" s="32" t="s">
        <v>119</v>
      </c>
      <c r="B2528" s="32" t="s">
        <v>119</v>
      </c>
      <c r="C2528" s="26" t="str">
        <f>IF(A2528="","",IF((COUNTIFS(A:A,A2528))&gt;1,"ID重复",""))</f>
        <v/>
      </c>
      <c r="D2528" s="69">
        <v>9514</v>
      </c>
      <c r="E2528" s="132" t="str">
        <f>INDEX([1]道具配置表!$D:$D,MATCH(D2528,[1]道具配置表!$A:$A,0))</f>
        <v>弓兵等级1</v>
      </c>
      <c r="F2528" s="32">
        <v>800</v>
      </c>
      <c r="G2528" s="11"/>
      <c r="H2528" s="11"/>
      <c r="I2528" s="11"/>
      <c r="J2528" s="11"/>
      <c r="K2528" s="11">
        <v>1</v>
      </c>
      <c r="L2528" s="11"/>
      <c r="M2528" s="11" t="b">
        <v>1</v>
      </c>
      <c r="N2528" s="11"/>
    </row>
    <row r="2529" spans="1:14" x14ac:dyDescent="0.25">
      <c r="A2529" s="32">
        <v>6622103</v>
      </c>
      <c r="B2529" s="32" t="s">
        <v>480</v>
      </c>
      <c r="C2529" s="26" t="str">
        <f>IF(A2529="","",IF((COUNTIFS(A:A,A2529))&gt;1,"ID重复",""))</f>
        <v/>
      </c>
      <c r="D2529" s="11">
        <v>2007</v>
      </c>
      <c r="E2529" s="132" t="str">
        <f>INDEX([1]道具配置表!$D:$D,MATCH(D2529,[1]道具配置表!$A:$A,0))</f>
        <v>大奖池招募券</v>
      </c>
      <c r="F2529" s="32">
        <v>1</v>
      </c>
      <c r="G2529" s="11"/>
      <c r="H2529" s="11"/>
      <c r="I2529" s="11"/>
      <c r="J2529" s="11"/>
      <c r="K2529" s="11">
        <v>1</v>
      </c>
      <c r="L2529" s="11"/>
      <c r="M2529" s="11" t="b">
        <v>1</v>
      </c>
      <c r="N2529" s="11"/>
    </row>
    <row r="2530" spans="1:14" x14ac:dyDescent="0.25">
      <c r="A2530" s="32" t="s">
        <v>119</v>
      </c>
      <c r="B2530" s="32" t="s">
        <v>119</v>
      </c>
      <c r="C2530" s="26" t="str">
        <f>IF(A2530="","",IF((COUNTIFS(A:A,A2530))&gt;1,"ID重复",""))</f>
        <v/>
      </c>
      <c r="D2530" s="69">
        <v>9511</v>
      </c>
      <c r="E2530" s="132" t="str">
        <f>INDEX([1]道具配置表!$D:$D,MATCH(D2530,[1]道具配置表!$A:$A,0))</f>
        <v>剑士等级1</v>
      </c>
      <c r="F2530" s="32">
        <v>900</v>
      </c>
      <c r="G2530" s="11"/>
      <c r="H2530" s="11"/>
      <c r="I2530" s="11"/>
      <c r="J2530" s="11"/>
      <c r="K2530" s="11">
        <v>1</v>
      </c>
      <c r="L2530" s="11"/>
      <c r="M2530" s="11" t="b">
        <v>1</v>
      </c>
      <c r="N2530" s="11"/>
    </row>
    <row r="2531" spans="1:14" x14ac:dyDescent="0.25">
      <c r="A2531" s="32" t="s">
        <v>119</v>
      </c>
      <c r="B2531" s="32" t="s">
        <v>119</v>
      </c>
      <c r="C2531" s="26" t="str">
        <f>IF(A2531="","",IF((COUNTIFS(A:A,A2531))&gt;1,"ID重复",""))</f>
        <v/>
      </c>
      <c r="D2531" s="69">
        <v>9512</v>
      </c>
      <c r="E2531" s="132" t="str">
        <f>INDEX([1]道具配置表!$D:$D,MATCH(D2531,[1]道具配置表!$A:$A,0))</f>
        <v>枪兵等级1</v>
      </c>
      <c r="F2531" s="32">
        <v>900</v>
      </c>
      <c r="G2531" s="11"/>
      <c r="H2531" s="11"/>
      <c r="I2531" s="11"/>
      <c r="J2531" s="11"/>
      <c r="K2531" s="11">
        <v>1</v>
      </c>
      <c r="L2531" s="11"/>
      <c r="M2531" s="11" t="b">
        <v>1</v>
      </c>
      <c r="N2531" s="11"/>
    </row>
    <row r="2532" spans="1:14" x14ac:dyDescent="0.25">
      <c r="A2532" s="32" t="s">
        <v>119</v>
      </c>
      <c r="B2532" s="32" t="s">
        <v>119</v>
      </c>
      <c r="C2532" s="26" t="str">
        <f>IF(A2532="","",IF((COUNTIFS(A:A,A2532))&gt;1,"ID重复",""))</f>
        <v/>
      </c>
      <c r="D2532" s="69">
        <v>9513</v>
      </c>
      <c r="E2532" s="132" t="str">
        <f>INDEX([1]道具配置表!$D:$D,MATCH(D2532,[1]道具配置表!$A:$A,0))</f>
        <v>骑兵等级1</v>
      </c>
      <c r="F2532" s="32">
        <v>900</v>
      </c>
      <c r="G2532" s="11"/>
      <c r="H2532" s="11"/>
      <c r="I2532" s="11"/>
      <c r="J2532" s="11"/>
      <c r="K2532" s="11">
        <v>1</v>
      </c>
      <c r="L2532" s="11"/>
      <c r="M2532" s="11" t="b">
        <v>1</v>
      </c>
      <c r="N2532" s="11"/>
    </row>
    <row r="2533" spans="1:14" x14ac:dyDescent="0.25">
      <c r="A2533" s="32" t="s">
        <v>119</v>
      </c>
      <c r="B2533" s="32" t="s">
        <v>119</v>
      </c>
      <c r="C2533" s="26" t="str">
        <f>IF(A2533="","",IF((COUNTIFS(A:A,A2533))&gt;1,"ID重复",""))</f>
        <v/>
      </c>
      <c r="D2533" s="69">
        <v>9514</v>
      </c>
      <c r="E2533" s="132" t="str">
        <f>INDEX([1]道具配置表!$D:$D,MATCH(D2533,[1]道具配置表!$A:$A,0))</f>
        <v>弓兵等级1</v>
      </c>
      <c r="F2533" s="32">
        <v>900</v>
      </c>
      <c r="G2533" s="11"/>
      <c r="H2533" s="11"/>
      <c r="I2533" s="11"/>
      <c r="J2533" s="11"/>
      <c r="K2533" s="11">
        <v>1</v>
      </c>
      <c r="L2533" s="11"/>
      <c r="M2533" s="11" t="b">
        <v>1</v>
      </c>
      <c r="N2533" s="11"/>
    </row>
    <row r="2534" spans="1:14" x14ac:dyDescent="0.25">
      <c r="A2534" s="32">
        <v>6622104</v>
      </c>
      <c r="B2534" s="32" t="s">
        <v>481</v>
      </c>
      <c r="C2534" s="26" t="str">
        <f>IF(A2534="","",IF((COUNTIFS(A:A,A2534))&gt;1,"ID重复",""))</f>
        <v/>
      </c>
      <c r="D2534" s="11">
        <v>2007</v>
      </c>
      <c r="E2534" s="132" t="str">
        <f>INDEX([1]道具配置表!$D:$D,MATCH(D2534,[1]道具配置表!$A:$A,0))</f>
        <v>大奖池招募券</v>
      </c>
      <c r="F2534" s="32">
        <v>1</v>
      </c>
      <c r="G2534" s="11"/>
      <c r="H2534" s="11"/>
      <c r="I2534" s="11"/>
      <c r="J2534" s="11"/>
      <c r="K2534" s="11">
        <v>1</v>
      </c>
      <c r="L2534" s="11"/>
      <c r="M2534" s="11" t="b">
        <v>1</v>
      </c>
      <c r="N2534" s="11"/>
    </row>
    <row r="2535" spans="1:14" x14ac:dyDescent="0.25">
      <c r="A2535" s="32" t="s">
        <v>119</v>
      </c>
      <c r="B2535" s="32" t="s">
        <v>119</v>
      </c>
      <c r="C2535" s="26" t="str">
        <f>IF(A2535="","",IF((COUNTIFS(A:A,A2535))&gt;1,"ID重复",""))</f>
        <v/>
      </c>
      <c r="D2535" s="69">
        <v>9511</v>
      </c>
      <c r="E2535" s="132" t="str">
        <f>INDEX([1]道具配置表!$D:$D,MATCH(D2535,[1]道具配置表!$A:$A,0))</f>
        <v>剑士等级1</v>
      </c>
      <c r="F2535" s="32">
        <v>1000</v>
      </c>
      <c r="G2535" s="11"/>
      <c r="H2535" s="11"/>
      <c r="I2535" s="11"/>
      <c r="J2535" s="11"/>
      <c r="K2535" s="11">
        <v>1</v>
      </c>
      <c r="L2535" s="11"/>
      <c r="M2535" s="11" t="b">
        <v>1</v>
      </c>
      <c r="N2535" s="11"/>
    </row>
    <row r="2536" spans="1:14" x14ac:dyDescent="0.25">
      <c r="A2536" s="32" t="s">
        <v>119</v>
      </c>
      <c r="B2536" s="32" t="s">
        <v>119</v>
      </c>
      <c r="C2536" s="26" t="str">
        <f>IF(A2536="","",IF((COUNTIFS(A:A,A2536))&gt;1,"ID重复",""))</f>
        <v/>
      </c>
      <c r="D2536" s="69">
        <v>9512</v>
      </c>
      <c r="E2536" s="132" t="str">
        <f>INDEX([1]道具配置表!$D:$D,MATCH(D2536,[1]道具配置表!$A:$A,0))</f>
        <v>枪兵等级1</v>
      </c>
      <c r="F2536" s="32">
        <v>1000</v>
      </c>
      <c r="G2536" s="11"/>
      <c r="H2536" s="11"/>
      <c r="I2536" s="11"/>
      <c r="J2536" s="11"/>
      <c r="K2536" s="11">
        <v>1</v>
      </c>
      <c r="L2536" s="11"/>
      <c r="M2536" s="11" t="b">
        <v>1</v>
      </c>
      <c r="N2536" s="11"/>
    </row>
    <row r="2537" spans="1:14" x14ac:dyDescent="0.25">
      <c r="A2537" s="32" t="s">
        <v>119</v>
      </c>
      <c r="B2537" s="32" t="s">
        <v>119</v>
      </c>
      <c r="C2537" s="26" t="str">
        <f>IF(A2537="","",IF((COUNTIFS(A:A,A2537))&gt;1,"ID重复",""))</f>
        <v/>
      </c>
      <c r="D2537" s="69">
        <v>9513</v>
      </c>
      <c r="E2537" s="132" t="str">
        <f>INDEX([1]道具配置表!$D:$D,MATCH(D2537,[1]道具配置表!$A:$A,0))</f>
        <v>骑兵等级1</v>
      </c>
      <c r="F2537" s="32">
        <v>1000</v>
      </c>
      <c r="G2537" s="11"/>
      <c r="H2537" s="11"/>
      <c r="I2537" s="11"/>
      <c r="J2537" s="11"/>
      <c r="K2537" s="11">
        <v>1</v>
      </c>
      <c r="L2537" s="11"/>
      <c r="M2537" s="11" t="b">
        <v>1</v>
      </c>
      <c r="N2537" s="11"/>
    </row>
    <row r="2538" spans="1:14" x14ac:dyDescent="0.25">
      <c r="A2538" s="32" t="s">
        <v>119</v>
      </c>
      <c r="B2538" s="32" t="s">
        <v>119</v>
      </c>
      <c r="C2538" s="26" t="str">
        <f>IF(A2538="","",IF((COUNTIFS(A:A,A2538))&gt;1,"ID重复",""))</f>
        <v/>
      </c>
      <c r="D2538" s="69">
        <v>9514</v>
      </c>
      <c r="E2538" s="132" t="str">
        <f>INDEX([1]道具配置表!$D:$D,MATCH(D2538,[1]道具配置表!$A:$A,0))</f>
        <v>弓兵等级1</v>
      </c>
      <c r="F2538" s="32">
        <v>1000</v>
      </c>
      <c r="G2538" s="11"/>
      <c r="H2538" s="11"/>
      <c r="I2538" s="11"/>
      <c r="J2538" s="11"/>
      <c r="K2538" s="11">
        <v>1</v>
      </c>
      <c r="L2538" s="11"/>
      <c r="M2538" s="11" t="b">
        <v>1</v>
      </c>
      <c r="N2538" s="11"/>
    </row>
    <row r="2539" spans="1:14" x14ac:dyDescent="0.25">
      <c r="A2539" s="45"/>
      <c r="B2539" s="45"/>
      <c r="C2539" s="45"/>
      <c r="D2539" s="45">
        <v>2068</v>
      </c>
      <c r="E2539" s="132" t="str">
        <f>INDEX([1]道具配置表!$D:$D,MATCH(D2539,[1]道具配置表!$A:$A,0))</f>
        <v>庇佑蓝图</v>
      </c>
      <c r="F2539" s="45">
        <v>60</v>
      </c>
      <c r="G2539" s="45"/>
      <c r="H2539" s="45"/>
      <c r="I2539" s="45"/>
      <c r="J2539" s="45"/>
      <c r="K2539" s="45">
        <v>1</v>
      </c>
      <c r="L2539" s="45"/>
      <c r="M2539" s="64" t="b">
        <v>1</v>
      </c>
      <c r="N2539" s="11"/>
    </row>
    <row r="2540" spans="1:14" x14ac:dyDescent="0.25">
      <c r="A2540" s="32">
        <v>6622105</v>
      </c>
      <c r="B2540" s="32" t="s">
        <v>482</v>
      </c>
      <c r="C2540" s="26" t="str">
        <f>IF(A2540="","",IF((COUNTIFS(A:A,A2540))&gt;1,"ID重复",""))</f>
        <v/>
      </c>
      <c r="D2540" s="11">
        <v>2007</v>
      </c>
      <c r="E2540" s="132" t="str">
        <f>INDEX([1]道具配置表!$D:$D,MATCH(D2540,[1]道具配置表!$A:$A,0))</f>
        <v>大奖池招募券</v>
      </c>
      <c r="F2540" s="32">
        <v>1</v>
      </c>
      <c r="G2540" s="11"/>
      <c r="H2540" s="11"/>
      <c r="I2540" s="11"/>
      <c r="J2540" s="11"/>
      <c r="K2540" s="11">
        <v>1</v>
      </c>
      <c r="L2540" s="11"/>
      <c r="M2540" s="11" t="b">
        <v>1</v>
      </c>
      <c r="N2540" s="11"/>
    </row>
    <row r="2541" spans="1:14" x14ac:dyDescent="0.25">
      <c r="A2541" s="32"/>
      <c r="B2541" s="32"/>
      <c r="C2541" s="26" t="str">
        <f>IF(A2541="","",IF((COUNTIFS(A:A,A2541))&gt;1,"ID重复",""))</f>
        <v/>
      </c>
      <c r="D2541" s="22">
        <v>7227</v>
      </c>
      <c r="E2541" s="132" t="str">
        <f>INDEX([1]道具配置表!$D:$D,MATCH(D2541,[1]道具配置表!$A:$A,0))</f>
        <v>经验书*1000</v>
      </c>
      <c r="F2541" s="32">
        <v>10</v>
      </c>
      <c r="G2541" s="22"/>
      <c r="H2541" s="22"/>
      <c r="I2541" s="22"/>
      <c r="J2541" s="22"/>
      <c r="K2541" s="22">
        <v>1</v>
      </c>
      <c r="L2541" s="22"/>
      <c r="M2541" s="22" t="b">
        <v>1</v>
      </c>
      <c r="N2541" s="11"/>
    </row>
    <row r="2542" spans="1:14" x14ac:dyDescent="0.25">
      <c r="A2542" s="32" t="s">
        <v>119</v>
      </c>
      <c r="B2542" s="32" t="s">
        <v>119</v>
      </c>
      <c r="C2542" s="26" t="str">
        <f>IF(A2542="","",IF((COUNTIFS(A:A,A2542))&gt;1,"ID重复",""))</f>
        <v/>
      </c>
      <c r="D2542" s="69">
        <v>9511</v>
      </c>
      <c r="E2542" s="132" t="str">
        <f>INDEX([1]道具配置表!$D:$D,MATCH(D2542,[1]道具配置表!$A:$A,0))</f>
        <v>剑士等级1</v>
      </c>
      <c r="F2542" s="32">
        <v>1100</v>
      </c>
      <c r="G2542" s="11"/>
      <c r="H2542" s="11"/>
      <c r="I2542" s="11"/>
      <c r="J2542" s="11"/>
      <c r="K2542" s="11">
        <v>1</v>
      </c>
      <c r="L2542" s="11"/>
      <c r="M2542" s="11" t="b">
        <v>1</v>
      </c>
      <c r="N2542" s="11"/>
    </row>
    <row r="2543" spans="1:14" x14ac:dyDescent="0.25">
      <c r="A2543" s="32" t="s">
        <v>119</v>
      </c>
      <c r="B2543" s="32" t="s">
        <v>119</v>
      </c>
      <c r="C2543" s="26" t="str">
        <f>IF(A2543="","",IF((COUNTIFS(A:A,A2543))&gt;1,"ID重复",""))</f>
        <v/>
      </c>
      <c r="D2543" s="69">
        <v>9512</v>
      </c>
      <c r="E2543" s="132" t="str">
        <f>INDEX([1]道具配置表!$D:$D,MATCH(D2543,[1]道具配置表!$A:$A,0))</f>
        <v>枪兵等级1</v>
      </c>
      <c r="F2543" s="32">
        <v>1100</v>
      </c>
      <c r="G2543" s="11"/>
      <c r="H2543" s="11"/>
      <c r="I2543" s="11"/>
      <c r="J2543" s="11"/>
      <c r="K2543" s="11">
        <v>1</v>
      </c>
      <c r="L2543" s="11"/>
      <c r="M2543" s="11" t="b">
        <v>1</v>
      </c>
      <c r="N2543" s="11"/>
    </row>
    <row r="2544" spans="1:14" x14ac:dyDescent="0.25">
      <c r="A2544" s="32" t="s">
        <v>119</v>
      </c>
      <c r="B2544" s="32" t="s">
        <v>119</v>
      </c>
      <c r="C2544" s="26" t="str">
        <f>IF(A2544="","",IF((COUNTIFS(A:A,A2544))&gt;1,"ID重复",""))</f>
        <v/>
      </c>
      <c r="D2544" s="69">
        <v>9513</v>
      </c>
      <c r="E2544" s="132" t="str">
        <f>INDEX([1]道具配置表!$D:$D,MATCH(D2544,[1]道具配置表!$A:$A,0))</f>
        <v>骑兵等级1</v>
      </c>
      <c r="F2544" s="32">
        <v>1100</v>
      </c>
      <c r="G2544" s="11"/>
      <c r="H2544" s="11"/>
      <c r="I2544" s="11"/>
      <c r="J2544" s="11"/>
      <c r="K2544" s="11">
        <v>1</v>
      </c>
      <c r="L2544" s="11"/>
      <c r="M2544" s="11" t="b">
        <v>1</v>
      </c>
      <c r="N2544" s="11"/>
    </row>
    <row r="2545" spans="1:14" x14ac:dyDescent="0.25">
      <c r="A2545" s="32" t="s">
        <v>119</v>
      </c>
      <c r="B2545" s="32" t="s">
        <v>119</v>
      </c>
      <c r="C2545" s="26" t="str">
        <f>IF(A2545="","",IF((COUNTIFS(A:A,A2545))&gt;1,"ID重复",""))</f>
        <v/>
      </c>
      <c r="D2545" s="69">
        <v>9514</v>
      </c>
      <c r="E2545" s="132" t="str">
        <f>INDEX([1]道具配置表!$D:$D,MATCH(D2545,[1]道具配置表!$A:$A,0))</f>
        <v>弓兵等级1</v>
      </c>
      <c r="F2545" s="32">
        <v>1100</v>
      </c>
      <c r="G2545" s="11"/>
      <c r="H2545" s="11"/>
      <c r="I2545" s="11"/>
      <c r="J2545" s="11"/>
      <c r="K2545" s="11">
        <v>1</v>
      </c>
      <c r="L2545" s="11"/>
      <c r="M2545" s="11" t="b">
        <v>1</v>
      </c>
      <c r="N2545" s="11"/>
    </row>
    <row r="2546" spans="1:14" x14ac:dyDescent="0.25">
      <c r="A2546" s="32">
        <v>6622106</v>
      </c>
      <c r="B2546" s="32" t="s">
        <v>483</v>
      </c>
      <c r="C2546" s="26" t="str">
        <f>IF(A2546="","",IF((COUNTIFS(A:A,A2546))&gt;1,"ID重复",""))</f>
        <v/>
      </c>
      <c r="D2546" s="11">
        <v>2007</v>
      </c>
      <c r="E2546" s="132" t="str">
        <f>INDEX([1]道具配置表!$D:$D,MATCH(D2546,[1]道具配置表!$A:$A,0))</f>
        <v>大奖池招募券</v>
      </c>
      <c r="F2546" s="32">
        <v>1</v>
      </c>
      <c r="G2546" s="11"/>
      <c r="H2546" s="11"/>
      <c r="I2546" s="11"/>
      <c r="J2546" s="11"/>
      <c r="K2546" s="11">
        <v>1</v>
      </c>
      <c r="L2546" s="11"/>
      <c r="M2546" s="11" t="b">
        <v>1</v>
      </c>
      <c r="N2546" s="11"/>
    </row>
    <row r="2547" spans="1:14" x14ac:dyDescent="0.25">
      <c r="A2547" s="32"/>
      <c r="B2547" s="32"/>
      <c r="C2547" s="26" t="str">
        <f>IF(A2547="","",IF((COUNTIFS(A:A,A2547))&gt;1,"ID重复",""))</f>
        <v/>
      </c>
      <c r="D2547" s="22">
        <v>7228</v>
      </c>
      <c r="E2547" s="132" t="str">
        <f>INDEX([1]道具配置表!$D:$D,MATCH(D2547,[1]道具配置表!$A:$A,0))</f>
        <v>经验书*10000</v>
      </c>
      <c r="F2547" s="32">
        <v>13</v>
      </c>
      <c r="G2547" s="22"/>
      <c r="H2547" s="22"/>
      <c r="I2547" s="22"/>
      <c r="J2547" s="22"/>
      <c r="K2547" s="22">
        <v>1</v>
      </c>
      <c r="L2547" s="22"/>
      <c r="M2547" s="22" t="b">
        <v>1</v>
      </c>
      <c r="N2547" s="11"/>
    </row>
    <row r="2548" spans="1:14" x14ac:dyDescent="0.25">
      <c r="A2548" s="32" t="s">
        <v>119</v>
      </c>
      <c r="B2548" s="32" t="s">
        <v>119</v>
      </c>
      <c r="C2548" s="26" t="str">
        <f>IF(A2548="","",IF((COUNTIFS(A:A,A2548))&gt;1,"ID重复",""))</f>
        <v/>
      </c>
      <c r="D2548" s="69">
        <v>9511</v>
      </c>
      <c r="E2548" s="132" t="str">
        <f>INDEX([1]道具配置表!$D:$D,MATCH(D2548,[1]道具配置表!$A:$A,0))</f>
        <v>剑士等级1</v>
      </c>
      <c r="F2548" s="32">
        <v>1200</v>
      </c>
      <c r="G2548" s="11"/>
      <c r="H2548" s="11"/>
      <c r="I2548" s="11"/>
      <c r="J2548" s="11"/>
      <c r="K2548" s="11">
        <v>1</v>
      </c>
      <c r="L2548" s="11"/>
      <c r="M2548" s="11" t="b">
        <v>1</v>
      </c>
      <c r="N2548" s="11"/>
    </row>
    <row r="2549" spans="1:14" x14ac:dyDescent="0.25">
      <c r="A2549" s="32" t="s">
        <v>119</v>
      </c>
      <c r="B2549" s="32" t="s">
        <v>119</v>
      </c>
      <c r="C2549" s="26" t="str">
        <f>IF(A2549="","",IF((COUNTIFS(A:A,A2549))&gt;1,"ID重复",""))</f>
        <v/>
      </c>
      <c r="D2549" s="69">
        <v>9512</v>
      </c>
      <c r="E2549" s="132" t="str">
        <f>INDEX([1]道具配置表!$D:$D,MATCH(D2549,[1]道具配置表!$A:$A,0))</f>
        <v>枪兵等级1</v>
      </c>
      <c r="F2549" s="32">
        <v>1200</v>
      </c>
      <c r="G2549" s="11"/>
      <c r="H2549" s="11"/>
      <c r="I2549" s="11"/>
      <c r="J2549" s="11"/>
      <c r="K2549" s="11">
        <v>1</v>
      </c>
      <c r="L2549" s="11"/>
      <c r="M2549" s="11" t="b">
        <v>1</v>
      </c>
      <c r="N2549" s="11"/>
    </row>
    <row r="2550" spans="1:14" x14ac:dyDescent="0.25">
      <c r="A2550" s="32" t="s">
        <v>119</v>
      </c>
      <c r="B2550" s="32" t="s">
        <v>119</v>
      </c>
      <c r="C2550" s="26" t="str">
        <f>IF(A2550="","",IF((COUNTIFS(A:A,A2550))&gt;1,"ID重复",""))</f>
        <v/>
      </c>
      <c r="D2550" s="69">
        <v>9513</v>
      </c>
      <c r="E2550" s="132" t="str">
        <f>INDEX([1]道具配置表!$D:$D,MATCH(D2550,[1]道具配置表!$A:$A,0))</f>
        <v>骑兵等级1</v>
      </c>
      <c r="F2550" s="32">
        <v>1200</v>
      </c>
      <c r="G2550" s="11"/>
      <c r="H2550" s="11"/>
      <c r="I2550" s="11"/>
      <c r="J2550" s="11"/>
      <c r="K2550" s="11">
        <v>1</v>
      </c>
      <c r="L2550" s="11"/>
      <c r="M2550" s="11" t="b">
        <v>1</v>
      </c>
      <c r="N2550" s="11"/>
    </row>
    <row r="2551" spans="1:14" x14ac:dyDescent="0.25">
      <c r="A2551" s="32" t="s">
        <v>119</v>
      </c>
      <c r="B2551" s="32" t="s">
        <v>119</v>
      </c>
      <c r="C2551" s="26" t="str">
        <f>IF(A2551="","",IF((COUNTIFS(A:A,A2551))&gt;1,"ID重复",""))</f>
        <v/>
      </c>
      <c r="D2551" s="69">
        <v>9514</v>
      </c>
      <c r="E2551" s="132" t="str">
        <f>INDEX([1]道具配置表!$D:$D,MATCH(D2551,[1]道具配置表!$A:$A,0))</f>
        <v>弓兵等级1</v>
      </c>
      <c r="F2551" s="32">
        <v>1200</v>
      </c>
      <c r="G2551" s="11"/>
      <c r="H2551" s="11"/>
      <c r="I2551" s="11"/>
      <c r="J2551" s="11"/>
      <c r="K2551" s="11">
        <v>1</v>
      </c>
      <c r="L2551" s="11"/>
      <c r="M2551" s="11" t="b">
        <v>1</v>
      </c>
      <c r="N2551" s="11"/>
    </row>
    <row r="2552" spans="1:14" x14ac:dyDescent="0.25">
      <c r="A2552" s="32">
        <v>6622107</v>
      </c>
      <c r="B2552" s="32" t="s">
        <v>484</v>
      </c>
      <c r="C2552" s="26" t="str">
        <f>IF(A2552="","",IF((COUNTIFS(A:A,A2552))&gt;1,"ID重复",""))</f>
        <v/>
      </c>
      <c r="D2552" s="11">
        <v>2007</v>
      </c>
      <c r="E2552" s="132" t="str">
        <f>INDEX([1]道具配置表!$D:$D,MATCH(D2552,[1]道具配置表!$A:$A,0))</f>
        <v>大奖池招募券</v>
      </c>
      <c r="F2552" s="32">
        <v>1</v>
      </c>
      <c r="G2552" s="11"/>
      <c r="H2552" s="11"/>
      <c r="I2552" s="11"/>
      <c r="J2552" s="11"/>
      <c r="K2552" s="11">
        <v>1</v>
      </c>
      <c r="L2552" s="11"/>
      <c r="M2552" s="11" t="b">
        <v>1</v>
      </c>
      <c r="N2552" s="11"/>
    </row>
    <row r="2553" spans="1:14" x14ac:dyDescent="0.25">
      <c r="A2553" s="32"/>
      <c r="B2553" s="32"/>
      <c r="C2553" s="26" t="str">
        <f>IF(A2553="","",IF((COUNTIFS(A:A,A2553))&gt;1,"ID重复",""))</f>
        <v/>
      </c>
      <c r="D2553" s="22">
        <v>7228</v>
      </c>
      <c r="E2553" s="132" t="str">
        <f>INDEX([1]道具配置表!$D:$D,MATCH(D2553,[1]道具配置表!$A:$A,0))</f>
        <v>经验书*10000</v>
      </c>
      <c r="F2553" s="32">
        <v>13</v>
      </c>
      <c r="G2553" s="22"/>
      <c r="H2553" s="22"/>
      <c r="I2553" s="22"/>
      <c r="J2553" s="22"/>
      <c r="K2553" s="22">
        <v>1</v>
      </c>
      <c r="L2553" s="22"/>
      <c r="M2553" s="22" t="b">
        <v>1</v>
      </c>
      <c r="N2553" s="11"/>
    </row>
    <row r="2554" spans="1:14" x14ac:dyDescent="0.25">
      <c r="A2554" s="32" t="s">
        <v>119</v>
      </c>
      <c r="B2554" s="32" t="s">
        <v>119</v>
      </c>
      <c r="C2554" s="26" t="str">
        <f>IF(A2554="","",IF((COUNTIFS(A:A,A2554))&gt;1,"ID重复",""))</f>
        <v/>
      </c>
      <c r="D2554" s="69">
        <v>9511</v>
      </c>
      <c r="E2554" s="132" t="str">
        <f>INDEX([1]道具配置表!$D:$D,MATCH(D2554,[1]道具配置表!$A:$A,0))</f>
        <v>剑士等级1</v>
      </c>
      <c r="F2554" s="32">
        <v>1400</v>
      </c>
      <c r="G2554" s="11"/>
      <c r="H2554" s="11"/>
      <c r="I2554" s="11"/>
      <c r="J2554" s="11"/>
      <c r="K2554" s="11">
        <v>1</v>
      </c>
      <c r="L2554" s="11"/>
      <c r="M2554" s="11" t="b">
        <v>1</v>
      </c>
      <c r="N2554" s="11"/>
    </row>
    <row r="2555" spans="1:14" x14ac:dyDescent="0.25">
      <c r="A2555" s="32" t="s">
        <v>119</v>
      </c>
      <c r="B2555" s="32" t="s">
        <v>119</v>
      </c>
      <c r="C2555" s="26" t="str">
        <f>IF(A2555="","",IF((COUNTIFS(A:A,A2555))&gt;1,"ID重复",""))</f>
        <v/>
      </c>
      <c r="D2555" s="69">
        <v>9512</v>
      </c>
      <c r="E2555" s="132" t="str">
        <f>INDEX([1]道具配置表!$D:$D,MATCH(D2555,[1]道具配置表!$A:$A,0))</f>
        <v>枪兵等级1</v>
      </c>
      <c r="F2555" s="32">
        <v>1400</v>
      </c>
      <c r="G2555" s="11"/>
      <c r="H2555" s="11"/>
      <c r="I2555" s="11"/>
      <c r="J2555" s="11"/>
      <c r="K2555" s="11">
        <v>1</v>
      </c>
      <c r="L2555" s="11"/>
      <c r="M2555" s="11" t="b">
        <v>1</v>
      </c>
      <c r="N2555" s="11"/>
    </row>
    <row r="2556" spans="1:14" x14ac:dyDescent="0.25">
      <c r="A2556" s="32" t="s">
        <v>119</v>
      </c>
      <c r="B2556" s="32" t="s">
        <v>119</v>
      </c>
      <c r="C2556" s="26" t="str">
        <f>IF(A2556="","",IF((COUNTIFS(A:A,A2556))&gt;1,"ID重复",""))</f>
        <v/>
      </c>
      <c r="D2556" s="69">
        <v>9513</v>
      </c>
      <c r="E2556" s="132" t="str">
        <f>INDEX([1]道具配置表!$D:$D,MATCH(D2556,[1]道具配置表!$A:$A,0))</f>
        <v>骑兵等级1</v>
      </c>
      <c r="F2556" s="32">
        <v>1400</v>
      </c>
      <c r="G2556" s="11"/>
      <c r="H2556" s="11"/>
      <c r="I2556" s="11"/>
      <c r="J2556" s="11"/>
      <c r="K2556" s="11">
        <v>1</v>
      </c>
      <c r="L2556" s="11"/>
      <c r="M2556" s="11" t="b">
        <v>1</v>
      </c>
      <c r="N2556" s="11"/>
    </row>
    <row r="2557" spans="1:14" x14ac:dyDescent="0.25">
      <c r="A2557" s="32" t="s">
        <v>119</v>
      </c>
      <c r="B2557" s="32" t="s">
        <v>119</v>
      </c>
      <c r="C2557" s="26" t="str">
        <f>IF(A2557="","",IF((COUNTIFS(A:A,A2557))&gt;1,"ID重复",""))</f>
        <v/>
      </c>
      <c r="D2557" s="69">
        <v>9514</v>
      </c>
      <c r="E2557" s="132" t="str">
        <f>INDEX([1]道具配置表!$D:$D,MATCH(D2557,[1]道具配置表!$A:$A,0))</f>
        <v>弓兵等级1</v>
      </c>
      <c r="F2557" s="32">
        <v>1400</v>
      </c>
      <c r="G2557" s="11"/>
      <c r="H2557" s="11"/>
      <c r="I2557" s="11"/>
      <c r="J2557" s="11"/>
      <c r="K2557" s="11">
        <v>1</v>
      </c>
      <c r="L2557" s="11"/>
      <c r="M2557" s="11" t="b">
        <v>1</v>
      </c>
      <c r="N2557" s="11"/>
    </row>
    <row r="2558" spans="1:14" x14ac:dyDescent="0.25">
      <c r="A2558" s="32">
        <v>6622108</v>
      </c>
      <c r="B2558" s="32" t="s">
        <v>485</v>
      </c>
      <c r="C2558" s="26" t="str">
        <f>IF(A2558="","",IF((COUNTIFS(A:A,A2558))&gt;1,"ID重复",""))</f>
        <v/>
      </c>
      <c r="D2558" s="11">
        <v>2007</v>
      </c>
      <c r="E2558" s="132" t="str">
        <f>INDEX([1]道具配置表!$D:$D,MATCH(D2558,[1]道具配置表!$A:$A,0))</f>
        <v>大奖池招募券</v>
      </c>
      <c r="F2558" s="32">
        <v>1</v>
      </c>
      <c r="G2558" s="11"/>
      <c r="H2558" s="11"/>
      <c r="I2558" s="11"/>
      <c r="J2558" s="11"/>
      <c r="K2558" s="11">
        <v>1</v>
      </c>
      <c r="L2558" s="11"/>
      <c r="M2558" s="11" t="b">
        <v>1</v>
      </c>
      <c r="N2558" s="11"/>
    </row>
    <row r="2559" spans="1:14" x14ac:dyDescent="0.25">
      <c r="A2559" s="32"/>
      <c r="B2559" s="32"/>
      <c r="C2559" s="26" t="str">
        <f>IF(A2559="","",IF((COUNTIFS(A:A,A2559))&gt;1,"ID重复",""))</f>
        <v/>
      </c>
      <c r="D2559" s="22">
        <v>7228</v>
      </c>
      <c r="E2559" s="132" t="str">
        <f>INDEX([1]道具配置表!$D:$D,MATCH(D2559,[1]道具配置表!$A:$A,0))</f>
        <v>经验书*10000</v>
      </c>
      <c r="F2559" s="32">
        <v>13</v>
      </c>
      <c r="G2559" s="22"/>
      <c r="H2559" s="22"/>
      <c r="I2559" s="22"/>
      <c r="J2559" s="22"/>
      <c r="K2559" s="22">
        <v>1</v>
      </c>
      <c r="L2559" s="22"/>
      <c r="M2559" s="22" t="b">
        <v>1</v>
      </c>
      <c r="N2559" s="11"/>
    </row>
    <row r="2560" spans="1:14" x14ac:dyDescent="0.25">
      <c r="A2560" s="32" t="s">
        <v>119</v>
      </c>
      <c r="B2560" s="32" t="s">
        <v>119</v>
      </c>
      <c r="C2560" s="26" t="str">
        <f>IF(A2560="","",IF((COUNTIFS(A:A,A2560))&gt;1,"ID重复",""))</f>
        <v/>
      </c>
      <c r="D2560" s="69">
        <v>9511</v>
      </c>
      <c r="E2560" s="132" t="str">
        <f>INDEX([1]道具配置表!$D:$D,MATCH(D2560,[1]道具配置表!$A:$A,0))</f>
        <v>剑士等级1</v>
      </c>
      <c r="F2560" s="32">
        <v>1600</v>
      </c>
      <c r="G2560" s="11"/>
      <c r="H2560" s="11"/>
      <c r="I2560" s="11"/>
      <c r="J2560" s="11"/>
      <c r="K2560" s="11">
        <v>1</v>
      </c>
      <c r="L2560" s="11"/>
      <c r="M2560" s="11" t="b">
        <v>1</v>
      </c>
      <c r="N2560" s="11"/>
    </row>
    <row r="2561" spans="1:14" x14ac:dyDescent="0.25">
      <c r="A2561" s="32" t="s">
        <v>119</v>
      </c>
      <c r="B2561" s="32" t="s">
        <v>119</v>
      </c>
      <c r="C2561" s="26" t="str">
        <f>IF(A2561="","",IF((COUNTIFS(A:A,A2561))&gt;1,"ID重复",""))</f>
        <v/>
      </c>
      <c r="D2561" s="69">
        <v>9512</v>
      </c>
      <c r="E2561" s="132" t="str">
        <f>INDEX([1]道具配置表!$D:$D,MATCH(D2561,[1]道具配置表!$A:$A,0))</f>
        <v>枪兵等级1</v>
      </c>
      <c r="F2561" s="32">
        <v>1600</v>
      </c>
      <c r="G2561" s="11"/>
      <c r="H2561" s="11"/>
      <c r="I2561" s="11"/>
      <c r="J2561" s="11"/>
      <c r="K2561" s="11">
        <v>1</v>
      </c>
      <c r="L2561" s="11"/>
      <c r="M2561" s="11" t="b">
        <v>1</v>
      </c>
      <c r="N2561" s="11"/>
    </row>
    <row r="2562" spans="1:14" x14ac:dyDescent="0.25">
      <c r="A2562" s="32" t="s">
        <v>119</v>
      </c>
      <c r="B2562" s="32" t="s">
        <v>119</v>
      </c>
      <c r="C2562" s="26" t="str">
        <f>IF(A2562="","",IF((COUNTIFS(A:A,A2562))&gt;1,"ID重复",""))</f>
        <v/>
      </c>
      <c r="D2562" s="69">
        <v>9513</v>
      </c>
      <c r="E2562" s="132" t="str">
        <f>INDEX([1]道具配置表!$D:$D,MATCH(D2562,[1]道具配置表!$A:$A,0))</f>
        <v>骑兵等级1</v>
      </c>
      <c r="F2562" s="32">
        <v>1600</v>
      </c>
      <c r="G2562" s="11"/>
      <c r="H2562" s="11"/>
      <c r="I2562" s="11"/>
      <c r="J2562" s="11"/>
      <c r="K2562" s="11">
        <v>1</v>
      </c>
      <c r="L2562" s="11"/>
      <c r="M2562" s="11" t="b">
        <v>1</v>
      </c>
      <c r="N2562" s="11"/>
    </row>
    <row r="2563" spans="1:14" x14ac:dyDescent="0.25">
      <c r="A2563" s="32" t="s">
        <v>119</v>
      </c>
      <c r="B2563" s="32" t="s">
        <v>119</v>
      </c>
      <c r="C2563" s="26" t="str">
        <f>IF(A2563="","",IF((COUNTIFS(A:A,A2563))&gt;1,"ID重复",""))</f>
        <v/>
      </c>
      <c r="D2563" s="69">
        <v>9514</v>
      </c>
      <c r="E2563" s="132" t="str">
        <f>INDEX([1]道具配置表!$D:$D,MATCH(D2563,[1]道具配置表!$A:$A,0))</f>
        <v>弓兵等级1</v>
      </c>
      <c r="F2563" s="32">
        <v>1600</v>
      </c>
      <c r="G2563" s="11"/>
      <c r="H2563" s="11"/>
      <c r="I2563" s="11"/>
      <c r="J2563" s="11"/>
      <c r="K2563" s="11">
        <v>1</v>
      </c>
      <c r="L2563" s="11"/>
      <c r="M2563" s="11" t="b">
        <v>1</v>
      </c>
      <c r="N2563" s="11"/>
    </row>
    <row r="2564" spans="1:14" x14ac:dyDescent="0.25">
      <c r="A2564" s="32">
        <v>6622109</v>
      </c>
      <c r="B2564" s="32" t="s">
        <v>486</v>
      </c>
      <c r="C2564" s="26" t="str">
        <f>IF(A2564="","",IF((COUNTIFS(A:A,A2564))&gt;1,"ID重复",""))</f>
        <v/>
      </c>
      <c r="D2564" s="11">
        <v>2007</v>
      </c>
      <c r="E2564" s="132" t="str">
        <f>INDEX([1]道具配置表!$D:$D,MATCH(D2564,[1]道具配置表!$A:$A,0))</f>
        <v>大奖池招募券</v>
      </c>
      <c r="F2564" s="32">
        <v>2</v>
      </c>
      <c r="G2564" s="11"/>
      <c r="H2564" s="11"/>
      <c r="I2564" s="11"/>
      <c r="J2564" s="11"/>
      <c r="K2564" s="11">
        <v>1</v>
      </c>
      <c r="L2564" s="11"/>
      <c r="M2564" s="11" t="b">
        <v>1</v>
      </c>
      <c r="N2564" s="11"/>
    </row>
    <row r="2565" spans="1:14" x14ac:dyDescent="0.25">
      <c r="A2565" s="32"/>
      <c r="B2565" s="32"/>
      <c r="C2565" s="26" t="str">
        <f>IF(A2565="","",IF((COUNTIFS(A:A,A2565))&gt;1,"ID重复",""))</f>
        <v/>
      </c>
      <c r="D2565" s="22">
        <v>7228</v>
      </c>
      <c r="E2565" s="132" t="str">
        <f>INDEX([1]道具配置表!$D:$D,MATCH(D2565,[1]道具配置表!$A:$A,0))</f>
        <v>经验书*10000</v>
      </c>
      <c r="F2565" s="32">
        <v>13</v>
      </c>
      <c r="G2565" s="22"/>
      <c r="H2565" s="22"/>
      <c r="I2565" s="22"/>
      <c r="J2565" s="22"/>
      <c r="K2565" s="22">
        <v>1</v>
      </c>
      <c r="L2565" s="22"/>
      <c r="M2565" s="22" t="b">
        <v>1</v>
      </c>
      <c r="N2565" s="11"/>
    </row>
    <row r="2566" spans="1:14" x14ac:dyDescent="0.25">
      <c r="A2566" s="32" t="s">
        <v>119</v>
      </c>
      <c r="B2566" s="32" t="s">
        <v>119</v>
      </c>
      <c r="C2566" s="26" t="str">
        <f>IF(A2566="","",IF((COUNTIFS(A:A,A2566))&gt;1,"ID重复",""))</f>
        <v/>
      </c>
      <c r="D2566" s="69">
        <v>9511</v>
      </c>
      <c r="E2566" s="132" t="str">
        <f>INDEX([1]道具配置表!$D:$D,MATCH(D2566,[1]道具配置表!$A:$A,0))</f>
        <v>剑士等级1</v>
      </c>
      <c r="F2566" s="32">
        <v>1800</v>
      </c>
      <c r="G2566" s="11"/>
      <c r="H2566" s="11"/>
      <c r="I2566" s="11"/>
      <c r="J2566" s="11"/>
      <c r="K2566" s="11">
        <v>1</v>
      </c>
      <c r="L2566" s="11"/>
      <c r="M2566" s="11" t="b">
        <v>1</v>
      </c>
      <c r="N2566" s="11"/>
    </row>
    <row r="2567" spans="1:14" x14ac:dyDescent="0.25">
      <c r="A2567" s="32" t="s">
        <v>119</v>
      </c>
      <c r="B2567" s="32" t="s">
        <v>119</v>
      </c>
      <c r="C2567" s="26" t="str">
        <f>IF(A2567="","",IF((COUNTIFS(A:A,A2567))&gt;1,"ID重复",""))</f>
        <v/>
      </c>
      <c r="D2567" s="69">
        <v>9512</v>
      </c>
      <c r="E2567" s="132" t="str">
        <f>INDEX([1]道具配置表!$D:$D,MATCH(D2567,[1]道具配置表!$A:$A,0))</f>
        <v>枪兵等级1</v>
      </c>
      <c r="F2567" s="32">
        <v>1800</v>
      </c>
      <c r="G2567" s="11"/>
      <c r="H2567" s="11"/>
      <c r="I2567" s="11"/>
      <c r="J2567" s="11"/>
      <c r="K2567" s="11">
        <v>1</v>
      </c>
      <c r="L2567" s="11"/>
      <c r="M2567" s="11" t="b">
        <v>1</v>
      </c>
      <c r="N2567" s="11"/>
    </row>
    <row r="2568" spans="1:14" x14ac:dyDescent="0.25">
      <c r="A2568" s="32" t="s">
        <v>119</v>
      </c>
      <c r="B2568" s="32" t="s">
        <v>119</v>
      </c>
      <c r="C2568" s="26" t="str">
        <f>IF(A2568="","",IF((COUNTIFS(A:A,A2568))&gt;1,"ID重复",""))</f>
        <v/>
      </c>
      <c r="D2568" s="69">
        <v>9513</v>
      </c>
      <c r="E2568" s="132" t="str">
        <f>INDEX([1]道具配置表!$D:$D,MATCH(D2568,[1]道具配置表!$A:$A,0))</f>
        <v>骑兵等级1</v>
      </c>
      <c r="F2568" s="32">
        <v>1800</v>
      </c>
      <c r="G2568" s="11"/>
      <c r="H2568" s="11"/>
      <c r="I2568" s="11"/>
      <c r="J2568" s="11"/>
      <c r="K2568" s="11">
        <v>1</v>
      </c>
      <c r="L2568" s="11"/>
      <c r="M2568" s="11" t="b">
        <v>1</v>
      </c>
      <c r="N2568" s="11"/>
    </row>
    <row r="2569" spans="1:14" x14ac:dyDescent="0.25">
      <c r="A2569" s="32" t="s">
        <v>119</v>
      </c>
      <c r="B2569" s="32" t="s">
        <v>119</v>
      </c>
      <c r="C2569" s="26" t="str">
        <f>IF(A2569="","",IF((COUNTIFS(A:A,A2569))&gt;1,"ID重复",""))</f>
        <v/>
      </c>
      <c r="D2569" s="69">
        <v>9514</v>
      </c>
      <c r="E2569" s="132" t="str">
        <f>INDEX([1]道具配置表!$D:$D,MATCH(D2569,[1]道具配置表!$A:$A,0))</f>
        <v>弓兵等级1</v>
      </c>
      <c r="F2569" s="32">
        <v>1800</v>
      </c>
      <c r="G2569" s="11"/>
      <c r="H2569" s="11"/>
      <c r="I2569" s="11"/>
      <c r="J2569" s="11"/>
      <c r="K2569" s="11">
        <v>1</v>
      </c>
      <c r="L2569" s="11"/>
      <c r="M2569" s="11" t="b">
        <v>1</v>
      </c>
      <c r="N2569" s="11"/>
    </row>
    <row r="2570" spans="1:14" x14ac:dyDescent="0.25">
      <c r="A2570" s="32">
        <v>6622110</v>
      </c>
      <c r="B2570" s="32" t="s">
        <v>487</v>
      </c>
      <c r="C2570" s="26" t="str">
        <f>IF(A2570="","",IF((COUNTIFS(A:A,A2570))&gt;1,"ID重复",""))</f>
        <v/>
      </c>
      <c r="D2570" s="11">
        <v>2007</v>
      </c>
      <c r="E2570" s="132" t="str">
        <f>INDEX([1]道具配置表!$D:$D,MATCH(D2570,[1]道具配置表!$A:$A,0))</f>
        <v>大奖池招募券</v>
      </c>
      <c r="F2570" s="32">
        <v>2</v>
      </c>
      <c r="G2570" s="11"/>
      <c r="H2570" s="11"/>
      <c r="I2570" s="11"/>
      <c r="J2570" s="11"/>
      <c r="K2570" s="11">
        <v>1</v>
      </c>
      <c r="L2570" s="11"/>
      <c r="M2570" s="11" t="b">
        <v>1</v>
      </c>
      <c r="N2570" s="11"/>
    </row>
    <row r="2571" spans="1:14" x14ac:dyDescent="0.25">
      <c r="A2571" s="32"/>
      <c r="B2571" s="32"/>
      <c r="C2571" s="26" t="str">
        <f>IF(A2571="","",IF((COUNTIFS(A:A,A2571))&gt;1,"ID重复",""))</f>
        <v/>
      </c>
      <c r="D2571" s="22">
        <v>7228</v>
      </c>
      <c r="E2571" s="132" t="str">
        <f>INDEX([1]道具配置表!$D:$D,MATCH(D2571,[1]道具配置表!$A:$A,0))</f>
        <v>经验书*10000</v>
      </c>
      <c r="F2571" s="32">
        <v>13</v>
      </c>
      <c r="G2571" s="22"/>
      <c r="H2571" s="22"/>
      <c r="I2571" s="22"/>
      <c r="J2571" s="22"/>
      <c r="K2571" s="22">
        <v>1</v>
      </c>
      <c r="L2571" s="22"/>
      <c r="M2571" s="22" t="b">
        <v>1</v>
      </c>
      <c r="N2571" s="11"/>
    </row>
    <row r="2572" spans="1:14" x14ac:dyDescent="0.25">
      <c r="A2572" s="32" t="s">
        <v>119</v>
      </c>
      <c r="B2572" s="32" t="s">
        <v>119</v>
      </c>
      <c r="C2572" s="26" t="str">
        <f>IF(A2572="","",IF((COUNTIFS(A:A,A2572))&gt;1,"ID重复",""))</f>
        <v/>
      </c>
      <c r="D2572" s="69">
        <v>9511</v>
      </c>
      <c r="E2572" s="132" t="str">
        <f>INDEX([1]道具配置表!$D:$D,MATCH(D2572,[1]道具配置表!$A:$A,0))</f>
        <v>剑士等级1</v>
      </c>
      <c r="F2572" s="32">
        <v>2000</v>
      </c>
      <c r="G2572" s="11"/>
      <c r="H2572" s="11"/>
      <c r="I2572" s="11"/>
      <c r="J2572" s="11"/>
      <c r="K2572" s="11">
        <v>1</v>
      </c>
      <c r="L2572" s="11"/>
      <c r="M2572" s="11" t="b">
        <v>1</v>
      </c>
      <c r="N2572" s="11"/>
    </row>
    <row r="2573" spans="1:14" x14ac:dyDescent="0.25">
      <c r="A2573" s="32" t="s">
        <v>119</v>
      </c>
      <c r="B2573" s="32" t="s">
        <v>119</v>
      </c>
      <c r="C2573" s="26" t="str">
        <f>IF(A2573="","",IF((COUNTIFS(A:A,A2573))&gt;1,"ID重复",""))</f>
        <v/>
      </c>
      <c r="D2573" s="69">
        <v>9512</v>
      </c>
      <c r="E2573" s="132" t="str">
        <f>INDEX([1]道具配置表!$D:$D,MATCH(D2573,[1]道具配置表!$A:$A,0))</f>
        <v>枪兵等级1</v>
      </c>
      <c r="F2573" s="32">
        <v>2000</v>
      </c>
      <c r="G2573" s="11"/>
      <c r="H2573" s="11"/>
      <c r="I2573" s="11"/>
      <c r="J2573" s="11"/>
      <c r="K2573" s="11">
        <v>1</v>
      </c>
      <c r="L2573" s="11"/>
      <c r="M2573" s="11" t="b">
        <v>1</v>
      </c>
      <c r="N2573" s="11"/>
    </row>
    <row r="2574" spans="1:14" x14ac:dyDescent="0.25">
      <c r="A2574" s="32" t="s">
        <v>119</v>
      </c>
      <c r="B2574" s="32" t="s">
        <v>119</v>
      </c>
      <c r="C2574" s="26" t="str">
        <f>IF(A2574="","",IF((COUNTIFS(A:A,A2574))&gt;1,"ID重复",""))</f>
        <v/>
      </c>
      <c r="D2574" s="69">
        <v>9513</v>
      </c>
      <c r="E2574" s="132" t="str">
        <f>INDEX([1]道具配置表!$D:$D,MATCH(D2574,[1]道具配置表!$A:$A,0))</f>
        <v>骑兵等级1</v>
      </c>
      <c r="F2574" s="32">
        <v>2000</v>
      </c>
      <c r="G2574" s="11"/>
      <c r="H2574" s="11"/>
      <c r="I2574" s="11"/>
      <c r="J2574" s="11"/>
      <c r="K2574" s="11">
        <v>1</v>
      </c>
      <c r="L2574" s="11"/>
      <c r="M2574" s="11" t="b">
        <v>1</v>
      </c>
      <c r="N2574" s="11"/>
    </row>
    <row r="2575" spans="1:14" x14ac:dyDescent="0.25">
      <c r="A2575" s="32" t="s">
        <v>119</v>
      </c>
      <c r="B2575" s="32" t="s">
        <v>119</v>
      </c>
      <c r="C2575" s="26" t="str">
        <f>IF(A2575="","",IF((COUNTIFS(A:A,A2575))&gt;1,"ID重复",""))</f>
        <v/>
      </c>
      <c r="D2575" s="69">
        <v>9514</v>
      </c>
      <c r="E2575" s="132" t="str">
        <f>INDEX([1]道具配置表!$D:$D,MATCH(D2575,[1]道具配置表!$A:$A,0))</f>
        <v>弓兵等级1</v>
      </c>
      <c r="F2575" s="32">
        <v>2000</v>
      </c>
      <c r="G2575" s="11"/>
      <c r="H2575" s="11"/>
      <c r="I2575" s="11"/>
      <c r="J2575" s="11"/>
      <c r="K2575" s="11">
        <v>1</v>
      </c>
      <c r="L2575" s="11"/>
      <c r="M2575" s="11" t="b">
        <v>1</v>
      </c>
      <c r="N2575" s="11"/>
    </row>
    <row r="2576" spans="1:14" x14ac:dyDescent="0.25">
      <c r="A2576" s="32">
        <v>6622111</v>
      </c>
      <c r="B2576" s="32" t="s">
        <v>488</v>
      </c>
      <c r="C2576" s="26" t="str">
        <f>IF(A2576="","",IF((COUNTIFS(A:A,A2576))&gt;1,"ID重复",""))</f>
        <v/>
      </c>
      <c r="D2576" s="11">
        <v>2007</v>
      </c>
      <c r="E2576" s="132" t="str">
        <f>INDEX([1]道具配置表!$D:$D,MATCH(D2576,[1]道具配置表!$A:$A,0))</f>
        <v>大奖池招募券</v>
      </c>
      <c r="F2576" s="32">
        <v>2</v>
      </c>
      <c r="G2576" s="11"/>
      <c r="H2576" s="11"/>
      <c r="I2576" s="11"/>
      <c r="J2576" s="11"/>
      <c r="K2576" s="11">
        <v>1</v>
      </c>
      <c r="L2576" s="11"/>
      <c r="M2576" s="11" t="b">
        <v>1</v>
      </c>
      <c r="N2576" s="11"/>
    </row>
    <row r="2577" spans="1:14" x14ac:dyDescent="0.25">
      <c r="A2577" s="32" t="s">
        <v>119</v>
      </c>
      <c r="B2577" s="32" t="s">
        <v>119</v>
      </c>
      <c r="C2577" s="26" t="str">
        <f>IF(A2577="","",IF((COUNTIFS(A:A,A2577))&gt;1,"ID重复",""))</f>
        <v/>
      </c>
      <c r="D2577" s="69">
        <v>9511</v>
      </c>
      <c r="E2577" s="132" t="str">
        <f>INDEX([1]道具配置表!$D:$D,MATCH(D2577,[1]道具配置表!$A:$A,0))</f>
        <v>剑士等级1</v>
      </c>
      <c r="F2577" s="32">
        <v>2200</v>
      </c>
      <c r="G2577" s="11"/>
      <c r="H2577" s="11"/>
      <c r="I2577" s="11"/>
      <c r="J2577" s="11"/>
      <c r="K2577" s="11">
        <v>1</v>
      </c>
      <c r="L2577" s="11"/>
      <c r="M2577" s="11" t="b">
        <v>1</v>
      </c>
      <c r="N2577" s="11"/>
    </row>
    <row r="2578" spans="1:14" x14ac:dyDescent="0.25">
      <c r="A2578" s="32" t="s">
        <v>119</v>
      </c>
      <c r="B2578" s="32" t="s">
        <v>119</v>
      </c>
      <c r="C2578" s="26" t="str">
        <f>IF(A2578="","",IF((COUNTIFS(A:A,A2578))&gt;1,"ID重复",""))</f>
        <v/>
      </c>
      <c r="D2578" s="69">
        <v>9512</v>
      </c>
      <c r="E2578" s="132" t="str">
        <f>INDEX([1]道具配置表!$D:$D,MATCH(D2578,[1]道具配置表!$A:$A,0))</f>
        <v>枪兵等级1</v>
      </c>
      <c r="F2578" s="32">
        <v>2200</v>
      </c>
      <c r="G2578" s="11"/>
      <c r="H2578" s="11"/>
      <c r="I2578" s="11"/>
      <c r="J2578" s="11"/>
      <c r="K2578" s="11">
        <v>1</v>
      </c>
      <c r="L2578" s="11"/>
      <c r="M2578" s="11" t="b">
        <v>1</v>
      </c>
      <c r="N2578" s="11"/>
    </row>
    <row r="2579" spans="1:14" x14ac:dyDescent="0.25">
      <c r="A2579" s="32" t="s">
        <v>119</v>
      </c>
      <c r="B2579" s="32" t="s">
        <v>119</v>
      </c>
      <c r="C2579" s="26" t="str">
        <f>IF(A2579="","",IF((COUNTIFS(A:A,A2579))&gt;1,"ID重复",""))</f>
        <v/>
      </c>
      <c r="D2579" s="69">
        <v>9513</v>
      </c>
      <c r="E2579" s="132" t="str">
        <f>INDEX([1]道具配置表!$D:$D,MATCH(D2579,[1]道具配置表!$A:$A,0))</f>
        <v>骑兵等级1</v>
      </c>
      <c r="F2579" s="32">
        <v>2200</v>
      </c>
      <c r="G2579" s="11"/>
      <c r="H2579" s="11"/>
      <c r="I2579" s="11"/>
      <c r="J2579" s="11"/>
      <c r="K2579" s="11">
        <v>1</v>
      </c>
      <c r="L2579" s="11"/>
      <c r="M2579" s="11" t="b">
        <v>1</v>
      </c>
      <c r="N2579" s="11"/>
    </row>
    <row r="2580" spans="1:14" x14ac:dyDescent="0.25">
      <c r="A2580" s="11" t="s">
        <v>119</v>
      </c>
      <c r="B2580" s="32" t="s">
        <v>119</v>
      </c>
      <c r="C2580" s="26" t="str">
        <f>IF(A2580="","",IF((COUNTIFS(A:A,A2580))&gt;1,"ID重复",""))</f>
        <v/>
      </c>
      <c r="D2580" s="69">
        <v>9514</v>
      </c>
      <c r="E2580" s="132" t="str">
        <f>INDEX([1]道具配置表!$D:$D,MATCH(D2580,[1]道具配置表!$A:$A,0))</f>
        <v>弓兵等级1</v>
      </c>
      <c r="F2580" s="32">
        <v>2200</v>
      </c>
      <c r="G2580" s="11"/>
      <c r="H2580" s="11"/>
      <c r="I2580" s="11"/>
      <c r="J2580" s="11"/>
      <c r="K2580" s="11">
        <v>1</v>
      </c>
      <c r="L2580" s="11"/>
      <c r="M2580" s="11" t="b">
        <v>1</v>
      </c>
      <c r="N2580" s="11"/>
    </row>
    <row r="2581" spans="1:14" x14ac:dyDescent="0.25">
      <c r="A2581" s="45"/>
      <c r="B2581" s="45"/>
      <c r="C2581" s="45"/>
      <c r="D2581" s="45">
        <v>2061</v>
      </c>
      <c r="E2581" s="132" t="str">
        <f>INDEX([1]道具配置表!$D:$D,MATCH(D2581,[1]道具配置表!$A:$A,0))</f>
        <v>伟大蓝图</v>
      </c>
      <c r="F2581" s="45">
        <v>100</v>
      </c>
      <c r="G2581" s="45"/>
      <c r="H2581" s="45"/>
      <c r="I2581" s="45"/>
      <c r="J2581" s="45"/>
      <c r="K2581" s="45">
        <v>1</v>
      </c>
      <c r="L2581" s="45"/>
      <c r="M2581" s="45" t="b">
        <v>1</v>
      </c>
      <c r="N2581" s="11"/>
    </row>
    <row r="2582" spans="1:14" x14ac:dyDescent="0.25">
      <c r="A2582" s="11">
        <v>6622112</v>
      </c>
      <c r="B2582" s="32" t="s">
        <v>489</v>
      </c>
      <c r="C2582" s="26" t="str">
        <f>IF(A2582="","",IF((COUNTIFS(A:A,A2582))&gt;1,"ID重复",""))</f>
        <v/>
      </c>
      <c r="D2582" s="11">
        <v>2007</v>
      </c>
      <c r="E2582" s="132" t="str">
        <f>INDEX([1]道具配置表!$D:$D,MATCH(D2582,[1]道具配置表!$A:$A,0))</f>
        <v>大奖池招募券</v>
      </c>
      <c r="F2582" s="32">
        <v>2</v>
      </c>
      <c r="G2582" s="11"/>
      <c r="H2582" s="11"/>
      <c r="I2582" s="11"/>
      <c r="J2582" s="11"/>
      <c r="K2582" s="11">
        <v>1</v>
      </c>
      <c r="L2582" s="11"/>
      <c r="M2582" s="11" t="b">
        <v>1</v>
      </c>
      <c r="N2582" s="11"/>
    </row>
    <row r="2583" spans="1:14" x14ac:dyDescent="0.25">
      <c r="A2583" s="11" t="s">
        <v>119</v>
      </c>
      <c r="B2583" s="32" t="s">
        <v>119</v>
      </c>
      <c r="C2583" s="26" t="str">
        <f>IF(A2583="","",IF((COUNTIFS(A:A,A2583))&gt;1,"ID重复",""))</f>
        <v/>
      </c>
      <c r="D2583" s="69">
        <v>9511</v>
      </c>
      <c r="E2583" s="132" t="str">
        <f>INDEX([1]道具配置表!$D:$D,MATCH(D2583,[1]道具配置表!$A:$A,0))</f>
        <v>剑士等级1</v>
      </c>
      <c r="F2583" s="32">
        <v>2400</v>
      </c>
      <c r="G2583" s="11"/>
      <c r="H2583" s="11"/>
      <c r="I2583" s="11"/>
      <c r="J2583" s="11"/>
      <c r="K2583" s="11">
        <v>1</v>
      </c>
      <c r="L2583" s="11"/>
      <c r="M2583" s="11" t="b">
        <v>1</v>
      </c>
      <c r="N2583" s="11"/>
    </row>
    <row r="2584" spans="1:14" x14ac:dyDescent="0.25">
      <c r="A2584" s="11" t="s">
        <v>119</v>
      </c>
      <c r="B2584" s="32" t="s">
        <v>119</v>
      </c>
      <c r="C2584" s="26" t="str">
        <f>IF(A2584="","",IF((COUNTIFS(A:A,A2584))&gt;1,"ID重复",""))</f>
        <v/>
      </c>
      <c r="D2584" s="69">
        <v>9512</v>
      </c>
      <c r="E2584" s="132" t="str">
        <f>INDEX([1]道具配置表!$D:$D,MATCH(D2584,[1]道具配置表!$A:$A,0))</f>
        <v>枪兵等级1</v>
      </c>
      <c r="F2584" s="32">
        <v>2400</v>
      </c>
      <c r="G2584" s="11"/>
      <c r="H2584" s="11"/>
      <c r="I2584" s="11"/>
      <c r="J2584" s="11"/>
      <c r="K2584" s="11">
        <v>1</v>
      </c>
      <c r="L2584" s="11"/>
      <c r="M2584" s="11" t="b">
        <v>1</v>
      </c>
      <c r="N2584" s="11"/>
    </row>
    <row r="2585" spans="1:14" x14ac:dyDescent="0.25">
      <c r="A2585" s="11" t="s">
        <v>119</v>
      </c>
      <c r="B2585" s="32" t="s">
        <v>119</v>
      </c>
      <c r="C2585" s="26" t="str">
        <f>IF(A2585="","",IF((COUNTIFS(A:A,A2585))&gt;1,"ID重复",""))</f>
        <v/>
      </c>
      <c r="D2585" s="69">
        <v>9513</v>
      </c>
      <c r="E2585" s="132" t="str">
        <f>INDEX([1]道具配置表!$D:$D,MATCH(D2585,[1]道具配置表!$A:$A,0))</f>
        <v>骑兵等级1</v>
      </c>
      <c r="F2585" s="32">
        <v>2400</v>
      </c>
      <c r="G2585" s="11"/>
      <c r="H2585" s="11"/>
      <c r="I2585" s="11"/>
      <c r="J2585" s="11"/>
      <c r="K2585" s="11">
        <v>1</v>
      </c>
      <c r="L2585" s="11"/>
      <c r="M2585" s="11" t="b">
        <v>1</v>
      </c>
      <c r="N2585" s="11"/>
    </row>
    <row r="2586" spans="1:14" x14ac:dyDescent="0.25">
      <c r="A2586" s="11" t="s">
        <v>119</v>
      </c>
      <c r="B2586" s="32" t="s">
        <v>119</v>
      </c>
      <c r="C2586" s="26" t="str">
        <f>IF(A2586="","",IF((COUNTIFS(A:A,A2586))&gt;1,"ID重复",""))</f>
        <v/>
      </c>
      <c r="D2586" s="69">
        <v>9514</v>
      </c>
      <c r="E2586" s="132" t="str">
        <f>INDEX([1]道具配置表!$D:$D,MATCH(D2586,[1]道具配置表!$A:$A,0))</f>
        <v>弓兵等级1</v>
      </c>
      <c r="F2586" s="32">
        <v>2400</v>
      </c>
      <c r="G2586" s="11"/>
      <c r="H2586" s="11"/>
      <c r="I2586" s="11"/>
      <c r="J2586" s="11"/>
      <c r="K2586" s="11">
        <v>1</v>
      </c>
      <c r="L2586" s="11"/>
      <c r="M2586" s="11" t="b">
        <v>1</v>
      </c>
      <c r="N2586" s="11"/>
    </row>
    <row r="2587" spans="1:14" x14ac:dyDescent="0.25">
      <c r="A2587" s="11">
        <v>6622113</v>
      </c>
      <c r="B2587" s="32" t="s">
        <v>490</v>
      </c>
      <c r="C2587" s="26" t="str">
        <f>IF(A2587="","",IF((COUNTIFS(A:A,A2587))&gt;1,"ID重复",""))</f>
        <v/>
      </c>
      <c r="D2587" s="11">
        <v>2007</v>
      </c>
      <c r="E2587" s="132" t="str">
        <f>INDEX([1]道具配置表!$D:$D,MATCH(D2587,[1]道具配置表!$A:$A,0))</f>
        <v>大奖池招募券</v>
      </c>
      <c r="F2587" s="32">
        <v>2</v>
      </c>
      <c r="G2587" s="11"/>
      <c r="H2587" s="11"/>
      <c r="I2587" s="11"/>
      <c r="J2587" s="11"/>
      <c r="K2587" s="11">
        <v>1</v>
      </c>
      <c r="L2587" s="11"/>
      <c r="M2587" s="11" t="b">
        <v>1</v>
      </c>
      <c r="N2587" s="11"/>
    </row>
    <row r="2588" spans="1:14" x14ac:dyDescent="0.25">
      <c r="A2588" s="11" t="s">
        <v>119</v>
      </c>
      <c r="B2588" s="32" t="s">
        <v>119</v>
      </c>
      <c r="C2588" s="26" t="str">
        <f>IF(A2588="","",IF((COUNTIFS(A:A,A2588))&gt;1,"ID重复",""))</f>
        <v/>
      </c>
      <c r="D2588" s="69">
        <v>9511</v>
      </c>
      <c r="E2588" s="132" t="str">
        <f>INDEX([1]道具配置表!$D:$D,MATCH(D2588,[1]道具配置表!$A:$A,0))</f>
        <v>剑士等级1</v>
      </c>
      <c r="F2588" s="32">
        <v>2600</v>
      </c>
      <c r="G2588" s="11"/>
      <c r="H2588" s="11"/>
      <c r="I2588" s="11"/>
      <c r="J2588" s="11"/>
      <c r="K2588" s="11">
        <v>1</v>
      </c>
      <c r="L2588" s="11"/>
      <c r="M2588" s="11" t="b">
        <v>1</v>
      </c>
      <c r="N2588" s="11"/>
    </row>
    <row r="2589" spans="1:14" x14ac:dyDescent="0.25">
      <c r="A2589" s="11" t="s">
        <v>119</v>
      </c>
      <c r="B2589" s="32" t="s">
        <v>119</v>
      </c>
      <c r="C2589" s="26" t="str">
        <f>IF(A2589="","",IF((COUNTIFS(A:A,A2589))&gt;1,"ID重复",""))</f>
        <v/>
      </c>
      <c r="D2589" s="69">
        <v>9512</v>
      </c>
      <c r="E2589" s="132" t="str">
        <f>INDEX([1]道具配置表!$D:$D,MATCH(D2589,[1]道具配置表!$A:$A,0))</f>
        <v>枪兵等级1</v>
      </c>
      <c r="F2589" s="32">
        <v>2600</v>
      </c>
      <c r="G2589" s="11"/>
      <c r="H2589" s="11"/>
      <c r="I2589" s="11"/>
      <c r="J2589" s="11"/>
      <c r="K2589" s="11">
        <v>1</v>
      </c>
      <c r="L2589" s="11"/>
      <c r="M2589" s="11" t="b">
        <v>1</v>
      </c>
      <c r="N2589" s="11"/>
    </row>
    <row r="2590" spans="1:14" x14ac:dyDescent="0.25">
      <c r="A2590" s="11" t="s">
        <v>119</v>
      </c>
      <c r="B2590" s="32" t="s">
        <v>119</v>
      </c>
      <c r="C2590" s="26" t="str">
        <f>IF(A2590="","",IF((COUNTIFS(A:A,A2590))&gt;1,"ID重复",""))</f>
        <v/>
      </c>
      <c r="D2590" s="69">
        <v>9513</v>
      </c>
      <c r="E2590" s="132" t="str">
        <f>INDEX([1]道具配置表!$D:$D,MATCH(D2590,[1]道具配置表!$A:$A,0))</f>
        <v>骑兵等级1</v>
      </c>
      <c r="F2590" s="32">
        <v>2600</v>
      </c>
      <c r="G2590" s="11"/>
      <c r="H2590" s="11"/>
      <c r="I2590" s="11"/>
      <c r="J2590" s="11"/>
      <c r="K2590" s="11">
        <v>1</v>
      </c>
      <c r="L2590" s="11"/>
      <c r="M2590" s="11" t="b">
        <v>1</v>
      </c>
      <c r="N2590" s="11"/>
    </row>
    <row r="2591" spans="1:14" x14ac:dyDescent="0.25">
      <c r="A2591" s="11" t="s">
        <v>119</v>
      </c>
      <c r="B2591" s="32" t="s">
        <v>119</v>
      </c>
      <c r="C2591" s="26" t="str">
        <f>IF(A2591="","",IF((COUNTIFS(A:A,A2591))&gt;1,"ID重复",""))</f>
        <v/>
      </c>
      <c r="D2591" s="69">
        <v>9514</v>
      </c>
      <c r="E2591" s="132" t="str">
        <f>INDEX([1]道具配置表!$D:$D,MATCH(D2591,[1]道具配置表!$A:$A,0))</f>
        <v>弓兵等级1</v>
      </c>
      <c r="F2591" s="32">
        <v>2600</v>
      </c>
      <c r="G2591" s="11"/>
      <c r="H2591" s="11"/>
      <c r="I2591" s="11"/>
      <c r="J2591" s="11"/>
      <c r="K2591" s="11">
        <v>1</v>
      </c>
      <c r="L2591" s="11"/>
      <c r="M2591" s="11" t="b">
        <v>1</v>
      </c>
      <c r="N2591" s="11"/>
    </row>
    <row r="2592" spans="1:14" x14ac:dyDescent="0.25">
      <c r="A2592" s="11">
        <v>6622114</v>
      </c>
      <c r="B2592" s="32" t="s">
        <v>491</v>
      </c>
      <c r="C2592" s="26" t="str">
        <f>IF(A2592="","",IF((COUNTIFS(A:A,A2592))&gt;1,"ID重复",""))</f>
        <v/>
      </c>
      <c r="D2592" s="11">
        <v>2007</v>
      </c>
      <c r="E2592" s="132" t="str">
        <f>INDEX([1]道具配置表!$D:$D,MATCH(D2592,[1]道具配置表!$A:$A,0))</f>
        <v>大奖池招募券</v>
      </c>
      <c r="F2592" s="32">
        <v>2</v>
      </c>
      <c r="G2592" s="11"/>
      <c r="H2592" s="11"/>
      <c r="I2592" s="11"/>
      <c r="J2592" s="11"/>
      <c r="K2592" s="11">
        <v>1</v>
      </c>
      <c r="L2592" s="11"/>
      <c r="M2592" s="11" t="b">
        <v>1</v>
      </c>
      <c r="N2592" s="11"/>
    </row>
    <row r="2593" spans="1:14" x14ac:dyDescent="0.25">
      <c r="A2593" s="11" t="s">
        <v>119</v>
      </c>
      <c r="B2593" s="32" t="s">
        <v>119</v>
      </c>
      <c r="C2593" s="26" t="str">
        <f>IF(A2593="","",IF((COUNTIFS(A:A,A2593))&gt;1,"ID重复",""))</f>
        <v/>
      </c>
      <c r="D2593" s="69">
        <v>9511</v>
      </c>
      <c r="E2593" s="132" t="str">
        <f>INDEX([1]道具配置表!$D:$D,MATCH(D2593,[1]道具配置表!$A:$A,0))</f>
        <v>剑士等级1</v>
      </c>
      <c r="F2593" s="32">
        <v>2800</v>
      </c>
      <c r="G2593" s="11"/>
      <c r="H2593" s="11"/>
      <c r="I2593" s="11"/>
      <c r="J2593" s="11"/>
      <c r="K2593" s="11">
        <v>1</v>
      </c>
      <c r="L2593" s="11"/>
      <c r="M2593" s="11" t="b">
        <v>1</v>
      </c>
      <c r="N2593" s="11"/>
    </row>
    <row r="2594" spans="1:14" x14ac:dyDescent="0.25">
      <c r="A2594" s="11" t="s">
        <v>119</v>
      </c>
      <c r="B2594" s="32" t="s">
        <v>119</v>
      </c>
      <c r="C2594" s="26" t="str">
        <f>IF(A2594="","",IF((COUNTIFS(A:A,A2594))&gt;1,"ID重复",""))</f>
        <v/>
      </c>
      <c r="D2594" s="69">
        <v>9512</v>
      </c>
      <c r="E2594" s="132" t="str">
        <f>INDEX([1]道具配置表!$D:$D,MATCH(D2594,[1]道具配置表!$A:$A,0))</f>
        <v>枪兵等级1</v>
      </c>
      <c r="F2594" s="32">
        <v>2800</v>
      </c>
      <c r="G2594" s="11"/>
      <c r="H2594" s="11"/>
      <c r="I2594" s="11"/>
      <c r="J2594" s="11"/>
      <c r="K2594" s="11">
        <v>1</v>
      </c>
      <c r="L2594" s="11"/>
      <c r="M2594" s="11" t="b">
        <v>1</v>
      </c>
      <c r="N2594" s="11"/>
    </row>
    <row r="2595" spans="1:14" x14ac:dyDescent="0.25">
      <c r="A2595" s="11" t="s">
        <v>119</v>
      </c>
      <c r="B2595" s="32" t="s">
        <v>119</v>
      </c>
      <c r="C2595" s="26" t="str">
        <f>IF(A2595="","",IF((COUNTIFS(A:A,A2595))&gt;1,"ID重复",""))</f>
        <v/>
      </c>
      <c r="D2595" s="69">
        <v>9513</v>
      </c>
      <c r="E2595" s="132" t="str">
        <f>INDEX([1]道具配置表!$D:$D,MATCH(D2595,[1]道具配置表!$A:$A,0))</f>
        <v>骑兵等级1</v>
      </c>
      <c r="F2595" s="32">
        <v>2800</v>
      </c>
      <c r="G2595" s="11"/>
      <c r="H2595" s="11"/>
      <c r="I2595" s="11"/>
      <c r="J2595" s="11"/>
      <c r="K2595" s="11">
        <v>1</v>
      </c>
      <c r="L2595" s="11"/>
      <c r="M2595" s="11" t="b">
        <v>1</v>
      </c>
      <c r="N2595" s="11"/>
    </row>
    <row r="2596" spans="1:14" x14ac:dyDescent="0.25">
      <c r="A2596" s="11" t="s">
        <v>119</v>
      </c>
      <c r="B2596" s="32" t="s">
        <v>119</v>
      </c>
      <c r="C2596" s="26" t="str">
        <f>IF(A2596="","",IF((COUNTIFS(A:A,A2596))&gt;1,"ID重复",""))</f>
        <v/>
      </c>
      <c r="D2596" s="69">
        <v>9514</v>
      </c>
      <c r="E2596" s="132" t="str">
        <f>INDEX([1]道具配置表!$D:$D,MATCH(D2596,[1]道具配置表!$A:$A,0))</f>
        <v>弓兵等级1</v>
      </c>
      <c r="F2596" s="32">
        <v>2800</v>
      </c>
      <c r="G2596" s="11"/>
      <c r="H2596" s="11"/>
      <c r="I2596" s="11"/>
      <c r="J2596" s="11"/>
      <c r="K2596" s="11">
        <v>1</v>
      </c>
      <c r="L2596" s="11"/>
      <c r="M2596" s="11" t="b">
        <v>1</v>
      </c>
      <c r="N2596" s="11"/>
    </row>
    <row r="2597" spans="1:14" x14ac:dyDescent="0.25">
      <c r="A2597" s="11">
        <v>6622115</v>
      </c>
      <c r="B2597" s="32" t="s">
        <v>492</v>
      </c>
      <c r="C2597" s="26" t="str">
        <f>IF(A2597="","",IF((COUNTIFS(A:A,A2597))&gt;1,"ID重复",""))</f>
        <v/>
      </c>
      <c r="D2597" s="11">
        <v>2007</v>
      </c>
      <c r="E2597" s="132" t="str">
        <f>INDEX([1]道具配置表!$D:$D,MATCH(D2597,[1]道具配置表!$A:$A,0))</f>
        <v>大奖池招募券</v>
      </c>
      <c r="F2597" s="32">
        <v>2</v>
      </c>
      <c r="G2597" s="11"/>
      <c r="H2597" s="11"/>
      <c r="I2597" s="11"/>
      <c r="J2597" s="11"/>
      <c r="K2597" s="11">
        <v>1</v>
      </c>
      <c r="L2597" s="11"/>
      <c r="M2597" s="11" t="b">
        <v>1</v>
      </c>
      <c r="N2597" s="11"/>
    </row>
    <row r="2598" spans="1:14" x14ac:dyDescent="0.25">
      <c r="A2598" s="11" t="s">
        <v>119</v>
      </c>
      <c r="B2598" s="32" t="s">
        <v>119</v>
      </c>
      <c r="C2598" s="26" t="str">
        <f>IF(A2598="","",IF((COUNTIFS(A:A,A2598))&gt;1,"ID重复",""))</f>
        <v/>
      </c>
      <c r="D2598" s="69">
        <v>9511</v>
      </c>
      <c r="E2598" s="132" t="str">
        <f>INDEX([1]道具配置表!$D:$D,MATCH(D2598,[1]道具配置表!$A:$A,0))</f>
        <v>剑士等级1</v>
      </c>
      <c r="F2598" s="32">
        <v>3000</v>
      </c>
      <c r="G2598" s="11"/>
      <c r="H2598" s="11"/>
      <c r="I2598" s="11"/>
      <c r="J2598" s="11"/>
      <c r="K2598" s="11">
        <v>1</v>
      </c>
      <c r="L2598" s="11"/>
      <c r="M2598" s="11" t="b">
        <v>1</v>
      </c>
      <c r="N2598" s="11"/>
    </row>
    <row r="2599" spans="1:14" x14ac:dyDescent="0.25">
      <c r="A2599" s="11" t="s">
        <v>119</v>
      </c>
      <c r="B2599" s="32" t="s">
        <v>119</v>
      </c>
      <c r="C2599" s="26" t="str">
        <f>IF(A2599="","",IF((COUNTIFS(A:A,A2599))&gt;1,"ID重复",""))</f>
        <v/>
      </c>
      <c r="D2599" s="69">
        <v>9512</v>
      </c>
      <c r="E2599" s="132" t="str">
        <f>INDEX([1]道具配置表!$D:$D,MATCH(D2599,[1]道具配置表!$A:$A,0))</f>
        <v>枪兵等级1</v>
      </c>
      <c r="F2599" s="32">
        <v>3000</v>
      </c>
      <c r="G2599" s="11"/>
      <c r="H2599" s="11"/>
      <c r="I2599" s="11"/>
      <c r="J2599" s="11"/>
      <c r="K2599" s="11">
        <v>1</v>
      </c>
      <c r="L2599" s="11"/>
      <c r="M2599" s="11" t="b">
        <v>1</v>
      </c>
      <c r="N2599" s="11"/>
    </row>
    <row r="2600" spans="1:14" x14ac:dyDescent="0.25">
      <c r="A2600" s="11" t="s">
        <v>119</v>
      </c>
      <c r="B2600" s="32" t="s">
        <v>119</v>
      </c>
      <c r="C2600" s="26" t="str">
        <f>IF(A2600="","",IF((COUNTIFS(A:A,A2600))&gt;1,"ID重复",""))</f>
        <v/>
      </c>
      <c r="D2600" s="69">
        <v>9513</v>
      </c>
      <c r="E2600" s="132" t="str">
        <f>INDEX([1]道具配置表!$D:$D,MATCH(D2600,[1]道具配置表!$A:$A,0))</f>
        <v>骑兵等级1</v>
      </c>
      <c r="F2600" s="32">
        <v>3000</v>
      </c>
      <c r="G2600" s="11"/>
      <c r="H2600" s="11"/>
      <c r="I2600" s="11"/>
      <c r="J2600" s="11"/>
      <c r="K2600" s="11">
        <v>1</v>
      </c>
      <c r="L2600" s="11"/>
      <c r="M2600" s="11" t="b">
        <v>1</v>
      </c>
      <c r="N2600" s="11"/>
    </row>
    <row r="2601" spans="1:14" x14ac:dyDescent="0.25">
      <c r="A2601" s="11" t="s">
        <v>119</v>
      </c>
      <c r="B2601" s="32" t="s">
        <v>119</v>
      </c>
      <c r="C2601" s="26" t="str">
        <f>IF(A2601="","",IF((COUNTIFS(A:A,A2601))&gt;1,"ID重复",""))</f>
        <v/>
      </c>
      <c r="D2601" s="69">
        <v>9514</v>
      </c>
      <c r="E2601" s="132" t="str">
        <f>INDEX([1]道具配置表!$D:$D,MATCH(D2601,[1]道具配置表!$A:$A,0))</f>
        <v>弓兵等级1</v>
      </c>
      <c r="F2601" s="32">
        <v>3000</v>
      </c>
      <c r="G2601" s="11"/>
      <c r="H2601" s="11"/>
      <c r="I2601" s="11"/>
      <c r="J2601" s="11"/>
      <c r="K2601" s="11">
        <v>1</v>
      </c>
      <c r="L2601" s="11"/>
      <c r="M2601" s="11" t="b">
        <v>1</v>
      </c>
      <c r="N2601" s="11"/>
    </row>
    <row r="2602" spans="1:14" x14ac:dyDescent="0.25">
      <c r="A2602" s="11">
        <v>6622116</v>
      </c>
      <c r="B2602" s="32" t="s">
        <v>493</v>
      </c>
      <c r="C2602" s="26" t="str">
        <f>IF(A2602="","",IF((COUNTIFS(A:A,A2602))&gt;1,"ID重复",""))</f>
        <v/>
      </c>
      <c r="D2602" s="11">
        <v>2007</v>
      </c>
      <c r="E2602" s="132" t="str">
        <f>INDEX([1]道具配置表!$D:$D,MATCH(D2602,[1]道具配置表!$A:$A,0))</f>
        <v>大奖池招募券</v>
      </c>
      <c r="F2602" s="32">
        <v>2</v>
      </c>
      <c r="G2602" s="11"/>
      <c r="H2602" s="11"/>
      <c r="I2602" s="11"/>
      <c r="J2602" s="11"/>
      <c r="K2602" s="11">
        <v>1</v>
      </c>
      <c r="L2602" s="11"/>
      <c r="M2602" s="11" t="b">
        <v>1</v>
      </c>
      <c r="N2602" s="11"/>
    </row>
    <row r="2603" spans="1:14" x14ac:dyDescent="0.25">
      <c r="A2603" s="11" t="s">
        <v>119</v>
      </c>
      <c r="B2603" s="32" t="s">
        <v>119</v>
      </c>
      <c r="C2603" s="26" t="str">
        <f>IF(A2603="","",IF((COUNTIFS(A:A,A2603))&gt;1,"ID重复",""))</f>
        <v/>
      </c>
      <c r="D2603" s="69">
        <v>9511</v>
      </c>
      <c r="E2603" s="132" t="str">
        <f>INDEX([1]道具配置表!$D:$D,MATCH(D2603,[1]道具配置表!$A:$A,0))</f>
        <v>剑士等级1</v>
      </c>
      <c r="F2603" s="32">
        <v>3200</v>
      </c>
      <c r="G2603" s="11"/>
      <c r="H2603" s="11"/>
      <c r="I2603" s="11"/>
      <c r="J2603" s="11"/>
      <c r="K2603" s="11">
        <v>1</v>
      </c>
      <c r="L2603" s="11"/>
      <c r="M2603" s="11" t="b">
        <v>1</v>
      </c>
      <c r="N2603" s="11"/>
    </row>
    <row r="2604" spans="1:14" x14ac:dyDescent="0.25">
      <c r="A2604" s="11" t="s">
        <v>119</v>
      </c>
      <c r="B2604" s="32" t="s">
        <v>119</v>
      </c>
      <c r="C2604" s="26" t="str">
        <f>IF(A2604="","",IF((COUNTIFS(A:A,A2604))&gt;1,"ID重复",""))</f>
        <v/>
      </c>
      <c r="D2604" s="69">
        <v>9512</v>
      </c>
      <c r="E2604" s="132" t="str">
        <f>INDEX([1]道具配置表!$D:$D,MATCH(D2604,[1]道具配置表!$A:$A,0))</f>
        <v>枪兵等级1</v>
      </c>
      <c r="F2604" s="32">
        <v>3200</v>
      </c>
      <c r="G2604" s="11"/>
      <c r="H2604" s="11"/>
      <c r="I2604" s="11"/>
      <c r="J2604" s="11"/>
      <c r="K2604" s="11">
        <v>1</v>
      </c>
      <c r="L2604" s="11"/>
      <c r="M2604" s="11" t="b">
        <v>1</v>
      </c>
      <c r="N2604" s="11"/>
    </row>
    <row r="2605" spans="1:14" x14ac:dyDescent="0.25">
      <c r="A2605" s="11" t="s">
        <v>119</v>
      </c>
      <c r="B2605" s="32" t="s">
        <v>119</v>
      </c>
      <c r="C2605" s="26" t="str">
        <f>IF(A2605="","",IF((COUNTIFS(A:A,A2605))&gt;1,"ID重复",""))</f>
        <v/>
      </c>
      <c r="D2605" s="69">
        <v>9513</v>
      </c>
      <c r="E2605" s="132" t="str">
        <f>INDEX([1]道具配置表!$D:$D,MATCH(D2605,[1]道具配置表!$A:$A,0))</f>
        <v>骑兵等级1</v>
      </c>
      <c r="F2605" s="32">
        <v>3200</v>
      </c>
      <c r="G2605" s="11"/>
      <c r="H2605" s="11"/>
      <c r="I2605" s="11"/>
      <c r="J2605" s="11"/>
      <c r="K2605" s="11">
        <v>1</v>
      </c>
      <c r="L2605" s="11"/>
      <c r="M2605" s="11" t="b">
        <v>1</v>
      </c>
      <c r="N2605" s="11"/>
    </row>
    <row r="2606" spans="1:14" x14ac:dyDescent="0.25">
      <c r="A2606" s="11" t="s">
        <v>119</v>
      </c>
      <c r="B2606" s="32" t="s">
        <v>119</v>
      </c>
      <c r="C2606" s="26" t="str">
        <f>IF(A2606="","",IF((COUNTIFS(A:A,A2606))&gt;1,"ID重复",""))</f>
        <v/>
      </c>
      <c r="D2606" s="69">
        <v>9514</v>
      </c>
      <c r="E2606" s="132" t="str">
        <f>INDEX([1]道具配置表!$D:$D,MATCH(D2606,[1]道具配置表!$A:$A,0))</f>
        <v>弓兵等级1</v>
      </c>
      <c r="F2606" s="32">
        <v>3200</v>
      </c>
      <c r="G2606" s="11"/>
      <c r="H2606" s="11"/>
      <c r="I2606" s="11"/>
      <c r="J2606" s="11"/>
      <c r="K2606" s="11">
        <v>1</v>
      </c>
      <c r="L2606" s="11"/>
      <c r="M2606" s="11" t="b">
        <v>1</v>
      </c>
      <c r="N2606" s="11"/>
    </row>
    <row r="2607" spans="1:14" x14ac:dyDescent="0.25">
      <c r="A2607" s="11">
        <v>6622117</v>
      </c>
      <c r="B2607" s="32" t="s">
        <v>494</v>
      </c>
      <c r="C2607" s="26" t="str">
        <f>IF(A2607="","",IF((COUNTIFS(A:A,A2607))&gt;1,"ID重复",""))</f>
        <v/>
      </c>
      <c r="D2607" s="11">
        <v>2007</v>
      </c>
      <c r="E2607" s="132" t="str">
        <f>INDEX([1]道具配置表!$D:$D,MATCH(D2607,[1]道具配置表!$A:$A,0))</f>
        <v>大奖池招募券</v>
      </c>
      <c r="F2607" s="32">
        <v>2</v>
      </c>
      <c r="G2607" s="11"/>
      <c r="H2607" s="11"/>
      <c r="I2607" s="11"/>
      <c r="J2607" s="11"/>
      <c r="K2607" s="11">
        <v>1</v>
      </c>
      <c r="L2607" s="11"/>
      <c r="M2607" s="11" t="b">
        <v>1</v>
      </c>
      <c r="N2607" s="11"/>
    </row>
    <row r="2608" spans="1:14" x14ac:dyDescent="0.25">
      <c r="A2608" s="11" t="s">
        <v>119</v>
      </c>
      <c r="B2608" s="32" t="s">
        <v>119</v>
      </c>
      <c r="C2608" s="26" t="str">
        <f>IF(A2608="","",IF((COUNTIFS(A:A,A2608))&gt;1,"ID重复",""))</f>
        <v/>
      </c>
      <c r="D2608" s="69">
        <v>9511</v>
      </c>
      <c r="E2608" s="132" t="str">
        <f>INDEX([1]道具配置表!$D:$D,MATCH(D2608,[1]道具配置表!$A:$A,0))</f>
        <v>剑士等级1</v>
      </c>
      <c r="F2608" s="32">
        <v>3400</v>
      </c>
      <c r="G2608" s="11"/>
      <c r="H2608" s="11"/>
      <c r="I2608" s="11"/>
      <c r="J2608" s="11"/>
      <c r="K2608" s="11">
        <v>1</v>
      </c>
      <c r="L2608" s="11"/>
      <c r="M2608" s="11" t="b">
        <v>1</v>
      </c>
      <c r="N2608" s="11"/>
    </row>
    <row r="2609" spans="1:14" x14ac:dyDescent="0.25">
      <c r="A2609" s="11" t="s">
        <v>119</v>
      </c>
      <c r="B2609" s="32" t="s">
        <v>119</v>
      </c>
      <c r="C2609" s="26" t="str">
        <f>IF(A2609="","",IF((COUNTIFS(A:A,A2609))&gt;1,"ID重复",""))</f>
        <v/>
      </c>
      <c r="D2609" s="69">
        <v>9512</v>
      </c>
      <c r="E2609" s="132" t="str">
        <f>INDEX([1]道具配置表!$D:$D,MATCH(D2609,[1]道具配置表!$A:$A,0))</f>
        <v>枪兵等级1</v>
      </c>
      <c r="F2609" s="32">
        <v>3400</v>
      </c>
      <c r="G2609" s="11"/>
      <c r="H2609" s="11"/>
      <c r="I2609" s="11"/>
      <c r="J2609" s="11"/>
      <c r="K2609" s="11">
        <v>1</v>
      </c>
      <c r="L2609" s="11"/>
      <c r="M2609" s="11" t="b">
        <v>1</v>
      </c>
      <c r="N2609" s="11"/>
    </row>
    <row r="2610" spans="1:14" x14ac:dyDescent="0.25">
      <c r="A2610" s="11" t="s">
        <v>119</v>
      </c>
      <c r="B2610" s="32" t="s">
        <v>119</v>
      </c>
      <c r="C2610" s="26" t="str">
        <f>IF(A2610="","",IF((COUNTIFS(A:A,A2610))&gt;1,"ID重复",""))</f>
        <v/>
      </c>
      <c r="D2610" s="69">
        <v>9513</v>
      </c>
      <c r="E2610" s="132" t="str">
        <f>INDEX([1]道具配置表!$D:$D,MATCH(D2610,[1]道具配置表!$A:$A,0))</f>
        <v>骑兵等级1</v>
      </c>
      <c r="F2610" s="32">
        <v>3400</v>
      </c>
      <c r="G2610" s="11"/>
      <c r="H2610" s="11"/>
      <c r="I2610" s="11"/>
      <c r="J2610" s="11"/>
      <c r="K2610" s="11">
        <v>1</v>
      </c>
      <c r="L2610" s="11"/>
      <c r="M2610" s="11" t="b">
        <v>1</v>
      </c>
      <c r="N2610" s="11"/>
    </row>
    <row r="2611" spans="1:14" x14ac:dyDescent="0.25">
      <c r="A2611" s="11" t="s">
        <v>119</v>
      </c>
      <c r="B2611" s="32" t="s">
        <v>119</v>
      </c>
      <c r="C2611" s="26" t="str">
        <f>IF(A2611="","",IF((COUNTIFS(A:A,A2611))&gt;1,"ID重复",""))</f>
        <v/>
      </c>
      <c r="D2611" s="69">
        <v>9514</v>
      </c>
      <c r="E2611" s="132" t="str">
        <f>INDEX([1]道具配置表!$D:$D,MATCH(D2611,[1]道具配置表!$A:$A,0))</f>
        <v>弓兵等级1</v>
      </c>
      <c r="F2611" s="32">
        <v>3400</v>
      </c>
      <c r="G2611" s="11"/>
      <c r="H2611" s="11"/>
      <c r="I2611" s="11"/>
      <c r="J2611" s="11"/>
      <c r="K2611" s="11">
        <v>1</v>
      </c>
      <c r="L2611" s="11"/>
      <c r="M2611" s="11" t="b">
        <v>1</v>
      </c>
      <c r="N2611" s="11"/>
    </row>
    <row r="2612" spans="1:14" x14ac:dyDescent="0.25">
      <c r="A2612" s="11">
        <v>6622118</v>
      </c>
      <c r="B2612" s="32" t="s">
        <v>495</v>
      </c>
      <c r="C2612" s="26" t="str">
        <f>IF(A2612="","",IF((COUNTIFS(A:A,A2612))&gt;1,"ID重复",""))</f>
        <v/>
      </c>
      <c r="D2612" s="11">
        <v>2007</v>
      </c>
      <c r="E2612" s="132" t="str">
        <f>INDEX([1]道具配置表!$D:$D,MATCH(D2612,[1]道具配置表!$A:$A,0))</f>
        <v>大奖池招募券</v>
      </c>
      <c r="F2612" s="32">
        <v>2</v>
      </c>
      <c r="G2612" s="11"/>
      <c r="H2612" s="11"/>
      <c r="I2612" s="11"/>
      <c r="J2612" s="11"/>
      <c r="K2612" s="11">
        <v>1</v>
      </c>
      <c r="L2612" s="11"/>
      <c r="M2612" s="11" t="b">
        <v>1</v>
      </c>
      <c r="N2612" s="11"/>
    </row>
    <row r="2613" spans="1:14" x14ac:dyDescent="0.25">
      <c r="A2613" s="11" t="s">
        <v>119</v>
      </c>
      <c r="B2613" s="32" t="s">
        <v>119</v>
      </c>
      <c r="C2613" s="26" t="str">
        <f>IF(A2613="","",IF((COUNTIFS(A:A,A2613))&gt;1,"ID重复",""))</f>
        <v/>
      </c>
      <c r="D2613" s="69">
        <v>9511</v>
      </c>
      <c r="E2613" s="132" t="str">
        <f>INDEX([1]道具配置表!$D:$D,MATCH(D2613,[1]道具配置表!$A:$A,0))</f>
        <v>剑士等级1</v>
      </c>
      <c r="F2613" s="32">
        <v>3600</v>
      </c>
      <c r="G2613" s="11"/>
      <c r="H2613" s="11"/>
      <c r="I2613" s="11"/>
      <c r="J2613" s="11"/>
      <c r="K2613" s="11">
        <v>1</v>
      </c>
      <c r="L2613" s="11"/>
      <c r="M2613" s="11" t="b">
        <v>1</v>
      </c>
      <c r="N2613" s="11"/>
    </row>
    <row r="2614" spans="1:14" x14ac:dyDescent="0.25">
      <c r="A2614" s="11" t="s">
        <v>119</v>
      </c>
      <c r="B2614" s="32" t="s">
        <v>119</v>
      </c>
      <c r="C2614" s="26" t="str">
        <f>IF(A2614="","",IF((COUNTIFS(A:A,A2614))&gt;1,"ID重复",""))</f>
        <v/>
      </c>
      <c r="D2614" s="69">
        <v>9512</v>
      </c>
      <c r="E2614" s="132" t="str">
        <f>INDEX([1]道具配置表!$D:$D,MATCH(D2614,[1]道具配置表!$A:$A,0))</f>
        <v>枪兵等级1</v>
      </c>
      <c r="F2614" s="32">
        <v>3600</v>
      </c>
      <c r="G2614" s="11"/>
      <c r="H2614" s="11"/>
      <c r="I2614" s="11"/>
      <c r="J2614" s="11"/>
      <c r="K2614" s="11">
        <v>1</v>
      </c>
      <c r="L2614" s="11"/>
      <c r="M2614" s="11" t="b">
        <v>1</v>
      </c>
      <c r="N2614" s="11"/>
    </row>
    <row r="2615" spans="1:14" x14ac:dyDescent="0.25">
      <c r="A2615" s="11" t="s">
        <v>119</v>
      </c>
      <c r="B2615" s="32" t="s">
        <v>119</v>
      </c>
      <c r="C2615" s="26" t="str">
        <f>IF(A2615="","",IF((COUNTIFS(A:A,A2615))&gt;1,"ID重复",""))</f>
        <v/>
      </c>
      <c r="D2615" s="69">
        <v>9513</v>
      </c>
      <c r="E2615" s="132" t="str">
        <f>INDEX([1]道具配置表!$D:$D,MATCH(D2615,[1]道具配置表!$A:$A,0))</f>
        <v>骑兵等级1</v>
      </c>
      <c r="F2615" s="32">
        <v>3600</v>
      </c>
      <c r="G2615" s="11"/>
      <c r="H2615" s="11"/>
      <c r="I2615" s="11"/>
      <c r="J2615" s="11"/>
      <c r="K2615" s="11">
        <v>1</v>
      </c>
      <c r="L2615" s="11"/>
      <c r="M2615" s="11" t="b">
        <v>1</v>
      </c>
      <c r="N2615" s="11"/>
    </row>
    <row r="2616" spans="1:14" x14ac:dyDescent="0.25">
      <c r="A2616" s="11" t="s">
        <v>119</v>
      </c>
      <c r="B2616" s="32" t="s">
        <v>119</v>
      </c>
      <c r="C2616" s="26" t="str">
        <f>IF(A2616="","",IF((COUNTIFS(A:A,A2616))&gt;1,"ID重复",""))</f>
        <v/>
      </c>
      <c r="D2616" s="69">
        <v>9514</v>
      </c>
      <c r="E2616" s="132" t="str">
        <f>INDEX([1]道具配置表!$D:$D,MATCH(D2616,[1]道具配置表!$A:$A,0))</f>
        <v>弓兵等级1</v>
      </c>
      <c r="F2616" s="32">
        <v>3600</v>
      </c>
      <c r="G2616" s="11"/>
      <c r="H2616" s="11"/>
      <c r="I2616" s="11"/>
      <c r="J2616" s="11"/>
      <c r="K2616" s="11">
        <v>1</v>
      </c>
      <c r="L2616" s="11"/>
      <c r="M2616" s="11" t="b">
        <v>1</v>
      </c>
      <c r="N2616" s="11"/>
    </row>
    <row r="2617" spans="1:14" x14ac:dyDescent="0.25">
      <c r="A2617" s="11">
        <v>6622119</v>
      </c>
      <c r="B2617" s="32" t="s">
        <v>496</v>
      </c>
      <c r="C2617" s="26" t="str">
        <f>IF(A2617="","",IF((COUNTIFS(A:A,A2617))&gt;1,"ID重复",""))</f>
        <v/>
      </c>
      <c r="D2617" s="11">
        <v>2007</v>
      </c>
      <c r="E2617" s="132" t="str">
        <f>INDEX([1]道具配置表!$D:$D,MATCH(D2617,[1]道具配置表!$A:$A,0))</f>
        <v>大奖池招募券</v>
      </c>
      <c r="F2617" s="32">
        <v>2</v>
      </c>
      <c r="G2617" s="11"/>
      <c r="H2617" s="11"/>
      <c r="I2617" s="11"/>
      <c r="J2617" s="11"/>
      <c r="K2617" s="11">
        <v>1</v>
      </c>
      <c r="L2617" s="11"/>
      <c r="M2617" s="11" t="b">
        <v>1</v>
      </c>
      <c r="N2617" s="11"/>
    </row>
    <row r="2618" spans="1:14" x14ac:dyDescent="0.25">
      <c r="A2618" s="11" t="s">
        <v>119</v>
      </c>
      <c r="B2618" s="32" t="s">
        <v>119</v>
      </c>
      <c r="C2618" s="26" t="str">
        <f>IF(A2618="","",IF((COUNTIFS(A:A,A2618))&gt;1,"ID重复",""))</f>
        <v/>
      </c>
      <c r="D2618" s="69">
        <v>9511</v>
      </c>
      <c r="E2618" s="132" t="str">
        <f>INDEX([1]道具配置表!$D:$D,MATCH(D2618,[1]道具配置表!$A:$A,0))</f>
        <v>剑士等级1</v>
      </c>
      <c r="F2618" s="32">
        <v>3800</v>
      </c>
      <c r="G2618" s="11"/>
      <c r="H2618" s="11"/>
      <c r="I2618" s="11"/>
      <c r="J2618" s="11"/>
      <c r="K2618" s="11">
        <v>1</v>
      </c>
      <c r="L2618" s="11"/>
      <c r="M2618" s="11" t="b">
        <v>1</v>
      </c>
      <c r="N2618" s="11"/>
    </row>
    <row r="2619" spans="1:14" x14ac:dyDescent="0.25">
      <c r="A2619" s="11" t="s">
        <v>119</v>
      </c>
      <c r="B2619" s="32" t="s">
        <v>119</v>
      </c>
      <c r="C2619" s="26" t="str">
        <f>IF(A2619="","",IF((COUNTIFS(A:A,A2619))&gt;1,"ID重复",""))</f>
        <v/>
      </c>
      <c r="D2619" s="69">
        <v>9512</v>
      </c>
      <c r="E2619" s="132" t="str">
        <f>INDEX([1]道具配置表!$D:$D,MATCH(D2619,[1]道具配置表!$A:$A,0))</f>
        <v>枪兵等级1</v>
      </c>
      <c r="F2619" s="32">
        <v>3800</v>
      </c>
      <c r="G2619" s="11"/>
      <c r="H2619" s="11"/>
      <c r="I2619" s="11"/>
      <c r="J2619" s="11"/>
      <c r="K2619" s="11">
        <v>1</v>
      </c>
      <c r="L2619" s="11"/>
      <c r="M2619" s="11" t="b">
        <v>1</v>
      </c>
      <c r="N2619" s="11"/>
    </row>
    <row r="2620" spans="1:14" x14ac:dyDescent="0.25">
      <c r="A2620" s="11" t="s">
        <v>119</v>
      </c>
      <c r="B2620" s="32" t="s">
        <v>119</v>
      </c>
      <c r="C2620" s="26" t="str">
        <f>IF(A2620="","",IF((COUNTIFS(A:A,A2620))&gt;1,"ID重复",""))</f>
        <v/>
      </c>
      <c r="D2620" s="69">
        <v>9513</v>
      </c>
      <c r="E2620" s="132" t="str">
        <f>INDEX([1]道具配置表!$D:$D,MATCH(D2620,[1]道具配置表!$A:$A,0))</f>
        <v>骑兵等级1</v>
      </c>
      <c r="F2620" s="32">
        <v>3800</v>
      </c>
      <c r="G2620" s="11"/>
      <c r="H2620" s="11"/>
      <c r="I2620" s="11"/>
      <c r="J2620" s="11"/>
      <c r="K2620" s="11">
        <v>1</v>
      </c>
      <c r="L2620" s="11"/>
      <c r="M2620" s="11" t="b">
        <v>1</v>
      </c>
      <c r="N2620" s="11"/>
    </row>
    <row r="2621" spans="1:14" x14ac:dyDescent="0.25">
      <c r="A2621" s="11" t="s">
        <v>119</v>
      </c>
      <c r="B2621" s="32" t="s">
        <v>119</v>
      </c>
      <c r="C2621" s="26" t="str">
        <f>IF(A2621="","",IF((COUNTIFS(A:A,A2621))&gt;1,"ID重复",""))</f>
        <v/>
      </c>
      <c r="D2621" s="69">
        <v>9514</v>
      </c>
      <c r="E2621" s="132" t="str">
        <f>INDEX([1]道具配置表!$D:$D,MATCH(D2621,[1]道具配置表!$A:$A,0))</f>
        <v>弓兵等级1</v>
      </c>
      <c r="F2621" s="32">
        <v>3800</v>
      </c>
      <c r="G2621" s="11"/>
      <c r="H2621" s="11"/>
      <c r="I2621" s="11"/>
      <c r="J2621" s="11"/>
      <c r="K2621" s="11">
        <v>1</v>
      </c>
      <c r="L2621" s="11"/>
      <c r="M2621" s="11" t="b">
        <v>1</v>
      </c>
      <c r="N2621" s="11"/>
    </row>
    <row r="2622" spans="1:14" x14ac:dyDescent="0.25">
      <c r="A2622" s="11">
        <v>6622120</v>
      </c>
      <c r="B2622" s="32" t="s">
        <v>497</v>
      </c>
      <c r="C2622" s="26" t="str">
        <f>IF(A2622="","",IF((COUNTIFS(A:A,A2622))&gt;1,"ID重复",""))</f>
        <v/>
      </c>
      <c r="D2622" s="11">
        <v>2007</v>
      </c>
      <c r="E2622" s="132" t="str">
        <f>INDEX([1]道具配置表!$D:$D,MATCH(D2622,[1]道具配置表!$A:$A,0))</f>
        <v>大奖池招募券</v>
      </c>
      <c r="F2622" s="32">
        <v>2</v>
      </c>
      <c r="G2622" s="11"/>
      <c r="H2622" s="11"/>
      <c r="I2622" s="11"/>
      <c r="J2622" s="11"/>
      <c r="K2622" s="11">
        <v>1</v>
      </c>
      <c r="L2622" s="11"/>
      <c r="M2622" s="11" t="b">
        <v>1</v>
      </c>
      <c r="N2622" s="11"/>
    </row>
    <row r="2623" spans="1:14" x14ac:dyDescent="0.25">
      <c r="A2623" s="11" t="s">
        <v>119</v>
      </c>
      <c r="B2623" s="32" t="s">
        <v>119</v>
      </c>
      <c r="C2623" s="26" t="str">
        <f>IF(A2623="","",IF((COUNTIFS(A:A,A2623))&gt;1,"ID重复",""))</f>
        <v/>
      </c>
      <c r="D2623" s="69">
        <v>9511</v>
      </c>
      <c r="E2623" s="132" t="str">
        <f>INDEX([1]道具配置表!$D:$D,MATCH(D2623,[1]道具配置表!$A:$A,0))</f>
        <v>剑士等级1</v>
      </c>
      <c r="F2623" s="32">
        <v>4000</v>
      </c>
      <c r="G2623" s="11"/>
      <c r="H2623" s="11"/>
      <c r="I2623" s="11"/>
      <c r="J2623" s="11"/>
      <c r="K2623" s="11">
        <v>1</v>
      </c>
      <c r="L2623" s="11"/>
      <c r="M2623" s="11" t="b">
        <v>1</v>
      </c>
      <c r="N2623" s="11"/>
    </row>
    <row r="2624" spans="1:14" x14ac:dyDescent="0.25">
      <c r="A2624" s="11" t="s">
        <v>119</v>
      </c>
      <c r="B2624" s="32" t="s">
        <v>119</v>
      </c>
      <c r="C2624" s="26" t="str">
        <f>IF(A2624="","",IF((COUNTIFS(A:A,A2624))&gt;1,"ID重复",""))</f>
        <v/>
      </c>
      <c r="D2624" s="69">
        <v>9512</v>
      </c>
      <c r="E2624" s="132" t="str">
        <f>INDEX([1]道具配置表!$D:$D,MATCH(D2624,[1]道具配置表!$A:$A,0))</f>
        <v>枪兵等级1</v>
      </c>
      <c r="F2624" s="32">
        <v>4000</v>
      </c>
      <c r="G2624" s="11"/>
      <c r="H2624" s="11"/>
      <c r="I2624" s="11"/>
      <c r="J2624" s="11"/>
      <c r="K2624" s="11">
        <v>1</v>
      </c>
      <c r="L2624" s="11"/>
      <c r="M2624" s="11" t="b">
        <v>1</v>
      </c>
      <c r="N2624" s="11"/>
    </row>
    <row r="2625" spans="1:14" x14ac:dyDescent="0.25">
      <c r="A2625" s="11" t="s">
        <v>119</v>
      </c>
      <c r="B2625" s="32" t="s">
        <v>119</v>
      </c>
      <c r="C2625" s="26" t="str">
        <f>IF(A2625="","",IF((COUNTIFS(A:A,A2625))&gt;1,"ID重复",""))</f>
        <v/>
      </c>
      <c r="D2625" s="69">
        <v>9513</v>
      </c>
      <c r="E2625" s="132" t="str">
        <f>INDEX([1]道具配置表!$D:$D,MATCH(D2625,[1]道具配置表!$A:$A,0))</f>
        <v>骑兵等级1</v>
      </c>
      <c r="F2625" s="32">
        <v>4000</v>
      </c>
      <c r="G2625" s="11"/>
      <c r="H2625" s="11"/>
      <c r="I2625" s="11"/>
      <c r="J2625" s="11"/>
      <c r="K2625" s="11">
        <v>1</v>
      </c>
      <c r="L2625" s="11"/>
      <c r="M2625" s="11" t="b">
        <v>1</v>
      </c>
      <c r="N2625" s="11"/>
    </row>
    <row r="2626" spans="1:14" x14ac:dyDescent="0.25">
      <c r="A2626" s="11" t="s">
        <v>119</v>
      </c>
      <c r="B2626" s="32" t="s">
        <v>119</v>
      </c>
      <c r="C2626" s="26" t="str">
        <f>IF(A2626="","",IF((COUNTIFS(A:A,A2626))&gt;1,"ID重复",""))</f>
        <v/>
      </c>
      <c r="D2626" s="69">
        <v>9514</v>
      </c>
      <c r="E2626" s="132" t="str">
        <f>INDEX([1]道具配置表!$D:$D,MATCH(D2626,[1]道具配置表!$A:$A,0))</f>
        <v>弓兵等级1</v>
      </c>
      <c r="F2626" s="32">
        <v>4000</v>
      </c>
      <c r="G2626" s="11"/>
      <c r="H2626" s="11"/>
      <c r="I2626" s="11"/>
      <c r="J2626" s="11"/>
      <c r="K2626" s="11">
        <v>1</v>
      </c>
      <c r="L2626" s="11"/>
      <c r="M2626" s="11" t="b">
        <v>1</v>
      </c>
      <c r="N2626" s="11"/>
    </row>
    <row r="2627" spans="1:14" x14ac:dyDescent="0.25">
      <c r="A2627" s="11">
        <v>6622121</v>
      </c>
      <c r="B2627" s="32" t="s">
        <v>498</v>
      </c>
      <c r="C2627" s="26" t="str">
        <f>IF(A2627="","",IF((COUNTIFS(A:A,A2627))&gt;1,"ID重复",""))</f>
        <v/>
      </c>
      <c r="D2627" s="11">
        <v>2007</v>
      </c>
      <c r="E2627" s="132" t="str">
        <f>INDEX([1]道具配置表!$D:$D,MATCH(D2627,[1]道具配置表!$A:$A,0))</f>
        <v>大奖池招募券</v>
      </c>
      <c r="F2627" s="32">
        <v>2</v>
      </c>
      <c r="G2627" s="11"/>
      <c r="H2627" s="11"/>
      <c r="I2627" s="11"/>
      <c r="J2627" s="11"/>
      <c r="K2627" s="11">
        <v>1</v>
      </c>
      <c r="L2627" s="11"/>
      <c r="M2627" s="11" t="b">
        <v>1</v>
      </c>
      <c r="N2627" s="11"/>
    </row>
    <row r="2628" spans="1:14" x14ac:dyDescent="0.25">
      <c r="A2628" s="22"/>
      <c r="B2628" s="32"/>
      <c r="C2628" s="26" t="str">
        <f>IF(A2628="","",IF((COUNTIFS(A:A,A2628))&gt;1,"ID重复",""))</f>
        <v/>
      </c>
      <c r="D2628" s="22">
        <v>49113</v>
      </c>
      <c r="E2628" s="132" t="str">
        <f>INDEX([1]道具配置表!$D:$D,MATCH(D2628,[1]道具配置表!$A:$A,0))</f>
        <v>风信子之戒</v>
      </c>
      <c r="F2628" s="32">
        <v>1</v>
      </c>
      <c r="G2628" s="22"/>
      <c r="H2628" s="22"/>
      <c r="I2628" s="22"/>
      <c r="J2628" s="22"/>
      <c r="K2628" s="22">
        <v>1</v>
      </c>
      <c r="L2628" s="22"/>
      <c r="M2628" s="22" t="b">
        <v>1</v>
      </c>
      <c r="N2628" s="11"/>
    </row>
    <row r="2629" spans="1:14" x14ac:dyDescent="0.25">
      <c r="A2629" s="22"/>
      <c r="B2629" s="32"/>
      <c r="C2629" s="26" t="str">
        <f>IF(A2629="","",IF((COUNTIFS(A:A,A2629))&gt;1,"ID重复",""))</f>
        <v/>
      </c>
      <c r="D2629" s="22">
        <v>49109</v>
      </c>
      <c r="E2629" s="132" t="str">
        <f>INDEX([1]道具配置表!$D:$D,MATCH(D2629,[1]道具配置表!$A:$A,0))</f>
        <v>雏菊之戒</v>
      </c>
      <c r="F2629" s="32">
        <v>1</v>
      </c>
      <c r="G2629" s="22"/>
      <c r="H2629" s="22"/>
      <c r="I2629" s="22"/>
      <c r="J2629" s="22"/>
      <c r="K2629" s="22">
        <v>1</v>
      </c>
      <c r="L2629" s="22"/>
      <c r="M2629" s="22" t="b">
        <v>1</v>
      </c>
      <c r="N2629" s="11"/>
    </row>
    <row r="2630" spans="1:14" x14ac:dyDescent="0.25">
      <c r="A2630" s="22"/>
      <c r="B2630" s="32"/>
      <c r="C2630" s="26" t="str">
        <f>IF(A2630="","",IF((COUNTIFS(A:A,A2630))&gt;1,"ID重复",""))</f>
        <v/>
      </c>
      <c r="D2630" s="22">
        <v>49080</v>
      </c>
      <c r="E2630" s="132" t="str">
        <f>INDEX([1]道具配置表!$D:$D,MATCH(D2630,[1]道具配置表!$A:$A,0))</f>
        <v>装备升级道具-稀有</v>
      </c>
      <c r="F2630" s="32">
        <v>15</v>
      </c>
      <c r="G2630" s="22"/>
      <c r="H2630" s="22"/>
      <c r="I2630" s="22"/>
      <c r="J2630" s="22"/>
      <c r="K2630" s="22">
        <v>1</v>
      </c>
      <c r="L2630" s="22"/>
      <c r="M2630" s="22" t="b">
        <v>1</v>
      </c>
      <c r="N2630" s="11"/>
    </row>
    <row r="2631" spans="1:14" x14ac:dyDescent="0.25">
      <c r="A2631" s="11" t="s">
        <v>119</v>
      </c>
      <c r="B2631" s="32" t="s">
        <v>119</v>
      </c>
      <c r="C2631" s="26" t="str">
        <f>IF(A2631="","",IF((COUNTIFS(A:A,A2631))&gt;1,"ID重复",""))</f>
        <v/>
      </c>
      <c r="D2631" s="69">
        <v>9511</v>
      </c>
      <c r="E2631" s="132" t="str">
        <f>INDEX([1]道具配置表!$D:$D,MATCH(D2631,[1]道具配置表!$A:$A,0))</f>
        <v>剑士等级1</v>
      </c>
      <c r="F2631" s="32">
        <v>4200</v>
      </c>
      <c r="G2631" s="11"/>
      <c r="H2631" s="11"/>
      <c r="I2631" s="11"/>
      <c r="J2631" s="11"/>
      <c r="K2631" s="11">
        <v>1</v>
      </c>
      <c r="L2631" s="11"/>
      <c r="M2631" s="11" t="b">
        <v>1</v>
      </c>
      <c r="N2631" s="11"/>
    </row>
    <row r="2632" spans="1:14" x14ac:dyDescent="0.25">
      <c r="A2632" s="11" t="s">
        <v>119</v>
      </c>
      <c r="B2632" s="32" t="s">
        <v>119</v>
      </c>
      <c r="C2632" s="26" t="str">
        <f>IF(A2632="","",IF((COUNTIFS(A:A,A2632))&gt;1,"ID重复",""))</f>
        <v/>
      </c>
      <c r="D2632" s="69">
        <v>9512</v>
      </c>
      <c r="E2632" s="132" t="str">
        <f>INDEX([1]道具配置表!$D:$D,MATCH(D2632,[1]道具配置表!$A:$A,0))</f>
        <v>枪兵等级1</v>
      </c>
      <c r="F2632" s="32">
        <v>4200</v>
      </c>
      <c r="G2632" s="11"/>
      <c r="H2632" s="11"/>
      <c r="I2632" s="11"/>
      <c r="J2632" s="11"/>
      <c r="K2632" s="11">
        <v>1</v>
      </c>
      <c r="L2632" s="11"/>
      <c r="M2632" s="11" t="b">
        <v>1</v>
      </c>
      <c r="N2632" s="11"/>
    </row>
    <row r="2633" spans="1:14" x14ac:dyDescent="0.25">
      <c r="A2633" s="11" t="s">
        <v>119</v>
      </c>
      <c r="B2633" s="32" t="s">
        <v>119</v>
      </c>
      <c r="C2633" s="26" t="str">
        <f>IF(A2633="","",IF((COUNTIFS(A:A,A2633))&gt;1,"ID重复",""))</f>
        <v/>
      </c>
      <c r="D2633" s="69">
        <v>9513</v>
      </c>
      <c r="E2633" s="132" t="str">
        <f>INDEX([1]道具配置表!$D:$D,MATCH(D2633,[1]道具配置表!$A:$A,0))</f>
        <v>骑兵等级1</v>
      </c>
      <c r="F2633" s="32">
        <v>4200</v>
      </c>
      <c r="G2633" s="11"/>
      <c r="H2633" s="11"/>
      <c r="I2633" s="11"/>
      <c r="J2633" s="11"/>
      <c r="K2633" s="11">
        <v>1</v>
      </c>
      <c r="L2633" s="11"/>
      <c r="M2633" s="11" t="b">
        <v>1</v>
      </c>
      <c r="N2633" s="11"/>
    </row>
    <row r="2634" spans="1:14" x14ac:dyDescent="0.25">
      <c r="A2634" s="11" t="s">
        <v>119</v>
      </c>
      <c r="B2634" s="32" t="s">
        <v>119</v>
      </c>
      <c r="C2634" s="26" t="str">
        <f>IF(A2634="","",IF((COUNTIFS(A:A,A2634))&gt;1,"ID重复",""))</f>
        <v/>
      </c>
      <c r="D2634" s="69">
        <v>9514</v>
      </c>
      <c r="E2634" s="132" t="str">
        <f>INDEX([1]道具配置表!$D:$D,MATCH(D2634,[1]道具配置表!$A:$A,0))</f>
        <v>弓兵等级1</v>
      </c>
      <c r="F2634" s="32">
        <v>4200</v>
      </c>
      <c r="G2634" s="11"/>
      <c r="H2634" s="11"/>
      <c r="I2634" s="11"/>
      <c r="J2634" s="11"/>
      <c r="K2634" s="11">
        <v>1</v>
      </c>
      <c r="L2634" s="11"/>
      <c r="M2634" s="11" t="b">
        <v>1</v>
      </c>
      <c r="N2634" s="11"/>
    </row>
    <row r="2635" spans="1:14" x14ac:dyDescent="0.25">
      <c r="A2635" s="11">
        <v>6622122</v>
      </c>
      <c r="B2635" s="32" t="s">
        <v>499</v>
      </c>
      <c r="C2635" s="26" t="str">
        <f>IF(A2635="","",IF((COUNTIFS(A:A,A2635))&gt;1,"ID重复",""))</f>
        <v/>
      </c>
      <c r="D2635" s="11">
        <v>2007</v>
      </c>
      <c r="E2635" s="132" t="str">
        <f>INDEX([1]道具配置表!$D:$D,MATCH(D2635,[1]道具配置表!$A:$A,0))</f>
        <v>大奖池招募券</v>
      </c>
      <c r="F2635" s="32">
        <v>2</v>
      </c>
      <c r="G2635" s="11"/>
      <c r="H2635" s="11"/>
      <c r="I2635" s="11"/>
      <c r="J2635" s="11"/>
      <c r="K2635" s="11">
        <v>1</v>
      </c>
      <c r="L2635" s="11"/>
      <c r="M2635" s="11" t="b">
        <v>1</v>
      </c>
      <c r="N2635" s="11"/>
    </row>
    <row r="2636" spans="1:14" x14ac:dyDescent="0.25">
      <c r="A2636" s="11" t="s">
        <v>119</v>
      </c>
      <c r="B2636" s="32" t="s">
        <v>119</v>
      </c>
      <c r="C2636" s="26" t="str">
        <f>IF(A2636="","",IF((COUNTIFS(A:A,A2636))&gt;1,"ID重复",""))</f>
        <v/>
      </c>
      <c r="D2636" s="70">
        <v>9511</v>
      </c>
      <c r="E2636" s="132" t="str">
        <f>INDEX([1]道具配置表!$D:$D,MATCH(D2636,[1]道具配置表!$A:$A,0))</f>
        <v>剑士等级1</v>
      </c>
      <c r="F2636" s="32">
        <v>4400</v>
      </c>
      <c r="G2636" s="11"/>
      <c r="H2636" s="11"/>
      <c r="I2636" s="11"/>
      <c r="J2636" s="11"/>
      <c r="K2636" s="11">
        <v>1</v>
      </c>
      <c r="L2636" s="11"/>
      <c r="M2636" s="11" t="b">
        <v>1</v>
      </c>
      <c r="N2636" s="11"/>
    </row>
    <row r="2637" spans="1:14" x14ac:dyDescent="0.25">
      <c r="A2637" s="11" t="s">
        <v>119</v>
      </c>
      <c r="B2637" s="32" t="s">
        <v>119</v>
      </c>
      <c r="C2637" s="26" t="str">
        <f>IF(A2637="","",IF((COUNTIFS(A:A,A2637))&gt;1,"ID重复",""))</f>
        <v/>
      </c>
      <c r="D2637" s="70">
        <v>9512</v>
      </c>
      <c r="E2637" s="132" t="str">
        <f>INDEX([1]道具配置表!$D:$D,MATCH(D2637,[1]道具配置表!$A:$A,0))</f>
        <v>枪兵等级1</v>
      </c>
      <c r="F2637" s="32">
        <v>4400</v>
      </c>
      <c r="G2637" s="11"/>
      <c r="H2637" s="11"/>
      <c r="I2637" s="11"/>
      <c r="J2637" s="11"/>
      <c r="K2637" s="11">
        <v>1</v>
      </c>
      <c r="L2637" s="11"/>
      <c r="M2637" s="11" t="b">
        <v>1</v>
      </c>
      <c r="N2637" s="11"/>
    </row>
    <row r="2638" spans="1:14" x14ac:dyDescent="0.25">
      <c r="A2638" s="11" t="s">
        <v>119</v>
      </c>
      <c r="B2638" s="32" t="s">
        <v>119</v>
      </c>
      <c r="C2638" s="26" t="str">
        <f>IF(A2638="","",IF((COUNTIFS(A:A,A2638))&gt;1,"ID重复",""))</f>
        <v/>
      </c>
      <c r="D2638" s="70">
        <v>9513</v>
      </c>
      <c r="E2638" s="132" t="str">
        <f>INDEX([1]道具配置表!$D:$D,MATCH(D2638,[1]道具配置表!$A:$A,0))</f>
        <v>骑兵等级1</v>
      </c>
      <c r="F2638" s="32">
        <v>4400</v>
      </c>
      <c r="G2638" s="11"/>
      <c r="H2638" s="11"/>
      <c r="I2638" s="11"/>
      <c r="J2638" s="11"/>
      <c r="K2638" s="11">
        <v>1</v>
      </c>
      <c r="L2638" s="11"/>
      <c r="M2638" s="11" t="b">
        <v>1</v>
      </c>
      <c r="N2638" s="11"/>
    </row>
    <row r="2639" spans="1:14" x14ac:dyDescent="0.25">
      <c r="A2639" s="11" t="s">
        <v>119</v>
      </c>
      <c r="B2639" s="32" t="s">
        <v>119</v>
      </c>
      <c r="C2639" s="26" t="str">
        <f>IF(A2639="","",IF((COUNTIFS(A:A,A2639))&gt;1,"ID重复",""))</f>
        <v/>
      </c>
      <c r="D2639" s="70">
        <v>9514</v>
      </c>
      <c r="E2639" s="132" t="str">
        <f>INDEX([1]道具配置表!$D:$D,MATCH(D2639,[1]道具配置表!$A:$A,0))</f>
        <v>弓兵等级1</v>
      </c>
      <c r="F2639" s="32">
        <v>4400</v>
      </c>
      <c r="G2639" s="11"/>
      <c r="H2639" s="11"/>
      <c r="I2639" s="11"/>
      <c r="J2639" s="11"/>
      <c r="K2639" s="11">
        <v>1</v>
      </c>
      <c r="L2639" s="11"/>
      <c r="M2639" s="11" t="b">
        <v>1</v>
      </c>
      <c r="N2639" s="11"/>
    </row>
    <row r="2640" spans="1:14" x14ac:dyDescent="0.25">
      <c r="A2640" s="11">
        <v>6622123</v>
      </c>
      <c r="B2640" s="32" t="s">
        <v>500</v>
      </c>
      <c r="C2640" s="26" t="str">
        <f>IF(A2640="","",IF((COUNTIFS(A:A,A2640))&gt;1,"ID重复",""))</f>
        <v/>
      </c>
      <c r="D2640" s="11">
        <v>2007</v>
      </c>
      <c r="E2640" s="132" t="str">
        <f>INDEX([1]道具配置表!$D:$D,MATCH(D2640,[1]道具配置表!$A:$A,0))</f>
        <v>大奖池招募券</v>
      </c>
      <c r="F2640" s="32">
        <v>2</v>
      </c>
      <c r="G2640" s="11"/>
      <c r="H2640" s="11"/>
      <c r="I2640" s="11"/>
      <c r="J2640" s="11"/>
      <c r="K2640" s="11">
        <v>1</v>
      </c>
      <c r="L2640" s="11"/>
      <c r="M2640" s="11" t="b">
        <v>1</v>
      </c>
      <c r="N2640" s="11"/>
    </row>
    <row r="2641" spans="1:14" x14ac:dyDescent="0.25">
      <c r="A2641" s="11" t="s">
        <v>119</v>
      </c>
      <c r="B2641" s="32" t="s">
        <v>119</v>
      </c>
      <c r="C2641" s="26" t="str">
        <f>IF(A2641="","",IF((COUNTIFS(A:A,A2641))&gt;1,"ID重复",""))</f>
        <v/>
      </c>
      <c r="D2641" s="70">
        <v>9511</v>
      </c>
      <c r="E2641" s="132" t="str">
        <f>INDEX([1]道具配置表!$D:$D,MATCH(D2641,[1]道具配置表!$A:$A,0))</f>
        <v>剑士等级1</v>
      </c>
      <c r="F2641" s="32">
        <v>4600</v>
      </c>
      <c r="G2641" s="11"/>
      <c r="H2641" s="11"/>
      <c r="I2641" s="11"/>
      <c r="J2641" s="11"/>
      <c r="K2641" s="11">
        <v>1</v>
      </c>
      <c r="L2641" s="11"/>
      <c r="M2641" s="11" t="b">
        <v>1</v>
      </c>
      <c r="N2641" s="11"/>
    </row>
    <row r="2642" spans="1:14" x14ac:dyDescent="0.25">
      <c r="A2642" s="11" t="s">
        <v>119</v>
      </c>
      <c r="B2642" s="32" t="s">
        <v>119</v>
      </c>
      <c r="C2642" s="26" t="str">
        <f>IF(A2642="","",IF((COUNTIFS(A:A,A2642))&gt;1,"ID重复",""))</f>
        <v/>
      </c>
      <c r="D2642" s="70">
        <v>9512</v>
      </c>
      <c r="E2642" s="132" t="str">
        <f>INDEX([1]道具配置表!$D:$D,MATCH(D2642,[1]道具配置表!$A:$A,0))</f>
        <v>枪兵等级1</v>
      </c>
      <c r="F2642" s="32">
        <v>4600</v>
      </c>
      <c r="G2642" s="11"/>
      <c r="H2642" s="11"/>
      <c r="I2642" s="11"/>
      <c r="J2642" s="11"/>
      <c r="K2642" s="11">
        <v>1</v>
      </c>
      <c r="L2642" s="11"/>
      <c r="M2642" s="11" t="b">
        <v>1</v>
      </c>
      <c r="N2642" s="11"/>
    </row>
    <row r="2643" spans="1:14" x14ac:dyDescent="0.25">
      <c r="A2643" s="11" t="s">
        <v>119</v>
      </c>
      <c r="B2643" s="32" t="s">
        <v>119</v>
      </c>
      <c r="C2643" s="26" t="str">
        <f>IF(A2643="","",IF((COUNTIFS(A:A,A2643))&gt;1,"ID重复",""))</f>
        <v/>
      </c>
      <c r="D2643" s="70">
        <v>9513</v>
      </c>
      <c r="E2643" s="132" t="str">
        <f>INDEX([1]道具配置表!$D:$D,MATCH(D2643,[1]道具配置表!$A:$A,0))</f>
        <v>骑兵等级1</v>
      </c>
      <c r="F2643" s="32">
        <v>4600</v>
      </c>
      <c r="G2643" s="11"/>
      <c r="H2643" s="11"/>
      <c r="I2643" s="11"/>
      <c r="J2643" s="11"/>
      <c r="K2643" s="11">
        <v>1</v>
      </c>
      <c r="L2643" s="11"/>
      <c r="M2643" s="11" t="b">
        <v>1</v>
      </c>
      <c r="N2643" s="11"/>
    </row>
    <row r="2644" spans="1:14" x14ac:dyDescent="0.25">
      <c r="A2644" s="11" t="s">
        <v>119</v>
      </c>
      <c r="B2644" s="32" t="s">
        <v>119</v>
      </c>
      <c r="C2644" s="26" t="str">
        <f>IF(A2644="","",IF((COUNTIFS(A:A,A2644))&gt;1,"ID重复",""))</f>
        <v/>
      </c>
      <c r="D2644" s="70">
        <v>9514</v>
      </c>
      <c r="E2644" s="132" t="str">
        <f>INDEX([1]道具配置表!$D:$D,MATCH(D2644,[1]道具配置表!$A:$A,0))</f>
        <v>弓兵等级1</v>
      </c>
      <c r="F2644" s="32">
        <v>4600</v>
      </c>
      <c r="G2644" s="11"/>
      <c r="H2644" s="11"/>
      <c r="I2644" s="11"/>
      <c r="J2644" s="11"/>
      <c r="K2644" s="11">
        <v>1</v>
      </c>
      <c r="L2644" s="11"/>
      <c r="M2644" s="11" t="b">
        <v>1</v>
      </c>
      <c r="N2644" s="11"/>
    </row>
    <row r="2645" spans="1:14" x14ac:dyDescent="0.25">
      <c r="A2645" s="11">
        <v>6622124</v>
      </c>
      <c r="B2645" s="32" t="s">
        <v>501</v>
      </c>
      <c r="C2645" s="26" t="str">
        <f>IF(A2645="","",IF((COUNTIFS(A:A,A2645))&gt;1,"ID重复",""))</f>
        <v/>
      </c>
      <c r="D2645" s="11">
        <v>2007</v>
      </c>
      <c r="E2645" s="132" t="str">
        <f>INDEX([1]道具配置表!$D:$D,MATCH(D2645,[1]道具配置表!$A:$A,0))</f>
        <v>大奖池招募券</v>
      </c>
      <c r="F2645" s="32">
        <v>2</v>
      </c>
      <c r="G2645" s="11"/>
      <c r="H2645" s="11"/>
      <c r="I2645" s="11"/>
      <c r="J2645" s="11"/>
      <c r="K2645" s="11">
        <v>1</v>
      </c>
      <c r="L2645" s="11"/>
      <c r="M2645" s="11" t="b">
        <v>1</v>
      </c>
      <c r="N2645" s="11"/>
    </row>
    <row r="2646" spans="1:14" x14ac:dyDescent="0.25">
      <c r="A2646" s="11" t="s">
        <v>119</v>
      </c>
      <c r="B2646" s="32" t="s">
        <v>119</v>
      </c>
      <c r="C2646" s="26" t="str">
        <f>IF(A2646="","",IF((COUNTIFS(A:A,A2646))&gt;1,"ID重复",""))</f>
        <v/>
      </c>
      <c r="D2646" s="70">
        <v>9511</v>
      </c>
      <c r="E2646" s="132" t="str">
        <f>INDEX([1]道具配置表!$D:$D,MATCH(D2646,[1]道具配置表!$A:$A,0))</f>
        <v>剑士等级1</v>
      </c>
      <c r="F2646" s="32">
        <v>4800</v>
      </c>
      <c r="G2646" s="11"/>
      <c r="H2646" s="11"/>
      <c r="I2646" s="11"/>
      <c r="J2646" s="11"/>
      <c r="K2646" s="11">
        <v>1</v>
      </c>
      <c r="L2646" s="11"/>
      <c r="M2646" s="11" t="b">
        <v>1</v>
      </c>
      <c r="N2646" s="11"/>
    </row>
    <row r="2647" spans="1:14" x14ac:dyDescent="0.25">
      <c r="A2647" s="11" t="s">
        <v>119</v>
      </c>
      <c r="B2647" s="32" t="s">
        <v>119</v>
      </c>
      <c r="C2647" s="26" t="str">
        <f>IF(A2647="","",IF((COUNTIFS(A:A,A2647))&gt;1,"ID重复",""))</f>
        <v/>
      </c>
      <c r="D2647" s="70">
        <v>9512</v>
      </c>
      <c r="E2647" s="132" t="str">
        <f>INDEX([1]道具配置表!$D:$D,MATCH(D2647,[1]道具配置表!$A:$A,0))</f>
        <v>枪兵等级1</v>
      </c>
      <c r="F2647" s="32">
        <v>4800</v>
      </c>
      <c r="G2647" s="11"/>
      <c r="H2647" s="11"/>
      <c r="I2647" s="11"/>
      <c r="J2647" s="11"/>
      <c r="K2647" s="11">
        <v>1</v>
      </c>
      <c r="L2647" s="11"/>
      <c r="M2647" s="11" t="b">
        <v>1</v>
      </c>
      <c r="N2647" s="11"/>
    </row>
    <row r="2648" spans="1:14" x14ac:dyDescent="0.25">
      <c r="A2648" s="11" t="s">
        <v>119</v>
      </c>
      <c r="B2648" s="32" t="s">
        <v>119</v>
      </c>
      <c r="C2648" s="26" t="str">
        <f>IF(A2648="","",IF((COUNTIFS(A:A,A2648))&gt;1,"ID重复",""))</f>
        <v/>
      </c>
      <c r="D2648" s="70">
        <v>9513</v>
      </c>
      <c r="E2648" s="132" t="str">
        <f>INDEX([1]道具配置表!$D:$D,MATCH(D2648,[1]道具配置表!$A:$A,0))</f>
        <v>骑兵等级1</v>
      </c>
      <c r="F2648" s="32">
        <v>4800</v>
      </c>
      <c r="G2648" s="11"/>
      <c r="H2648" s="11"/>
      <c r="I2648" s="11"/>
      <c r="J2648" s="11"/>
      <c r="K2648" s="11">
        <v>1</v>
      </c>
      <c r="L2648" s="11"/>
      <c r="M2648" s="11" t="b">
        <v>1</v>
      </c>
      <c r="N2648" s="11"/>
    </row>
    <row r="2649" spans="1:14" x14ac:dyDescent="0.25">
      <c r="A2649" s="11" t="s">
        <v>119</v>
      </c>
      <c r="B2649" s="32" t="s">
        <v>119</v>
      </c>
      <c r="C2649" s="26" t="str">
        <f>IF(A2649="","",IF((COUNTIFS(A:A,A2649))&gt;1,"ID重复",""))</f>
        <v/>
      </c>
      <c r="D2649" s="70">
        <v>9514</v>
      </c>
      <c r="E2649" s="132" t="str">
        <f>INDEX([1]道具配置表!$D:$D,MATCH(D2649,[1]道具配置表!$A:$A,0))</f>
        <v>弓兵等级1</v>
      </c>
      <c r="F2649" s="32">
        <v>4800</v>
      </c>
      <c r="G2649" s="11"/>
      <c r="H2649" s="11"/>
      <c r="I2649" s="11"/>
      <c r="J2649" s="11"/>
      <c r="K2649" s="11">
        <v>1</v>
      </c>
      <c r="L2649" s="11"/>
      <c r="M2649" s="11" t="b">
        <v>1</v>
      </c>
      <c r="N2649" s="11"/>
    </row>
    <row r="2650" spans="1:14" x14ac:dyDescent="0.25">
      <c r="A2650" s="11">
        <v>6622125</v>
      </c>
      <c r="B2650" s="32" t="s">
        <v>502</v>
      </c>
      <c r="C2650" s="26" t="str">
        <f>IF(A2650="","",IF((COUNTIFS(A:A,A2650))&gt;1,"ID重复",""))</f>
        <v/>
      </c>
      <c r="D2650" s="11">
        <v>2007</v>
      </c>
      <c r="E2650" s="132" t="str">
        <f>INDEX([1]道具配置表!$D:$D,MATCH(D2650,[1]道具配置表!$A:$A,0))</f>
        <v>大奖池招募券</v>
      </c>
      <c r="F2650" s="32">
        <v>2</v>
      </c>
      <c r="G2650" s="11"/>
      <c r="H2650" s="11"/>
      <c r="I2650" s="11"/>
      <c r="J2650" s="11"/>
      <c r="K2650" s="11">
        <v>1</v>
      </c>
      <c r="L2650" s="11"/>
      <c r="M2650" s="11" t="b">
        <v>1</v>
      </c>
      <c r="N2650" s="11"/>
    </row>
    <row r="2651" spans="1:14" x14ac:dyDescent="0.25">
      <c r="A2651" s="11" t="s">
        <v>119</v>
      </c>
      <c r="B2651" s="32" t="s">
        <v>119</v>
      </c>
      <c r="C2651" s="26" t="str">
        <f>IF(A2651="","",IF((COUNTIFS(A:A,A2651))&gt;1,"ID重复",""))</f>
        <v/>
      </c>
      <c r="D2651" s="70">
        <v>9511</v>
      </c>
      <c r="E2651" s="132" t="str">
        <f>INDEX([1]道具配置表!$D:$D,MATCH(D2651,[1]道具配置表!$A:$A,0))</f>
        <v>剑士等级1</v>
      </c>
      <c r="F2651" s="32">
        <v>5000</v>
      </c>
      <c r="G2651" s="11"/>
      <c r="H2651" s="11"/>
      <c r="I2651" s="11"/>
      <c r="J2651" s="11"/>
      <c r="K2651" s="11">
        <v>1</v>
      </c>
      <c r="L2651" s="11"/>
      <c r="M2651" s="11" t="b">
        <v>1</v>
      </c>
      <c r="N2651" s="11"/>
    </row>
    <row r="2652" spans="1:14" x14ac:dyDescent="0.25">
      <c r="A2652" s="11" t="s">
        <v>119</v>
      </c>
      <c r="B2652" s="32" t="s">
        <v>119</v>
      </c>
      <c r="C2652" s="26" t="str">
        <f>IF(A2652="","",IF((COUNTIFS(A:A,A2652))&gt;1,"ID重复",""))</f>
        <v/>
      </c>
      <c r="D2652" s="70">
        <v>9512</v>
      </c>
      <c r="E2652" s="132" t="str">
        <f>INDEX([1]道具配置表!$D:$D,MATCH(D2652,[1]道具配置表!$A:$A,0))</f>
        <v>枪兵等级1</v>
      </c>
      <c r="F2652" s="32">
        <v>5000</v>
      </c>
      <c r="G2652" s="11"/>
      <c r="H2652" s="11"/>
      <c r="I2652" s="11"/>
      <c r="J2652" s="11"/>
      <c r="K2652" s="11">
        <v>1</v>
      </c>
      <c r="L2652" s="11"/>
      <c r="M2652" s="11" t="b">
        <v>1</v>
      </c>
      <c r="N2652" s="11"/>
    </row>
    <row r="2653" spans="1:14" x14ac:dyDescent="0.25">
      <c r="A2653" s="11" t="s">
        <v>119</v>
      </c>
      <c r="B2653" s="32" t="s">
        <v>119</v>
      </c>
      <c r="C2653" s="26" t="str">
        <f>IF(A2653="","",IF((COUNTIFS(A:A,A2653))&gt;1,"ID重复",""))</f>
        <v/>
      </c>
      <c r="D2653" s="70">
        <v>9513</v>
      </c>
      <c r="E2653" s="132" t="str">
        <f>INDEX([1]道具配置表!$D:$D,MATCH(D2653,[1]道具配置表!$A:$A,0))</f>
        <v>骑兵等级1</v>
      </c>
      <c r="F2653" s="32">
        <v>5000</v>
      </c>
      <c r="G2653" s="11"/>
      <c r="H2653" s="11"/>
      <c r="I2653" s="11"/>
      <c r="J2653" s="11"/>
      <c r="K2653" s="11">
        <v>1</v>
      </c>
      <c r="L2653" s="11"/>
      <c r="M2653" s="11" t="b">
        <v>1</v>
      </c>
      <c r="N2653" s="11"/>
    </row>
    <row r="2654" spans="1:14" x14ac:dyDescent="0.25">
      <c r="A2654" s="11" t="s">
        <v>119</v>
      </c>
      <c r="B2654" s="32" t="s">
        <v>119</v>
      </c>
      <c r="C2654" s="26" t="str">
        <f>IF(A2654="","",IF((COUNTIFS(A:A,A2654))&gt;1,"ID重复",""))</f>
        <v/>
      </c>
      <c r="D2654" s="70">
        <v>9514</v>
      </c>
      <c r="E2654" s="132" t="str">
        <f>INDEX([1]道具配置表!$D:$D,MATCH(D2654,[1]道具配置表!$A:$A,0))</f>
        <v>弓兵等级1</v>
      </c>
      <c r="F2654" s="32">
        <v>5000</v>
      </c>
      <c r="G2654" s="11"/>
      <c r="H2654" s="11"/>
      <c r="I2654" s="11"/>
      <c r="J2654" s="11"/>
      <c r="K2654" s="11">
        <v>1</v>
      </c>
      <c r="L2654" s="11"/>
      <c r="M2654" s="11" t="b">
        <v>1</v>
      </c>
      <c r="N2654" s="11"/>
    </row>
    <row r="2655" spans="1:14" x14ac:dyDescent="0.25">
      <c r="A2655" s="11">
        <v>6622126</v>
      </c>
      <c r="B2655" s="32" t="s">
        <v>503</v>
      </c>
      <c r="C2655" s="26" t="str">
        <f>IF(A2655="","",IF((COUNTIFS(A:A,A2655))&gt;1,"ID重复",""))</f>
        <v/>
      </c>
      <c r="D2655" s="11">
        <v>2007</v>
      </c>
      <c r="E2655" s="132" t="str">
        <f>INDEX([1]道具配置表!$D:$D,MATCH(D2655,[1]道具配置表!$A:$A,0))</f>
        <v>大奖池招募券</v>
      </c>
      <c r="F2655" s="32">
        <v>2</v>
      </c>
      <c r="G2655" s="11"/>
      <c r="H2655" s="11"/>
      <c r="I2655" s="11"/>
      <c r="J2655" s="11"/>
      <c r="K2655" s="11">
        <v>1</v>
      </c>
      <c r="L2655" s="11"/>
      <c r="M2655" s="11" t="b">
        <v>1</v>
      </c>
      <c r="N2655" s="11"/>
    </row>
    <row r="2656" spans="1:14" x14ac:dyDescent="0.25">
      <c r="A2656" s="11" t="s">
        <v>119</v>
      </c>
      <c r="B2656" s="32" t="s">
        <v>119</v>
      </c>
      <c r="C2656" s="26" t="str">
        <f>IF(A2656="","",IF((COUNTIFS(A:A,A2656))&gt;1,"ID重复",""))</f>
        <v/>
      </c>
      <c r="D2656" s="70">
        <v>9511</v>
      </c>
      <c r="E2656" s="132" t="str">
        <f>INDEX([1]道具配置表!$D:$D,MATCH(D2656,[1]道具配置表!$A:$A,0))</f>
        <v>剑士等级1</v>
      </c>
      <c r="F2656" s="32">
        <v>5200</v>
      </c>
      <c r="G2656" s="11"/>
      <c r="H2656" s="11"/>
      <c r="I2656" s="11"/>
      <c r="J2656" s="11"/>
      <c r="K2656" s="11">
        <v>1</v>
      </c>
      <c r="L2656" s="11"/>
      <c r="M2656" s="11" t="b">
        <v>1</v>
      </c>
      <c r="N2656" s="11"/>
    </row>
    <row r="2657" spans="1:14" x14ac:dyDescent="0.25">
      <c r="A2657" s="11" t="s">
        <v>119</v>
      </c>
      <c r="B2657" s="32" t="s">
        <v>119</v>
      </c>
      <c r="C2657" s="26" t="str">
        <f>IF(A2657="","",IF((COUNTIFS(A:A,A2657))&gt;1,"ID重复",""))</f>
        <v/>
      </c>
      <c r="D2657" s="70">
        <v>9512</v>
      </c>
      <c r="E2657" s="132" t="str">
        <f>INDEX([1]道具配置表!$D:$D,MATCH(D2657,[1]道具配置表!$A:$A,0))</f>
        <v>枪兵等级1</v>
      </c>
      <c r="F2657" s="32">
        <v>5200</v>
      </c>
      <c r="G2657" s="11"/>
      <c r="H2657" s="11"/>
      <c r="I2657" s="11"/>
      <c r="J2657" s="11"/>
      <c r="K2657" s="11">
        <v>1</v>
      </c>
      <c r="L2657" s="11"/>
      <c r="M2657" s="11" t="b">
        <v>1</v>
      </c>
      <c r="N2657" s="11"/>
    </row>
    <row r="2658" spans="1:14" x14ac:dyDescent="0.25">
      <c r="A2658" s="11" t="s">
        <v>119</v>
      </c>
      <c r="B2658" s="32" t="s">
        <v>119</v>
      </c>
      <c r="C2658" s="26" t="str">
        <f>IF(A2658="","",IF((COUNTIFS(A:A,A2658))&gt;1,"ID重复",""))</f>
        <v/>
      </c>
      <c r="D2658" s="70">
        <v>9513</v>
      </c>
      <c r="E2658" s="132" t="str">
        <f>INDEX([1]道具配置表!$D:$D,MATCH(D2658,[1]道具配置表!$A:$A,0))</f>
        <v>骑兵等级1</v>
      </c>
      <c r="F2658" s="32">
        <v>5200</v>
      </c>
      <c r="G2658" s="11"/>
      <c r="H2658" s="11"/>
      <c r="I2658" s="11"/>
      <c r="J2658" s="11"/>
      <c r="K2658" s="11">
        <v>1</v>
      </c>
      <c r="L2658" s="11"/>
      <c r="M2658" s="11" t="b">
        <v>1</v>
      </c>
      <c r="N2658" s="11"/>
    </row>
    <row r="2659" spans="1:14" x14ac:dyDescent="0.25">
      <c r="A2659" s="11" t="s">
        <v>119</v>
      </c>
      <c r="B2659" s="32" t="s">
        <v>119</v>
      </c>
      <c r="C2659" s="26" t="str">
        <f>IF(A2659="","",IF((COUNTIFS(A:A,A2659))&gt;1,"ID重复",""))</f>
        <v/>
      </c>
      <c r="D2659" s="70">
        <v>9514</v>
      </c>
      <c r="E2659" s="132" t="str">
        <f>INDEX([1]道具配置表!$D:$D,MATCH(D2659,[1]道具配置表!$A:$A,0))</f>
        <v>弓兵等级1</v>
      </c>
      <c r="F2659" s="32">
        <v>5200</v>
      </c>
      <c r="G2659" s="11"/>
      <c r="H2659" s="11"/>
      <c r="I2659" s="11"/>
      <c r="J2659" s="11"/>
      <c r="K2659" s="11">
        <v>1</v>
      </c>
      <c r="L2659" s="11"/>
      <c r="M2659" s="11" t="b">
        <v>1</v>
      </c>
      <c r="N2659" s="11"/>
    </row>
    <row r="2660" spans="1:14" x14ac:dyDescent="0.25">
      <c r="A2660" s="11">
        <v>6622127</v>
      </c>
      <c r="B2660" s="32" t="s">
        <v>504</v>
      </c>
      <c r="C2660" s="26" t="str">
        <f>IF(A2660="","",IF((COUNTIFS(A:A,A2660))&gt;1,"ID重复",""))</f>
        <v/>
      </c>
      <c r="D2660" s="11">
        <v>2007</v>
      </c>
      <c r="E2660" s="132" t="str">
        <f>INDEX([1]道具配置表!$D:$D,MATCH(D2660,[1]道具配置表!$A:$A,0))</f>
        <v>大奖池招募券</v>
      </c>
      <c r="F2660" s="32">
        <v>2</v>
      </c>
      <c r="G2660" s="11"/>
      <c r="H2660" s="11"/>
      <c r="I2660" s="11"/>
      <c r="J2660" s="11"/>
      <c r="K2660" s="11">
        <v>1</v>
      </c>
      <c r="L2660" s="11"/>
      <c r="M2660" s="11" t="b">
        <v>1</v>
      </c>
      <c r="N2660" s="11"/>
    </row>
    <row r="2661" spans="1:14" x14ac:dyDescent="0.25">
      <c r="A2661" s="11" t="s">
        <v>119</v>
      </c>
      <c r="B2661" s="32" t="s">
        <v>119</v>
      </c>
      <c r="C2661" s="26" t="str">
        <f>IF(A2661="","",IF((COUNTIFS(A:A,A2661))&gt;1,"ID重复",""))</f>
        <v/>
      </c>
      <c r="D2661" s="70">
        <v>9511</v>
      </c>
      <c r="E2661" s="132" t="str">
        <f>INDEX([1]道具配置表!$D:$D,MATCH(D2661,[1]道具配置表!$A:$A,0))</f>
        <v>剑士等级1</v>
      </c>
      <c r="F2661" s="32">
        <v>5400</v>
      </c>
      <c r="G2661" s="11"/>
      <c r="H2661" s="11"/>
      <c r="I2661" s="11"/>
      <c r="J2661" s="11"/>
      <c r="K2661" s="11">
        <v>1</v>
      </c>
      <c r="L2661" s="11"/>
      <c r="M2661" s="11" t="b">
        <v>1</v>
      </c>
      <c r="N2661" s="11"/>
    </row>
    <row r="2662" spans="1:14" x14ac:dyDescent="0.25">
      <c r="A2662" s="11" t="s">
        <v>119</v>
      </c>
      <c r="B2662" s="32" t="s">
        <v>119</v>
      </c>
      <c r="C2662" s="26" t="str">
        <f>IF(A2662="","",IF((COUNTIFS(A:A,A2662))&gt;1,"ID重复",""))</f>
        <v/>
      </c>
      <c r="D2662" s="70">
        <v>9512</v>
      </c>
      <c r="E2662" s="132" t="str">
        <f>INDEX([1]道具配置表!$D:$D,MATCH(D2662,[1]道具配置表!$A:$A,0))</f>
        <v>枪兵等级1</v>
      </c>
      <c r="F2662" s="32">
        <v>5400</v>
      </c>
      <c r="G2662" s="11"/>
      <c r="H2662" s="11"/>
      <c r="I2662" s="11"/>
      <c r="J2662" s="11"/>
      <c r="K2662" s="11">
        <v>1</v>
      </c>
      <c r="L2662" s="11"/>
      <c r="M2662" s="11" t="b">
        <v>1</v>
      </c>
      <c r="N2662" s="11"/>
    </row>
    <row r="2663" spans="1:14" x14ac:dyDescent="0.25">
      <c r="A2663" s="11" t="s">
        <v>119</v>
      </c>
      <c r="B2663" s="32" t="s">
        <v>119</v>
      </c>
      <c r="C2663" s="26" t="str">
        <f>IF(A2663="","",IF((COUNTIFS(A:A,A2663))&gt;1,"ID重复",""))</f>
        <v/>
      </c>
      <c r="D2663" s="70">
        <v>9513</v>
      </c>
      <c r="E2663" s="132" t="str">
        <f>INDEX([1]道具配置表!$D:$D,MATCH(D2663,[1]道具配置表!$A:$A,0))</f>
        <v>骑兵等级1</v>
      </c>
      <c r="F2663" s="32">
        <v>5400</v>
      </c>
      <c r="G2663" s="11"/>
      <c r="H2663" s="11"/>
      <c r="I2663" s="11"/>
      <c r="J2663" s="11"/>
      <c r="K2663" s="11">
        <v>1</v>
      </c>
      <c r="L2663" s="11"/>
      <c r="M2663" s="11" t="b">
        <v>1</v>
      </c>
      <c r="N2663" s="11"/>
    </row>
    <row r="2664" spans="1:14" x14ac:dyDescent="0.25">
      <c r="A2664" s="11" t="s">
        <v>119</v>
      </c>
      <c r="B2664" s="32" t="s">
        <v>119</v>
      </c>
      <c r="C2664" s="26" t="str">
        <f>IF(A2664="","",IF((COUNTIFS(A:A,A2664))&gt;1,"ID重复",""))</f>
        <v/>
      </c>
      <c r="D2664" s="70">
        <v>9514</v>
      </c>
      <c r="E2664" s="132" t="str">
        <f>INDEX([1]道具配置表!$D:$D,MATCH(D2664,[1]道具配置表!$A:$A,0))</f>
        <v>弓兵等级1</v>
      </c>
      <c r="F2664" s="32">
        <v>5400</v>
      </c>
      <c r="G2664" s="11"/>
      <c r="H2664" s="11"/>
      <c r="I2664" s="11"/>
      <c r="J2664" s="11"/>
      <c r="K2664" s="11">
        <v>1</v>
      </c>
      <c r="L2664" s="11"/>
      <c r="M2664" s="11" t="b">
        <v>1</v>
      </c>
      <c r="N2664" s="11"/>
    </row>
    <row r="2665" spans="1:14" x14ac:dyDescent="0.25">
      <c r="A2665" s="11">
        <v>6622128</v>
      </c>
      <c r="B2665" s="32" t="s">
        <v>505</v>
      </c>
      <c r="C2665" s="26" t="str">
        <f>IF(A2665="","",IF((COUNTIFS(A:A,A2665))&gt;1,"ID重复",""))</f>
        <v/>
      </c>
      <c r="D2665" s="11">
        <v>2007</v>
      </c>
      <c r="E2665" s="132" t="str">
        <f>INDEX([1]道具配置表!$D:$D,MATCH(D2665,[1]道具配置表!$A:$A,0))</f>
        <v>大奖池招募券</v>
      </c>
      <c r="F2665" s="32">
        <v>2</v>
      </c>
      <c r="G2665" s="11"/>
      <c r="H2665" s="11"/>
      <c r="I2665" s="11"/>
      <c r="J2665" s="11"/>
      <c r="K2665" s="11">
        <v>1</v>
      </c>
      <c r="L2665" s="11"/>
      <c r="M2665" s="11" t="b">
        <v>1</v>
      </c>
      <c r="N2665" s="11"/>
    </row>
    <row r="2666" spans="1:14" x14ac:dyDescent="0.25">
      <c r="A2666" s="11" t="s">
        <v>119</v>
      </c>
      <c r="B2666" s="32" t="s">
        <v>119</v>
      </c>
      <c r="C2666" s="26" t="str">
        <f>IF(A2666="","",IF((COUNTIFS(A:A,A2666))&gt;1,"ID重复",""))</f>
        <v/>
      </c>
      <c r="D2666" s="70">
        <v>9511</v>
      </c>
      <c r="E2666" s="132" t="str">
        <f>INDEX([1]道具配置表!$D:$D,MATCH(D2666,[1]道具配置表!$A:$A,0))</f>
        <v>剑士等级1</v>
      </c>
      <c r="F2666" s="32">
        <v>5600</v>
      </c>
      <c r="G2666" s="11"/>
      <c r="H2666" s="11"/>
      <c r="I2666" s="11"/>
      <c r="J2666" s="11"/>
      <c r="K2666" s="11">
        <v>1</v>
      </c>
      <c r="L2666" s="11"/>
      <c r="M2666" s="11" t="b">
        <v>1</v>
      </c>
      <c r="N2666" s="11"/>
    </row>
    <row r="2667" spans="1:14" x14ac:dyDescent="0.25">
      <c r="A2667" s="11" t="s">
        <v>119</v>
      </c>
      <c r="B2667" s="32" t="s">
        <v>119</v>
      </c>
      <c r="C2667" s="26" t="str">
        <f>IF(A2667="","",IF((COUNTIFS(A:A,A2667))&gt;1,"ID重复",""))</f>
        <v/>
      </c>
      <c r="D2667" s="70">
        <v>9512</v>
      </c>
      <c r="E2667" s="132" t="str">
        <f>INDEX([1]道具配置表!$D:$D,MATCH(D2667,[1]道具配置表!$A:$A,0))</f>
        <v>枪兵等级1</v>
      </c>
      <c r="F2667" s="32">
        <v>5600</v>
      </c>
      <c r="G2667" s="11"/>
      <c r="H2667" s="11"/>
      <c r="I2667" s="11"/>
      <c r="J2667" s="11"/>
      <c r="K2667" s="11">
        <v>1</v>
      </c>
      <c r="L2667" s="11"/>
      <c r="M2667" s="11" t="b">
        <v>1</v>
      </c>
      <c r="N2667" s="11"/>
    </row>
    <row r="2668" spans="1:14" x14ac:dyDescent="0.25">
      <c r="A2668" s="11" t="s">
        <v>119</v>
      </c>
      <c r="B2668" s="11" t="s">
        <v>119</v>
      </c>
      <c r="C2668" s="26" t="str">
        <f>IF(A2668="","",IF((COUNTIFS(A:A,A2668))&gt;1,"ID重复",""))</f>
        <v/>
      </c>
      <c r="D2668" s="70">
        <v>9513</v>
      </c>
      <c r="E2668" s="132" t="str">
        <f>INDEX([1]道具配置表!$D:$D,MATCH(D2668,[1]道具配置表!$A:$A,0))</f>
        <v>骑兵等级1</v>
      </c>
      <c r="F2668" s="32">
        <v>5600</v>
      </c>
      <c r="G2668" s="11"/>
      <c r="H2668" s="11"/>
      <c r="I2668" s="11"/>
      <c r="J2668" s="11"/>
      <c r="K2668" s="11">
        <v>1</v>
      </c>
      <c r="L2668" s="11"/>
      <c r="M2668" s="11" t="b">
        <v>1</v>
      </c>
      <c r="N2668" s="11"/>
    </row>
    <row r="2669" spans="1:14" x14ac:dyDescent="0.25">
      <c r="A2669" s="11" t="s">
        <v>119</v>
      </c>
      <c r="B2669" s="11" t="s">
        <v>119</v>
      </c>
      <c r="C2669" s="26" t="str">
        <f>IF(A2669="","",IF((COUNTIFS(A:A,A2669))&gt;1,"ID重复",""))</f>
        <v/>
      </c>
      <c r="D2669" s="70">
        <v>9514</v>
      </c>
      <c r="E2669" s="132" t="str">
        <f>INDEX([1]道具配置表!$D:$D,MATCH(D2669,[1]道具配置表!$A:$A,0))</f>
        <v>弓兵等级1</v>
      </c>
      <c r="F2669" s="32">
        <v>5600</v>
      </c>
      <c r="G2669" s="11"/>
      <c r="H2669" s="11"/>
      <c r="I2669" s="11"/>
      <c r="J2669" s="11"/>
      <c r="K2669" s="11">
        <v>1</v>
      </c>
      <c r="L2669" s="11"/>
      <c r="M2669" s="11" t="b">
        <v>1</v>
      </c>
      <c r="N2669" s="11"/>
    </row>
    <row r="2670" spans="1:14" x14ac:dyDescent="0.25">
      <c r="A2670" s="11">
        <v>6622129</v>
      </c>
      <c r="B2670" s="11" t="s">
        <v>121</v>
      </c>
      <c r="C2670" s="26" t="str">
        <f>IF(A2670="","",IF((COUNTIFS(A:A,A2670))&gt;1,"ID重复",""))</f>
        <v/>
      </c>
      <c r="D2670" s="11">
        <v>2007</v>
      </c>
      <c r="E2670" s="132" t="str">
        <f>INDEX([1]道具配置表!$D:$D,MATCH(D2670,[1]道具配置表!$A:$A,0))</f>
        <v>大奖池招募券</v>
      </c>
      <c r="F2670" s="32">
        <v>2</v>
      </c>
      <c r="G2670" s="11"/>
      <c r="H2670" s="11"/>
      <c r="I2670" s="11"/>
      <c r="J2670" s="11"/>
      <c r="K2670" s="11">
        <v>1</v>
      </c>
      <c r="L2670" s="11"/>
      <c r="M2670" s="11" t="b">
        <v>1</v>
      </c>
      <c r="N2670" s="11"/>
    </row>
    <row r="2671" spans="1:14" x14ac:dyDescent="0.25">
      <c r="A2671" s="11" t="s">
        <v>119</v>
      </c>
      <c r="B2671" s="11" t="s">
        <v>119</v>
      </c>
      <c r="C2671" s="26" t="str">
        <f>IF(A2671="","",IF((COUNTIFS(A:A,A2671))&gt;1,"ID重复",""))</f>
        <v/>
      </c>
      <c r="D2671" s="70">
        <v>9511</v>
      </c>
      <c r="E2671" s="132" t="str">
        <f>INDEX([1]道具配置表!$D:$D,MATCH(D2671,[1]道具配置表!$A:$A,0))</f>
        <v>剑士等级1</v>
      </c>
      <c r="F2671" s="32">
        <v>5800</v>
      </c>
      <c r="G2671" s="11"/>
      <c r="H2671" s="11"/>
      <c r="I2671" s="11"/>
      <c r="J2671" s="11"/>
      <c r="K2671" s="11">
        <v>1</v>
      </c>
      <c r="L2671" s="11"/>
      <c r="M2671" s="11" t="b">
        <v>1</v>
      </c>
      <c r="N2671" s="11"/>
    </row>
    <row r="2672" spans="1:14" x14ac:dyDescent="0.25">
      <c r="A2672" s="11" t="s">
        <v>119</v>
      </c>
      <c r="B2672" s="11" t="s">
        <v>119</v>
      </c>
      <c r="C2672" s="26" t="str">
        <f>IF(A2672="","",IF((COUNTIFS(A:A,A2672))&gt;1,"ID重复",""))</f>
        <v/>
      </c>
      <c r="D2672" s="70">
        <v>9512</v>
      </c>
      <c r="E2672" s="132" t="str">
        <f>INDEX([1]道具配置表!$D:$D,MATCH(D2672,[1]道具配置表!$A:$A,0))</f>
        <v>枪兵等级1</v>
      </c>
      <c r="F2672" s="32">
        <v>5800</v>
      </c>
      <c r="G2672" s="11"/>
      <c r="H2672" s="11"/>
      <c r="I2672" s="11"/>
      <c r="J2672" s="11"/>
      <c r="K2672" s="11">
        <v>1</v>
      </c>
      <c r="L2672" s="11"/>
      <c r="M2672" s="11" t="b">
        <v>1</v>
      </c>
      <c r="N2672" s="11"/>
    </row>
    <row r="2673" spans="1:14" x14ac:dyDescent="0.25">
      <c r="A2673" s="11" t="s">
        <v>119</v>
      </c>
      <c r="B2673" s="11" t="s">
        <v>119</v>
      </c>
      <c r="C2673" s="26" t="str">
        <f>IF(A2673="","",IF((COUNTIFS(A:A,A2673))&gt;1,"ID重复",""))</f>
        <v/>
      </c>
      <c r="D2673" s="70">
        <v>9513</v>
      </c>
      <c r="E2673" s="132" t="str">
        <f>INDEX([1]道具配置表!$D:$D,MATCH(D2673,[1]道具配置表!$A:$A,0))</f>
        <v>骑兵等级1</v>
      </c>
      <c r="F2673" s="32">
        <v>5800</v>
      </c>
      <c r="G2673" s="11"/>
      <c r="H2673" s="11"/>
      <c r="I2673" s="11"/>
      <c r="J2673" s="11"/>
      <c r="K2673" s="11">
        <v>1</v>
      </c>
      <c r="L2673" s="11"/>
      <c r="M2673" s="11" t="b">
        <v>1</v>
      </c>
      <c r="N2673" s="11"/>
    </row>
    <row r="2674" spans="1:14" x14ac:dyDescent="0.25">
      <c r="A2674" s="11" t="s">
        <v>119</v>
      </c>
      <c r="B2674" s="11" t="s">
        <v>119</v>
      </c>
      <c r="C2674" s="26" t="str">
        <f>IF(A2674="","",IF((COUNTIFS(A:A,A2674))&gt;1,"ID重复",""))</f>
        <v/>
      </c>
      <c r="D2674" s="70">
        <v>9514</v>
      </c>
      <c r="E2674" s="132" t="str">
        <f>INDEX([1]道具配置表!$D:$D,MATCH(D2674,[1]道具配置表!$A:$A,0))</f>
        <v>弓兵等级1</v>
      </c>
      <c r="F2674" s="32">
        <v>5800</v>
      </c>
      <c r="G2674" s="11"/>
      <c r="H2674" s="11"/>
      <c r="I2674" s="11"/>
      <c r="J2674" s="11"/>
      <c r="K2674" s="11">
        <v>1</v>
      </c>
      <c r="L2674" s="11"/>
      <c r="M2674" s="11" t="b">
        <v>1</v>
      </c>
      <c r="N2674" s="11"/>
    </row>
    <row r="2675" spans="1:14" x14ac:dyDescent="0.25">
      <c r="A2675" s="11">
        <v>6622130</v>
      </c>
      <c r="B2675" s="11" t="s">
        <v>122</v>
      </c>
      <c r="C2675" s="26" t="str">
        <f>IF(A2675="","",IF((COUNTIFS(A:A,A2675))&gt;1,"ID重复",""))</f>
        <v/>
      </c>
      <c r="D2675" s="11">
        <v>2007</v>
      </c>
      <c r="E2675" s="132" t="str">
        <f>INDEX([1]道具配置表!$D:$D,MATCH(D2675,[1]道具配置表!$A:$A,0))</f>
        <v>大奖池招募券</v>
      </c>
      <c r="F2675" s="32">
        <v>2</v>
      </c>
      <c r="G2675" s="11"/>
      <c r="H2675" s="11"/>
      <c r="I2675" s="11"/>
      <c r="J2675" s="11"/>
      <c r="K2675" s="11">
        <v>1</v>
      </c>
      <c r="L2675" s="11"/>
      <c r="M2675" s="11" t="b">
        <v>1</v>
      </c>
      <c r="N2675" s="11"/>
    </row>
    <row r="2676" spans="1:14" x14ac:dyDescent="0.25">
      <c r="A2676" s="11" t="s">
        <v>119</v>
      </c>
      <c r="B2676" s="11" t="s">
        <v>119</v>
      </c>
      <c r="C2676" s="26" t="str">
        <f>IF(A2676="","",IF((COUNTIFS(A:A,A2676))&gt;1,"ID重复",""))</f>
        <v/>
      </c>
      <c r="D2676" s="70">
        <v>9511</v>
      </c>
      <c r="E2676" s="132" t="str">
        <f>INDEX([1]道具配置表!$D:$D,MATCH(D2676,[1]道具配置表!$A:$A,0))</f>
        <v>剑士等级1</v>
      </c>
      <c r="F2676" s="32">
        <v>6000</v>
      </c>
      <c r="G2676" s="11"/>
      <c r="H2676" s="11"/>
      <c r="I2676" s="11"/>
      <c r="J2676" s="11"/>
      <c r="K2676" s="11">
        <v>1</v>
      </c>
      <c r="L2676" s="11"/>
      <c r="M2676" s="11" t="b">
        <v>1</v>
      </c>
      <c r="N2676" s="11"/>
    </row>
    <row r="2677" spans="1:14" x14ac:dyDescent="0.25">
      <c r="A2677" s="11" t="s">
        <v>119</v>
      </c>
      <c r="B2677" s="11" t="s">
        <v>119</v>
      </c>
      <c r="C2677" s="26" t="str">
        <f>IF(A2677="","",IF((COUNTIFS(A:A,A2677))&gt;1,"ID重复",""))</f>
        <v/>
      </c>
      <c r="D2677" s="70">
        <v>9512</v>
      </c>
      <c r="E2677" s="132" t="str">
        <f>INDEX([1]道具配置表!$D:$D,MATCH(D2677,[1]道具配置表!$A:$A,0))</f>
        <v>枪兵等级1</v>
      </c>
      <c r="F2677" s="32">
        <v>6000</v>
      </c>
      <c r="G2677" s="11"/>
      <c r="H2677" s="11"/>
      <c r="I2677" s="11"/>
      <c r="J2677" s="11"/>
      <c r="K2677" s="11">
        <v>1</v>
      </c>
      <c r="L2677" s="11"/>
      <c r="M2677" s="11" t="b">
        <v>1</v>
      </c>
      <c r="N2677" s="11"/>
    </row>
    <row r="2678" spans="1:14" x14ac:dyDescent="0.25">
      <c r="A2678" s="11" t="s">
        <v>119</v>
      </c>
      <c r="B2678" s="11" t="s">
        <v>119</v>
      </c>
      <c r="C2678" s="26" t="str">
        <f>IF(A2678="","",IF((COUNTIFS(A:A,A2678))&gt;1,"ID重复",""))</f>
        <v/>
      </c>
      <c r="D2678" s="70">
        <v>9513</v>
      </c>
      <c r="E2678" s="132" t="str">
        <f>INDEX([1]道具配置表!$D:$D,MATCH(D2678,[1]道具配置表!$A:$A,0))</f>
        <v>骑兵等级1</v>
      </c>
      <c r="F2678" s="32">
        <v>6000</v>
      </c>
      <c r="G2678" s="11"/>
      <c r="H2678" s="11"/>
      <c r="I2678" s="11"/>
      <c r="J2678" s="11"/>
      <c r="K2678" s="11">
        <v>1</v>
      </c>
      <c r="L2678" s="11"/>
      <c r="M2678" s="11" t="b">
        <v>1</v>
      </c>
      <c r="N2678" s="11"/>
    </row>
    <row r="2679" spans="1:14" x14ac:dyDescent="0.25">
      <c r="A2679" s="11" t="s">
        <v>119</v>
      </c>
      <c r="B2679" s="11" t="s">
        <v>119</v>
      </c>
      <c r="C2679" s="26" t="str">
        <f>IF(A2679="","",IF((COUNTIFS(A:A,A2679))&gt;1,"ID重复",""))</f>
        <v/>
      </c>
      <c r="D2679" s="70">
        <v>9514</v>
      </c>
      <c r="E2679" s="132" t="str">
        <f>INDEX([1]道具配置表!$D:$D,MATCH(D2679,[1]道具配置表!$A:$A,0))</f>
        <v>弓兵等级1</v>
      </c>
      <c r="F2679" s="32">
        <v>6000</v>
      </c>
      <c r="G2679" s="11"/>
      <c r="H2679" s="11"/>
      <c r="I2679" s="11"/>
      <c r="J2679" s="11"/>
      <c r="K2679" s="11">
        <v>1</v>
      </c>
      <c r="L2679" s="11"/>
      <c r="M2679" s="11" t="b">
        <v>1</v>
      </c>
      <c r="N2679" s="11"/>
    </row>
    <row r="2680" spans="1:14" x14ac:dyDescent="0.25">
      <c r="A2680" s="11">
        <v>6622200</v>
      </c>
      <c r="B2680" s="11" t="s">
        <v>123</v>
      </c>
      <c r="C2680" s="26" t="str">
        <f>IF(A2680="","",IF((COUNTIFS(A:A,A2680))&gt;1,"ID重复",""))</f>
        <v/>
      </c>
      <c r="D2680" s="11">
        <v>102</v>
      </c>
      <c r="E2680" s="132" t="str">
        <f>INDEX([1]道具配置表!$D:$D,MATCH(D2680,[1]道具配置表!$A:$A,0))</f>
        <v>1食物</v>
      </c>
      <c r="F2680" s="32">
        <v>10000</v>
      </c>
      <c r="G2680" s="11"/>
      <c r="H2680" s="11"/>
      <c r="I2680" s="11"/>
      <c r="J2680" s="11"/>
      <c r="K2680" s="11">
        <v>1</v>
      </c>
      <c r="L2680" s="11"/>
      <c r="M2680" s="11" t="b">
        <v>1</v>
      </c>
      <c r="N2680" s="11"/>
    </row>
    <row r="2681" spans="1:14" x14ac:dyDescent="0.25">
      <c r="A2681" s="11" t="s">
        <v>119</v>
      </c>
      <c r="B2681" s="11" t="s">
        <v>119</v>
      </c>
      <c r="C2681" s="26" t="str">
        <f>IF(A2681="","",IF((COUNTIFS(A:A,A2681))&gt;1,"ID重复",""))</f>
        <v/>
      </c>
      <c r="D2681" s="11">
        <v>101</v>
      </c>
      <c r="E2681" s="132" t="str">
        <f>INDEX([1]道具配置表!$D:$D,MATCH(D2681,[1]道具配置表!$A:$A,0))</f>
        <v>1木材</v>
      </c>
      <c r="F2681" s="32">
        <v>10000</v>
      </c>
      <c r="G2681" s="11"/>
      <c r="H2681" s="11"/>
      <c r="I2681" s="11"/>
      <c r="J2681" s="11"/>
      <c r="K2681" s="11">
        <v>1</v>
      </c>
      <c r="L2681" s="11"/>
      <c r="M2681" s="11" t="b">
        <v>1</v>
      </c>
      <c r="N2681" s="11"/>
    </row>
    <row r="2682" spans="1:14" x14ac:dyDescent="0.25">
      <c r="A2682" s="11" t="s">
        <v>119</v>
      </c>
      <c r="B2682" s="11" t="s">
        <v>119</v>
      </c>
      <c r="C2682" s="26" t="str">
        <f>IF(A2682="","",IF((COUNTIFS(A:A,A2682))&gt;1,"ID重复",""))</f>
        <v/>
      </c>
      <c r="D2682" s="11">
        <v>7003</v>
      </c>
      <c r="E2682" s="132" t="str">
        <f>INDEX([1]道具配置表!$D:$D,MATCH(D2682,[1]道具配置表!$A:$A,0))</f>
        <v>1银币（立即使用，不进背包）</v>
      </c>
      <c r="F2682" s="32">
        <v>50</v>
      </c>
      <c r="G2682" s="11"/>
      <c r="H2682" s="11"/>
      <c r="I2682" s="11"/>
      <c r="J2682" s="11"/>
      <c r="K2682" s="11">
        <v>1</v>
      </c>
      <c r="L2682" s="11"/>
      <c r="M2682" s="11" t="b">
        <v>1</v>
      </c>
      <c r="N2682" s="11"/>
    </row>
    <row r="2683" spans="1:14" x14ac:dyDescent="0.25">
      <c r="A2683" s="11">
        <v>6622301</v>
      </c>
      <c r="B2683" s="11" t="s">
        <v>124</v>
      </c>
      <c r="C2683" s="26" t="str">
        <f>IF(A2683="","",IF((COUNTIFS(A:A,A2683))&gt;1,"ID重复",""))</f>
        <v/>
      </c>
      <c r="D2683" s="11">
        <v>102</v>
      </c>
      <c r="E2683" s="132" t="str">
        <f>INDEX([1]道具配置表!$D:$D,MATCH(D2683,[1]道具配置表!$A:$A,0))</f>
        <v>1食物</v>
      </c>
      <c r="F2683" s="32">
        <v>1000</v>
      </c>
      <c r="G2683" s="11"/>
      <c r="H2683" s="11"/>
      <c r="I2683" s="11"/>
      <c r="J2683" s="11"/>
      <c r="K2683" s="11">
        <v>1</v>
      </c>
      <c r="L2683" s="11"/>
      <c r="M2683" s="11" t="b">
        <v>1</v>
      </c>
      <c r="N2683" s="11"/>
    </row>
    <row r="2684" spans="1:14" x14ac:dyDescent="0.25">
      <c r="A2684" s="11" t="s">
        <v>119</v>
      </c>
      <c r="B2684" s="11" t="s">
        <v>119</v>
      </c>
      <c r="C2684" s="26" t="str">
        <f>IF(A2684="","",IF((COUNTIFS(A:A,A2684))&gt;1,"ID重复",""))</f>
        <v/>
      </c>
      <c r="D2684" s="11">
        <v>101</v>
      </c>
      <c r="E2684" s="132" t="str">
        <f>INDEX([1]道具配置表!$D:$D,MATCH(D2684,[1]道具配置表!$A:$A,0))</f>
        <v>1木材</v>
      </c>
      <c r="F2684" s="32">
        <v>1000</v>
      </c>
      <c r="G2684" s="11"/>
      <c r="H2684" s="11"/>
      <c r="I2684" s="11"/>
      <c r="J2684" s="11"/>
      <c r="K2684" s="11">
        <v>1</v>
      </c>
      <c r="L2684" s="11"/>
      <c r="M2684" s="11" t="b">
        <v>1</v>
      </c>
      <c r="N2684" s="11"/>
    </row>
    <row r="2685" spans="1:14" x14ac:dyDescent="0.25">
      <c r="A2685" s="11">
        <v>6622302</v>
      </c>
      <c r="B2685" s="11" t="s">
        <v>125</v>
      </c>
      <c r="C2685" s="26" t="str">
        <f>IF(A2685="","",IF((COUNTIFS(A:A,A2685))&gt;1,"ID重复",""))</f>
        <v/>
      </c>
      <c r="D2685" s="11">
        <v>102</v>
      </c>
      <c r="E2685" s="132" t="str">
        <f>INDEX([1]道具配置表!$D:$D,MATCH(D2685,[1]道具配置表!$A:$A,0))</f>
        <v>1食物</v>
      </c>
      <c r="F2685" s="32">
        <v>2000</v>
      </c>
      <c r="G2685" s="11"/>
      <c r="H2685" s="11"/>
      <c r="I2685" s="11"/>
      <c r="J2685" s="11"/>
      <c r="K2685" s="11">
        <v>1</v>
      </c>
      <c r="L2685" s="11"/>
      <c r="M2685" s="11" t="b">
        <v>1</v>
      </c>
      <c r="N2685" s="11"/>
    </row>
    <row r="2686" spans="1:14" x14ac:dyDescent="0.25">
      <c r="A2686" s="11" t="s">
        <v>119</v>
      </c>
      <c r="B2686" s="11" t="s">
        <v>119</v>
      </c>
      <c r="C2686" s="26" t="str">
        <f>IF(A2686="","",IF((COUNTIFS(A:A,A2686))&gt;1,"ID重复",""))</f>
        <v/>
      </c>
      <c r="D2686" s="11">
        <v>101</v>
      </c>
      <c r="E2686" s="132" t="str">
        <f>INDEX([1]道具配置表!$D:$D,MATCH(D2686,[1]道具配置表!$A:$A,0))</f>
        <v>1木材</v>
      </c>
      <c r="F2686" s="32">
        <v>2000</v>
      </c>
      <c r="G2686" s="11"/>
      <c r="H2686" s="11"/>
      <c r="I2686" s="11"/>
      <c r="J2686" s="11"/>
      <c r="K2686" s="11">
        <v>1</v>
      </c>
      <c r="L2686" s="11"/>
      <c r="M2686" s="11" t="b">
        <v>1</v>
      </c>
      <c r="N2686" s="11"/>
    </row>
    <row r="2687" spans="1:14" x14ac:dyDescent="0.25">
      <c r="A2687" s="11">
        <v>6622303</v>
      </c>
      <c r="B2687" s="11" t="s">
        <v>126</v>
      </c>
      <c r="C2687" s="26" t="str">
        <f>IF(A2687="","",IF((COUNTIFS(A:A,A2687))&gt;1,"ID重复",""))</f>
        <v/>
      </c>
      <c r="D2687" s="11">
        <v>102</v>
      </c>
      <c r="E2687" s="132" t="str">
        <f>INDEX([1]道具配置表!$D:$D,MATCH(D2687,[1]道具配置表!$A:$A,0))</f>
        <v>1食物</v>
      </c>
      <c r="F2687" s="32">
        <v>3000</v>
      </c>
      <c r="G2687" s="11"/>
      <c r="H2687" s="11"/>
      <c r="I2687" s="11"/>
      <c r="J2687" s="11"/>
      <c r="K2687" s="11">
        <v>1</v>
      </c>
      <c r="L2687" s="11"/>
      <c r="M2687" s="11" t="b">
        <v>1</v>
      </c>
      <c r="N2687" s="11"/>
    </row>
    <row r="2688" spans="1:14" x14ac:dyDescent="0.25">
      <c r="A2688" s="11" t="s">
        <v>119</v>
      </c>
      <c r="B2688" s="11" t="s">
        <v>119</v>
      </c>
      <c r="C2688" s="26" t="str">
        <f>IF(A2688="","",IF((COUNTIFS(A:A,A2688))&gt;1,"ID重复",""))</f>
        <v/>
      </c>
      <c r="D2688" s="11">
        <v>101</v>
      </c>
      <c r="E2688" s="132" t="str">
        <f>INDEX([1]道具配置表!$D:$D,MATCH(D2688,[1]道具配置表!$A:$A,0))</f>
        <v>1木材</v>
      </c>
      <c r="F2688" s="32">
        <v>3000</v>
      </c>
      <c r="G2688" s="11"/>
      <c r="H2688" s="11"/>
      <c r="I2688" s="11"/>
      <c r="J2688" s="11"/>
      <c r="K2688" s="11">
        <v>1</v>
      </c>
      <c r="L2688" s="11"/>
      <c r="M2688" s="11" t="b">
        <v>1</v>
      </c>
      <c r="N2688" s="11"/>
    </row>
    <row r="2689" spans="1:14" x14ac:dyDescent="0.25">
      <c r="A2689" s="11">
        <v>6622304</v>
      </c>
      <c r="B2689" s="11" t="s">
        <v>127</v>
      </c>
      <c r="C2689" s="26" t="str">
        <f>IF(A2689="","",IF((COUNTIFS(A:A,A2689))&gt;1,"ID重复",""))</f>
        <v/>
      </c>
      <c r="D2689" s="11">
        <v>102</v>
      </c>
      <c r="E2689" s="132" t="str">
        <f>INDEX([1]道具配置表!$D:$D,MATCH(D2689,[1]道具配置表!$A:$A,0))</f>
        <v>1食物</v>
      </c>
      <c r="F2689" s="32">
        <v>4000</v>
      </c>
      <c r="G2689" s="11"/>
      <c r="H2689" s="11"/>
      <c r="I2689" s="11"/>
      <c r="J2689" s="11"/>
      <c r="K2689" s="11">
        <v>1</v>
      </c>
      <c r="L2689" s="11"/>
      <c r="M2689" s="11" t="b">
        <v>1</v>
      </c>
      <c r="N2689" s="11"/>
    </row>
    <row r="2690" spans="1:14" x14ac:dyDescent="0.25">
      <c r="A2690" s="11" t="s">
        <v>119</v>
      </c>
      <c r="B2690" s="11" t="s">
        <v>119</v>
      </c>
      <c r="C2690" s="26" t="str">
        <f>IF(A2690="","",IF((COUNTIFS(A:A,A2690))&gt;1,"ID重复",""))</f>
        <v/>
      </c>
      <c r="D2690" s="11">
        <v>101</v>
      </c>
      <c r="E2690" s="132" t="str">
        <f>INDEX([1]道具配置表!$D:$D,MATCH(D2690,[1]道具配置表!$A:$A,0))</f>
        <v>1木材</v>
      </c>
      <c r="F2690" s="32">
        <v>4000</v>
      </c>
      <c r="G2690" s="11"/>
      <c r="H2690" s="11"/>
      <c r="I2690" s="11"/>
      <c r="J2690" s="11"/>
      <c r="K2690" s="11">
        <v>1</v>
      </c>
      <c r="L2690" s="11"/>
      <c r="M2690" s="11" t="b">
        <v>1</v>
      </c>
      <c r="N2690" s="11"/>
    </row>
    <row r="2691" spans="1:14" x14ac:dyDescent="0.25">
      <c r="A2691" s="11" t="s">
        <v>119</v>
      </c>
      <c r="B2691" s="11" t="s">
        <v>119</v>
      </c>
      <c r="C2691" s="26" t="str">
        <f>IF(A2691="","",IF((COUNTIFS(A:A,A2691))&gt;1,"ID重复",""))</f>
        <v/>
      </c>
      <c r="D2691" s="11">
        <v>103</v>
      </c>
      <c r="E2691" s="132" t="str">
        <f>INDEX([1]道具配置表!$D:$D,MATCH(D2691,[1]道具配置表!$A:$A,0))</f>
        <v>1石头</v>
      </c>
      <c r="F2691" s="32">
        <v>4000</v>
      </c>
      <c r="G2691" s="11"/>
      <c r="H2691" s="11"/>
      <c r="I2691" s="11"/>
      <c r="J2691" s="11"/>
      <c r="K2691" s="11">
        <v>1</v>
      </c>
      <c r="L2691" s="11"/>
      <c r="M2691" s="11" t="b">
        <v>1</v>
      </c>
      <c r="N2691" s="11"/>
    </row>
    <row r="2692" spans="1:14" x14ac:dyDescent="0.25">
      <c r="A2692" s="11">
        <v>6622305</v>
      </c>
      <c r="B2692" s="11" t="s">
        <v>128</v>
      </c>
      <c r="C2692" s="26" t="str">
        <f>IF(A2692="","",IF((COUNTIFS(A:A,A2692))&gt;1,"ID重复",""))</f>
        <v/>
      </c>
      <c r="D2692" s="11">
        <v>102</v>
      </c>
      <c r="E2692" s="132" t="str">
        <f>INDEX([1]道具配置表!$D:$D,MATCH(D2692,[1]道具配置表!$A:$A,0))</f>
        <v>1食物</v>
      </c>
      <c r="F2692" s="32">
        <v>5000</v>
      </c>
      <c r="G2692" s="11"/>
      <c r="H2692" s="11"/>
      <c r="I2692" s="11"/>
      <c r="J2692" s="11"/>
      <c r="K2692" s="11">
        <v>1</v>
      </c>
      <c r="L2692" s="11"/>
      <c r="M2692" s="11" t="b">
        <v>1</v>
      </c>
      <c r="N2692" s="11"/>
    </row>
    <row r="2693" spans="1:14" x14ac:dyDescent="0.25">
      <c r="A2693" s="11" t="s">
        <v>119</v>
      </c>
      <c r="B2693" s="11" t="s">
        <v>119</v>
      </c>
      <c r="C2693" s="26" t="str">
        <f>IF(A2693="","",IF((COUNTIFS(A:A,A2693))&gt;1,"ID重复",""))</f>
        <v/>
      </c>
      <c r="D2693" s="11">
        <v>101</v>
      </c>
      <c r="E2693" s="132" t="str">
        <f>INDEX([1]道具配置表!$D:$D,MATCH(D2693,[1]道具配置表!$A:$A,0))</f>
        <v>1木材</v>
      </c>
      <c r="F2693" s="32">
        <v>5000</v>
      </c>
      <c r="G2693" s="11"/>
      <c r="H2693" s="11"/>
      <c r="I2693" s="11"/>
      <c r="J2693" s="11"/>
      <c r="K2693" s="11">
        <v>1</v>
      </c>
      <c r="L2693" s="11"/>
      <c r="M2693" s="11" t="b">
        <v>1</v>
      </c>
      <c r="N2693" s="11"/>
    </row>
    <row r="2694" spans="1:14" x14ac:dyDescent="0.25">
      <c r="A2694" s="11" t="s">
        <v>119</v>
      </c>
      <c r="B2694" s="11" t="s">
        <v>119</v>
      </c>
      <c r="C2694" s="26" t="str">
        <f>IF(A2694="","",IF((COUNTIFS(A:A,A2694))&gt;1,"ID重复",""))</f>
        <v/>
      </c>
      <c r="D2694" s="11">
        <v>103</v>
      </c>
      <c r="E2694" s="132" t="str">
        <f>INDEX([1]道具配置表!$D:$D,MATCH(D2694,[1]道具配置表!$A:$A,0))</f>
        <v>1石头</v>
      </c>
      <c r="F2694" s="32">
        <v>5000</v>
      </c>
      <c r="G2694" s="11"/>
      <c r="H2694" s="11"/>
      <c r="I2694" s="11"/>
      <c r="J2694" s="11"/>
      <c r="K2694" s="11">
        <v>1</v>
      </c>
      <c r="L2694" s="11"/>
      <c r="M2694" s="11" t="b">
        <v>1</v>
      </c>
      <c r="N2694" s="11"/>
    </row>
    <row r="2695" spans="1:14" x14ac:dyDescent="0.25">
      <c r="A2695" s="11">
        <v>6622306</v>
      </c>
      <c r="B2695" s="11" t="s">
        <v>129</v>
      </c>
      <c r="C2695" s="26" t="str">
        <f>IF(A2695="","",IF((COUNTIFS(A:A,A2695))&gt;1,"ID重复",""))</f>
        <v/>
      </c>
      <c r="D2695" s="11">
        <v>102</v>
      </c>
      <c r="E2695" s="132" t="str">
        <f>INDEX([1]道具配置表!$D:$D,MATCH(D2695,[1]道具配置表!$A:$A,0))</f>
        <v>1食物</v>
      </c>
      <c r="F2695" s="32">
        <v>6000</v>
      </c>
      <c r="G2695" s="11"/>
      <c r="H2695" s="11"/>
      <c r="I2695" s="11"/>
      <c r="J2695" s="11"/>
      <c r="K2695" s="11">
        <v>1</v>
      </c>
      <c r="L2695" s="11"/>
      <c r="M2695" s="11" t="b">
        <v>1</v>
      </c>
      <c r="N2695" s="11"/>
    </row>
    <row r="2696" spans="1:14" x14ac:dyDescent="0.25">
      <c r="A2696" s="11" t="s">
        <v>119</v>
      </c>
      <c r="B2696" s="11" t="s">
        <v>119</v>
      </c>
      <c r="C2696" s="26" t="str">
        <f>IF(A2696="","",IF((COUNTIFS(A:A,A2696))&gt;1,"ID重复",""))</f>
        <v/>
      </c>
      <c r="D2696" s="11">
        <v>101</v>
      </c>
      <c r="E2696" s="132" t="str">
        <f>INDEX([1]道具配置表!$D:$D,MATCH(D2696,[1]道具配置表!$A:$A,0))</f>
        <v>1木材</v>
      </c>
      <c r="F2696" s="32">
        <v>6000</v>
      </c>
      <c r="G2696" s="11"/>
      <c r="H2696" s="11"/>
      <c r="I2696" s="11"/>
      <c r="J2696" s="11"/>
      <c r="K2696" s="11">
        <v>1</v>
      </c>
      <c r="L2696" s="11"/>
      <c r="M2696" s="11" t="b">
        <v>1</v>
      </c>
      <c r="N2696" s="11"/>
    </row>
    <row r="2697" spans="1:14" x14ac:dyDescent="0.25">
      <c r="A2697" s="11" t="s">
        <v>119</v>
      </c>
      <c r="B2697" s="11" t="s">
        <v>119</v>
      </c>
      <c r="C2697" s="26" t="str">
        <f>IF(A2697="","",IF((COUNTIFS(A:A,A2697))&gt;1,"ID重复",""))</f>
        <v/>
      </c>
      <c r="D2697" s="11">
        <v>103</v>
      </c>
      <c r="E2697" s="132" t="str">
        <f>INDEX([1]道具配置表!$D:$D,MATCH(D2697,[1]道具配置表!$A:$A,0))</f>
        <v>1石头</v>
      </c>
      <c r="F2697" s="32">
        <v>6000</v>
      </c>
      <c r="G2697" s="11"/>
      <c r="H2697" s="11"/>
      <c r="I2697" s="11"/>
      <c r="J2697" s="11"/>
      <c r="K2697" s="11">
        <v>1</v>
      </c>
      <c r="L2697" s="11"/>
      <c r="M2697" s="11" t="b">
        <v>1</v>
      </c>
      <c r="N2697" s="11"/>
    </row>
    <row r="2698" spans="1:14" x14ac:dyDescent="0.25">
      <c r="A2698" s="11">
        <v>6622307</v>
      </c>
      <c r="B2698" s="11" t="s">
        <v>130</v>
      </c>
      <c r="C2698" s="26" t="str">
        <f>IF(A2698="","",IF((COUNTIFS(A:A,A2698))&gt;1,"ID重复",""))</f>
        <v/>
      </c>
      <c r="D2698" s="11">
        <v>102</v>
      </c>
      <c r="E2698" s="132" t="str">
        <f>INDEX([1]道具配置表!$D:$D,MATCH(D2698,[1]道具配置表!$A:$A,0))</f>
        <v>1食物</v>
      </c>
      <c r="F2698" s="32">
        <v>7000</v>
      </c>
      <c r="G2698" s="11"/>
      <c r="H2698" s="11"/>
      <c r="I2698" s="11"/>
      <c r="J2698" s="11"/>
      <c r="K2698" s="11">
        <v>1</v>
      </c>
      <c r="L2698" s="11"/>
      <c r="M2698" s="11" t="b">
        <v>1</v>
      </c>
      <c r="N2698" s="11"/>
    </row>
    <row r="2699" spans="1:14" x14ac:dyDescent="0.25">
      <c r="A2699" s="11" t="s">
        <v>119</v>
      </c>
      <c r="B2699" s="11" t="s">
        <v>119</v>
      </c>
      <c r="C2699" s="26" t="str">
        <f>IF(A2699="","",IF((COUNTIFS(A:A,A2699))&gt;1,"ID重复",""))</f>
        <v/>
      </c>
      <c r="D2699" s="11">
        <v>101</v>
      </c>
      <c r="E2699" s="132" t="str">
        <f>INDEX([1]道具配置表!$D:$D,MATCH(D2699,[1]道具配置表!$A:$A,0))</f>
        <v>1木材</v>
      </c>
      <c r="F2699" s="32">
        <v>7000</v>
      </c>
      <c r="G2699" s="11"/>
      <c r="H2699" s="11"/>
      <c r="I2699" s="11"/>
      <c r="J2699" s="11"/>
      <c r="K2699" s="11">
        <v>1</v>
      </c>
      <c r="L2699" s="11"/>
      <c r="M2699" s="11" t="b">
        <v>1</v>
      </c>
      <c r="N2699" s="11"/>
    </row>
    <row r="2700" spans="1:14" x14ac:dyDescent="0.25">
      <c r="A2700" s="11" t="s">
        <v>119</v>
      </c>
      <c r="B2700" s="11" t="s">
        <v>119</v>
      </c>
      <c r="C2700" s="26" t="str">
        <f>IF(A2700="","",IF((COUNTIFS(A:A,A2700))&gt;1,"ID重复",""))</f>
        <v/>
      </c>
      <c r="D2700" s="11">
        <v>103</v>
      </c>
      <c r="E2700" s="132" t="str">
        <f>INDEX([1]道具配置表!$D:$D,MATCH(D2700,[1]道具配置表!$A:$A,0))</f>
        <v>1石头</v>
      </c>
      <c r="F2700" s="32">
        <v>7000</v>
      </c>
      <c r="G2700" s="11"/>
      <c r="H2700" s="11"/>
      <c r="I2700" s="11"/>
      <c r="J2700" s="11"/>
      <c r="K2700" s="11">
        <v>1</v>
      </c>
      <c r="L2700" s="11"/>
      <c r="M2700" s="11" t="b">
        <v>1</v>
      </c>
      <c r="N2700" s="11"/>
    </row>
    <row r="2701" spans="1:14" x14ac:dyDescent="0.25">
      <c r="A2701" s="11">
        <v>6622308</v>
      </c>
      <c r="B2701" s="11" t="s">
        <v>131</v>
      </c>
      <c r="C2701" s="26" t="str">
        <f>IF(A2701="","",IF((COUNTIFS(A:A,A2701))&gt;1,"ID重复",""))</f>
        <v/>
      </c>
      <c r="D2701" s="11">
        <v>102</v>
      </c>
      <c r="E2701" s="132" t="str">
        <f>INDEX([1]道具配置表!$D:$D,MATCH(D2701,[1]道具配置表!$A:$A,0))</f>
        <v>1食物</v>
      </c>
      <c r="F2701" s="32">
        <v>8000</v>
      </c>
      <c r="G2701" s="11"/>
      <c r="H2701" s="11"/>
      <c r="I2701" s="11"/>
      <c r="J2701" s="11"/>
      <c r="K2701" s="11">
        <v>1</v>
      </c>
      <c r="L2701" s="11"/>
      <c r="M2701" s="11" t="b">
        <v>1</v>
      </c>
      <c r="N2701" s="11"/>
    </row>
    <row r="2702" spans="1:14" x14ac:dyDescent="0.25">
      <c r="A2702" s="11" t="s">
        <v>119</v>
      </c>
      <c r="B2702" s="11" t="s">
        <v>119</v>
      </c>
      <c r="C2702" s="26" t="str">
        <f>IF(A2702="","",IF((COUNTIFS(A:A,A2702))&gt;1,"ID重复",""))</f>
        <v/>
      </c>
      <c r="D2702" s="11">
        <v>101</v>
      </c>
      <c r="E2702" s="132" t="str">
        <f>INDEX([1]道具配置表!$D:$D,MATCH(D2702,[1]道具配置表!$A:$A,0))</f>
        <v>1木材</v>
      </c>
      <c r="F2702" s="32">
        <v>8000</v>
      </c>
      <c r="G2702" s="11"/>
      <c r="H2702" s="11"/>
      <c r="I2702" s="11"/>
      <c r="J2702" s="11"/>
      <c r="K2702" s="11">
        <v>1</v>
      </c>
      <c r="L2702" s="11"/>
      <c r="M2702" s="11" t="b">
        <v>1</v>
      </c>
      <c r="N2702" s="11"/>
    </row>
    <row r="2703" spans="1:14" x14ac:dyDescent="0.25">
      <c r="A2703" s="11" t="s">
        <v>119</v>
      </c>
      <c r="B2703" s="11" t="s">
        <v>119</v>
      </c>
      <c r="C2703" s="26" t="str">
        <f>IF(A2703="","",IF((COUNTIFS(A:A,A2703))&gt;1,"ID重复",""))</f>
        <v/>
      </c>
      <c r="D2703" s="11">
        <v>103</v>
      </c>
      <c r="E2703" s="132" t="str">
        <f>INDEX([1]道具配置表!$D:$D,MATCH(D2703,[1]道具配置表!$A:$A,0))</f>
        <v>1石头</v>
      </c>
      <c r="F2703" s="32">
        <v>8000</v>
      </c>
      <c r="G2703" s="11"/>
      <c r="H2703" s="11"/>
      <c r="I2703" s="11"/>
      <c r="J2703" s="11"/>
      <c r="K2703" s="11">
        <v>1</v>
      </c>
      <c r="L2703" s="11"/>
      <c r="M2703" s="11" t="b">
        <v>1</v>
      </c>
      <c r="N2703" s="11"/>
    </row>
    <row r="2704" spans="1:14" x14ac:dyDescent="0.25">
      <c r="A2704" s="11">
        <v>6622309</v>
      </c>
      <c r="B2704" s="11" t="s">
        <v>132</v>
      </c>
      <c r="C2704" s="26" t="str">
        <f>IF(A2704="","",IF((COUNTIFS(A:A,A2704))&gt;1,"ID重复",""))</f>
        <v/>
      </c>
      <c r="D2704" s="11">
        <v>102</v>
      </c>
      <c r="E2704" s="132" t="str">
        <f>INDEX([1]道具配置表!$D:$D,MATCH(D2704,[1]道具配置表!$A:$A,0))</f>
        <v>1食物</v>
      </c>
      <c r="F2704" s="32">
        <v>9000</v>
      </c>
      <c r="G2704" s="11"/>
      <c r="H2704" s="11"/>
      <c r="I2704" s="11"/>
      <c r="J2704" s="11"/>
      <c r="K2704" s="11">
        <v>1</v>
      </c>
      <c r="L2704" s="11"/>
      <c r="M2704" s="11" t="b">
        <v>1</v>
      </c>
      <c r="N2704" s="11"/>
    </row>
    <row r="2705" spans="1:14" x14ac:dyDescent="0.25">
      <c r="A2705" s="11" t="s">
        <v>119</v>
      </c>
      <c r="B2705" s="11" t="s">
        <v>119</v>
      </c>
      <c r="C2705" s="26" t="str">
        <f>IF(A2705="","",IF((COUNTIFS(A:A,A2705))&gt;1,"ID重复",""))</f>
        <v/>
      </c>
      <c r="D2705" s="11">
        <v>101</v>
      </c>
      <c r="E2705" s="132" t="str">
        <f>INDEX([1]道具配置表!$D:$D,MATCH(D2705,[1]道具配置表!$A:$A,0))</f>
        <v>1木材</v>
      </c>
      <c r="F2705" s="32">
        <v>9000</v>
      </c>
      <c r="G2705" s="11"/>
      <c r="H2705" s="11"/>
      <c r="I2705" s="11"/>
      <c r="J2705" s="11"/>
      <c r="K2705" s="11">
        <v>1</v>
      </c>
      <c r="L2705" s="11"/>
      <c r="M2705" s="11" t="b">
        <v>1</v>
      </c>
      <c r="N2705" s="11"/>
    </row>
    <row r="2706" spans="1:14" x14ac:dyDescent="0.25">
      <c r="A2706" s="11" t="s">
        <v>119</v>
      </c>
      <c r="B2706" s="11" t="s">
        <v>119</v>
      </c>
      <c r="C2706" s="26" t="str">
        <f>IF(A2706="","",IF((COUNTIFS(A:A,A2706))&gt;1,"ID重复",""))</f>
        <v/>
      </c>
      <c r="D2706" s="11">
        <v>103</v>
      </c>
      <c r="E2706" s="132" t="str">
        <f>INDEX([1]道具配置表!$D:$D,MATCH(D2706,[1]道具配置表!$A:$A,0))</f>
        <v>1石头</v>
      </c>
      <c r="F2706" s="32">
        <v>9000</v>
      </c>
      <c r="G2706" s="11"/>
      <c r="H2706" s="11"/>
      <c r="I2706" s="11"/>
      <c r="J2706" s="11"/>
      <c r="K2706" s="11">
        <v>1</v>
      </c>
      <c r="L2706" s="11"/>
      <c r="M2706" s="11" t="b">
        <v>1</v>
      </c>
      <c r="N2706" s="11"/>
    </row>
    <row r="2707" spans="1:14" x14ac:dyDescent="0.25">
      <c r="A2707" s="11">
        <v>6622310</v>
      </c>
      <c r="B2707" s="11" t="s">
        <v>133</v>
      </c>
      <c r="C2707" s="26" t="str">
        <f>IF(A2707="","",IF((COUNTIFS(A:A,A2707))&gt;1,"ID重复",""))</f>
        <v/>
      </c>
      <c r="D2707" s="11">
        <v>102</v>
      </c>
      <c r="E2707" s="132" t="str">
        <f>INDEX([1]道具配置表!$D:$D,MATCH(D2707,[1]道具配置表!$A:$A,0))</f>
        <v>1食物</v>
      </c>
      <c r="F2707" s="32">
        <v>10000</v>
      </c>
      <c r="G2707" s="11"/>
      <c r="H2707" s="11"/>
      <c r="I2707" s="11"/>
      <c r="J2707" s="11"/>
      <c r="K2707" s="11">
        <v>1</v>
      </c>
      <c r="L2707" s="11"/>
      <c r="M2707" s="11" t="b">
        <v>1</v>
      </c>
      <c r="N2707" s="11"/>
    </row>
    <row r="2708" spans="1:14" x14ac:dyDescent="0.25">
      <c r="A2708" s="11" t="s">
        <v>119</v>
      </c>
      <c r="B2708" s="11" t="s">
        <v>119</v>
      </c>
      <c r="C2708" s="26" t="str">
        <f>IF(A2708="","",IF((COUNTIFS(A:A,A2708))&gt;1,"ID重复",""))</f>
        <v/>
      </c>
      <c r="D2708" s="11">
        <v>101</v>
      </c>
      <c r="E2708" s="132" t="str">
        <f>INDEX([1]道具配置表!$D:$D,MATCH(D2708,[1]道具配置表!$A:$A,0))</f>
        <v>1木材</v>
      </c>
      <c r="F2708" s="32">
        <v>10000</v>
      </c>
      <c r="G2708" s="11"/>
      <c r="H2708" s="11"/>
      <c r="I2708" s="11"/>
      <c r="J2708" s="11"/>
      <c r="K2708" s="11">
        <v>1</v>
      </c>
      <c r="L2708" s="11"/>
      <c r="M2708" s="11" t="b">
        <v>1</v>
      </c>
      <c r="N2708" s="11"/>
    </row>
    <row r="2709" spans="1:14" x14ac:dyDescent="0.25">
      <c r="A2709" s="11" t="s">
        <v>119</v>
      </c>
      <c r="B2709" s="11" t="s">
        <v>119</v>
      </c>
      <c r="C2709" s="26" t="str">
        <f>IF(A2709="","",IF((COUNTIFS(A:A,A2709))&gt;1,"ID重复",""))</f>
        <v/>
      </c>
      <c r="D2709" s="11">
        <v>103</v>
      </c>
      <c r="E2709" s="132" t="str">
        <f>INDEX([1]道具配置表!$D:$D,MATCH(D2709,[1]道具配置表!$A:$A,0))</f>
        <v>1石头</v>
      </c>
      <c r="F2709" s="32">
        <v>10000</v>
      </c>
      <c r="G2709" s="11"/>
      <c r="H2709" s="11"/>
      <c r="I2709" s="11"/>
      <c r="J2709" s="11"/>
      <c r="K2709" s="11">
        <v>1</v>
      </c>
      <c r="L2709" s="11"/>
      <c r="M2709" s="11" t="b">
        <v>1</v>
      </c>
      <c r="N2709" s="11"/>
    </row>
    <row r="2710" spans="1:14" x14ac:dyDescent="0.25">
      <c r="A2710" s="11" t="s">
        <v>119</v>
      </c>
      <c r="B2710" s="11" t="s">
        <v>119</v>
      </c>
      <c r="C2710" s="26" t="str">
        <f>IF(A2710="","",IF((COUNTIFS(A:A,A2710))&gt;1,"ID重复",""))</f>
        <v/>
      </c>
      <c r="D2710" s="11">
        <v>104</v>
      </c>
      <c r="E2710" s="132" t="str">
        <f>INDEX([1]道具配置表!$D:$D,MATCH(D2710,[1]道具配置表!$A:$A,0))</f>
        <v>1黄金</v>
      </c>
      <c r="F2710" s="32">
        <v>10000</v>
      </c>
      <c r="G2710" s="11"/>
      <c r="H2710" s="11"/>
      <c r="I2710" s="11"/>
      <c r="J2710" s="11"/>
      <c r="K2710" s="11">
        <v>1</v>
      </c>
      <c r="L2710" s="11"/>
      <c r="M2710" s="11" t="b">
        <v>1</v>
      </c>
      <c r="N2710" s="11"/>
    </row>
    <row r="2711" spans="1:14" x14ac:dyDescent="0.25">
      <c r="A2711" s="11">
        <v>6622311</v>
      </c>
      <c r="B2711" s="11" t="s">
        <v>134</v>
      </c>
      <c r="C2711" s="26" t="str">
        <f>IF(A2711="","",IF((COUNTIFS(A:A,A2711))&gt;1,"ID重复",""))</f>
        <v/>
      </c>
      <c r="D2711" s="11">
        <v>102</v>
      </c>
      <c r="E2711" s="132" t="str">
        <f>INDEX([1]道具配置表!$D:$D,MATCH(D2711,[1]道具配置表!$A:$A,0))</f>
        <v>1食物</v>
      </c>
      <c r="F2711" s="32">
        <v>11000</v>
      </c>
      <c r="G2711" s="11"/>
      <c r="H2711" s="11"/>
      <c r="I2711" s="11"/>
      <c r="J2711" s="11"/>
      <c r="K2711" s="11">
        <v>1</v>
      </c>
      <c r="L2711" s="11"/>
      <c r="M2711" s="11" t="b">
        <v>1</v>
      </c>
      <c r="N2711" s="11"/>
    </row>
    <row r="2712" spans="1:14" x14ac:dyDescent="0.25">
      <c r="A2712" s="11" t="s">
        <v>119</v>
      </c>
      <c r="B2712" s="11" t="s">
        <v>119</v>
      </c>
      <c r="C2712" s="26" t="str">
        <f>IF(A2712="","",IF((COUNTIFS(A:A,A2712))&gt;1,"ID重复",""))</f>
        <v/>
      </c>
      <c r="D2712" s="11">
        <v>101</v>
      </c>
      <c r="E2712" s="132" t="str">
        <f>INDEX([1]道具配置表!$D:$D,MATCH(D2712,[1]道具配置表!$A:$A,0))</f>
        <v>1木材</v>
      </c>
      <c r="F2712" s="32">
        <v>11000</v>
      </c>
      <c r="G2712" s="11"/>
      <c r="H2712" s="11"/>
      <c r="I2712" s="11"/>
      <c r="J2712" s="11"/>
      <c r="K2712" s="11">
        <v>1</v>
      </c>
      <c r="L2712" s="11"/>
      <c r="M2712" s="11" t="b">
        <v>1</v>
      </c>
      <c r="N2712" s="11"/>
    </row>
    <row r="2713" spans="1:14" x14ac:dyDescent="0.25">
      <c r="A2713" s="11" t="s">
        <v>119</v>
      </c>
      <c r="B2713" s="11" t="s">
        <v>119</v>
      </c>
      <c r="C2713" s="26" t="str">
        <f>IF(A2713="","",IF((COUNTIFS(A:A,A2713))&gt;1,"ID重复",""))</f>
        <v/>
      </c>
      <c r="D2713" s="11">
        <v>103</v>
      </c>
      <c r="E2713" s="132" t="str">
        <f>INDEX([1]道具配置表!$D:$D,MATCH(D2713,[1]道具配置表!$A:$A,0))</f>
        <v>1石头</v>
      </c>
      <c r="F2713" s="32">
        <v>11000</v>
      </c>
      <c r="G2713" s="11"/>
      <c r="H2713" s="11"/>
      <c r="I2713" s="11"/>
      <c r="J2713" s="11"/>
      <c r="K2713" s="11">
        <v>1</v>
      </c>
      <c r="L2713" s="11"/>
      <c r="M2713" s="11" t="b">
        <v>1</v>
      </c>
      <c r="N2713" s="11"/>
    </row>
    <row r="2714" spans="1:14" x14ac:dyDescent="0.25">
      <c r="A2714" s="11" t="s">
        <v>119</v>
      </c>
      <c r="B2714" s="11" t="s">
        <v>119</v>
      </c>
      <c r="C2714" s="26" t="str">
        <f>IF(A2714="","",IF((COUNTIFS(A:A,A2714))&gt;1,"ID重复",""))</f>
        <v/>
      </c>
      <c r="D2714" s="11">
        <v>104</v>
      </c>
      <c r="E2714" s="132" t="str">
        <f>INDEX([1]道具配置表!$D:$D,MATCH(D2714,[1]道具配置表!$A:$A,0))</f>
        <v>1黄金</v>
      </c>
      <c r="F2714" s="32">
        <v>11000</v>
      </c>
      <c r="G2714" s="11"/>
      <c r="H2714" s="11"/>
      <c r="I2714" s="11"/>
      <c r="J2714" s="11"/>
      <c r="K2714" s="11">
        <v>1</v>
      </c>
      <c r="L2714" s="11"/>
      <c r="M2714" s="11" t="b">
        <v>1</v>
      </c>
      <c r="N2714" s="11"/>
    </row>
    <row r="2715" spans="1:14" x14ac:dyDescent="0.25">
      <c r="A2715" s="11">
        <v>6622312</v>
      </c>
      <c r="B2715" s="11" t="s">
        <v>135</v>
      </c>
      <c r="C2715" s="26" t="str">
        <f>IF(A2715="","",IF((COUNTIFS(A:A,A2715))&gt;1,"ID重复",""))</f>
        <v/>
      </c>
      <c r="D2715" s="11">
        <v>102</v>
      </c>
      <c r="E2715" s="132" t="str">
        <f>INDEX([1]道具配置表!$D:$D,MATCH(D2715,[1]道具配置表!$A:$A,0))</f>
        <v>1食物</v>
      </c>
      <c r="F2715" s="32">
        <v>12000</v>
      </c>
      <c r="G2715" s="11"/>
      <c r="H2715" s="11"/>
      <c r="I2715" s="11"/>
      <c r="J2715" s="11"/>
      <c r="K2715" s="11">
        <v>1</v>
      </c>
      <c r="L2715" s="11"/>
      <c r="M2715" s="11" t="b">
        <v>1</v>
      </c>
      <c r="N2715" s="11"/>
    </row>
    <row r="2716" spans="1:14" x14ac:dyDescent="0.25">
      <c r="A2716" s="11" t="s">
        <v>119</v>
      </c>
      <c r="B2716" s="11" t="s">
        <v>119</v>
      </c>
      <c r="C2716" s="26" t="str">
        <f>IF(A2716="","",IF((COUNTIFS(A:A,A2716))&gt;1,"ID重复",""))</f>
        <v/>
      </c>
      <c r="D2716" s="11">
        <v>101</v>
      </c>
      <c r="E2716" s="132" t="str">
        <f>INDEX([1]道具配置表!$D:$D,MATCH(D2716,[1]道具配置表!$A:$A,0))</f>
        <v>1木材</v>
      </c>
      <c r="F2716" s="32">
        <v>12000</v>
      </c>
      <c r="G2716" s="11"/>
      <c r="H2716" s="11"/>
      <c r="I2716" s="11"/>
      <c r="J2716" s="11"/>
      <c r="K2716" s="11">
        <v>1</v>
      </c>
      <c r="L2716" s="11"/>
      <c r="M2716" s="11" t="b">
        <v>1</v>
      </c>
      <c r="N2716" s="11"/>
    </row>
    <row r="2717" spans="1:14" x14ac:dyDescent="0.25">
      <c r="A2717" s="11" t="s">
        <v>119</v>
      </c>
      <c r="B2717" s="11" t="s">
        <v>119</v>
      </c>
      <c r="C2717" s="26" t="str">
        <f>IF(A2717="","",IF((COUNTIFS(A:A,A2717))&gt;1,"ID重复",""))</f>
        <v/>
      </c>
      <c r="D2717" s="11">
        <v>103</v>
      </c>
      <c r="E2717" s="132" t="str">
        <f>INDEX([1]道具配置表!$D:$D,MATCH(D2717,[1]道具配置表!$A:$A,0))</f>
        <v>1石头</v>
      </c>
      <c r="F2717" s="32">
        <v>12000</v>
      </c>
      <c r="G2717" s="11"/>
      <c r="H2717" s="11"/>
      <c r="I2717" s="11"/>
      <c r="J2717" s="11"/>
      <c r="K2717" s="11">
        <v>1</v>
      </c>
      <c r="L2717" s="11"/>
      <c r="M2717" s="11" t="b">
        <v>1</v>
      </c>
      <c r="N2717" s="11"/>
    </row>
    <row r="2718" spans="1:14" x14ac:dyDescent="0.25">
      <c r="A2718" s="11" t="s">
        <v>119</v>
      </c>
      <c r="B2718" s="11" t="s">
        <v>119</v>
      </c>
      <c r="C2718" s="26" t="str">
        <f>IF(A2718="","",IF((COUNTIFS(A:A,A2718))&gt;1,"ID重复",""))</f>
        <v/>
      </c>
      <c r="D2718" s="11">
        <v>104</v>
      </c>
      <c r="E2718" s="132" t="str">
        <f>INDEX([1]道具配置表!$D:$D,MATCH(D2718,[1]道具配置表!$A:$A,0))</f>
        <v>1黄金</v>
      </c>
      <c r="F2718" s="32">
        <v>12000</v>
      </c>
      <c r="G2718" s="11"/>
      <c r="H2718" s="11"/>
      <c r="I2718" s="11"/>
      <c r="J2718" s="11"/>
      <c r="K2718" s="11">
        <v>1</v>
      </c>
      <c r="L2718" s="11"/>
      <c r="M2718" s="11" t="b">
        <v>1</v>
      </c>
      <c r="N2718" s="11"/>
    </row>
    <row r="2719" spans="1:14" x14ac:dyDescent="0.25">
      <c r="A2719" s="11">
        <v>6622313</v>
      </c>
      <c r="B2719" s="11" t="s">
        <v>136</v>
      </c>
      <c r="C2719" s="26" t="str">
        <f>IF(A2719="","",IF((COUNTIFS(A:A,A2719))&gt;1,"ID重复",""))</f>
        <v/>
      </c>
      <c r="D2719" s="11">
        <v>102</v>
      </c>
      <c r="E2719" s="132" t="str">
        <f>INDEX([1]道具配置表!$D:$D,MATCH(D2719,[1]道具配置表!$A:$A,0))</f>
        <v>1食物</v>
      </c>
      <c r="F2719" s="32">
        <v>13000</v>
      </c>
      <c r="G2719" s="11"/>
      <c r="H2719" s="11"/>
      <c r="I2719" s="11"/>
      <c r="J2719" s="11"/>
      <c r="K2719" s="11">
        <v>1</v>
      </c>
      <c r="L2719" s="11"/>
      <c r="M2719" s="11" t="b">
        <v>1</v>
      </c>
      <c r="N2719" s="11"/>
    </row>
    <row r="2720" spans="1:14" x14ac:dyDescent="0.25">
      <c r="A2720" s="11" t="s">
        <v>119</v>
      </c>
      <c r="B2720" s="11" t="s">
        <v>119</v>
      </c>
      <c r="C2720" s="26" t="str">
        <f>IF(A2720="","",IF((COUNTIFS(A:A,A2720))&gt;1,"ID重复",""))</f>
        <v/>
      </c>
      <c r="D2720" s="11">
        <v>101</v>
      </c>
      <c r="E2720" s="132" t="str">
        <f>INDEX([1]道具配置表!$D:$D,MATCH(D2720,[1]道具配置表!$A:$A,0))</f>
        <v>1木材</v>
      </c>
      <c r="F2720" s="32">
        <v>13000</v>
      </c>
      <c r="G2720" s="11"/>
      <c r="H2720" s="11"/>
      <c r="I2720" s="11"/>
      <c r="J2720" s="11"/>
      <c r="K2720" s="11">
        <v>1</v>
      </c>
      <c r="L2720" s="11"/>
      <c r="M2720" s="11" t="b">
        <v>1</v>
      </c>
      <c r="N2720" s="11"/>
    </row>
    <row r="2721" spans="1:14" x14ac:dyDescent="0.25">
      <c r="A2721" s="11" t="s">
        <v>119</v>
      </c>
      <c r="B2721" s="11" t="s">
        <v>119</v>
      </c>
      <c r="C2721" s="26" t="str">
        <f>IF(A2721="","",IF((COUNTIFS(A:A,A2721))&gt;1,"ID重复",""))</f>
        <v/>
      </c>
      <c r="D2721" s="11">
        <v>103</v>
      </c>
      <c r="E2721" s="132" t="str">
        <f>INDEX([1]道具配置表!$D:$D,MATCH(D2721,[1]道具配置表!$A:$A,0))</f>
        <v>1石头</v>
      </c>
      <c r="F2721" s="32">
        <v>13000</v>
      </c>
      <c r="G2721" s="11"/>
      <c r="H2721" s="11"/>
      <c r="I2721" s="11"/>
      <c r="J2721" s="11"/>
      <c r="K2721" s="11">
        <v>1</v>
      </c>
      <c r="L2721" s="11"/>
      <c r="M2721" s="11" t="b">
        <v>1</v>
      </c>
      <c r="N2721" s="11"/>
    </row>
    <row r="2722" spans="1:14" x14ac:dyDescent="0.25">
      <c r="A2722" s="11" t="s">
        <v>119</v>
      </c>
      <c r="B2722" s="11" t="s">
        <v>119</v>
      </c>
      <c r="C2722" s="26" t="str">
        <f>IF(A2722="","",IF((COUNTIFS(A:A,A2722))&gt;1,"ID重复",""))</f>
        <v/>
      </c>
      <c r="D2722" s="11">
        <v>104</v>
      </c>
      <c r="E2722" s="132" t="str">
        <f>INDEX([1]道具配置表!$D:$D,MATCH(D2722,[1]道具配置表!$A:$A,0))</f>
        <v>1黄金</v>
      </c>
      <c r="F2722" s="32">
        <v>13000</v>
      </c>
      <c r="G2722" s="11"/>
      <c r="H2722" s="11"/>
      <c r="I2722" s="11"/>
      <c r="J2722" s="11"/>
      <c r="K2722" s="11">
        <v>1</v>
      </c>
      <c r="L2722" s="11"/>
      <c r="M2722" s="11" t="b">
        <v>1</v>
      </c>
      <c r="N2722" s="11"/>
    </row>
    <row r="2723" spans="1:14" x14ac:dyDescent="0.25">
      <c r="A2723" s="11">
        <v>6622314</v>
      </c>
      <c r="B2723" s="11" t="s">
        <v>137</v>
      </c>
      <c r="C2723" s="26" t="str">
        <f>IF(A2723="","",IF((COUNTIFS(A:A,A2723))&gt;1,"ID重复",""))</f>
        <v/>
      </c>
      <c r="D2723" s="11">
        <v>102</v>
      </c>
      <c r="E2723" s="132" t="str">
        <f>INDEX([1]道具配置表!$D:$D,MATCH(D2723,[1]道具配置表!$A:$A,0))</f>
        <v>1食物</v>
      </c>
      <c r="F2723" s="32">
        <v>14000</v>
      </c>
      <c r="G2723" s="11"/>
      <c r="H2723" s="11"/>
      <c r="I2723" s="11"/>
      <c r="J2723" s="11"/>
      <c r="K2723" s="11">
        <v>1</v>
      </c>
      <c r="L2723" s="11"/>
      <c r="M2723" s="11" t="b">
        <v>1</v>
      </c>
      <c r="N2723" s="11"/>
    </row>
    <row r="2724" spans="1:14" x14ac:dyDescent="0.25">
      <c r="A2724" s="11" t="s">
        <v>119</v>
      </c>
      <c r="B2724" s="11" t="s">
        <v>119</v>
      </c>
      <c r="C2724" s="26" t="str">
        <f>IF(A2724="","",IF((COUNTIFS(A:A,A2724))&gt;1,"ID重复",""))</f>
        <v/>
      </c>
      <c r="D2724" s="11">
        <v>101</v>
      </c>
      <c r="E2724" s="132" t="str">
        <f>INDEX([1]道具配置表!$D:$D,MATCH(D2724,[1]道具配置表!$A:$A,0))</f>
        <v>1木材</v>
      </c>
      <c r="F2724" s="32">
        <v>14000</v>
      </c>
      <c r="G2724" s="11"/>
      <c r="H2724" s="11"/>
      <c r="I2724" s="11"/>
      <c r="J2724" s="11"/>
      <c r="K2724" s="11">
        <v>1</v>
      </c>
      <c r="L2724" s="11"/>
      <c r="M2724" s="11" t="b">
        <v>1</v>
      </c>
      <c r="N2724" s="11"/>
    </row>
    <row r="2725" spans="1:14" x14ac:dyDescent="0.25">
      <c r="A2725" s="11" t="s">
        <v>119</v>
      </c>
      <c r="B2725" s="11" t="s">
        <v>119</v>
      </c>
      <c r="C2725" s="26" t="str">
        <f>IF(A2725="","",IF((COUNTIFS(A:A,A2725))&gt;1,"ID重复",""))</f>
        <v/>
      </c>
      <c r="D2725" s="11">
        <v>103</v>
      </c>
      <c r="E2725" s="132" t="str">
        <f>INDEX([1]道具配置表!$D:$D,MATCH(D2725,[1]道具配置表!$A:$A,0))</f>
        <v>1石头</v>
      </c>
      <c r="F2725" s="32">
        <v>14000</v>
      </c>
      <c r="G2725" s="11"/>
      <c r="H2725" s="11"/>
      <c r="I2725" s="11"/>
      <c r="J2725" s="11"/>
      <c r="K2725" s="11">
        <v>1</v>
      </c>
      <c r="L2725" s="11"/>
      <c r="M2725" s="11" t="b">
        <v>1</v>
      </c>
      <c r="N2725" s="11"/>
    </row>
    <row r="2726" spans="1:14" x14ac:dyDescent="0.25">
      <c r="A2726" s="11" t="s">
        <v>119</v>
      </c>
      <c r="B2726" s="11" t="s">
        <v>119</v>
      </c>
      <c r="C2726" s="26" t="str">
        <f>IF(A2726="","",IF((COUNTIFS(A:A,A2726))&gt;1,"ID重复",""))</f>
        <v/>
      </c>
      <c r="D2726" s="11">
        <v>104</v>
      </c>
      <c r="E2726" s="132" t="str">
        <f>INDEX([1]道具配置表!$D:$D,MATCH(D2726,[1]道具配置表!$A:$A,0))</f>
        <v>1黄金</v>
      </c>
      <c r="F2726" s="32">
        <v>14000</v>
      </c>
      <c r="G2726" s="11"/>
      <c r="H2726" s="11"/>
      <c r="I2726" s="11"/>
      <c r="J2726" s="11"/>
      <c r="K2726" s="11">
        <v>1</v>
      </c>
      <c r="L2726" s="11"/>
      <c r="M2726" s="11" t="b">
        <v>1</v>
      </c>
      <c r="N2726" s="11"/>
    </row>
    <row r="2727" spans="1:14" x14ac:dyDescent="0.25">
      <c r="A2727" s="11">
        <v>6622315</v>
      </c>
      <c r="B2727" s="11" t="s">
        <v>138</v>
      </c>
      <c r="C2727" s="26" t="str">
        <f>IF(A2727="","",IF((COUNTIFS(A:A,A2727))&gt;1,"ID重复",""))</f>
        <v/>
      </c>
      <c r="D2727" s="11">
        <v>102</v>
      </c>
      <c r="E2727" s="132" t="str">
        <f>INDEX([1]道具配置表!$D:$D,MATCH(D2727,[1]道具配置表!$A:$A,0))</f>
        <v>1食物</v>
      </c>
      <c r="F2727" s="32">
        <v>15000</v>
      </c>
      <c r="G2727" s="11"/>
      <c r="H2727" s="11"/>
      <c r="I2727" s="11"/>
      <c r="J2727" s="11"/>
      <c r="K2727" s="11">
        <v>1</v>
      </c>
      <c r="L2727" s="11"/>
      <c r="M2727" s="11" t="b">
        <v>1</v>
      </c>
      <c r="N2727" s="11"/>
    </row>
    <row r="2728" spans="1:14" x14ac:dyDescent="0.25">
      <c r="A2728" s="11" t="s">
        <v>119</v>
      </c>
      <c r="B2728" s="11" t="s">
        <v>119</v>
      </c>
      <c r="C2728" s="26" t="str">
        <f>IF(A2728="","",IF((COUNTIFS(A:A,A2728))&gt;1,"ID重复",""))</f>
        <v/>
      </c>
      <c r="D2728" s="11">
        <v>101</v>
      </c>
      <c r="E2728" s="132" t="str">
        <f>INDEX([1]道具配置表!$D:$D,MATCH(D2728,[1]道具配置表!$A:$A,0))</f>
        <v>1木材</v>
      </c>
      <c r="F2728" s="32">
        <v>15000</v>
      </c>
      <c r="G2728" s="11"/>
      <c r="H2728" s="11"/>
      <c r="I2728" s="11"/>
      <c r="J2728" s="11"/>
      <c r="K2728" s="11">
        <v>1</v>
      </c>
      <c r="L2728" s="11"/>
      <c r="M2728" s="11" t="b">
        <v>1</v>
      </c>
      <c r="N2728" s="11"/>
    </row>
    <row r="2729" spans="1:14" x14ac:dyDescent="0.25">
      <c r="A2729" s="11" t="s">
        <v>119</v>
      </c>
      <c r="B2729" s="11" t="s">
        <v>119</v>
      </c>
      <c r="C2729" s="26" t="str">
        <f>IF(A2729="","",IF((COUNTIFS(A:A,A2729))&gt;1,"ID重复",""))</f>
        <v/>
      </c>
      <c r="D2729" s="11">
        <v>103</v>
      </c>
      <c r="E2729" s="132" t="str">
        <f>INDEX([1]道具配置表!$D:$D,MATCH(D2729,[1]道具配置表!$A:$A,0))</f>
        <v>1石头</v>
      </c>
      <c r="F2729" s="32">
        <v>15000</v>
      </c>
      <c r="G2729" s="11"/>
      <c r="H2729" s="11"/>
      <c r="I2729" s="11"/>
      <c r="J2729" s="11"/>
      <c r="K2729" s="11">
        <v>1</v>
      </c>
      <c r="L2729" s="11"/>
      <c r="M2729" s="11" t="b">
        <v>1</v>
      </c>
      <c r="N2729" s="11"/>
    </row>
    <row r="2730" spans="1:14" x14ac:dyDescent="0.25">
      <c r="A2730" s="11" t="s">
        <v>119</v>
      </c>
      <c r="B2730" s="11" t="s">
        <v>119</v>
      </c>
      <c r="C2730" s="26" t="str">
        <f>IF(A2730="","",IF((COUNTIFS(A:A,A2730))&gt;1,"ID重复",""))</f>
        <v/>
      </c>
      <c r="D2730" s="11">
        <v>104</v>
      </c>
      <c r="E2730" s="132" t="str">
        <f>INDEX([1]道具配置表!$D:$D,MATCH(D2730,[1]道具配置表!$A:$A,0))</f>
        <v>1黄金</v>
      </c>
      <c r="F2730" s="32">
        <v>15000</v>
      </c>
      <c r="G2730" s="11"/>
      <c r="H2730" s="11"/>
      <c r="I2730" s="11"/>
      <c r="J2730" s="11"/>
      <c r="K2730" s="11">
        <v>1</v>
      </c>
      <c r="L2730" s="11"/>
      <c r="M2730" s="11" t="b">
        <v>1</v>
      </c>
      <c r="N2730" s="11"/>
    </row>
    <row r="2731" spans="1:14" x14ac:dyDescent="0.25">
      <c r="A2731" s="11">
        <v>6622316</v>
      </c>
      <c r="B2731" s="11" t="s">
        <v>139</v>
      </c>
      <c r="C2731" s="26" t="str">
        <f>IF(A2731="","",IF((COUNTIFS(A:A,A2731))&gt;1,"ID重复",""))</f>
        <v/>
      </c>
      <c r="D2731" s="11">
        <v>102</v>
      </c>
      <c r="E2731" s="132" t="str">
        <f>INDEX([1]道具配置表!$D:$D,MATCH(D2731,[1]道具配置表!$A:$A,0))</f>
        <v>1食物</v>
      </c>
      <c r="F2731" s="32">
        <v>16000</v>
      </c>
      <c r="G2731" s="11"/>
      <c r="H2731" s="11"/>
      <c r="I2731" s="11"/>
      <c r="J2731" s="11"/>
      <c r="K2731" s="11">
        <v>1</v>
      </c>
      <c r="L2731" s="11"/>
      <c r="M2731" s="11" t="b">
        <v>1</v>
      </c>
      <c r="N2731" s="11"/>
    </row>
    <row r="2732" spans="1:14" x14ac:dyDescent="0.25">
      <c r="A2732" s="11" t="s">
        <v>119</v>
      </c>
      <c r="B2732" s="11" t="s">
        <v>119</v>
      </c>
      <c r="C2732" s="26" t="str">
        <f>IF(A2732="","",IF((COUNTIFS(A:A,A2732))&gt;1,"ID重复",""))</f>
        <v/>
      </c>
      <c r="D2732" s="11">
        <v>101</v>
      </c>
      <c r="E2732" s="132" t="str">
        <f>INDEX([1]道具配置表!$D:$D,MATCH(D2732,[1]道具配置表!$A:$A,0))</f>
        <v>1木材</v>
      </c>
      <c r="F2732" s="32">
        <v>16000</v>
      </c>
      <c r="G2732" s="11"/>
      <c r="H2732" s="11"/>
      <c r="I2732" s="11"/>
      <c r="J2732" s="11"/>
      <c r="K2732" s="11">
        <v>1</v>
      </c>
      <c r="L2732" s="11"/>
      <c r="M2732" s="11" t="b">
        <v>1</v>
      </c>
      <c r="N2732" s="11"/>
    </row>
    <row r="2733" spans="1:14" x14ac:dyDescent="0.25">
      <c r="A2733" s="11" t="s">
        <v>119</v>
      </c>
      <c r="B2733" s="11" t="s">
        <v>119</v>
      </c>
      <c r="C2733" s="26" t="str">
        <f>IF(A2733="","",IF((COUNTIFS(A:A,A2733))&gt;1,"ID重复",""))</f>
        <v/>
      </c>
      <c r="D2733" s="11">
        <v>103</v>
      </c>
      <c r="E2733" s="132" t="str">
        <f>INDEX([1]道具配置表!$D:$D,MATCH(D2733,[1]道具配置表!$A:$A,0))</f>
        <v>1石头</v>
      </c>
      <c r="F2733" s="32">
        <v>16000</v>
      </c>
      <c r="G2733" s="11"/>
      <c r="H2733" s="11"/>
      <c r="I2733" s="11"/>
      <c r="J2733" s="11"/>
      <c r="K2733" s="11">
        <v>1</v>
      </c>
      <c r="L2733" s="11"/>
      <c r="M2733" s="11" t="b">
        <v>1</v>
      </c>
      <c r="N2733" s="11"/>
    </row>
    <row r="2734" spans="1:14" x14ac:dyDescent="0.25">
      <c r="A2734" s="11" t="s">
        <v>119</v>
      </c>
      <c r="B2734" s="11" t="s">
        <v>119</v>
      </c>
      <c r="C2734" s="26" t="str">
        <f>IF(A2734="","",IF((COUNTIFS(A:A,A2734))&gt;1,"ID重复",""))</f>
        <v/>
      </c>
      <c r="D2734" s="11">
        <v>104</v>
      </c>
      <c r="E2734" s="132" t="str">
        <f>INDEX([1]道具配置表!$D:$D,MATCH(D2734,[1]道具配置表!$A:$A,0))</f>
        <v>1黄金</v>
      </c>
      <c r="F2734" s="32">
        <v>16000</v>
      </c>
      <c r="G2734" s="11"/>
      <c r="H2734" s="11"/>
      <c r="I2734" s="11"/>
      <c r="J2734" s="11"/>
      <c r="K2734" s="11">
        <v>1</v>
      </c>
      <c r="L2734" s="11"/>
      <c r="M2734" s="11" t="b">
        <v>1</v>
      </c>
      <c r="N2734" s="11"/>
    </row>
    <row r="2735" spans="1:14" x14ac:dyDescent="0.25">
      <c r="A2735" s="11">
        <v>6622317</v>
      </c>
      <c r="B2735" s="11" t="s">
        <v>140</v>
      </c>
      <c r="C2735" s="26" t="str">
        <f>IF(A2735="","",IF((COUNTIFS(A:A,A2735))&gt;1,"ID重复",""))</f>
        <v/>
      </c>
      <c r="D2735" s="11">
        <v>102</v>
      </c>
      <c r="E2735" s="132" t="str">
        <f>INDEX([1]道具配置表!$D:$D,MATCH(D2735,[1]道具配置表!$A:$A,0))</f>
        <v>1食物</v>
      </c>
      <c r="F2735" s="32">
        <v>17000</v>
      </c>
      <c r="G2735" s="11"/>
      <c r="H2735" s="11"/>
      <c r="I2735" s="11"/>
      <c r="J2735" s="11"/>
      <c r="K2735" s="11">
        <v>1</v>
      </c>
      <c r="L2735" s="11"/>
      <c r="M2735" s="11" t="b">
        <v>1</v>
      </c>
      <c r="N2735" s="11"/>
    </row>
    <row r="2736" spans="1:14" x14ac:dyDescent="0.25">
      <c r="A2736" s="11" t="s">
        <v>119</v>
      </c>
      <c r="B2736" s="11" t="s">
        <v>119</v>
      </c>
      <c r="C2736" s="26" t="str">
        <f>IF(A2736="","",IF((COUNTIFS(A:A,A2736))&gt;1,"ID重复",""))</f>
        <v/>
      </c>
      <c r="D2736" s="11">
        <v>101</v>
      </c>
      <c r="E2736" s="132" t="str">
        <f>INDEX([1]道具配置表!$D:$D,MATCH(D2736,[1]道具配置表!$A:$A,0))</f>
        <v>1木材</v>
      </c>
      <c r="F2736" s="32">
        <v>17000</v>
      </c>
      <c r="G2736" s="11"/>
      <c r="H2736" s="11"/>
      <c r="I2736" s="11"/>
      <c r="J2736" s="11"/>
      <c r="K2736" s="11">
        <v>1</v>
      </c>
      <c r="L2736" s="11"/>
      <c r="M2736" s="11" t="b">
        <v>1</v>
      </c>
      <c r="N2736" s="11"/>
    </row>
    <row r="2737" spans="1:14" x14ac:dyDescent="0.25">
      <c r="A2737" s="11" t="s">
        <v>119</v>
      </c>
      <c r="B2737" s="11" t="s">
        <v>119</v>
      </c>
      <c r="C2737" s="26" t="str">
        <f>IF(A2737="","",IF((COUNTIFS(A:A,A2737))&gt;1,"ID重复",""))</f>
        <v/>
      </c>
      <c r="D2737" s="11">
        <v>103</v>
      </c>
      <c r="E2737" s="132" t="str">
        <f>INDEX([1]道具配置表!$D:$D,MATCH(D2737,[1]道具配置表!$A:$A,0))</f>
        <v>1石头</v>
      </c>
      <c r="F2737" s="32">
        <v>17000</v>
      </c>
      <c r="G2737" s="11"/>
      <c r="H2737" s="11"/>
      <c r="I2737" s="11"/>
      <c r="J2737" s="11"/>
      <c r="K2737" s="11">
        <v>1</v>
      </c>
      <c r="L2737" s="11"/>
      <c r="M2737" s="11" t="b">
        <v>1</v>
      </c>
      <c r="N2737" s="11"/>
    </row>
    <row r="2738" spans="1:14" x14ac:dyDescent="0.25">
      <c r="A2738" s="11" t="s">
        <v>119</v>
      </c>
      <c r="B2738" s="11" t="s">
        <v>119</v>
      </c>
      <c r="C2738" s="26" t="str">
        <f>IF(A2738="","",IF((COUNTIFS(A:A,A2738))&gt;1,"ID重复",""))</f>
        <v/>
      </c>
      <c r="D2738" s="11">
        <v>104</v>
      </c>
      <c r="E2738" s="132" t="str">
        <f>INDEX([1]道具配置表!$D:$D,MATCH(D2738,[1]道具配置表!$A:$A,0))</f>
        <v>1黄金</v>
      </c>
      <c r="F2738" s="32">
        <v>17000</v>
      </c>
      <c r="G2738" s="11"/>
      <c r="H2738" s="11"/>
      <c r="I2738" s="11"/>
      <c r="J2738" s="11"/>
      <c r="K2738" s="11">
        <v>1</v>
      </c>
      <c r="L2738" s="11"/>
      <c r="M2738" s="11" t="b">
        <v>1</v>
      </c>
      <c r="N2738" s="11"/>
    </row>
    <row r="2739" spans="1:14" x14ac:dyDescent="0.25">
      <c r="A2739" s="11">
        <v>6622318</v>
      </c>
      <c r="B2739" s="11" t="s">
        <v>141</v>
      </c>
      <c r="C2739" s="26" t="str">
        <f>IF(A2739="","",IF((COUNTIFS(A:A,A2739))&gt;1,"ID重复",""))</f>
        <v/>
      </c>
      <c r="D2739" s="11">
        <v>102</v>
      </c>
      <c r="E2739" s="132" t="str">
        <f>INDEX([1]道具配置表!$D:$D,MATCH(D2739,[1]道具配置表!$A:$A,0))</f>
        <v>1食物</v>
      </c>
      <c r="F2739" s="32">
        <v>18000</v>
      </c>
      <c r="G2739" s="11"/>
      <c r="H2739" s="11"/>
      <c r="I2739" s="11"/>
      <c r="J2739" s="11"/>
      <c r="K2739" s="11">
        <v>1</v>
      </c>
      <c r="L2739" s="11"/>
      <c r="M2739" s="11" t="b">
        <v>1</v>
      </c>
      <c r="N2739" s="11"/>
    </row>
    <row r="2740" spans="1:14" x14ac:dyDescent="0.25">
      <c r="A2740" s="11" t="s">
        <v>119</v>
      </c>
      <c r="B2740" s="11" t="s">
        <v>119</v>
      </c>
      <c r="C2740" s="26" t="str">
        <f>IF(A2740="","",IF((COUNTIFS(A:A,A2740))&gt;1,"ID重复",""))</f>
        <v/>
      </c>
      <c r="D2740" s="11">
        <v>101</v>
      </c>
      <c r="E2740" s="132" t="str">
        <f>INDEX([1]道具配置表!$D:$D,MATCH(D2740,[1]道具配置表!$A:$A,0))</f>
        <v>1木材</v>
      </c>
      <c r="F2740" s="32">
        <v>18000</v>
      </c>
      <c r="G2740" s="11"/>
      <c r="H2740" s="11"/>
      <c r="I2740" s="11"/>
      <c r="J2740" s="11"/>
      <c r="K2740" s="11">
        <v>1</v>
      </c>
      <c r="L2740" s="11"/>
      <c r="M2740" s="11" t="b">
        <v>1</v>
      </c>
      <c r="N2740" s="11"/>
    </row>
    <row r="2741" spans="1:14" x14ac:dyDescent="0.25">
      <c r="A2741" s="11" t="s">
        <v>119</v>
      </c>
      <c r="B2741" s="11" t="s">
        <v>119</v>
      </c>
      <c r="C2741" s="26" t="str">
        <f>IF(A2741="","",IF((COUNTIFS(A:A,A2741))&gt;1,"ID重复",""))</f>
        <v/>
      </c>
      <c r="D2741" s="11">
        <v>103</v>
      </c>
      <c r="E2741" s="132" t="str">
        <f>INDEX([1]道具配置表!$D:$D,MATCH(D2741,[1]道具配置表!$A:$A,0))</f>
        <v>1石头</v>
      </c>
      <c r="F2741" s="32">
        <v>18000</v>
      </c>
      <c r="G2741" s="11"/>
      <c r="H2741" s="11"/>
      <c r="I2741" s="11"/>
      <c r="J2741" s="11"/>
      <c r="K2741" s="11">
        <v>1</v>
      </c>
      <c r="L2741" s="11"/>
      <c r="M2741" s="11" t="b">
        <v>1</v>
      </c>
      <c r="N2741" s="11"/>
    </row>
    <row r="2742" spans="1:14" x14ac:dyDescent="0.25">
      <c r="A2742" s="11" t="s">
        <v>119</v>
      </c>
      <c r="B2742" s="11" t="s">
        <v>119</v>
      </c>
      <c r="C2742" s="26" t="str">
        <f>IF(A2742="","",IF((COUNTIFS(A:A,A2742))&gt;1,"ID重复",""))</f>
        <v/>
      </c>
      <c r="D2742" s="11">
        <v>104</v>
      </c>
      <c r="E2742" s="132" t="str">
        <f>INDEX([1]道具配置表!$D:$D,MATCH(D2742,[1]道具配置表!$A:$A,0))</f>
        <v>1黄金</v>
      </c>
      <c r="F2742" s="32">
        <v>18000</v>
      </c>
      <c r="G2742" s="11"/>
      <c r="H2742" s="11"/>
      <c r="I2742" s="11"/>
      <c r="J2742" s="11"/>
      <c r="K2742" s="11">
        <v>1</v>
      </c>
      <c r="L2742" s="11"/>
      <c r="M2742" s="11" t="b">
        <v>1</v>
      </c>
      <c r="N2742" s="11"/>
    </row>
    <row r="2743" spans="1:14" x14ac:dyDescent="0.25">
      <c r="A2743" s="11">
        <v>6622319</v>
      </c>
      <c r="B2743" s="11" t="s">
        <v>142</v>
      </c>
      <c r="C2743" s="26" t="str">
        <f>IF(A2743="","",IF((COUNTIFS(A:A,A2743))&gt;1,"ID重复",""))</f>
        <v/>
      </c>
      <c r="D2743" s="11">
        <v>102</v>
      </c>
      <c r="E2743" s="132" t="str">
        <f>INDEX([1]道具配置表!$D:$D,MATCH(D2743,[1]道具配置表!$A:$A,0))</f>
        <v>1食物</v>
      </c>
      <c r="F2743" s="32">
        <v>19000</v>
      </c>
      <c r="G2743" s="11"/>
      <c r="H2743" s="11"/>
      <c r="I2743" s="11"/>
      <c r="J2743" s="11"/>
      <c r="K2743" s="11">
        <v>1</v>
      </c>
      <c r="L2743" s="11"/>
      <c r="M2743" s="11" t="b">
        <v>1</v>
      </c>
      <c r="N2743" s="11"/>
    </row>
    <row r="2744" spans="1:14" x14ac:dyDescent="0.25">
      <c r="A2744" s="11" t="s">
        <v>119</v>
      </c>
      <c r="B2744" s="11" t="s">
        <v>119</v>
      </c>
      <c r="C2744" s="26" t="str">
        <f>IF(A2744="","",IF((COUNTIFS(A:A,A2744))&gt;1,"ID重复",""))</f>
        <v/>
      </c>
      <c r="D2744" s="11">
        <v>101</v>
      </c>
      <c r="E2744" s="132" t="str">
        <f>INDEX([1]道具配置表!$D:$D,MATCH(D2744,[1]道具配置表!$A:$A,0))</f>
        <v>1木材</v>
      </c>
      <c r="F2744" s="32">
        <v>19000</v>
      </c>
      <c r="G2744" s="11"/>
      <c r="H2744" s="11"/>
      <c r="I2744" s="11"/>
      <c r="J2744" s="11"/>
      <c r="K2744" s="11">
        <v>1</v>
      </c>
      <c r="L2744" s="11"/>
      <c r="M2744" s="11" t="b">
        <v>1</v>
      </c>
      <c r="N2744" s="11"/>
    </row>
    <row r="2745" spans="1:14" x14ac:dyDescent="0.25">
      <c r="A2745" s="11" t="s">
        <v>119</v>
      </c>
      <c r="B2745" s="11" t="s">
        <v>119</v>
      </c>
      <c r="C2745" s="26" t="str">
        <f>IF(A2745="","",IF((COUNTIFS(A:A,A2745))&gt;1,"ID重复",""))</f>
        <v/>
      </c>
      <c r="D2745" s="11">
        <v>103</v>
      </c>
      <c r="E2745" s="132" t="str">
        <f>INDEX([1]道具配置表!$D:$D,MATCH(D2745,[1]道具配置表!$A:$A,0))</f>
        <v>1石头</v>
      </c>
      <c r="F2745" s="32">
        <v>19000</v>
      </c>
      <c r="G2745" s="11"/>
      <c r="H2745" s="11"/>
      <c r="I2745" s="11"/>
      <c r="J2745" s="11"/>
      <c r="K2745" s="11">
        <v>1</v>
      </c>
      <c r="L2745" s="11"/>
      <c r="M2745" s="11" t="b">
        <v>1</v>
      </c>
      <c r="N2745" s="11"/>
    </row>
    <row r="2746" spans="1:14" x14ac:dyDescent="0.25">
      <c r="A2746" s="11" t="s">
        <v>119</v>
      </c>
      <c r="B2746" s="11" t="s">
        <v>119</v>
      </c>
      <c r="C2746" s="26" t="str">
        <f>IF(A2746="","",IF((COUNTIFS(A:A,A2746))&gt;1,"ID重复",""))</f>
        <v/>
      </c>
      <c r="D2746" s="11">
        <v>104</v>
      </c>
      <c r="E2746" s="132" t="str">
        <f>INDEX([1]道具配置表!$D:$D,MATCH(D2746,[1]道具配置表!$A:$A,0))</f>
        <v>1黄金</v>
      </c>
      <c r="F2746" s="32">
        <v>19000</v>
      </c>
      <c r="G2746" s="11"/>
      <c r="H2746" s="11"/>
      <c r="I2746" s="11"/>
      <c r="J2746" s="11"/>
      <c r="K2746" s="11">
        <v>1</v>
      </c>
      <c r="L2746" s="11"/>
      <c r="M2746" s="11" t="b">
        <v>1</v>
      </c>
      <c r="N2746" s="11"/>
    </row>
    <row r="2747" spans="1:14" x14ac:dyDescent="0.25">
      <c r="A2747" s="11">
        <v>6622320</v>
      </c>
      <c r="B2747" s="11" t="s">
        <v>143</v>
      </c>
      <c r="C2747" s="26" t="str">
        <f>IF(A2747="","",IF((COUNTIFS(A:A,A2747))&gt;1,"ID重复",""))</f>
        <v/>
      </c>
      <c r="D2747" s="11">
        <v>102</v>
      </c>
      <c r="E2747" s="132" t="str">
        <f>INDEX([1]道具配置表!$D:$D,MATCH(D2747,[1]道具配置表!$A:$A,0))</f>
        <v>1食物</v>
      </c>
      <c r="F2747" s="32">
        <v>20000</v>
      </c>
      <c r="G2747" s="11"/>
      <c r="H2747" s="11"/>
      <c r="I2747" s="11"/>
      <c r="J2747" s="11"/>
      <c r="K2747" s="11">
        <v>1</v>
      </c>
      <c r="L2747" s="11"/>
      <c r="M2747" s="11" t="b">
        <v>1</v>
      </c>
      <c r="N2747" s="11"/>
    </row>
    <row r="2748" spans="1:14" x14ac:dyDescent="0.25">
      <c r="A2748" s="11" t="s">
        <v>119</v>
      </c>
      <c r="B2748" s="11" t="s">
        <v>119</v>
      </c>
      <c r="C2748" s="26" t="str">
        <f>IF(A2748="","",IF((COUNTIFS(A:A,A2748))&gt;1,"ID重复",""))</f>
        <v/>
      </c>
      <c r="D2748" s="11">
        <v>101</v>
      </c>
      <c r="E2748" s="132" t="str">
        <f>INDEX([1]道具配置表!$D:$D,MATCH(D2748,[1]道具配置表!$A:$A,0))</f>
        <v>1木材</v>
      </c>
      <c r="F2748" s="32">
        <v>20000</v>
      </c>
      <c r="G2748" s="11"/>
      <c r="H2748" s="11"/>
      <c r="I2748" s="11"/>
      <c r="J2748" s="11"/>
      <c r="K2748" s="11">
        <v>1</v>
      </c>
      <c r="L2748" s="11"/>
      <c r="M2748" s="11" t="b">
        <v>1</v>
      </c>
      <c r="N2748" s="11"/>
    </row>
    <row r="2749" spans="1:14" x14ac:dyDescent="0.25">
      <c r="A2749" s="11" t="s">
        <v>119</v>
      </c>
      <c r="B2749" s="11" t="s">
        <v>119</v>
      </c>
      <c r="C2749" s="26" t="str">
        <f>IF(A2749="","",IF((COUNTIFS(A:A,A2749))&gt;1,"ID重复",""))</f>
        <v/>
      </c>
      <c r="D2749" s="11">
        <v>103</v>
      </c>
      <c r="E2749" s="132" t="str">
        <f>INDEX([1]道具配置表!$D:$D,MATCH(D2749,[1]道具配置表!$A:$A,0))</f>
        <v>1石头</v>
      </c>
      <c r="F2749" s="32">
        <v>20000</v>
      </c>
      <c r="G2749" s="11"/>
      <c r="H2749" s="11"/>
      <c r="I2749" s="11"/>
      <c r="J2749" s="11"/>
      <c r="K2749" s="11">
        <v>1</v>
      </c>
      <c r="L2749" s="11"/>
      <c r="M2749" s="11" t="b">
        <v>1</v>
      </c>
      <c r="N2749" s="11"/>
    </row>
    <row r="2750" spans="1:14" x14ac:dyDescent="0.25">
      <c r="A2750" s="11" t="s">
        <v>119</v>
      </c>
      <c r="B2750" s="11" t="s">
        <v>119</v>
      </c>
      <c r="C2750" s="26" t="str">
        <f>IF(A2750="","",IF((COUNTIFS(A:A,A2750))&gt;1,"ID重复",""))</f>
        <v/>
      </c>
      <c r="D2750" s="11">
        <v>104</v>
      </c>
      <c r="E2750" s="132" t="str">
        <f>INDEX([1]道具配置表!$D:$D,MATCH(D2750,[1]道具配置表!$A:$A,0))</f>
        <v>1黄金</v>
      </c>
      <c r="F2750" s="32">
        <v>20000</v>
      </c>
      <c r="G2750" s="11"/>
      <c r="H2750" s="11"/>
      <c r="I2750" s="11"/>
      <c r="J2750" s="11"/>
      <c r="K2750" s="11">
        <v>1</v>
      </c>
      <c r="L2750" s="11"/>
      <c r="M2750" s="11" t="b">
        <v>1</v>
      </c>
      <c r="N2750" s="11"/>
    </row>
    <row r="2751" spans="1:14" x14ac:dyDescent="0.25">
      <c r="A2751" s="11">
        <v>6622321</v>
      </c>
      <c r="B2751" s="11" t="s">
        <v>144</v>
      </c>
      <c r="C2751" s="26" t="str">
        <f>IF(A2751="","",IF((COUNTIFS(A:A,A2751))&gt;1,"ID重复",""))</f>
        <v/>
      </c>
      <c r="D2751" s="11">
        <v>102</v>
      </c>
      <c r="E2751" s="132" t="str">
        <f>INDEX([1]道具配置表!$D:$D,MATCH(D2751,[1]道具配置表!$A:$A,0))</f>
        <v>1食物</v>
      </c>
      <c r="F2751" s="11">
        <v>21000</v>
      </c>
      <c r="G2751" s="11"/>
      <c r="H2751" s="11"/>
      <c r="I2751" s="11"/>
      <c r="J2751" s="11"/>
      <c r="K2751" s="11">
        <v>1</v>
      </c>
      <c r="L2751" s="11"/>
      <c r="M2751" s="11" t="b">
        <v>1</v>
      </c>
      <c r="N2751" s="62"/>
    </row>
    <row r="2752" spans="1:14" x14ac:dyDescent="0.25">
      <c r="A2752" s="11" t="s">
        <v>119</v>
      </c>
      <c r="B2752" s="11" t="s">
        <v>119</v>
      </c>
      <c r="C2752" s="26" t="str">
        <f>IF(A2752="","",IF((COUNTIFS(A:A,A2752))&gt;1,"ID重复",""))</f>
        <v/>
      </c>
      <c r="D2752" s="11">
        <v>101</v>
      </c>
      <c r="E2752" s="132" t="str">
        <f>INDEX([1]道具配置表!$D:$D,MATCH(D2752,[1]道具配置表!$A:$A,0))</f>
        <v>1木材</v>
      </c>
      <c r="F2752" s="11">
        <v>21000</v>
      </c>
      <c r="G2752" s="11"/>
      <c r="H2752" s="11"/>
      <c r="I2752" s="11"/>
      <c r="J2752" s="11"/>
      <c r="K2752" s="11">
        <v>1</v>
      </c>
      <c r="L2752" s="11"/>
      <c r="M2752" s="11" t="b">
        <v>1</v>
      </c>
      <c r="N2752" s="62"/>
    </row>
    <row r="2753" spans="1:14" x14ac:dyDescent="0.25">
      <c r="A2753" s="11" t="s">
        <v>119</v>
      </c>
      <c r="B2753" s="11" t="s">
        <v>119</v>
      </c>
      <c r="C2753" s="26" t="str">
        <f>IF(A2753="","",IF((COUNTIFS(A:A,A2753))&gt;1,"ID重复",""))</f>
        <v/>
      </c>
      <c r="D2753" s="11">
        <v>103</v>
      </c>
      <c r="E2753" s="132" t="str">
        <f>INDEX([1]道具配置表!$D:$D,MATCH(D2753,[1]道具配置表!$A:$A,0))</f>
        <v>1石头</v>
      </c>
      <c r="F2753" s="11">
        <v>21000</v>
      </c>
      <c r="G2753" s="11"/>
      <c r="H2753" s="11"/>
      <c r="I2753" s="11"/>
      <c r="J2753" s="11"/>
      <c r="K2753" s="11">
        <v>1</v>
      </c>
      <c r="L2753" s="11"/>
      <c r="M2753" s="11" t="b">
        <v>1</v>
      </c>
      <c r="N2753" s="62"/>
    </row>
    <row r="2754" spans="1:14" x14ac:dyDescent="0.25">
      <c r="A2754" s="11" t="s">
        <v>119</v>
      </c>
      <c r="B2754" s="11" t="s">
        <v>119</v>
      </c>
      <c r="C2754" s="26" t="str">
        <f>IF(A2754="","",IF((COUNTIFS(A:A,A2754))&gt;1,"ID重复",""))</f>
        <v/>
      </c>
      <c r="D2754" s="11">
        <v>104</v>
      </c>
      <c r="E2754" s="132" t="str">
        <f>INDEX([1]道具配置表!$D:$D,MATCH(D2754,[1]道具配置表!$A:$A,0))</f>
        <v>1黄金</v>
      </c>
      <c r="F2754" s="11">
        <v>21000</v>
      </c>
      <c r="G2754" s="11"/>
      <c r="H2754" s="11"/>
      <c r="I2754" s="11"/>
      <c r="J2754" s="11"/>
      <c r="K2754" s="11">
        <v>1</v>
      </c>
      <c r="L2754" s="11"/>
      <c r="M2754" s="11" t="b">
        <v>1</v>
      </c>
      <c r="N2754" s="62"/>
    </row>
    <row r="2755" spans="1:14" x14ac:dyDescent="0.25">
      <c r="A2755" s="11">
        <v>6622322</v>
      </c>
      <c r="B2755" s="11" t="s">
        <v>145</v>
      </c>
      <c r="C2755" s="26" t="str">
        <f>IF(A2755="","",IF((COUNTIFS(A:A,A2755))&gt;1,"ID重复",""))</f>
        <v/>
      </c>
      <c r="D2755" s="11">
        <v>102</v>
      </c>
      <c r="E2755" s="132" t="str">
        <f>INDEX([1]道具配置表!$D:$D,MATCH(D2755,[1]道具配置表!$A:$A,0))</f>
        <v>1食物</v>
      </c>
      <c r="F2755" s="11">
        <v>22000</v>
      </c>
      <c r="G2755" s="11"/>
      <c r="H2755" s="11"/>
      <c r="I2755" s="11"/>
      <c r="J2755" s="11"/>
      <c r="K2755" s="11">
        <v>1</v>
      </c>
      <c r="L2755" s="11"/>
      <c r="M2755" s="11" t="b">
        <v>1</v>
      </c>
      <c r="N2755" s="62"/>
    </row>
    <row r="2756" spans="1:14" x14ac:dyDescent="0.25">
      <c r="A2756" s="11" t="s">
        <v>119</v>
      </c>
      <c r="B2756" s="11" t="s">
        <v>119</v>
      </c>
      <c r="C2756" s="26" t="str">
        <f>IF(A2756="","",IF((COUNTIFS(A:A,A2756))&gt;1,"ID重复",""))</f>
        <v/>
      </c>
      <c r="D2756" s="11">
        <v>101</v>
      </c>
      <c r="E2756" s="132" t="str">
        <f>INDEX([1]道具配置表!$D:$D,MATCH(D2756,[1]道具配置表!$A:$A,0))</f>
        <v>1木材</v>
      </c>
      <c r="F2756" s="11">
        <v>22000</v>
      </c>
      <c r="G2756" s="11"/>
      <c r="H2756" s="11"/>
      <c r="I2756" s="11"/>
      <c r="J2756" s="11"/>
      <c r="K2756" s="11">
        <v>1</v>
      </c>
      <c r="L2756" s="11"/>
      <c r="M2756" s="11" t="b">
        <v>1</v>
      </c>
      <c r="N2756" s="62"/>
    </row>
    <row r="2757" spans="1:14" x14ac:dyDescent="0.25">
      <c r="A2757" s="11" t="s">
        <v>119</v>
      </c>
      <c r="B2757" s="11" t="s">
        <v>119</v>
      </c>
      <c r="C2757" s="26" t="str">
        <f>IF(A2757="","",IF((COUNTIFS(A:A,A2757))&gt;1,"ID重复",""))</f>
        <v/>
      </c>
      <c r="D2757" s="11">
        <v>103</v>
      </c>
      <c r="E2757" s="132" t="str">
        <f>INDEX([1]道具配置表!$D:$D,MATCH(D2757,[1]道具配置表!$A:$A,0))</f>
        <v>1石头</v>
      </c>
      <c r="F2757" s="11">
        <v>22000</v>
      </c>
      <c r="G2757" s="11"/>
      <c r="H2757" s="11"/>
      <c r="I2757" s="11"/>
      <c r="J2757" s="11"/>
      <c r="K2757" s="11">
        <v>1</v>
      </c>
      <c r="L2757" s="11"/>
      <c r="M2757" s="11" t="b">
        <v>1</v>
      </c>
      <c r="N2757" s="62"/>
    </row>
    <row r="2758" spans="1:14" x14ac:dyDescent="0.25">
      <c r="A2758" s="11" t="s">
        <v>119</v>
      </c>
      <c r="B2758" s="11" t="s">
        <v>119</v>
      </c>
      <c r="C2758" s="26" t="str">
        <f>IF(A2758="","",IF((COUNTIFS(A:A,A2758))&gt;1,"ID重复",""))</f>
        <v/>
      </c>
      <c r="D2758" s="11">
        <v>104</v>
      </c>
      <c r="E2758" s="132" t="str">
        <f>INDEX([1]道具配置表!$D:$D,MATCH(D2758,[1]道具配置表!$A:$A,0))</f>
        <v>1黄金</v>
      </c>
      <c r="F2758" s="11">
        <v>22000</v>
      </c>
      <c r="G2758" s="11"/>
      <c r="H2758" s="11"/>
      <c r="I2758" s="11"/>
      <c r="J2758" s="11"/>
      <c r="K2758" s="11">
        <v>1</v>
      </c>
      <c r="L2758" s="11"/>
      <c r="M2758" s="11" t="b">
        <v>1</v>
      </c>
      <c r="N2758" s="127"/>
    </row>
    <row r="2759" spans="1:14" x14ac:dyDescent="0.25">
      <c r="A2759" s="11">
        <v>6622323</v>
      </c>
      <c r="B2759" s="11" t="s">
        <v>146</v>
      </c>
      <c r="C2759" s="26" t="str">
        <f>IF(A2759="","",IF((COUNTIFS(A:A,A2759))&gt;1,"ID重复",""))</f>
        <v/>
      </c>
      <c r="D2759" s="11">
        <v>102</v>
      </c>
      <c r="E2759" s="132" t="str">
        <f>INDEX([1]道具配置表!$D:$D,MATCH(D2759,[1]道具配置表!$A:$A,0))</f>
        <v>1食物</v>
      </c>
      <c r="F2759" s="11">
        <v>23000</v>
      </c>
      <c r="G2759" s="11"/>
      <c r="H2759" s="11"/>
      <c r="I2759" s="11"/>
      <c r="J2759" s="11"/>
      <c r="K2759" s="11">
        <v>1</v>
      </c>
      <c r="L2759" s="11"/>
      <c r="M2759" s="11" t="b">
        <v>1</v>
      </c>
      <c r="N2759" s="127"/>
    </row>
    <row r="2760" spans="1:14" x14ac:dyDescent="0.25">
      <c r="A2760" s="11" t="s">
        <v>119</v>
      </c>
      <c r="B2760" s="11" t="s">
        <v>119</v>
      </c>
      <c r="C2760" s="26" t="str">
        <f>IF(A2760="","",IF((COUNTIFS(A:A,A2760))&gt;1,"ID重复",""))</f>
        <v/>
      </c>
      <c r="D2760" s="11">
        <v>101</v>
      </c>
      <c r="E2760" s="132" t="str">
        <f>INDEX([1]道具配置表!$D:$D,MATCH(D2760,[1]道具配置表!$A:$A,0))</f>
        <v>1木材</v>
      </c>
      <c r="F2760" s="11">
        <v>23000</v>
      </c>
      <c r="G2760" s="11"/>
      <c r="H2760" s="11"/>
      <c r="I2760" s="11"/>
      <c r="J2760" s="11"/>
      <c r="K2760" s="11">
        <v>1</v>
      </c>
      <c r="L2760" s="11"/>
      <c r="M2760" s="11" t="b">
        <v>1</v>
      </c>
      <c r="N2760" s="127"/>
    </row>
    <row r="2761" spans="1:14" x14ac:dyDescent="0.25">
      <c r="A2761" s="11" t="s">
        <v>119</v>
      </c>
      <c r="B2761" s="11" t="s">
        <v>119</v>
      </c>
      <c r="C2761" s="26" t="str">
        <f>IF(A2761="","",IF((COUNTIFS(A:A,A2761))&gt;1,"ID重复",""))</f>
        <v/>
      </c>
      <c r="D2761" s="11">
        <v>103</v>
      </c>
      <c r="E2761" s="132" t="str">
        <f>INDEX([1]道具配置表!$D:$D,MATCH(D2761,[1]道具配置表!$A:$A,0))</f>
        <v>1石头</v>
      </c>
      <c r="F2761" s="11">
        <v>23000</v>
      </c>
      <c r="G2761" s="11"/>
      <c r="H2761" s="11"/>
      <c r="I2761" s="11"/>
      <c r="J2761" s="11"/>
      <c r="K2761" s="11">
        <v>1</v>
      </c>
      <c r="L2761" s="11"/>
      <c r="M2761" s="11" t="b">
        <v>1</v>
      </c>
      <c r="N2761" s="127"/>
    </row>
    <row r="2762" spans="1:14" x14ac:dyDescent="0.25">
      <c r="A2762" s="11" t="s">
        <v>119</v>
      </c>
      <c r="B2762" s="11" t="s">
        <v>119</v>
      </c>
      <c r="C2762" s="26" t="str">
        <f>IF(A2762="","",IF((COUNTIFS(A:A,A2762))&gt;1,"ID重复",""))</f>
        <v/>
      </c>
      <c r="D2762" s="11">
        <v>104</v>
      </c>
      <c r="E2762" s="132" t="str">
        <f>INDEX([1]道具配置表!$D:$D,MATCH(D2762,[1]道具配置表!$A:$A,0))</f>
        <v>1黄金</v>
      </c>
      <c r="F2762" s="11">
        <v>23000</v>
      </c>
      <c r="G2762" s="11"/>
      <c r="H2762" s="11"/>
      <c r="I2762" s="11"/>
      <c r="J2762" s="11"/>
      <c r="K2762" s="11">
        <v>1</v>
      </c>
      <c r="L2762" s="11"/>
      <c r="M2762" s="11" t="b">
        <v>1</v>
      </c>
      <c r="N2762" s="127"/>
    </row>
    <row r="2763" spans="1:14" x14ac:dyDescent="0.25">
      <c r="A2763" s="11">
        <v>6622324</v>
      </c>
      <c r="B2763" s="11" t="s">
        <v>147</v>
      </c>
      <c r="C2763" s="26" t="str">
        <f>IF(A2763="","",IF((COUNTIFS(A:A,A2763))&gt;1,"ID重复",""))</f>
        <v/>
      </c>
      <c r="D2763" s="11">
        <v>102</v>
      </c>
      <c r="E2763" s="132" t="str">
        <f>INDEX([1]道具配置表!$D:$D,MATCH(D2763,[1]道具配置表!$A:$A,0))</f>
        <v>1食物</v>
      </c>
      <c r="F2763" s="11">
        <v>24000</v>
      </c>
      <c r="G2763" s="11"/>
      <c r="H2763" s="11"/>
      <c r="I2763" s="11"/>
      <c r="J2763" s="11"/>
      <c r="K2763" s="11">
        <v>1</v>
      </c>
      <c r="L2763" s="11"/>
      <c r="M2763" s="11" t="b">
        <v>1</v>
      </c>
      <c r="N2763" s="127"/>
    </row>
    <row r="2764" spans="1:14" x14ac:dyDescent="0.25">
      <c r="A2764" s="11" t="s">
        <v>119</v>
      </c>
      <c r="B2764" s="11" t="s">
        <v>119</v>
      </c>
      <c r="C2764" s="26" t="str">
        <f>IF(A2764="","",IF((COUNTIFS(A:A,A2764))&gt;1,"ID重复",""))</f>
        <v/>
      </c>
      <c r="D2764" s="11">
        <v>101</v>
      </c>
      <c r="E2764" s="132" t="str">
        <f>INDEX([1]道具配置表!$D:$D,MATCH(D2764,[1]道具配置表!$A:$A,0))</f>
        <v>1木材</v>
      </c>
      <c r="F2764" s="11">
        <v>24000</v>
      </c>
      <c r="G2764" s="11"/>
      <c r="H2764" s="11"/>
      <c r="I2764" s="11"/>
      <c r="J2764" s="11"/>
      <c r="K2764" s="11">
        <v>1</v>
      </c>
      <c r="L2764" s="11"/>
      <c r="M2764" s="11" t="b">
        <v>1</v>
      </c>
      <c r="N2764" s="127"/>
    </row>
    <row r="2765" spans="1:14" x14ac:dyDescent="0.25">
      <c r="A2765" s="11" t="s">
        <v>119</v>
      </c>
      <c r="B2765" s="11" t="s">
        <v>119</v>
      </c>
      <c r="C2765" s="26" t="str">
        <f>IF(A2765="","",IF((COUNTIFS(A:A,A2765))&gt;1,"ID重复",""))</f>
        <v/>
      </c>
      <c r="D2765" s="11">
        <v>103</v>
      </c>
      <c r="E2765" s="132" t="str">
        <f>INDEX([1]道具配置表!$D:$D,MATCH(D2765,[1]道具配置表!$A:$A,0))</f>
        <v>1石头</v>
      </c>
      <c r="F2765" s="11">
        <v>24000</v>
      </c>
      <c r="G2765" s="11"/>
      <c r="H2765" s="11"/>
      <c r="I2765" s="11"/>
      <c r="J2765" s="11"/>
      <c r="K2765" s="11">
        <v>1</v>
      </c>
      <c r="L2765" s="11"/>
      <c r="M2765" s="11" t="b">
        <v>1</v>
      </c>
      <c r="N2765" s="127"/>
    </row>
    <row r="2766" spans="1:14" x14ac:dyDescent="0.25">
      <c r="A2766" s="11" t="s">
        <v>119</v>
      </c>
      <c r="B2766" s="11" t="s">
        <v>119</v>
      </c>
      <c r="C2766" s="26" t="str">
        <f>IF(A2766="","",IF((COUNTIFS(A:A,A2766))&gt;1,"ID重复",""))</f>
        <v/>
      </c>
      <c r="D2766" s="11">
        <v>104</v>
      </c>
      <c r="E2766" s="132" t="str">
        <f>INDEX([1]道具配置表!$D:$D,MATCH(D2766,[1]道具配置表!$A:$A,0))</f>
        <v>1黄金</v>
      </c>
      <c r="F2766" s="11">
        <v>24000</v>
      </c>
      <c r="G2766" s="11"/>
      <c r="H2766" s="11"/>
      <c r="I2766" s="11"/>
      <c r="J2766" s="11"/>
      <c r="K2766" s="11">
        <v>1</v>
      </c>
      <c r="L2766" s="11"/>
      <c r="M2766" s="11" t="b">
        <v>1</v>
      </c>
      <c r="N2766" s="127"/>
    </row>
    <row r="2767" spans="1:14" x14ac:dyDescent="0.25">
      <c r="A2767" s="11">
        <v>6622325</v>
      </c>
      <c r="B2767" s="11" t="s">
        <v>148</v>
      </c>
      <c r="C2767" s="26" t="str">
        <f>IF(A2767="","",IF((COUNTIFS(A:A,A2767))&gt;1,"ID重复",""))</f>
        <v/>
      </c>
      <c r="D2767" s="11">
        <v>102</v>
      </c>
      <c r="E2767" s="132" t="str">
        <f>INDEX([1]道具配置表!$D:$D,MATCH(D2767,[1]道具配置表!$A:$A,0))</f>
        <v>1食物</v>
      </c>
      <c r="F2767" s="11">
        <v>25000</v>
      </c>
      <c r="G2767" s="11"/>
      <c r="H2767" s="11"/>
      <c r="I2767" s="11"/>
      <c r="J2767" s="11"/>
      <c r="K2767" s="11">
        <v>1</v>
      </c>
      <c r="L2767" s="11"/>
      <c r="M2767" s="11" t="b">
        <v>1</v>
      </c>
      <c r="N2767" s="127"/>
    </row>
    <row r="2768" spans="1:14" x14ac:dyDescent="0.25">
      <c r="A2768" s="11" t="s">
        <v>119</v>
      </c>
      <c r="B2768" s="11" t="s">
        <v>119</v>
      </c>
      <c r="C2768" s="26" t="str">
        <f>IF(A2768="","",IF((COUNTIFS(A:A,A2768))&gt;1,"ID重复",""))</f>
        <v/>
      </c>
      <c r="D2768" s="11">
        <v>101</v>
      </c>
      <c r="E2768" s="132" t="str">
        <f>INDEX([1]道具配置表!$D:$D,MATCH(D2768,[1]道具配置表!$A:$A,0))</f>
        <v>1木材</v>
      </c>
      <c r="F2768" s="11">
        <v>25000</v>
      </c>
      <c r="G2768" s="11"/>
      <c r="H2768" s="11"/>
      <c r="I2768" s="11"/>
      <c r="J2768" s="11"/>
      <c r="K2768" s="11">
        <v>1</v>
      </c>
      <c r="L2768" s="11"/>
      <c r="M2768" s="11" t="b">
        <v>1</v>
      </c>
      <c r="N2768" s="127"/>
    </row>
    <row r="2769" spans="1:14" x14ac:dyDescent="0.25">
      <c r="A2769" s="11" t="s">
        <v>119</v>
      </c>
      <c r="B2769" s="11" t="s">
        <v>119</v>
      </c>
      <c r="C2769" s="26" t="str">
        <f>IF(A2769="","",IF((COUNTIFS(A:A,A2769))&gt;1,"ID重复",""))</f>
        <v/>
      </c>
      <c r="D2769" s="11">
        <v>103</v>
      </c>
      <c r="E2769" s="132" t="str">
        <f>INDEX([1]道具配置表!$D:$D,MATCH(D2769,[1]道具配置表!$A:$A,0))</f>
        <v>1石头</v>
      </c>
      <c r="F2769" s="11">
        <v>25000</v>
      </c>
      <c r="G2769" s="11"/>
      <c r="H2769" s="11"/>
      <c r="I2769" s="11"/>
      <c r="J2769" s="11"/>
      <c r="K2769" s="11">
        <v>1</v>
      </c>
      <c r="L2769" s="11"/>
      <c r="M2769" s="11" t="b">
        <v>1</v>
      </c>
      <c r="N2769" s="127"/>
    </row>
    <row r="2770" spans="1:14" x14ac:dyDescent="0.25">
      <c r="A2770" s="11" t="s">
        <v>119</v>
      </c>
      <c r="B2770" s="11" t="s">
        <v>119</v>
      </c>
      <c r="C2770" s="26" t="str">
        <f>IF(A2770="","",IF((COUNTIFS(A:A,A2770))&gt;1,"ID重复",""))</f>
        <v/>
      </c>
      <c r="D2770" s="11">
        <v>104</v>
      </c>
      <c r="E2770" s="132" t="str">
        <f>INDEX([1]道具配置表!$D:$D,MATCH(D2770,[1]道具配置表!$A:$A,0))</f>
        <v>1黄金</v>
      </c>
      <c r="F2770" s="11">
        <v>25000</v>
      </c>
      <c r="G2770" s="11"/>
      <c r="H2770" s="11"/>
      <c r="I2770" s="11"/>
      <c r="J2770" s="11"/>
      <c r="K2770" s="11">
        <v>1</v>
      </c>
      <c r="L2770" s="11"/>
      <c r="M2770" s="11" t="b">
        <v>1</v>
      </c>
      <c r="N2770" s="127"/>
    </row>
    <row r="2771" spans="1:14" x14ac:dyDescent="0.25">
      <c r="A2771" s="11">
        <v>6622326</v>
      </c>
      <c r="B2771" s="11" t="s">
        <v>149</v>
      </c>
      <c r="C2771" s="26" t="str">
        <f>IF(A2771="","",IF((COUNTIFS(A:A,A2771))&gt;1,"ID重复",""))</f>
        <v/>
      </c>
      <c r="D2771" s="11">
        <v>102</v>
      </c>
      <c r="E2771" s="132" t="str">
        <f>INDEX([1]道具配置表!$D:$D,MATCH(D2771,[1]道具配置表!$A:$A,0))</f>
        <v>1食物</v>
      </c>
      <c r="F2771" s="11">
        <v>26000</v>
      </c>
      <c r="G2771" s="11"/>
      <c r="H2771" s="11"/>
      <c r="I2771" s="11"/>
      <c r="J2771" s="11"/>
      <c r="K2771" s="11">
        <v>1</v>
      </c>
      <c r="L2771" s="11"/>
      <c r="M2771" s="11" t="b">
        <v>1</v>
      </c>
      <c r="N2771" s="127"/>
    </row>
    <row r="2772" spans="1:14" x14ac:dyDescent="0.25">
      <c r="A2772" s="11" t="s">
        <v>119</v>
      </c>
      <c r="B2772" s="11" t="s">
        <v>119</v>
      </c>
      <c r="C2772" s="26" t="str">
        <f>IF(A2772="","",IF((COUNTIFS(A:A,A2772))&gt;1,"ID重复",""))</f>
        <v/>
      </c>
      <c r="D2772" s="11">
        <v>101</v>
      </c>
      <c r="E2772" s="132" t="str">
        <f>INDEX([1]道具配置表!$D:$D,MATCH(D2772,[1]道具配置表!$A:$A,0))</f>
        <v>1木材</v>
      </c>
      <c r="F2772" s="11">
        <v>26000</v>
      </c>
      <c r="G2772" s="11"/>
      <c r="H2772" s="11"/>
      <c r="I2772" s="11"/>
      <c r="J2772" s="11"/>
      <c r="K2772" s="11">
        <v>1</v>
      </c>
      <c r="L2772" s="11"/>
      <c r="M2772" s="11" t="b">
        <v>1</v>
      </c>
      <c r="N2772" s="127"/>
    </row>
    <row r="2773" spans="1:14" x14ac:dyDescent="0.25">
      <c r="A2773" s="11" t="s">
        <v>119</v>
      </c>
      <c r="B2773" s="11" t="s">
        <v>119</v>
      </c>
      <c r="C2773" s="26" t="str">
        <f>IF(A2773="","",IF((COUNTIFS(A:A,A2773))&gt;1,"ID重复",""))</f>
        <v/>
      </c>
      <c r="D2773" s="11">
        <v>103</v>
      </c>
      <c r="E2773" s="132" t="str">
        <f>INDEX([1]道具配置表!$D:$D,MATCH(D2773,[1]道具配置表!$A:$A,0))</f>
        <v>1石头</v>
      </c>
      <c r="F2773" s="11">
        <v>26000</v>
      </c>
      <c r="G2773" s="11"/>
      <c r="H2773" s="11"/>
      <c r="I2773" s="11"/>
      <c r="J2773" s="11"/>
      <c r="K2773" s="11">
        <v>1</v>
      </c>
      <c r="L2773" s="11"/>
      <c r="M2773" s="11" t="b">
        <v>1</v>
      </c>
      <c r="N2773" s="127"/>
    </row>
    <row r="2774" spans="1:14" x14ac:dyDescent="0.25">
      <c r="A2774" s="11" t="s">
        <v>119</v>
      </c>
      <c r="B2774" s="11" t="s">
        <v>119</v>
      </c>
      <c r="C2774" s="26" t="str">
        <f>IF(A2774="","",IF((COUNTIFS(A:A,A2774))&gt;1,"ID重复",""))</f>
        <v/>
      </c>
      <c r="D2774" s="11">
        <v>104</v>
      </c>
      <c r="E2774" s="132" t="str">
        <f>INDEX([1]道具配置表!$D:$D,MATCH(D2774,[1]道具配置表!$A:$A,0))</f>
        <v>1黄金</v>
      </c>
      <c r="F2774" s="11">
        <v>26000</v>
      </c>
      <c r="G2774" s="11"/>
      <c r="H2774" s="11"/>
      <c r="I2774" s="11"/>
      <c r="J2774" s="11"/>
      <c r="K2774" s="11">
        <v>1</v>
      </c>
      <c r="L2774" s="11"/>
      <c r="M2774" s="11" t="b">
        <v>1</v>
      </c>
      <c r="N2774" s="127"/>
    </row>
    <row r="2775" spans="1:14" x14ac:dyDescent="0.25">
      <c r="A2775" s="11">
        <v>6622327</v>
      </c>
      <c r="B2775" s="11" t="s">
        <v>150</v>
      </c>
      <c r="C2775" s="26" t="str">
        <f>IF(A2775="","",IF((COUNTIFS(A:A,A2775))&gt;1,"ID重复",""))</f>
        <v/>
      </c>
      <c r="D2775" s="11">
        <v>102</v>
      </c>
      <c r="E2775" s="132" t="str">
        <f>INDEX([1]道具配置表!$D:$D,MATCH(D2775,[1]道具配置表!$A:$A,0))</f>
        <v>1食物</v>
      </c>
      <c r="F2775" s="11">
        <v>27000</v>
      </c>
      <c r="G2775" s="11"/>
      <c r="H2775" s="11"/>
      <c r="I2775" s="11"/>
      <c r="J2775" s="11"/>
      <c r="K2775" s="11">
        <v>1</v>
      </c>
      <c r="L2775" s="11"/>
      <c r="M2775" s="11" t="b">
        <v>1</v>
      </c>
      <c r="N2775" s="127"/>
    </row>
    <row r="2776" spans="1:14" x14ac:dyDescent="0.25">
      <c r="A2776" s="11" t="s">
        <v>119</v>
      </c>
      <c r="B2776" s="11" t="s">
        <v>119</v>
      </c>
      <c r="C2776" s="26" t="str">
        <f>IF(A2776="","",IF((COUNTIFS(A:A,A2776))&gt;1,"ID重复",""))</f>
        <v/>
      </c>
      <c r="D2776" s="11">
        <v>101</v>
      </c>
      <c r="E2776" s="132" t="str">
        <f>INDEX([1]道具配置表!$D:$D,MATCH(D2776,[1]道具配置表!$A:$A,0))</f>
        <v>1木材</v>
      </c>
      <c r="F2776" s="11">
        <v>27000</v>
      </c>
      <c r="G2776" s="11"/>
      <c r="H2776" s="11"/>
      <c r="I2776" s="11"/>
      <c r="J2776" s="11"/>
      <c r="K2776" s="11">
        <v>1</v>
      </c>
      <c r="L2776" s="11"/>
      <c r="M2776" s="11" t="b">
        <v>1</v>
      </c>
      <c r="N2776" s="127"/>
    </row>
    <row r="2777" spans="1:14" x14ac:dyDescent="0.25">
      <c r="A2777" s="11" t="s">
        <v>119</v>
      </c>
      <c r="B2777" s="11" t="s">
        <v>119</v>
      </c>
      <c r="C2777" s="26" t="str">
        <f>IF(A2777="","",IF((COUNTIFS(A:A,A2777))&gt;1,"ID重复",""))</f>
        <v/>
      </c>
      <c r="D2777" s="11">
        <v>103</v>
      </c>
      <c r="E2777" s="132" t="str">
        <f>INDEX([1]道具配置表!$D:$D,MATCH(D2777,[1]道具配置表!$A:$A,0))</f>
        <v>1石头</v>
      </c>
      <c r="F2777" s="11">
        <v>27000</v>
      </c>
      <c r="G2777" s="11"/>
      <c r="H2777" s="11"/>
      <c r="I2777" s="11"/>
      <c r="J2777" s="11"/>
      <c r="K2777" s="11">
        <v>1</v>
      </c>
      <c r="L2777" s="11"/>
      <c r="M2777" s="11" t="b">
        <v>1</v>
      </c>
      <c r="N2777" s="127"/>
    </row>
    <row r="2778" spans="1:14" x14ac:dyDescent="0.25">
      <c r="A2778" s="11" t="s">
        <v>119</v>
      </c>
      <c r="B2778" s="11" t="s">
        <v>119</v>
      </c>
      <c r="C2778" s="26" t="str">
        <f>IF(A2778="","",IF((COUNTIFS(A:A,A2778))&gt;1,"ID重复",""))</f>
        <v/>
      </c>
      <c r="D2778" s="11">
        <v>104</v>
      </c>
      <c r="E2778" s="132" t="str">
        <f>INDEX([1]道具配置表!$D:$D,MATCH(D2778,[1]道具配置表!$A:$A,0))</f>
        <v>1黄金</v>
      </c>
      <c r="F2778" s="11">
        <v>27000</v>
      </c>
      <c r="G2778" s="11"/>
      <c r="H2778" s="11"/>
      <c r="I2778" s="11"/>
      <c r="J2778" s="11"/>
      <c r="K2778" s="11">
        <v>1</v>
      </c>
      <c r="L2778" s="11"/>
      <c r="M2778" s="11" t="b">
        <v>1</v>
      </c>
      <c r="N2778" s="127"/>
    </row>
    <row r="2779" spans="1:14" x14ac:dyDescent="0.25">
      <c r="A2779" s="11">
        <v>6622328</v>
      </c>
      <c r="B2779" s="11" t="s">
        <v>151</v>
      </c>
      <c r="C2779" s="26" t="str">
        <f>IF(A2779="","",IF((COUNTIFS(A:A,A2779))&gt;1,"ID重复",""))</f>
        <v/>
      </c>
      <c r="D2779" s="11">
        <v>102</v>
      </c>
      <c r="E2779" s="132" t="str">
        <f>INDEX([1]道具配置表!$D:$D,MATCH(D2779,[1]道具配置表!$A:$A,0))</f>
        <v>1食物</v>
      </c>
      <c r="F2779" s="11">
        <v>28000</v>
      </c>
      <c r="G2779" s="11"/>
      <c r="H2779" s="11"/>
      <c r="I2779" s="11"/>
      <c r="J2779" s="11"/>
      <c r="K2779" s="11">
        <v>1</v>
      </c>
      <c r="L2779" s="11"/>
      <c r="M2779" s="11" t="b">
        <v>1</v>
      </c>
      <c r="N2779" s="127"/>
    </row>
    <row r="2780" spans="1:14" x14ac:dyDescent="0.25">
      <c r="A2780" s="11" t="s">
        <v>119</v>
      </c>
      <c r="B2780" s="11" t="s">
        <v>119</v>
      </c>
      <c r="C2780" s="26" t="str">
        <f>IF(A2780="","",IF((COUNTIFS(A:A,A2780))&gt;1,"ID重复",""))</f>
        <v/>
      </c>
      <c r="D2780" s="11">
        <v>101</v>
      </c>
      <c r="E2780" s="132" t="str">
        <f>INDEX([1]道具配置表!$D:$D,MATCH(D2780,[1]道具配置表!$A:$A,0))</f>
        <v>1木材</v>
      </c>
      <c r="F2780" s="11">
        <v>28000</v>
      </c>
      <c r="G2780" s="11"/>
      <c r="H2780" s="11"/>
      <c r="I2780" s="11"/>
      <c r="J2780" s="11"/>
      <c r="K2780" s="11">
        <v>1</v>
      </c>
      <c r="L2780" s="11"/>
      <c r="M2780" s="11" t="b">
        <v>1</v>
      </c>
      <c r="N2780" s="127"/>
    </row>
    <row r="2781" spans="1:14" x14ac:dyDescent="0.25">
      <c r="A2781" s="11" t="s">
        <v>119</v>
      </c>
      <c r="B2781" s="11" t="s">
        <v>119</v>
      </c>
      <c r="C2781" s="26" t="str">
        <f>IF(A2781="","",IF((COUNTIFS(A:A,A2781))&gt;1,"ID重复",""))</f>
        <v/>
      </c>
      <c r="D2781" s="11">
        <v>103</v>
      </c>
      <c r="E2781" s="132" t="str">
        <f>INDEX([1]道具配置表!$D:$D,MATCH(D2781,[1]道具配置表!$A:$A,0))</f>
        <v>1石头</v>
      </c>
      <c r="F2781" s="11">
        <v>28000</v>
      </c>
      <c r="G2781" s="11"/>
      <c r="H2781" s="11"/>
      <c r="I2781" s="11"/>
      <c r="J2781" s="11"/>
      <c r="K2781" s="11">
        <v>1</v>
      </c>
      <c r="L2781" s="11"/>
      <c r="M2781" s="11" t="b">
        <v>1</v>
      </c>
      <c r="N2781" s="127"/>
    </row>
    <row r="2782" spans="1:14" x14ac:dyDescent="0.25">
      <c r="A2782" s="11" t="s">
        <v>119</v>
      </c>
      <c r="B2782" s="11" t="s">
        <v>119</v>
      </c>
      <c r="C2782" s="26" t="str">
        <f>IF(A2782="","",IF((COUNTIFS(A:A,A2782))&gt;1,"ID重复",""))</f>
        <v/>
      </c>
      <c r="D2782" s="11">
        <v>104</v>
      </c>
      <c r="E2782" s="132" t="str">
        <f>INDEX([1]道具配置表!$D:$D,MATCH(D2782,[1]道具配置表!$A:$A,0))</f>
        <v>1黄金</v>
      </c>
      <c r="F2782" s="11">
        <v>28000</v>
      </c>
      <c r="G2782" s="11"/>
      <c r="H2782" s="11"/>
      <c r="I2782" s="11"/>
      <c r="J2782" s="11"/>
      <c r="K2782" s="11">
        <v>1</v>
      </c>
      <c r="L2782" s="11"/>
      <c r="M2782" s="11" t="b">
        <v>1</v>
      </c>
      <c r="N2782" s="127"/>
    </row>
    <row r="2783" spans="1:14" x14ac:dyDescent="0.25">
      <c r="A2783" s="11">
        <v>6622329</v>
      </c>
      <c r="B2783" s="11" t="s">
        <v>152</v>
      </c>
      <c r="C2783" s="26" t="str">
        <f>IF(A2783="","",IF((COUNTIFS(A:A,A2783))&gt;1,"ID重复",""))</f>
        <v/>
      </c>
      <c r="D2783" s="11">
        <v>102</v>
      </c>
      <c r="E2783" s="132" t="str">
        <f>INDEX([1]道具配置表!$D:$D,MATCH(D2783,[1]道具配置表!$A:$A,0))</f>
        <v>1食物</v>
      </c>
      <c r="F2783" s="11">
        <v>29000</v>
      </c>
      <c r="G2783" s="11"/>
      <c r="H2783" s="11"/>
      <c r="I2783" s="11"/>
      <c r="J2783" s="11"/>
      <c r="K2783" s="11">
        <v>1</v>
      </c>
      <c r="L2783" s="11"/>
      <c r="M2783" s="11" t="b">
        <v>1</v>
      </c>
      <c r="N2783" s="127"/>
    </row>
    <row r="2784" spans="1:14" x14ac:dyDescent="0.25">
      <c r="A2784" s="11" t="s">
        <v>119</v>
      </c>
      <c r="B2784" s="11" t="s">
        <v>119</v>
      </c>
      <c r="C2784" s="26" t="str">
        <f>IF(A2784="","",IF((COUNTIFS(A:A,A2784))&gt;1,"ID重复",""))</f>
        <v/>
      </c>
      <c r="D2784" s="11">
        <v>101</v>
      </c>
      <c r="E2784" s="132" t="str">
        <f>INDEX([1]道具配置表!$D:$D,MATCH(D2784,[1]道具配置表!$A:$A,0))</f>
        <v>1木材</v>
      </c>
      <c r="F2784" s="11">
        <v>29000</v>
      </c>
      <c r="G2784" s="11"/>
      <c r="H2784" s="11"/>
      <c r="I2784" s="11"/>
      <c r="J2784" s="11"/>
      <c r="K2784" s="11">
        <v>1</v>
      </c>
      <c r="L2784" s="11"/>
      <c r="M2784" s="11" t="b">
        <v>1</v>
      </c>
      <c r="N2784" s="127"/>
    </row>
    <row r="2785" spans="1:14" x14ac:dyDescent="0.25">
      <c r="A2785" s="11" t="s">
        <v>119</v>
      </c>
      <c r="B2785" s="11" t="s">
        <v>119</v>
      </c>
      <c r="C2785" s="26" t="str">
        <f>IF(A2785="","",IF((COUNTIFS(A:A,A2785))&gt;1,"ID重复",""))</f>
        <v/>
      </c>
      <c r="D2785" s="11">
        <v>103</v>
      </c>
      <c r="E2785" s="132" t="str">
        <f>INDEX([1]道具配置表!$D:$D,MATCH(D2785,[1]道具配置表!$A:$A,0))</f>
        <v>1石头</v>
      </c>
      <c r="F2785" s="11">
        <v>29000</v>
      </c>
      <c r="G2785" s="11"/>
      <c r="H2785" s="11"/>
      <c r="I2785" s="11"/>
      <c r="J2785" s="11"/>
      <c r="K2785" s="11">
        <v>1</v>
      </c>
      <c r="L2785" s="11"/>
      <c r="M2785" s="11" t="b">
        <v>1</v>
      </c>
      <c r="N2785" s="127"/>
    </row>
    <row r="2786" spans="1:14" x14ac:dyDescent="0.25">
      <c r="A2786" s="11" t="s">
        <v>119</v>
      </c>
      <c r="B2786" s="11" t="s">
        <v>119</v>
      </c>
      <c r="C2786" s="26" t="str">
        <f>IF(A2786="","",IF((COUNTIFS(A:A,A2786))&gt;1,"ID重复",""))</f>
        <v/>
      </c>
      <c r="D2786" s="11">
        <v>104</v>
      </c>
      <c r="E2786" s="132" t="str">
        <f>INDEX([1]道具配置表!$D:$D,MATCH(D2786,[1]道具配置表!$A:$A,0))</f>
        <v>1黄金</v>
      </c>
      <c r="F2786" s="11">
        <v>29000</v>
      </c>
      <c r="G2786" s="11"/>
      <c r="H2786" s="11"/>
      <c r="I2786" s="11"/>
      <c r="J2786" s="11"/>
      <c r="K2786" s="11">
        <v>1</v>
      </c>
      <c r="L2786" s="11"/>
      <c r="M2786" s="11" t="b">
        <v>1</v>
      </c>
      <c r="N2786" s="127"/>
    </row>
    <row r="2787" spans="1:14" x14ac:dyDescent="0.25">
      <c r="A2787" s="11">
        <v>6622330</v>
      </c>
      <c r="B2787" s="11" t="s">
        <v>153</v>
      </c>
      <c r="C2787" s="26" t="str">
        <f>IF(A2787="","",IF((COUNTIFS(A:A,A2787))&gt;1,"ID重复",""))</f>
        <v/>
      </c>
      <c r="D2787" s="11">
        <v>102</v>
      </c>
      <c r="E2787" s="132" t="str">
        <f>INDEX([1]道具配置表!$D:$D,MATCH(D2787,[1]道具配置表!$A:$A,0))</f>
        <v>1食物</v>
      </c>
      <c r="F2787" s="11">
        <v>30000</v>
      </c>
      <c r="G2787" s="11"/>
      <c r="H2787" s="11"/>
      <c r="I2787" s="11"/>
      <c r="J2787" s="11"/>
      <c r="K2787" s="11">
        <v>1</v>
      </c>
      <c r="L2787" s="11"/>
      <c r="M2787" s="11" t="b">
        <v>1</v>
      </c>
      <c r="N2787" s="127"/>
    </row>
    <row r="2788" spans="1:14" x14ac:dyDescent="0.25">
      <c r="A2788" s="11" t="s">
        <v>119</v>
      </c>
      <c r="B2788" s="11" t="s">
        <v>119</v>
      </c>
      <c r="C2788" s="26" t="str">
        <f>IF(A2788="","",IF((COUNTIFS(A:A,A2788))&gt;1,"ID重复",""))</f>
        <v/>
      </c>
      <c r="D2788" s="11">
        <v>101</v>
      </c>
      <c r="E2788" s="132" t="str">
        <f>INDEX([1]道具配置表!$D:$D,MATCH(D2788,[1]道具配置表!$A:$A,0))</f>
        <v>1木材</v>
      </c>
      <c r="F2788" s="11">
        <v>30000</v>
      </c>
      <c r="G2788" s="11"/>
      <c r="H2788" s="11"/>
      <c r="I2788" s="11"/>
      <c r="J2788" s="11"/>
      <c r="K2788" s="11">
        <v>1</v>
      </c>
      <c r="L2788" s="11"/>
      <c r="M2788" s="11" t="b">
        <v>1</v>
      </c>
      <c r="N2788" s="127"/>
    </row>
    <row r="2789" spans="1:14" x14ac:dyDescent="0.25">
      <c r="A2789" s="11" t="s">
        <v>119</v>
      </c>
      <c r="B2789" s="11" t="s">
        <v>119</v>
      </c>
      <c r="C2789" s="26" t="str">
        <f>IF(A2789="","",IF((COUNTIFS(A:A,A2789))&gt;1,"ID重复",""))</f>
        <v/>
      </c>
      <c r="D2789" s="11">
        <v>103</v>
      </c>
      <c r="E2789" s="132" t="str">
        <f>INDEX([1]道具配置表!$D:$D,MATCH(D2789,[1]道具配置表!$A:$A,0))</f>
        <v>1石头</v>
      </c>
      <c r="F2789" s="11">
        <v>30000</v>
      </c>
      <c r="G2789" s="11"/>
      <c r="H2789" s="11"/>
      <c r="I2789" s="11"/>
      <c r="J2789" s="11"/>
      <c r="K2789" s="11">
        <v>1</v>
      </c>
      <c r="L2789" s="11"/>
      <c r="M2789" s="11" t="b">
        <v>1</v>
      </c>
      <c r="N2789" s="127"/>
    </row>
    <row r="2790" spans="1:14" x14ac:dyDescent="0.25">
      <c r="A2790" s="11" t="s">
        <v>119</v>
      </c>
      <c r="B2790" s="11" t="s">
        <v>119</v>
      </c>
      <c r="C2790" s="26" t="str">
        <f>IF(A2790="","",IF((COUNTIFS(A:A,A2790))&gt;1,"ID重复",""))</f>
        <v/>
      </c>
      <c r="D2790" s="11">
        <v>104</v>
      </c>
      <c r="E2790" s="132" t="str">
        <f>INDEX([1]道具配置表!$D:$D,MATCH(D2790,[1]道具配置表!$A:$A,0))</f>
        <v>1黄金</v>
      </c>
      <c r="F2790" s="11">
        <v>30000</v>
      </c>
      <c r="G2790" s="11"/>
      <c r="H2790" s="11"/>
      <c r="I2790" s="11"/>
      <c r="J2790" s="11"/>
      <c r="K2790" s="11">
        <v>1</v>
      </c>
      <c r="L2790" s="11"/>
      <c r="M2790" s="11" t="b">
        <v>1</v>
      </c>
      <c r="N2790" s="127"/>
    </row>
    <row r="2791" spans="1:14" x14ac:dyDescent="0.25">
      <c r="A2791" s="11">
        <v>6622331</v>
      </c>
      <c r="B2791" s="11" t="s">
        <v>154</v>
      </c>
      <c r="C2791" s="26" t="str">
        <f>IF(A2791="","",IF((COUNTIFS(A:A,A2791))&gt;1,"ID重复",""))</f>
        <v/>
      </c>
      <c r="D2791" s="11">
        <v>102</v>
      </c>
      <c r="E2791" s="132" t="str">
        <f>INDEX([1]道具配置表!$D:$D,MATCH(D2791,[1]道具配置表!$A:$A,0))</f>
        <v>1食物</v>
      </c>
      <c r="F2791" s="11">
        <v>31000</v>
      </c>
      <c r="G2791" s="11"/>
      <c r="H2791" s="11"/>
      <c r="I2791" s="11"/>
      <c r="J2791" s="11"/>
      <c r="K2791" s="11">
        <v>1</v>
      </c>
      <c r="L2791" s="11"/>
      <c r="M2791" s="11" t="b">
        <v>1</v>
      </c>
      <c r="N2791" s="127"/>
    </row>
    <row r="2792" spans="1:14" x14ac:dyDescent="0.25">
      <c r="A2792" s="11" t="s">
        <v>119</v>
      </c>
      <c r="B2792" s="11" t="s">
        <v>119</v>
      </c>
      <c r="C2792" s="26" t="str">
        <f>IF(A2792="","",IF((COUNTIFS(A:A,A2792))&gt;1,"ID重复",""))</f>
        <v/>
      </c>
      <c r="D2792" s="11">
        <v>101</v>
      </c>
      <c r="E2792" s="132" t="str">
        <f>INDEX([1]道具配置表!$D:$D,MATCH(D2792,[1]道具配置表!$A:$A,0))</f>
        <v>1木材</v>
      </c>
      <c r="F2792" s="11">
        <v>31000</v>
      </c>
      <c r="G2792" s="11"/>
      <c r="H2792" s="11"/>
      <c r="I2792" s="11"/>
      <c r="J2792" s="11"/>
      <c r="K2792" s="11">
        <v>1</v>
      </c>
      <c r="L2792" s="11"/>
      <c r="M2792" s="11" t="b">
        <v>1</v>
      </c>
      <c r="N2792" s="127"/>
    </row>
    <row r="2793" spans="1:14" x14ac:dyDescent="0.25">
      <c r="A2793" s="11" t="s">
        <v>119</v>
      </c>
      <c r="B2793" s="11" t="s">
        <v>119</v>
      </c>
      <c r="C2793" s="26" t="str">
        <f>IF(A2793="","",IF((COUNTIFS(A:A,A2793))&gt;1,"ID重复",""))</f>
        <v/>
      </c>
      <c r="D2793" s="11">
        <v>103</v>
      </c>
      <c r="E2793" s="132" t="str">
        <f>INDEX([1]道具配置表!$D:$D,MATCH(D2793,[1]道具配置表!$A:$A,0))</f>
        <v>1石头</v>
      </c>
      <c r="F2793" s="11">
        <v>31000</v>
      </c>
      <c r="G2793" s="11"/>
      <c r="H2793" s="11"/>
      <c r="I2793" s="11"/>
      <c r="J2793" s="11"/>
      <c r="K2793" s="11">
        <v>1</v>
      </c>
      <c r="L2793" s="11"/>
      <c r="M2793" s="11" t="b">
        <v>1</v>
      </c>
      <c r="N2793" s="127"/>
    </row>
    <row r="2794" spans="1:14" x14ac:dyDescent="0.25">
      <c r="A2794" s="11" t="s">
        <v>119</v>
      </c>
      <c r="B2794" s="11" t="s">
        <v>119</v>
      </c>
      <c r="C2794" s="26" t="str">
        <f>IF(A2794="","",IF((COUNTIFS(A:A,A2794))&gt;1,"ID重复",""))</f>
        <v/>
      </c>
      <c r="D2794" s="11">
        <v>104</v>
      </c>
      <c r="E2794" s="132" t="str">
        <f>INDEX([1]道具配置表!$D:$D,MATCH(D2794,[1]道具配置表!$A:$A,0))</f>
        <v>1黄金</v>
      </c>
      <c r="F2794" s="11">
        <v>31000</v>
      </c>
      <c r="G2794" s="11"/>
      <c r="H2794" s="11"/>
      <c r="I2794" s="11"/>
      <c r="J2794" s="11"/>
      <c r="K2794" s="11">
        <v>1</v>
      </c>
      <c r="L2794" s="11"/>
      <c r="M2794" s="11" t="b">
        <v>1</v>
      </c>
      <c r="N2794" s="127"/>
    </row>
    <row r="2795" spans="1:14" x14ac:dyDescent="0.25">
      <c r="A2795" s="11">
        <v>6622332</v>
      </c>
      <c r="B2795" s="11" t="s">
        <v>155</v>
      </c>
      <c r="C2795" s="26" t="str">
        <f>IF(A2795="","",IF((COUNTIFS(A:A,A2795))&gt;1,"ID重复",""))</f>
        <v/>
      </c>
      <c r="D2795" s="11">
        <v>102</v>
      </c>
      <c r="E2795" s="132" t="str">
        <f>INDEX([1]道具配置表!$D:$D,MATCH(D2795,[1]道具配置表!$A:$A,0))</f>
        <v>1食物</v>
      </c>
      <c r="F2795" s="11">
        <v>32000</v>
      </c>
      <c r="G2795" s="11"/>
      <c r="H2795" s="11"/>
      <c r="I2795" s="11"/>
      <c r="J2795" s="11"/>
      <c r="K2795" s="11">
        <v>1</v>
      </c>
      <c r="L2795" s="11"/>
      <c r="M2795" s="11" t="b">
        <v>1</v>
      </c>
      <c r="N2795" s="127"/>
    </row>
    <row r="2796" spans="1:14" x14ac:dyDescent="0.25">
      <c r="A2796" s="11" t="s">
        <v>119</v>
      </c>
      <c r="B2796" s="11" t="s">
        <v>119</v>
      </c>
      <c r="C2796" s="26" t="str">
        <f>IF(A2796="","",IF((COUNTIFS(A:A,A2796))&gt;1,"ID重复",""))</f>
        <v/>
      </c>
      <c r="D2796" s="11">
        <v>101</v>
      </c>
      <c r="E2796" s="132" t="str">
        <f>INDEX([1]道具配置表!$D:$D,MATCH(D2796,[1]道具配置表!$A:$A,0))</f>
        <v>1木材</v>
      </c>
      <c r="F2796" s="11">
        <v>32000</v>
      </c>
      <c r="G2796" s="11"/>
      <c r="H2796" s="11"/>
      <c r="I2796" s="11"/>
      <c r="J2796" s="11"/>
      <c r="K2796" s="11">
        <v>1</v>
      </c>
      <c r="L2796" s="11"/>
      <c r="M2796" s="11" t="b">
        <v>1</v>
      </c>
      <c r="N2796" s="127"/>
    </row>
    <row r="2797" spans="1:14" x14ac:dyDescent="0.25">
      <c r="A2797" s="11" t="s">
        <v>119</v>
      </c>
      <c r="B2797" s="11" t="s">
        <v>119</v>
      </c>
      <c r="C2797" s="26" t="str">
        <f>IF(A2797="","",IF((COUNTIFS(A:A,A2797))&gt;1,"ID重复",""))</f>
        <v/>
      </c>
      <c r="D2797" s="11">
        <v>103</v>
      </c>
      <c r="E2797" s="132" t="str">
        <f>INDEX([1]道具配置表!$D:$D,MATCH(D2797,[1]道具配置表!$A:$A,0))</f>
        <v>1石头</v>
      </c>
      <c r="F2797" s="11">
        <v>32000</v>
      </c>
      <c r="G2797" s="11"/>
      <c r="H2797" s="11"/>
      <c r="I2797" s="11"/>
      <c r="J2797" s="11"/>
      <c r="K2797" s="11">
        <v>1</v>
      </c>
      <c r="L2797" s="11"/>
      <c r="M2797" s="11" t="b">
        <v>1</v>
      </c>
      <c r="N2797" s="127"/>
    </row>
    <row r="2798" spans="1:14" x14ac:dyDescent="0.25">
      <c r="A2798" s="11" t="s">
        <v>119</v>
      </c>
      <c r="B2798" s="11" t="s">
        <v>119</v>
      </c>
      <c r="C2798" s="26" t="str">
        <f>IF(A2798="","",IF((COUNTIFS(A:A,A2798))&gt;1,"ID重复",""))</f>
        <v/>
      </c>
      <c r="D2798" s="11">
        <v>104</v>
      </c>
      <c r="E2798" s="132" t="str">
        <f>INDEX([1]道具配置表!$D:$D,MATCH(D2798,[1]道具配置表!$A:$A,0))</f>
        <v>1黄金</v>
      </c>
      <c r="F2798" s="11">
        <v>32000</v>
      </c>
      <c r="G2798" s="11"/>
      <c r="H2798" s="11"/>
      <c r="I2798" s="11"/>
      <c r="J2798" s="11"/>
      <c r="K2798" s="11">
        <v>1</v>
      </c>
      <c r="L2798" s="11"/>
      <c r="M2798" s="11" t="b">
        <v>1</v>
      </c>
      <c r="N2798" s="127"/>
    </row>
    <row r="2799" spans="1:14" x14ac:dyDescent="0.25">
      <c r="A2799" s="11">
        <v>6622333</v>
      </c>
      <c r="B2799" s="11" t="s">
        <v>156</v>
      </c>
      <c r="C2799" s="26" t="str">
        <f>IF(A2799="","",IF((COUNTIFS(A:A,A2799))&gt;1,"ID重复",""))</f>
        <v/>
      </c>
      <c r="D2799" s="11">
        <v>102</v>
      </c>
      <c r="E2799" s="132" t="str">
        <f>INDEX([1]道具配置表!$D:$D,MATCH(D2799,[1]道具配置表!$A:$A,0))</f>
        <v>1食物</v>
      </c>
      <c r="F2799" s="11">
        <v>33000</v>
      </c>
      <c r="G2799" s="11"/>
      <c r="H2799" s="11"/>
      <c r="I2799" s="11"/>
      <c r="J2799" s="11"/>
      <c r="K2799" s="11">
        <v>1</v>
      </c>
      <c r="L2799" s="11"/>
      <c r="M2799" s="11" t="b">
        <v>1</v>
      </c>
      <c r="N2799" s="127"/>
    </row>
    <row r="2800" spans="1:14" x14ac:dyDescent="0.25">
      <c r="A2800" s="11" t="s">
        <v>119</v>
      </c>
      <c r="B2800" s="11" t="s">
        <v>119</v>
      </c>
      <c r="C2800" s="26" t="str">
        <f>IF(A2800="","",IF((COUNTIFS(A:A,A2800))&gt;1,"ID重复",""))</f>
        <v/>
      </c>
      <c r="D2800" s="11">
        <v>101</v>
      </c>
      <c r="E2800" s="132" t="str">
        <f>INDEX([1]道具配置表!$D:$D,MATCH(D2800,[1]道具配置表!$A:$A,0))</f>
        <v>1木材</v>
      </c>
      <c r="F2800" s="11">
        <v>33000</v>
      </c>
      <c r="G2800" s="11"/>
      <c r="H2800" s="11"/>
      <c r="I2800" s="11"/>
      <c r="J2800" s="11"/>
      <c r="K2800" s="11">
        <v>1</v>
      </c>
      <c r="L2800" s="11"/>
      <c r="M2800" s="11" t="b">
        <v>1</v>
      </c>
      <c r="N2800" s="127"/>
    </row>
    <row r="2801" spans="1:14" x14ac:dyDescent="0.25">
      <c r="A2801" s="11" t="s">
        <v>119</v>
      </c>
      <c r="B2801" s="11" t="s">
        <v>119</v>
      </c>
      <c r="C2801" s="26" t="str">
        <f>IF(A2801="","",IF((COUNTIFS(A:A,A2801))&gt;1,"ID重复",""))</f>
        <v/>
      </c>
      <c r="D2801" s="11">
        <v>103</v>
      </c>
      <c r="E2801" s="132" t="str">
        <f>INDEX([1]道具配置表!$D:$D,MATCH(D2801,[1]道具配置表!$A:$A,0))</f>
        <v>1石头</v>
      </c>
      <c r="F2801" s="11">
        <v>33000</v>
      </c>
      <c r="G2801" s="11"/>
      <c r="H2801" s="11"/>
      <c r="I2801" s="11"/>
      <c r="J2801" s="11"/>
      <c r="K2801" s="11">
        <v>1</v>
      </c>
      <c r="L2801" s="11"/>
      <c r="M2801" s="11" t="b">
        <v>1</v>
      </c>
      <c r="N2801" s="127"/>
    </row>
    <row r="2802" spans="1:14" x14ac:dyDescent="0.25">
      <c r="A2802" s="11" t="s">
        <v>119</v>
      </c>
      <c r="B2802" s="11" t="s">
        <v>119</v>
      </c>
      <c r="C2802" s="26" t="str">
        <f>IF(A2802="","",IF((COUNTIFS(A:A,A2802))&gt;1,"ID重复",""))</f>
        <v/>
      </c>
      <c r="D2802" s="11">
        <v>104</v>
      </c>
      <c r="E2802" s="132" t="str">
        <f>INDEX([1]道具配置表!$D:$D,MATCH(D2802,[1]道具配置表!$A:$A,0))</f>
        <v>1黄金</v>
      </c>
      <c r="F2802" s="11">
        <v>33000</v>
      </c>
      <c r="G2802" s="11"/>
      <c r="H2802" s="11"/>
      <c r="I2802" s="11"/>
      <c r="J2802" s="11"/>
      <c r="K2802" s="11">
        <v>1</v>
      </c>
      <c r="L2802" s="11"/>
      <c r="M2802" s="11" t="b">
        <v>1</v>
      </c>
      <c r="N2802" s="127"/>
    </row>
    <row r="2803" spans="1:14" x14ac:dyDescent="0.25">
      <c r="A2803" s="11">
        <v>6622334</v>
      </c>
      <c r="B2803" s="11" t="s">
        <v>157</v>
      </c>
      <c r="C2803" s="26" t="str">
        <f>IF(A2803="","",IF((COUNTIFS(A:A,A2803))&gt;1,"ID重复",""))</f>
        <v/>
      </c>
      <c r="D2803" s="11">
        <v>102</v>
      </c>
      <c r="E2803" s="132" t="str">
        <f>INDEX([1]道具配置表!$D:$D,MATCH(D2803,[1]道具配置表!$A:$A,0))</f>
        <v>1食物</v>
      </c>
      <c r="F2803" s="11">
        <v>34000</v>
      </c>
      <c r="G2803" s="11"/>
      <c r="H2803" s="11"/>
      <c r="I2803" s="11"/>
      <c r="J2803" s="11"/>
      <c r="K2803" s="11">
        <v>1</v>
      </c>
      <c r="L2803" s="11"/>
      <c r="M2803" s="11" t="b">
        <v>1</v>
      </c>
      <c r="N2803" s="127"/>
    </row>
    <row r="2804" spans="1:14" x14ac:dyDescent="0.25">
      <c r="A2804" s="11" t="s">
        <v>119</v>
      </c>
      <c r="B2804" s="11" t="s">
        <v>119</v>
      </c>
      <c r="C2804" s="26" t="str">
        <f>IF(A2804="","",IF((COUNTIFS(A:A,A2804))&gt;1,"ID重复",""))</f>
        <v/>
      </c>
      <c r="D2804" s="11">
        <v>101</v>
      </c>
      <c r="E2804" s="132" t="str">
        <f>INDEX([1]道具配置表!$D:$D,MATCH(D2804,[1]道具配置表!$A:$A,0))</f>
        <v>1木材</v>
      </c>
      <c r="F2804" s="11">
        <v>34000</v>
      </c>
      <c r="G2804" s="11"/>
      <c r="H2804" s="11"/>
      <c r="I2804" s="11"/>
      <c r="J2804" s="11"/>
      <c r="K2804" s="11">
        <v>1</v>
      </c>
      <c r="L2804" s="11"/>
      <c r="M2804" s="11" t="b">
        <v>1</v>
      </c>
      <c r="N2804" s="127"/>
    </row>
    <row r="2805" spans="1:14" x14ac:dyDescent="0.25">
      <c r="A2805" s="11" t="s">
        <v>119</v>
      </c>
      <c r="B2805" s="11" t="s">
        <v>119</v>
      </c>
      <c r="C2805" s="26" t="str">
        <f>IF(A2805="","",IF((COUNTIFS(A:A,A2805))&gt;1,"ID重复",""))</f>
        <v/>
      </c>
      <c r="D2805" s="11">
        <v>103</v>
      </c>
      <c r="E2805" s="132" t="str">
        <f>INDEX([1]道具配置表!$D:$D,MATCH(D2805,[1]道具配置表!$A:$A,0))</f>
        <v>1石头</v>
      </c>
      <c r="F2805" s="11">
        <v>34000</v>
      </c>
      <c r="G2805" s="11"/>
      <c r="H2805" s="11"/>
      <c r="I2805" s="11"/>
      <c r="J2805" s="11"/>
      <c r="K2805" s="11">
        <v>1</v>
      </c>
      <c r="L2805" s="11"/>
      <c r="M2805" s="11" t="b">
        <v>1</v>
      </c>
      <c r="N2805" s="127"/>
    </row>
    <row r="2806" spans="1:14" x14ac:dyDescent="0.25">
      <c r="A2806" s="11" t="s">
        <v>119</v>
      </c>
      <c r="B2806" s="11" t="s">
        <v>119</v>
      </c>
      <c r="C2806" s="26" t="str">
        <f>IF(A2806="","",IF((COUNTIFS(A:A,A2806))&gt;1,"ID重复",""))</f>
        <v/>
      </c>
      <c r="D2806" s="11">
        <v>104</v>
      </c>
      <c r="E2806" s="132" t="str">
        <f>INDEX([1]道具配置表!$D:$D,MATCH(D2806,[1]道具配置表!$A:$A,0))</f>
        <v>1黄金</v>
      </c>
      <c r="F2806" s="11">
        <v>34000</v>
      </c>
      <c r="G2806" s="11"/>
      <c r="H2806" s="11"/>
      <c r="I2806" s="11"/>
      <c r="J2806" s="11"/>
      <c r="K2806" s="11">
        <v>1</v>
      </c>
      <c r="L2806" s="11"/>
      <c r="M2806" s="11" t="b">
        <v>1</v>
      </c>
      <c r="N2806" s="127"/>
    </row>
    <row r="2807" spans="1:14" x14ac:dyDescent="0.25">
      <c r="A2807" s="11">
        <v>6622335</v>
      </c>
      <c r="B2807" s="11" t="s">
        <v>158</v>
      </c>
      <c r="C2807" s="26" t="str">
        <f>IF(A2807="","",IF((COUNTIFS(A:A,A2807))&gt;1,"ID重复",""))</f>
        <v/>
      </c>
      <c r="D2807" s="11">
        <v>102</v>
      </c>
      <c r="E2807" s="132" t="str">
        <f>INDEX([1]道具配置表!$D:$D,MATCH(D2807,[1]道具配置表!$A:$A,0))</f>
        <v>1食物</v>
      </c>
      <c r="F2807" s="11">
        <v>35000</v>
      </c>
      <c r="G2807" s="11"/>
      <c r="H2807" s="11"/>
      <c r="I2807" s="11"/>
      <c r="J2807" s="11"/>
      <c r="K2807" s="11">
        <v>1</v>
      </c>
      <c r="L2807" s="11"/>
      <c r="M2807" s="11" t="b">
        <v>1</v>
      </c>
      <c r="N2807" s="127"/>
    </row>
    <row r="2808" spans="1:14" x14ac:dyDescent="0.25">
      <c r="A2808" s="11" t="s">
        <v>119</v>
      </c>
      <c r="B2808" s="11" t="s">
        <v>119</v>
      </c>
      <c r="C2808" s="26" t="str">
        <f>IF(A2808="","",IF((COUNTIFS(A:A,A2808))&gt;1,"ID重复",""))</f>
        <v/>
      </c>
      <c r="D2808" s="11">
        <v>101</v>
      </c>
      <c r="E2808" s="132" t="str">
        <f>INDEX([1]道具配置表!$D:$D,MATCH(D2808,[1]道具配置表!$A:$A,0))</f>
        <v>1木材</v>
      </c>
      <c r="F2808" s="11">
        <v>35000</v>
      </c>
      <c r="G2808" s="11"/>
      <c r="H2808" s="11"/>
      <c r="I2808" s="11"/>
      <c r="J2808" s="11"/>
      <c r="K2808" s="11">
        <v>1</v>
      </c>
      <c r="L2808" s="11"/>
      <c r="M2808" s="11" t="b">
        <v>1</v>
      </c>
      <c r="N2808" s="127"/>
    </row>
    <row r="2809" spans="1:14" x14ac:dyDescent="0.25">
      <c r="A2809" s="11" t="s">
        <v>119</v>
      </c>
      <c r="B2809" s="11" t="s">
        <v>119</v>
      </c>
      <c r="C2809" s="26" t="str">
        <f>IF(A2809="","",IF((COUNTIFS(A:A,A2809))&gt;1,"ID重复",""))</f>
        <v/>
      </c>
      <c r="D2809" s="11">
        <v>103</v>
      </c>
      <c r="E2809" s="132" t="str">
        <f>INDEX([1]道具配置表!$D:$D,MATCH(D2809,[1]道具配置表!$A:$A,0))</f>
        <v>1石头</v>
      </c>
      <c r="F2809" s="11">
        <v>35000</v>
      </c>
      <c r="G2809" s="11"/>
      <c r="H2809" s="11"/>
      <c r="I2809" s="11"/>
      <c r="J2809" s="11"/>
      <c r="K2809" s="11">
        <v>1</v>
      </c>
      <c r="L2809" s="11"/>
      <c r="M2809" s="11" t="b">
        <v>1</v>
      </c>
      <c r="N2809" s="127"/>
    </row>
    <row r="2810" spans="1:14" x14ac:dyDescent="0.25">
      <c r="A2810" s="11" t="s">
        <v>119</v>
      </c>
      <c r="B2810" s="11" t="s">
        <v>119</v>
      </c>
      <c r="C2810" s="26" t="str">
        <f>IF(A2810="","",IF((COUNTIFS(A:A,A2810))&gt;1,"ID重复",""))</f>
        <v/>
      </c>
      <c r="D2810" s="11">
        <v>104</v>
      </c>
      <c r="E2810" s="132" t="str">
        <f>INDEX([1]道具配置表!$D:$D,MATCH(D2810,[1]道具配置表!$A:$A,0))</f>
        <v>1黄金</v>
      </c>
      <c r="F2810" s="11">
        <v>35000</v>
      </c>
      <c r="G2810" s="11"/>
      <c r="H2810" s="11"/>
      <c r="I2810" s="11"/>
      <c r="J2810" s="11"/>
      <c r="K2810" s="11">
        <v>1</v>
      </c>
      <c r="L2810" s="11"/>
      <c r="M2810" s="11" t="b">
        <v>1</v>
      </c>
      <c r="N2810" s="127"/>
    </row>
    <row r="2811" spans="1:14" x14ac:dyDescent="0.25">
      <c r="A2811" s="11">
        <v>6622336</v>
      </c>
      <c r="B2811" s="11" t="s">
        <v>159</v>
      </c>
      <c r="C2811" s="26" t="str">
        <f>IF(A2811="","",IF((COUNTIFS(A:A,A2811))&gt;1,"ID重复",""))</f>
        <v/>
      </c>
      <c r="D2811" s="11">
        <v>102</v>
      </c>
      <c r="E2811" s="132" t="str">
        <f>INDEX([1]道具配置表!$D:$D,MATCH(D2811,[1]道具配置表!$A:$A,0))</f>
        <v>1食物</v>
      </c>
      <c r="F2811" s="11">
        <v>36000</v>
      </c>
      <c r="G2811" s="11"/>
      <c r="H2811" s="11"/>
      <c r="I2811" s="11"/>
      <c r="J2811" s="11"/>
      <c r="K2811" s="11">
        <v>1</v>
      </c>
      <c r="L2811" s="11"/>
      <c r="M2811" s="11" t="b">
        <v>1</v>
      </c>
      <c r="N2811" s="127"/>
    </row>
    <row r="2812" spans="1:14" x14ac:dyDescent="0.25">
      <c r="A2812" s="11" t="s">
        <v>119</v>
      </c>
      <c r="B2812" s="11" t="s">
        <v>119</v>
      </c>
      <c r="C2812" s="26" t="str">
        <f>IF(A2812="","",IF((COUNTIFS(A:A,A2812))&gt;1,"ID重复",""))</f>
        <v/>
      </c>
      <c r="D2812" s="11">
        <v>101</v>
      </c>
      <c r="E2812" s="132" t="str">
        <f>INDEX([1]道具配置表!$D:$D,MATCH(D2812,[1]道具配置表!$A:$A,0))</f>
        <v>1木材</v>
      </c>
      <c r="F2812" s="11">
        <v>36000</v>
      </c>
      <c r="G2812" s="11"/>
      <c r="H2812" s="11"/>
      <c r="I2812" s="11"/>
      <c r="J2812" s="11"/>
      <c r="K2812" s="11">
        <v>1</v>
      </c>
      <c r="L2812" s="11"/>
      <c r="M2812" s="11" t="b">
        <v>1</v>
      </c>
      <c r="N2812" s="127"/>
    </row>
    <row r="2813" spans="1:14" x14ac:dyDescent="0.25">
      <c r="A2813" s="11" t="s">
        <v>119</v>
      </c>
      <c r="B2813" s="11" t="s">
        <v>119</v>
      </c>
      <c r="C2813" s="26" t="str">
        <f>IF(A2813="","",IF((COUNTIFS(A:A,A2813))&gt;1,"ID重复",""))</f>
        <v/>
      </c>
      <c r="D2813" s="11">
        <v>103</v>
      </c>
      <c r="E2813" s="132" t="str">
        <f>INDEX([1]道具配置表!$D:$D,MATCH(D2813,[1]道具配置表!$A:$A,0))</f>
        <v>1石头</v>
      </c>
      <c r="F2813" s="11">
        <v>36000</v>
      </c>
      <c r="G2813" s="11"/>
      <c r="H2813" s="11"/>
      <c r="I2813" s="11"/>
      <c r="J2813" s="11"/>
      <c r="K2813" s="11">
        <v>1</v>
      </c>
      <c r="L2813" s="11"/>
      <c r="M2813" s="11" t="b">
        <v>1</v>
      </c>
      <c r="N2813" s="127"/>
    </row>
    <row r="2814" spans="1:14" x14ac:dyDescent="0.25">
      <c r="A2814" s="11" t="s">
        <v>119</v>
      </c>
      <c r="B2814" s="11" t="s">
        <v>119</v>
      </c>
      <c r="C2814" s="26" t="str">
        <f>IF(A2814="","",IF((COUNTIFS(A:A,A2814))&gt;1,"ID重复",""))</f>
        <v/>
      </c>
      <c r="D2814" s="11">
        <v>104</v>
      </c>
      <c r="E2814" s="132" t="str">
        <f>INDEX([1]道具配置表!$D:$D,MATCH(D2814,[1]道具配置表!$A:$A,0))</f>
        <v>1黄金</v>
      </c>
      <c r="F2814" s="11">
        <v>36000</v>
      </c>
      <c r="G2814" s="11"/>
      <c r="H2814" s="11"/>
      <c r="I2814" s="11"/>
      <c r="J2814" s="11"/>
      <c r="K2814" s="11">
        <v>1</v>
      </c>
      <c r="L2814" s="11"/>
      <c r="M2814" s="11" t="b">
        <v>1</v>
      </c>
      <c r="N2814" s="127"/>
    </row>
    <row r="2815" spans="1:14" x14ac:dyDescent="0.25">
      <c r="A2815" s="11">
        <v>6622337</v>
      </c>
      <c r="B2815" s="11" t="s">
        <v>160</v>
      </c>
      <c r="C2815" s="26" t="str">
        <f>IF(A2815="","",IF((COUNTIFS(A:A,A2815))&gt;1,"ID重复",""))</f>
        <v/>
      </c>
      <c r="D2815" s="11">
        <v>102</v>
      </c>
      <c r="E2815" s="132" t="str">
        <f>INDEX([1]道具配置表!$D:$D,MATCH(D2815,[1]道具配置表!$A:$A,0))</f>
        <v>1食物</v>
      </c>
      <c r="F2815" s="11">
        <v>37000</v>
      </c>
      <c r="G2815" s="11"/>
      <c r="H2815" s="11"/>
      <c r="I2815" s="11"/>
      <c r="J2815" s="11"/>
      <c r="K2815" s="11">
        <v>1</v>
      </c>
      <c r="L2815" s="11"/>
      <c r="M2815" s="11" t="b">
        <v>1</v>
      </c>
      <c r="N2815" s="127"/>
    </row>
    <row r="2816" spans="1:14" x14ac:dyDescent="0.25">
      <c r="A2816" s="11" t="s">
        <v>119</v>
      </c>
      <c r="B2816" s="11" t="s">
        <v>119</v>
      </c>
      <c r="C2816" s="26" t="str">
        <f>IF(A2816="","",IF((COUNTIFS(A:A,A2816))&gt;1,"ID重复",""))</f>
        <v/>
      </c>
      <c r="D2816" s="11">
        <v>101</v>
      </c>
      <c r="E2816" s="132" t="str">
        <f>INDEX([1]道具配置表!$D:$D,MATCH(D2816,[1]道具配置表!$A:$A,0))</f>
        <v>1木材</v>
      </c>
      <c r="F2816" s="11">
        <v>37000</v>
      </c>
      <c r="G2816" s="11"/>
      <c r="H2816" s="11"/>
      <c r="I2816" s="11"/>
      <c r="J2816" s="11"/>
      <c r="K2816" s="11">
        <v>1</v>
      </c>
      <c r="L2816" s="11"/>
      <c r="M2816" s="11" t="b">
        <v>1</v>
      </c>
      <c r="N2816" s="127"/>
    </row>
    <row r="2817" spans="1:14" x14ac:dyDescent="0.25">
      <c r="A2817" s="11" t="s">
        <v>119</v>
      </c>
      <c r="B2817" s="11" t="s">
        <v>119</v>
      </c>
      <c r="C2817" s="26" t="str">
        <f>IF(A2817="","",IF((COUNTIFS(A:A,A2817))&gt;1,"ID重复",""))</f>
        <v/>
      </c>
      <c r="D2817" s="11">
        <v>103</v>
      </c>
      <c r="E2817" s="132" t="str">
        <f>INDEX([1]道具配置表!$D:$D,MATCH(D2817,[1]道具配置表!$A:$A,0))</f>
        <v>1石头</v>
      </c>
      <c r="F2817" s="11">
        <v>37000</v>
      </c>
      <c r="G2817" s="11"/>
      <c r="H2817" s="11"/>
      <c r="I2817" s="11"/>
      <c r="J2817" s="11"/>
      <c r="K2817" s="11">
        <v>1</v>
      </c>
      <c r="L2817" s="11"/>
      <c r="M2817" s="11" t="b">
        <v>1</v>
      </c>
      <c r="N2817" s="127"/>
    </row>
    <row r="2818" spans="1:14" x14ac:dyDescent="0.25">
      <c r="A2818" s="11" t="s">
        <v>119</v>
      </c>
      <c r="B2818" s="11" t="s">
        <v>119</v>
      </c>
      <c r="C2818" s="26" t="str">
        <f>IF(A2818="","",IF((COUNTIFS(A:A,A2818))&gt;1,"ID重复",""))</f>
        <v/>
      </c>
      <c r="D2818" s="11">
        <v>104</v>
      </c>
      <c r="E2818" s="132" t="str">
        <f>INDEX([1]道具配置表!$D:$D,MATCH(D2818,[1]道具配置表!$A:$A,0))</f>
        <v>1黄金</v>
      </c>
      <c r="F2818" s="11">
        <v>37000</v>
      </c>
      <c r="G2818" s="11"/>
      <c r="H2818" s="11"/>
      <c r="I2818" s="11"/>
      <c r="J2818" s="11"/>
      <c r="K2818" s="11">
        <v>1</v>
      </c>
      <c r="L2818" s="11"/>
      <c r="M2818" s="11" t="b">
        <v>1</v>
      </c>
      <c r="N2818" s="127"/>
    </row>
    <row r="2819" spans="1:14" x14ac:dyDescent="0.25">
      <c r="A2819" s="11">
        <v>6622338</v>
      </c>
      <c r="B2819" s="11" t="s">
        <v>161</v>
      </c>
      <c r="C2819" s="26" t="str">
        <f>IF(A2819="","",IF((COUNTIFS(A:A,A2819))&gt;1,"ID重复",""))</f>
        <v/>
      </c>
      <c r="D2819" s="11">
        <v>102</v>
      </c>
      <c r="E2819" s="132" t="str">
        <f>INDEX([1]道具配置表!$D:$D,MATCH(D2819,[1]道具配置表!$A:$A,0))</f>
        <v>1食物</v>
      </c>
      <c r="F2819" s="11">
        <v>38000</v>
      </c>
      <c r="G2819" s="11"/>
      <c r="H2819" s="11"/>
      <c r="I2819" s="11"/>
      <c r="J2819" s="11"/>
      <c r="K2819" s="11">
        <v>1</v>
      </c>
      <c r="L2819" s="11"/>
      <c r="M2819" s="11" t="b">
        <v>1</v>
      </c>
      <c r="N2819" s="127"/>
    </row>
    <row r="2820" spans="1:14" x14ac:dyDescent="0.25">
      <c r="A2820" s="11" t="s">
        <v>119</v>
      </c>
      <c r="B2820" s="11" t="s">
        <v>119</v>
      </c>
      <c r="C2820" s="26" t="str">
        <f>IF(A2820="","",IF((COUNTIFS(A:A,A2820))&gt;1,"ID重复",""))</f>
        <v/>
      </c>
      <c r="D2820" s="11">
        <v>101</v>
      </c>
      <c r="E2820" s="132" t="str">
        <f>INDEX([1]道具配置表!$D:$D,MATCH(D2820,[1]道具配置表!$A:$A,0))</f>
        <v>1木材</v>
      </c>
      <c r="F2820" s="11">
        <v>38000</v>
      </c>
      <c r="G2820" s="11"/>
      <c r="H2820" s="11"/>
      <c r="I2820" s="11"/>
      <c r="J2820" s="11"/>
      <c r="K2820" s="11">
        <v>1</v>
      </c>
      <c r="L2820" s="11"/>
      <c r="M2820" s="11" t="b">
        <v>1</v>
      </c>
      <c r="N2820" s="127"/>
    </row>
    <row r="2821" spans="1:14" x14ac:dyDescent="0.25">
      <c r="A2821" s="11" t="s">
        <v>119</v>
      </c>
      <c r="B2821" s="11" t="s">
        <v>119</v>
      </c>
      <c r="C2821" s="26" t="str">
        <f>IF(A2821="","",IF((COUNTIFS(A:A,A2821))&gt;1,"ID重复",""))</f>
        <v/>
      </c>
      <c r="D2821" s="11">
        <v>103</v>
      </c>
      <c r="E2821" s="132" t="str">
        <f>INDEX([1]道具配置表!$D:$D,MATCH(D2821,[1]道具配置表!$A:$A,0))</f>
        <v>1石头</v>
      </c>
      <c r="F2821" s="11">
        <v>38000</v>
      </c>
      <c r="G2821" s="11"/>
      <c r="H2821" s="11"/>
      <c r="I2821" s="11"/>
      <c r="J2821" s="11"/>
      <c r="K2821" s="11">
        <v>1</v>
      </c>
      <c r="L2821" s="11"/>
      <c r="M2821" s="11" t="b">
        <v>1</v>
      </c>
      <c r="N2821" s="127"/>
    </row>
    <row r="2822" spans="1:14" x14ac:dyDescent="0.25">
      <c r="A2822" s="11" t="s">
        <v>119</v>
      </c>
      <c r="B2822" s="11" t="s">
        <v>119</v>
      </c>
      <c r="C2822" s="26" t="str">
        <f>IF(A2822="","",IF((COUNTIFS(A:A,A2822))&gt;1,"ID重复",""))</f>
        <v/>
      </c>
      <c r="D2822" s="11">
        <v>104</v>
      </c>
      <c r="E2822" s="132" t="str">
        <f>INDEX([1]道具配置表!$D:$D,MATCH(D2822,[1]道具配置表!$A:$A,0))</f>
        <v>1黄金</v>
      </c>
      <c r="F2822" s="11">
        <v>38000</v>
      </c>
      <c r="G2822" s="11"/>
      <c r="H2822" s="11"/>
      <c r="I2822" s="11"/>
      <c r="J2822" s="11"/>
      <c r="K2822" s="11">
        <v>1</v>
      </c>
      <c r="L2822" s="11"/>
      <c r="M2822" s="11" t="b">
        <v>1</v>
      </c>
      <c r="N2822" s="127"/>
    </row>
    <row r="2823" spans="1:14" x14ac:dyDescent="0.25">
      <c r="A2823" s="11">
        <v>6622339</v>
      </c>
      <c r="B2823" s="11" t="s">
        <v>162</v>
      </c>
      <c r="C2823" s="26" t="str">
        <f>IF(A2823="","",IF((COUNTIFS(A:A,A2823))&gt;1,"ID重复",""))</f>
        <v/>
      </c>
      <c r="D2823" s="11">
        <v>102</v>
      </c>
      <c r="E2823" s="132" t="str">
        <f>INDEX([1]道具配置表!$D:$D,MATCH(D2823,[1]道具配置表!$A:$A,0))</f>
        <v>1食物</v>
      </c>
      <c r="F2823" s="11">
        <v>39000</v>
      </c>
      <c r="G2823" s="11"/>
      <c r="H2823" s="11"/>
      <c r="I2823" s="11"/>
      <c r="J2823" s="11"/>
      <c r="K2823" s="11">
        <v>1</v>
      </c>
      <c r="L2823" s="11"/>
      <c r="M2823" s="11" t="b">
        <v>1</v>
      </c>
      <c r="N2823" s="127"/>
    </row>
    <row r="2824" spans="1:14" x14ac:dyDescent="0.25">
      <c r="A2824" s="11" t="s">
        <v>119</v>
      </c>
      <c r="B2824" s="11" t="s">
        <v>119</v>
      </c>
      <c r="C2824" s="26" t="str">
        <f>IF(A2824="","",IF((COUNTIFS(A:A,A2824))&gt;1,"ID重复",""))</f>
        <v/>
      </c>
      <c r="D2824" s="11">
        <v>101</v>
      </c>
      <c r="E2824" s="132" t="str">
        <f>INDEX([1]道具配置表!$D:$D,MATCH(D2824,[1]道具配置表!$A:$A,0))</f>
        <v>1木材</v>
      </c>
      <c r="F2824" s="11">
        <v>39000</v>
      </c>
      <c r="G2824" s="11"/>
      <c r="H2824" s="11"/>
      <c r="I2824" s="11"/>
      <c r="J2824" s="11"/>
      <c r="K2824" s="11">
        <v>1</v>
      </c>
      <c r="L2824" s="11"/>
      <c r="M2824" s="11" t="b">
        <v>1</v>
      </c>
      <c r="N2824" s="127"/>
    </row>
    <row r="2825" spans="1:14" x14ac:dyDescent="0.25">
      <c r="A2825" s="11" t="s">
        <v>119</v>
      </c>
      <c r="B2825" s="11" t="s">
        <v>119</v>
      </c>
      <c r="C2825" s="26" t="str">
        <f>IF(A2825="","",IF((COUNTIFS(A:A,A2825))&gt;1,"ID重复",""))</f>
        <v/>
      </c>
      <c r="D2825" s="11">
        <v>103</v>
      </c>
      <c r="E2825" s="132" t="str">
        <f>INDEX([1]道具配置表!$D:$D,MATCH(D2825,[1]道具配置表!$A:$A,0))</f>
        <v>1石头</v>
      </c>
      <c r="F2825" s="11">
        <v>39000</v>
      </c>
      <c r="G2825" s="11"/>
      <c r="H2825" s="11"/>
      <c r="I2825" s="11"/>
      <c r="J2825" s="11"/>
      <c r="K2825" s="11">
        <v>1</v>
      </c>
      <c r="L2825" s="11"/>
      <c r="M2825" s="11" t="b">
        <v>1</v>
      </c>
      <c r="N2825" s="127"/>
    </row>
    <row r="2826" spans="1:14" x14ac:dyDescent="0.25">
      <c r="A2826" s="11" t="s">
        <v>119</v>
      </c>
      <c r="B2826" s="11" t="s">
        <v>119</v>
      </c>
      <c r="C2826" s="26" t="str">
        <f>IF(A2826="","",IF((COUNTIFS(A:A,A2826))&gt;1,"ID重复",""))</f>
        <v/>
      </c>
      <c r="D2826" s="11">
        <v>104</v>
      </c>
      <c r="E2826" s="132" t="str">
        <f>INDEX([1]道具配置表!$D:$D,MATCH(D2826,[1]道具配置表!$A:$A,0))</f>
        <v>1黄金</v>
      </c>
      <c r="F2826" s="11">
        <v>39000</v>
      </c>
      <c r="G2826" s="11"/>
      <c r="H2826" s="11"/>
      <c r="I2826" s="11"/>
      <c r="J2826" s="11"/>
      <c r="K2826" s="11">
        <v>1</v>
      </c>
      <c r="L2826" s="11"/>
      <c r="M2826" s="11" t="b">
        <v>1</v>
      </c>
      <c r="N2826" s="127"/>
    </row>
    <row r="2827" spans="1:14" x14ac:dyDescent="0.25">
      <c r="A2827" s="11">
        <v>6622340</v>
      </c>
      <c r="B2827" s="11" t="s">
        <v>163</v>
      </c>
      <c r="C2827" s="26" t="str">
        <f>IF(A2827="","",IF((COUNTIFS(A:A,A2827))&gt;1,"ID重复",""))</f>
        <v/>
      </c>
      <c r="D2827" s="11">
        <v>102</v>
      </c>
      <c r="E2827" s="132" t="str">
        <f>INDEX([1]道具配置表!$D:$D,MATCH(D2827,[1]道具配置表!$A:$A,0))</f>
        <v>1食物</v>
      </c>
      <c r="F2827" s="11">
        <v>40000</v>
      </c>
      <c r="G2827" s="11"/>
      <c r="H2827" s="11"/>
      <c r="I2827" s="11"/>
      <c r="J2827" s="11"/>
      <c r="K2827" s="11">
        <v>1</v>
      </c>
      <c r="L2827" s="11"/>
      <c r="M2827" s="11" t="b">
        <v>1</v>
      </c>
      <c r="N2827" s="127"/>
    </row>
    <row r="2828" spans="1:14" x14ac:dyDescent="0.25">
      <c r="A2828" s="11" t="s">
        <v>119</v>
      </c>
      <c r="B2828" s="11" t="s">
        <v>119</v>
      </c>
      <c r="C2828" s="26" t="str">
        <f>IF(A2828="","",IF((COUNTIFS(A:A,A2828))&gt;1,"ID重复",""))</f>
        <v/>
      </c>
      <c r="D2828" s="11">
        <v>101</v>
      </c>
      <c r="E2828" s="132" t="str">
        <f>INDEX([1]道具配置表!$D:$D,MATCH(D2828,[1]道具配置表!$A:$A,0))</f>
        <v>1木材</v>
      </c>
      <c r="F2828" s="11">
        <v>40000</v>
      </c>
      <c r="G2828" s="11"/>
      <c r="H2828" s="11"/>
      <c r="I2828" s="11"/>
      <c r="J2828" s="11"/>
      <c r="K2828" s="11">
        <v>1</v>
      </c>
      <c r="L2828" s="11"/>
      <c r="M2828" s="11" t="b">
        <v>1</v>
      </c>
      <c r="N2828" s="127"/>
    </row>
    <row r="2829" spans="1:14" x14ac:dyDescent="0.25">
      <c r="A2829" s="11" t="s">
        <v>119</v>
      </c>
      <c r="B2829" s="11" t="s">
        <v>119</v>
      </c>
      <c r="C2829" s="26" t="str">
        <f>IF(A2829="","",IF((COUNTIFS(A:A,A2829))&gt;1,"ID重复",""))</f>
        <v/>
      </c>
      <c r="D2829" s="11">
        <v>103</v>
      </c>
      <c r="E2829" s="132" t="str">
        <f>INDEX([1]道具配置表!$D:$D,MATCH(D2829,[1]道具配置表!$A:$A,0))</f>
        <v>1石头</v>
      </c>
      <c r="F2829" s="11">
        <v>40000</v>
      </c>
      <c r="G2829" s="11"/>
      <c r="H2829" s="11"/>
      <c r="I2829" s="11"/>
      <c r="J2829" s="11"/>
      <c r="K2829" s="11">
        <v>1</v>
      </c>
      <c r="L2829" s="11"/>
      <c r="M2829" s="11" t="b">
        <v>1</v>
      </c>
      <c r="N2829" s="127"/>
    </row>
    <row r="2830" spans="1:14" x14ac:dyDescent="0.25">
      <c r="A2830" s="11" t="s">
        <v>119</v>
      </c>
      <c r="B2830" s="11" t="s">
        <v>119</v>
      </c>
      <c r="C2830" s="26" t="str">
        <f>IF(A2830="","",IF((COUNTIFS(A:A,A2830))&gt;1,"ID重复",""))</f>
        <v/>
      </c>
      <c r="D2830" s="11">
        <v>104</v>
      </c>
      <c r="E2830" s="132" t="str">
        <f>INDEX([1]道具配置表!$D:$D,MATCH(D2830,[1]道具配置表!$A:$A,0))</f>
        <v>1黄金</v>
      </c>
      <c r="F2830" s="11">
        <v>40000</v>
      </c>
      <c r="G2830" s="11"/>
      <c r="H2830" s="11"/>
      <c r="I2830" s="11"/>
      <c r="J2830" s="11"/>
      <c r="K2830" s="11">
        <v>1</v>
      </c>
      <c r="L2830" s="11"/>
      <c r="M2830" s="11" t="b">
        <v>1</v>
      </c>
      <c r="N2830" s="127"/>
    </row>
    <row r="2831" spans="1:14" x14ac:dyDescent="0.25">
      <c r="A2831" s="11">
        <v>6622341</v>
      </c>
      <c r="B2831" s="11" t="s">
        <v>164</v>
      </c>
      <c r="C2831" s="26" t="str">
        <f>IF(A2831="","",IF((COUNTIFS(A:A,A2831))&gt;1,"ID重复",""))</f>
        <v/>
      </c>
      <c r="D2831" s="11">
        <v>102</v>
      </c>
      <c r="E2831" s="132" t="str">
        <f>INDEX([1]道具配置表!$D:$D,MATCH(D2831,[1]道具配置表!$A:$A,0))</f>
        <v>1食物</v>
      </c>
      <c r="F2831" s="11">
        <v>41000</v>
      </c>
      <c r="G2831" s="11"/>
      <c r="H2831" s="11"/>
      <c r="I2831" s="11"/>
      <c r="J2831" s="11"/>
      <c r="K2831" s="11">
        <v>1</v>
      </c>
      <c r="L2831" s="11"/>
      <c r="M2831" s="11" t="b">
        <v>1</v>
      </c>
      <c r="N2831" s="127"/>
    </row>
    <row r="2832" spans="1:14" x14ac:dyDescent="0.25">
      <c r="A2832" s="11" t="s">
        <v>119</v>
      </c>
      <c r="B2832" s="11" t="s">
        <v>119</v>
      </c>
      <c r="C2832" s="26" t="str">
        <f>IF(A2832="","",IF((COUNTIFS(A:A,A2832))&gt;1,"ID重复",""))</f>
        <v/>
      </c>
      <c r="D2832" s="11">
        <v>101</v>
      </c>
      <c r="E2832" s="132" t="str">
        <f>INDEX([1]道具配置表!$D:$D,MATCH(D2832,[1]道具配置表!$A:$A,0))</f>
        <v>1木材</v>
      </c>
      <c r="F2832" s="11">
        <v>41000</v>
      </c>
      <c r="G2832" s="11"/>
      <c r="H2832" s="11"/>
      <c r="I2832" s="11"/>
      <c r="J2832" s="11"/>
      <c r="K2832" s="11">
        <v>1</v>
      </c>
      <c r="L2832" s="11"/>
      <c r="M2832" s="11" t="b">
        <v>1</v>
      </c>
      <c r="N2832" s="127"/>
    </row>
    <row r="2833" spans="1:14" x14ac:dyDescent="0.25">
      <c r="A2833" s="11" t="s">
        <v>119</v>
      </c>
      <c r="B2833" s="11" t="s">
        <v>119</v>
      </c>
      <c r="C2833" s="26" t="str">
        <f>IF(A2833="","",IF((COUNTIFS(A:A,A2833))&gt;1,"ID重复",""))</f>
        <v/>
      </c>
      <c r="D2833" s="11">
        <v>103</v>
      </c>
      <c r="E2833" s="132" t="str">
        <f>INDEX([1]道具配置表!$D:$D,MATCH(D2833,[1]道具配置表!$A:$A,0))</f>
        <v>1石头</v>
      </c>
      <c r="F2833" s="11">
        <v>41000</v>
      </c>
      <c r="G2833" s="11"/>
      <c r="H2833" s="11"/>
      <c r="I2833" s="11"/>
      <c r="J2833" s="11"/>
      <c r="K2833" s="11">
        <v>1</v>
      </c>
      <c r="L2833" s="11"/>
      <c r="M2833" s="11" t="b">
        <v>1</v>
      </c>
      <c r="N2833" s="127"/>
    </row>
    <row r="2834" spans="1:14" x14ac:dyDescent="0.25">
      <c r="A2834" s="11" t="s">
        <v>119</v>
      </c>
      <c r="B2834" s="11" t="s">
        <v>119</v>
      </c>
      <c r="C2834" s="26" t="str">
        <f>IF(A2834="","",IF((COUNTIFS(A:A,A2834))&gt;1,"ID重复",""))</f>
        <v/>
      </c>
      <c r="D2834" s="11">
        <v>104</v>
      </c>
      <c r="E2834" s="132" t="str">
        <f>INDEX([1]道具配置表!$D:$D,MATCH(D2834,[1]道具配置表!$A:$A,0))</f>
        <v>1黄金</v>
      </c>
      <c r="F2834" s="11">
        <v>41000</v>
      </c>
      <c r="G2834" s="11"/>
      <c r="H2834" s="11"/>
      <c r="I2834" s="11"/>
      <c r="J2834" s="11"/>
      <c r="K2834" s="11">
        <v>1</v>
      </c>
      <c r="L2834" s="11"/>
      <c r="M2834" s="11" t="b">
        <v>1</v>
      </c>
      <c r="N2834" s="127"/>
    </row>
    <row r="2835" spans="1:14" x14ac:dyDescent="0.25">
      <c r="A2835" s="11">
        <v>6622342</v>
      </c>
      <c r="B2835" s="11" t="s">
        <v>165</v>
      </c>
      <c r="C2835" s="26" t="str">
        <f>IF(A2835="","",IF((COUNTIFS(A:A,A2835))&gt;1,"ID重复",""))</f>
        <v/>
      </c>
      <c r="D2835" s="11">
        <v>102</v>
      </c>
      <c r="E2835" s="132" t="str">
        <f>INDEX([1]道具配置表!$D:$D,MATCH(D2835,[1]道具配置表!$A:$A,0))</f>
        <v>1食物</v>
      </c>
      <c r="F2835" s="11">
        <v>42000</v>
      </c>
      <c r="G2835" s="11"/>
      <c r="H2835" s="11"/>
      <c r="I2835" s="11"/>
      <c r="J2835" s="11"/>
      <c r="K2835" s="11">
        <v>1</v>
      </c>
      <c r="L2835" s="11"/>
      <c r="M2835" s="11" t="b">
        <v>1</v>
      </c>
      <c r="N2835" s="127"/>
    </row>
    <row r="2836" spans="1:14" x14ac:dyDescent="0.25">
      <c r="A2836" s="11" t="s">
        <v>119</v>
      </c>
      <c r="B2836" s="11" t="s">
        <v>119</v>
      </c>
      <c r="C2836" s="26" t="str">
        <f>IF(A2836="","",IF((COUNTIFS(A:A,A2836))&gt;1,"ID重复",""))</f>
        <v/>
      </c>
      <c r="D2836" s="11">
        <v>101</v>
      </c>
      <c r="E2836" s="132" t="str">
        <f>INDEX([1]道具配置表!$D:$D,MATCH(D2836,[1]道具配置表!$A:$A,0))</f>
        <v>1木材</v>
      </c>
      <c r="F2836" s="11">
        <v>42000</v>
      </c>
      <c r="G2836" s="11"/>
      <c r="H2836" s="11"/>
      <c r="I2836" s="11"/>
      <c r="J2836" s="11"/>
      <c r="K2836" s="11">
        <v>1</v>
      </c>
      <c r="L2836" s="11"/>
      <c r="M2836" s="11" t="b">
        <v>1</v>
      </c>
      <c r="N2836" s="127"/>
    </row>
    <row r="2837" spans="1:14" x14ac:dyDescent="0.25">
      <c r="A2837" s="11" t="s">
        <v>119</v>
      </c>
      <c r="B2837" s="11" t="s">
        <v>119</v>
      </c>
      <c r="C2837" s="26" t="str">
        <f>IF(A2837="","",IF((COUNTIFS(A:A,A2837))&gt;1,"ID重复",""))</f>
        <v/>
      </c>
      <c r="D2837" s="11">
        <v>103</v>
      </c>
      <c r="E2837" s="132" t="str">
        <f>INDEX([1]道具配置表!$D:$D,MATCH(D2837,[1]道具配置表!$A:$A,0))</f>
        <v>1石头</v>
      </c>
      <c r="F2837" s="11">
        <v>42000</v>
      </c>
      <c r="G2837" s="11"/>
      <c r="H2837" s="11"/>
      <c r="I2837" s="11"/>
      <c r="J2837" s="11"/>
      <c r="K2837" s="11">
        <v>1</v>
      </c>
      <c r="L2837" s="11"/>
      <c r="M2837" s="11" t="b">
        <v>1</v>
      </c>
      <c r="N2837" s="127"/>
    </row>
    <row r="2838" spans="1:14" x14ac:dyDescent="0.25">
      <c r="A2838" s="11" t="s">
        <v>119</v>
      </c>
      <c r="B2838" s="11" t="s">
        <v>119</v>
      </c>
      <c r="C2838" s="26" t="str">
        <f>IF(A2838="","",IF((COUNTIFS(A:A,A2838))&gt;1,"ID重复",""))</f>
        <v/>
      </c>
      <c r="D2838" s="11">
        <v>104</v>
      </c>
      <c r="E2838" s="132" t="str">
        <f>INDEX([1]道具配置表!$D:$D,MATCH(D2838,[1]道具配置表!$A:$A,0))</f>
        <v>1黄金</v>
      </c>
      <c r="F2838" s="11">
        <v>42000</v>
      </c>
      <c r="G2838" s="11"/>
      <c r="H2838" s="11"/>
      <c r="I2838" s="11"/>
      <c r="J2838" s="11"/>
      <c r="K2838" s="11">
        <v>1</v>
      </c>
      <c r="L2838" s="11"/>
      <c r="M2838" s="11" t="b">
        <v>1</v>
      </c>
      <c r="N2838" s="10"/>
    </row>
    <row r="2839" spans="1:14" x14ac:dyDescent="0.25">
      <c r="A2839" s="11">
        <v>6622343</v>
      </c>
      <c r="B2839" s="11" t="s">
        <v>166</v>
      </c>
      <c r="C2839" s="26" t="str">
        <f>IF(A2839="","",IF((COUNTIFS(A:A,A2839))&gt;1,"ID重复",""))</f>
        <v/>
      </c>
      <c r="D2839" s="11">
        <v>102</v>
      </c>
      <c r="E2839" s="132" t="str">
        <f>INDEX([1]道具配置表!$D:$D,MATCH(D2839,[1]道具配置表!$A:$A,0))</f>
        <v>1食物</v>
      </c>
      <c r="F2839" s="11">
        <v>43000</v>
      </c>
      <c r="G2839" s="11"/>
      <c r="H2839" s="11"/>
      <c r="I2839" s="11"/>
      <c r="J2839" s="11"/>
      <c r="K2839" s="11">
        <v>1</v>
      </c>
      <c r="L2839" s="11"/>
      <c r="M2839" s="11" t="b">
        <v>1</v>
      </c>
      <c r="N2839" s="10"/>
    </row>
    <row r="2840" spans="1:14" x14ac:dyDescent="0.25">
      <c r="A2840" s="11" t="s">
        <v>119</v>
      </c>
      <c r="B2840" s="11" t="s">
        <v>119</v>
      </c>
      <c r="C2840" s="26" t="str">
        <f>IF(A2840="","",IF((COUNTIFS(A:A,A2840))&gt;1,"ID重复",""))</f>
        <v/>
      </c>
      <c r="D2840" s="11">
        <v>101</v>
      </c>
      <c r="E2840" s="132" t="str">
        <f>INDEX([1]道具配置表!$D:$D,MATCH(D2840,[1]道具配置表!$A:$A,0))</f>
        <v>1木材</v>
      </c>
      <c r="F2840" s="11">
        <v>43000</v>
      </c>
      <c r="G2840" s="11"/>
      <c r="H2840" s="11"/>
      <c r="I2840" s="11"/>
      <c r="J2840" s="11"/>
      <c r="K2840" s="11">
        <v>1</v>
      </c>
      <c r="L2840" s="11"/>
      <c r="M2840" s="11" t="b">
        <v>1</v>
      </c>
      <c r="N2840" s="10"/>
    </row>
    <row r="2841" spans="1:14" x14ac:dyDescent="0.25">
      <c r="A2841" s="11" t="s">
        <v>119</v>
      </c>
      <c r="B2841" s="11" t="s">
        <v>119</v>
      </c>
      <c r="C2841" s="26" t="str">
        <f>IF(A2841="","",IF((COUNTIFS(A:A,A2841))&gt;1,"ID重复",""))</f>
        <v/>
      </c>
      <c r="D2841" s="11">
        <v>103</v>
      </c>
      <c r="E2841" s="132" t="str">
        <f>INDEX([1]道具配置表!$D:$D,MATCH(D2841,[1]道具配置表!$A:$A,0))</f>
        <v>1石头</v>
      </c>
      <c r="F2841" s="11">
        <v>43000</v>
      </c>
      <c r="G2841" s="11"/>
      <c r="H2841" s="11"/>
      <c r="I2841" s="11"/>
      <c r="J2841" s="11"/>
      <c r="K2841" s="11">
        <v>1</v>
      </c>
      <c r="L2841" s="11"/>
      <c r="M2841" s="11" t="b">
        <v>1</v>
      </c>
      <c r="N2841" s="10"/>
    </row>
    <row r="2842" spans="1:14" x14ac:dyDescent="0.25">
      <c r="A2842" s="11" t="s">
        <v>119</v>
      </c>
      <c r="B2842" s="11" t="s">
        <v>119</v>
      </c>
      <c r="C2842" s="26" t="str">
        <f>IF(A2842="","",IF((COUNTIFS(A:A,A2842))&gt;1,"ID重复",""))</f>
        <v/>
      </c>
      <c r="D2842" s="11">
        <v>104</v>
      </c>
      <c r="E2842" s="132" t="str">
        <f>INDEX([1]道具配置表!$D:$D,MATCH(D2842,[1]道具配置表!$A:$A,0))</f>
        <v>1黄金</v>
      </c>
      <c r="F2842" s="11">
        <v>43000</v>
      </c>
      <c r="G2842" s="11"/>
      <c r="H2842" s="11"/>
      <c r="I2842" s="11"/>
      <c r="J2842" s="11"/>
      <c r="K2842" s="11">
        <v>1</v>
      </c>
      <c r="L2842" s="11"/>
      <c r="M2842" s="11" t="b">
        <v>1</v>
      </c>
      <c r="N2842" s="10"/>
    </row>
    <row r="2843" spans="1:14" x14ac:dyDescent="0.25">
      <c r="A2843" s="11">
        <v>6622344</v>
      </c>
      <c r="B2843" s="11" t="s">
        <v>167</v>
      </c>
      <c r="C2843" s="26" t="str">
        <f>IF(A2843="","",IF((COUNTIFS(A:A,A2843))&gt;1,"ID重复",""))</f>
        <v/>
      </c>
      <c r="D2843" s="11">
        <v>102</v>
      </c>
      <c r="E2843" s="132" t="str">
        <f>INDEX([1]道具配置表!$D:$D,MATCH(D2843,[1]道具配置表!$A:$A,0))</f>
        <v>1食物</v>
      </c>
      <c r="F2843" s="11">
        <v>44000</v>
      </c>
      <c r="G2843" s="11"/>
      <c r="H2843" s="11"/>
      <c r="I2843" s="11"/>
      <c r="J2843" s="11"/>
      <c r="K2843" s="11">
        <v>1</v>
      </c>
      <c r="L2843" s="11"/>
      <c r="M2843" s="11" t="b">
        <v>1</v>
      </c>
      <c r="N2843" s="10"/>
    </row>
    <row r="2844" spans="1:14" x14ac:dyDescent="0.25">
      <c r="A2844" s="11" t="s">
        <v>119</v>
      </c>
      <c r="B2844" s="11" t="s">
        <v>119</v>
      </c>
      <c r="C2844" s="26" t="str">
        <f>IF(A2844="","",IF((COUNTIFS(A:A,A2844))&gt;1,"ID重复",""))</f>
        <v/>
      </c>
      <c r="D2844" s="11">
        <v>101</v>
      </c>
      <c r="E2844" s="132" t="str">
        <f>INDEX([1]道具配置表!$D:$D,MATCH(D2844,[1]道具配置表!$A:$A,0))</f>
        <v>1木材</v>
      </c>
      <c r="F2844" s="11">
        <v>44000</v>
      </c>
      <c r="G2844" s="11"/>
      <c r="H2844" s="11"/>
      <c r="I2844" s="11"/>
      <c r="J2844" s="11"/>
      <c r="K2844" s="11">
        <v>1</v>
      </c>
      <c r="L2844" s="11"/>
      <c r="M2844" s="11" t="b">
        <v>1</v>
      </c>
      <c r="N2844" s="10"/>
    </row>
    <row r="2845" spans="1:14" x14ac:dyDescent="0.25">
      <c r="A2845" s="11" t="s">
        <v>119</v>
      </c>
      <c r="B2845" s="11" t="s">
        <v>119</v>
      </c>
      <c r="C2845" s="26" t="str">
        <f>IF(A2845="","",IF((COUNTIFS(A:A,A2845))&gt;1,"ID重复",""))</f>
        <v/>
      </c>
      <c r="D2845" s="11">
        <v>103</v>
      </c>
      <c r="E2845" s="132" t="str">
        <f>INDEX([1]道具配置表!$D:$D,MATCH(D2845,[1]道具配置表!$A:$A,0))</f>
        <v>1石头</v>
      </c>
      <c r="F2845" s="11">
        <v>44000</v>
      </c>
      <c r="G2845" s="11"/>
      <c r="H2845" s="11"/>
      <c r="I2845" s="11"/>
      <c r="J2845" s="11"/>
      <c r="K2845" s="11">
        <v>1</v>
      </c>
      <c r="L2845" s="11"/>
      <c r="M2845" s="11" t="b">
        <v>1</v>
      </c>
      <c r="N2845" s="10"/>
    </row>
    <row r="2846" spans="1:14" x14ac:dyDescent="0.25">
      <c r="A2846" s="11" t="s">
        <v>119</v>
      </c>
      <c r="B2846" s="11" t="s">
        <v>119</v>
      </c>
      <c r="C2846" s="26" t="str">
        <f>IF(A2846="","",IF((COUNTIFS(A:A,A2846))&gt;1,"ID重复",""))</f>
        <v/>
      </c>
      <c r="D2846" s="11">
        <v>104</v>
      </c>
      <c r="E2846" s="132" t="str">
        <f>INDEX([1]道具配置表!$D:$D,MATCH(D2846,[1]道具配置表!$A:$A,0))</f>
        <v>1黄金</v>
      </c>
      <c r="F2846" s="11">
        <v>44000</v>
      </c>
      <c r="G2846" s="11"/>
      <c r="H2846" s="11"/>
      <c r="I2846" s="11"/>
      <c r="J2846" s="11"/>
      <c r="K2846" s="11">
        <v>1</v>
      </c>
      <c r="L2846" s="11"/>
      <c r="M2846" s="11" t="b">
        <v>1</v>
      </c>
      <c r="N2846" s="10"/>
    </row>
    <row r="2847" spans="1:14" x14ac:dyDescent="0.25">
      <c r="A2847" s="11">
        <v>6622345</v>
      </c>
      <c r="B2847" s="11" t="s">
        <v>168</v>
      </c>
      <c r="C2847" s="26" t="str">
        <f>IF(A2847="","",IF((COUNTIFS(A:A,A2847))&gt;1,"ID重复",""))</f>
        <v/>
      </c>
      <c r="D2847" s="11">
        <v>102</v>
      </c>
      <c r="E2847" s="132" t="str">
        <f>INDEX([1]道具配置表!$D:$D,MATCH(D2847,[1]道具配置表!$A:$A,0))</f>
        <v>1食物</v>
      </c>
      <c r="F2847" s="11">
        <v>45000</v>
      </c>
      <c r="G2847" s="11"/>
      <c r="H2847" s="11"/>
      <c r="I2847" s="11"/>
      <c r="J2847" s="11"/>
      <c r="K2847" s="11">
        <v>1</v>
      </c>
      <c r="L2847" s="11"/>
      <c r="M2847" s="11" t="b">
        <v>1</v>
      </c>
      <c r="N2847" s="10"/>
    </row>
    <row r="2848" spans="1:14" x14ac:dyDescent="0.25">
      <c r="A2848" s="11" t="s">
        <v>119</v>
      </c>
      <c r="B2848" s="11" t="s">
        <v>119</v>
      </c>
      <c r="C2848" s="26" t="str">
        <f>IF(A2848="","",IF((COUNTIFS(A:A,A2848))&gt;1,"ID重复",""))</f>
        <v/>
      </c>
      <c r="D2848" s="11">
        <v>101</v>
      </c>
      <c r="E2848" s="132" t="str">
        <f>INDEX([1]道具配置表!$D:$D,MATCH(D2848,[1]道具配置表!$A:$A,0))</f>
        <v>1木材</v>
      </c>
      <c r="F2848" s="11">
        <v>45000</v>
      </c>
      <c r="G2848" s="11"/>
      <c r="H2848" s="11"/>
      <c r="I2848" s="11"/>
      <c r="J2848" s="11"/>
      <c r="K2848" s="11">
        <v>1</v>
      </c>
      <c r="L2848" s="11"/>
      <c r="M2848" s="11" t="b">
        <v>1</v>
      </c>
      <c r="N2848" s="10"/>
    </row>
    <row r="2849" spans="1:14" x14ac:dyDescent="0.25">
      <c r="A2849" s="11" t="s">
        <v>119</v>
      </c>
      <c r="B2849" s="11" t="s">
        <v>119</v>
      </c>
      <c r="C2849" s="26" t="str">
        <f>IF(A2849="","",IF((COUNTIFS(A:A,A2849))&gt;1,"ID重复",""))</f>
        <v/>
      </c>
      <c r="D2849" s="11">
        <v>103</v>
      </c>
      <c r="E2849" s="132" t="str">
        <f>INDEX([1]道具配置表!$D:$D,MATCH(D2849,[1]道具配置表!$A:$A,0))</f>
        <v>1石头</v>
      </c>
      <c r="F2849" s="11">
        <v>45000</v>
      </c>
      <c r="G2849" s="11"/>
      <c r="H2849" s="11"/>
      <c r="I2849" s="11"/>
      <c r="J2849" s="11"/>
      <c r="K2849" s="11">
        <v>1</v>
      </c>
      <c r="L2849" s="11"/>
      <c r="M2849" s="11" t="b">
        <v>1</v>
      </c>
      <c r="N2849" s="10"/>
    </row>
    <row r="2850" spans="1:14" x14ac:dyDescent="0.25">
      <c r="A2850" s="11" t="s">
        <v>119</v>
      </c>
      <c r="B2850" s="11" t="s">
        <v>119</v>
      </c>
      <c r="C2850" s="26" t="str">
        <f>IF(A2850="","",IF((COUNTIFS(A:A,A2850))&gt;1,"ID重复",""))</f>
        <v/>
      </c>
      <c r="D2850" s="11">
        <v>104</v>
      </c>
      <c r="E2850" s="132" t="str">
        <f>INDEX([1]道具配置表!$D:$D,MATCH(D2850,[1]道具配置表!$A:$A,0))</f>
        <v>1黄金</v>
      </c>
      <c r="F2850" s="11">
        <v>45000</v>
      </c>
      <c r="G2850" s="11"/>
      <c r="H2850" s="11"/>
      <c r="I2850" s="11"/>
      <c r="J2850" s="11"/>
      <c r="K2850" s="11">
        <v>1</v>
      </c>
      <c r="L2850" s="11"/>
      <c r="M2850" s="11" t="b">
        <v>1</v>
      </c>
      <c r="N2850" s="10"/>
    </row>
    <row r="2851" spans="1:14" x14ac:dyDescent="0.25">
      <c r="A2851" s="11">
        <v>6622346</v>
      </c>
      <c r="B2851" s="11" t="s">
        <v>169</v>
      </c>
      <c r="C2851" s="26" t="str">
        <f>IF(A2851="","",IF((COUNTIFS(A:A,A2851))&gt;1,"ID重复",""))</f>
        <v/>
      </c>
      <c r="D2851" s="11">
        <v>102</v>
      </c>
      <c r="E2851" s="132" t="str">
        <f>INDEX([1]道具配置表!$D:$D,MATCH(D2851,[1]道具配置表!$A:$A,0))</f>
        <v>1食物</v>
      </c>
      <c r="F2851" s="11">
        <v>46000</v>
      </c>
      <c r="G2851" s="11"/>
      <c r="H2851" s="11"/>
      <c r="I2851" s="11"/>
      <c r="J2851" s="11"/>
      <c r="K2851" s="11">
        <v>1</v>
      </c>
      <c r="L2851" s="11"/>
      <c r="M2851" s="11" t="b">
        <v>1</v>
      </c>
      <c r="N2851" s="10"/>
    </row>
    <row r="2852" spans="1:14" x14ac:dyDescent="0.25">
      <c r="A2852" s="11" t="s">
        <v>119</v>
      </c>
      <c r="B2852" s="11" t="s">
        <v>119</v>
      </c>
      <c r="C2852" s="26" t="str">
        <f>IF(A2852="","",IF((COUNTIFS(A:A,A2852))&gt;1,"ID重复",""))</f>
        <v/>
      </c>
      <c r="D2852" s="11">
        <v>101</v>
      </c>
      <c r="E2852" s="132" t="str">
        <f>INDEX([1]道具配置表!$D:$D,MATCH(D2852,[1]道具配置表!$A:$A,0))</f>
        <v>1木材</v>
      </c>
      <c r="F2852" s="11">
        <v>46000</v>
      </c>
      <c r="G2852" s="11"/>
      <c r="H2852" s="11"/>
      <c r="I2852" s="11"/>
      <c r="J2852" s="11"/>
      <c r="K2852" s="11">
        <v>1</v>
      </c>
      <c r="L2852" s="11"/>
      <c r="M2852" s="11" t="b">
        <v>1</v>
      </c>
      <c r="N2852" s="10"/>
    </row>
    <row r="2853" spans="1:14" x14ac:dyDescent="0.25">
      <c r="A2853" s="11" t="s">
        <v>119</v>
      </c>
      <c r="B2853" s="11" t="s">
        <v>119</v>
      </c>
      <c r="C2853" s="26" t="str">
        <f>IF(A2853="","",IF((COUNTIFS(A:A,A2853))&gt;1,"ID重复",""))</f>
        <v/>
      </c>
      <c r="D2853" s="11">
        <v>103</v>
      </c>
      <c r="E2853" s="132" t="str">
        <f>INDEX([1]道具配置表!$D:$D,MATCH(D2853,[1]道具配置表!$A:$A,0))</f>
        <v>1石头</v>
      </c>
      <c r="F2853" s="11">
        <v>46000</v>
      </c>
      <c r="G2853" s="11"/>
      <c r="H2853" s="11"/>
      <c r="I2853" s="11"/>
      <c r="J2853" s="11"/>
      <c r="K2853" s="11">
        <v>1</v>
      </c>
      <c r="L2853" s="11"/>
      <c r="M2853" s="11" t="b">
        <v>1</v>
      </c>
      <c r="N2853" s="10"/>
    </row>
    <row r="2854" spans="1:14" x14ac:dyDescent="0.25">
      <c r="A2854" s="11" t="s">
        <v>119</v>
      </c>
      <c r="B2854" s="11" t="s">
        <v>119</v>
      </c>
      <c r="C2854" s="26" t="str">
        <f>IF(A2854="","",IF((COUNTIFS(A:A,A2854))&gt;1,"ID重复",""))</f>
        <v/>
      </c>
      <c r="D2854" s="11">
        <v>104</v>
      </c>
      <c r="E2854" s="132" t="str">
        <f>INDEX([1]道具配置表!$D:$D,MATCH(D2854,[1]道具配置表!$A:$A,0))</f>
        <v>1黄金</v>
      </c>
      <c r="F2854" s="11">
        <v>46000</v>
      </c>
      <c r="G2854" s="11"/>
      <c r="H2854" s="11"/>
      <c r="I2854" s="11"/>
      <c r="J2854" s="11"/>
      <c r="K2854" s="11">
        <v>1</v>
      </c>
      <c r="L2854" s="11"/>
      <c r="M2854" s="11" t="b">
        <v>1</v>
      </c>
      <c r="N2854" s="10"/>
    </row>
    <row r="2855" spans="1:14" x14ac:dyDescent="0.25">
      <c r="A2855" s="11">
        <v>6622347</v>
      </c>
      <c r="B2855" s="11" t="s">
        <v>170</v>
      </c>
      <c r="C2855" s="26" t="str">
        <f>IF(A2855="","",IF((COUNTIFS(A:A,A2855))&gt;1,"ID重复",""))</f>
        <v/>
      </c>
      <c r="D2855" s="11">
        <v>102</v>
      </c>
      <c r="E2855" s="132" t="str">
        <f>INDEX([1]道具配置表!$D:$D,MATCH(D2855,[1]道具配置表!$A:$A,0))</f>
        <v>1食物</v>
      </c>
      <c r="F2855" s="11">
        <v>47000</v>
      </c>
      <c r="G2855" s="11"/>
      <c r="H2855" s="11"/>
      <c r="I2855" s="11"/>
      <c r="J2855" s="11"/>
      <c r="K2855" s="11">
        <v>1</v>
      </c>
      <c r="L2855" s="11"/>
      <c r="M2855" s="11" t="b">
        <v>1</v>
      </c>
      <c r="N2855" s="10"/>
    </row>
    <row r="2856" spans="1:14" x14ac:dyDescent="0.25">
      <c r="A2856" s="11" t="s">
        <v>119</v>
      </c>
      <c r="B2856" s="11" t="s">
        <v>119</v>
      </c>
      <c r="C2856" s="26" t="str">
        <f>IF(A2856="","",IF((COUNTIFS(A:A,A2856))&gt;1,"ID重复",""))</f>
        <v/>
      </c>
      <c r="D2856" s="11">
        <v>101</v>
      </c>
      <c r="E2856" s="132" t="str">
        <f>INDEX([1]道具配置表!$D:$D,MATCH(D2856,[1]道具配置表!$A:$A,0))</f>
        <v>1木材</v>
      </c>
      <c r="F2856" s="11">
        <v>47000</v>
      </c>
      <c r="G2856" s="11"/>
      <c r="H2856" s="11"/>
      <c r="I2856" s="11"/>
      <c r="J2856" s="11"/>
      <c r="K2856" s="11">
        <v>1</v>
      </c>
      <c r="L2856" s="11"/>
      <c r="M2856" s="11" t="b">
        <v>1</v>
      </c>
      <c r="N2856" s="10"/>
    </row>
    <row r="2857" spans="1:14" x14ac:dyDescent="0.25">
      <c r="A2857" s="11" t="s">
        <v>119</v>
      </c>
      <c r="B2857" s="11" t="s">
        <v>119</v>
      </c>
      <c r="C2857" s="26" t="str">
        <f>IF(A2857="","",IF((COUNTIFS(A:A,A2857))&gt;1,"ID重复",""))</f>
        <v/>
      </c>
      <c r="D2857" s="11">
        <v>103</v>
      </c>
      <c r="E2857" s="132" t="str">
        <f>INDEX([1]道具配置表!$D:$D,MATCH(D2857,[1]道具配置表!$A:$A,0))</f>
        <v>1石头</v>
      </c>
      <c r="F2857" s="11">
        <v>47000</v>
      </c>
      <c r="G2857" s="11"/>
      <c r="H2857" s="11"/>
      <c r="I2857" s="11"/>
      <c r="J2857" s="11"/>
      <c r="K2857" s="11">
        <v>1</v>
      </c>
      <c r="L2857" s="11"/>
      <c r="M2857" s="11" t="b">
        <v>1</v>
      </c>
      <c r="N2857" s="10"/>
    </row>
    <row r="2858" spans="1:14" x14ac:dyDescent="0.25">
      <c r="A2858" s="11" t="s">
        <v>119</v>
      </c>
      <c r="B2858" s="11" t="s">
        <v>119</v>
      </c>
      <c r="C2858" s="26" t="str">
        <f>IF(A2858="","",IF((COUNTIFS(A:A,A2858))&gt;1,"ID重复",""))</f>
        <v/>
      </c>
      <c r="D2858" s="11">
        <v>104</v>
      </c>
      <c r="E2858" s="132" t="str">
        <f>INDEX([1]道具配置表!$D:$D,MATCH(D2858,[1]道具配置表!$A:$A,0))</f>
        <v>1黄金</v>
      </c>
      <c r="F2858" s="11">
        <v>47000</v>
      </c>
      <c r="G2858" s="11"/>
      <c r="H2858" s="11"/>
      <c r="I2858" s="11"/>
      <c r="J2858" s="11"/>
      <c r="K2858" s="11">
        <v>1</v>
      </c>
      <c r="L2858" s="11"/>
      <c r="M2858" s="11" t="b">
        <v>1</v>
      </c>
      <c r="N2858" s="10"/>
    </row>
    <row r="2859" spans="1:14" x14ac:dyDescent="0.25">
      <c r="A2859" s="11">
        <v>6622348</v>
      </c>
      <c r="B2859" s="11" t="s">
        <v>171</v>
      </c>
      <c r="C2859" s="26" t="str">
        <f>IF(A2859="","",IF((COUNTIFS(A:A,A2859))&gt;1,"ID重复",""))</f>
        <v/>
      </c>
      <c r="D2859" s="11">
        <v>102</v>
      </c>
      <c r="E2859" s="132" t="str">
        <f>INDEX([1]道具配置表!$D:$D,MATCH(D2859,[1]道具配置表!$A:$A,0))</f>
        <v>1食物</v>
      </c>
      <c r="F2859" s="11">
        <v>48000</v>
      </c>
      <c r="G2859" s="11"/>
      <c r="H2859" s="11"/>
      <c r="I2859" s="11"/>
      <c r="J2859" s="11"/>
      <c r="K2859" s="11">
        <v>1</v>
      </c>
      <c r="L2859" s="11"/>
      <c r="M2859" s="11" t="b">
        <v>1</v>
      </c>
      <c r="N2859" s="10"/>
    </row>
    <row r="2860" spans="1:14" x14ac:dyDescent="0.25">
      <c r="A2860" s="11" t="s">
        <v>119</v>
      </c>
      <c r="B2860" s="11" t="s">
        <v>119</v>
      </c>
      <c r="C2860" s="26" t="str">
        <f>IF(A2860="","",IF((COUNTIFS(A:A,A2860))&gt;1,"ID重复",""))</f>
        <v/>
      </c>
      <c r="D2860" s="11">
        <v>101</v>
      </c>
      <c r="E2860" s="132" t="str">
        <f>INDEX([1]道具配置表!$D:$D,MATCH(D2860,[1]道具配置表!$A:$A,0))</f>
        <v>1木材</v>
      </c>
      <c r="F2860" s="11">
        <v>48000</v>
      </c>
      <c r="G2860" s="11"/>
      <c r="H2860" s="11"/>
      <c r="I2860" s="11"/>
      <c r="J2860" s="11"/>
      <c r="K2860" s="11">
        <v>1</v>
      </c>
      <c r="L2860" s="11"/>
      <c r="M2860" s="11" t="b">
        <v>1</v>
      </c>
      <c r="N2860" s="10"/>
    </row>
    <row r="2861" spans="1:14" x14ac:dyDescent="0.25">
      <c r="A2861" s="11" t="s">
        <v>119</v>
      </c>
      <c r="B2861" s="11" t="s">
        <v>119</v>
      </c>
      <c r="C2861" s="26" t="str">
        <f>IF(A2861="","",IF((COUNTIFS(A:A,A2861))&gt;1,"ID重复",""))</f>
        <v/>
      </c>
      <c r="D2861" s="11">
        <v>103</v>
      </c>
      <c r="E2861" s="132" t="str">
        <f>INDEX([1]道具配置表!$D:$D,MATCH(D2861,[1]道具配置表!$A:$A,0))</f>
        <v>1石头</v>
      </c>
      <c r="F2861" s="11">
        <v>48000</v>
      </c>
      <c r="G2861" s="11"/>
      <c r="H2861" s="11"/>
      <c r="I2861" s="11"/>
      <c r="J2861" s="11"/>
      <c r="K2861" s="11">
        <v>1</v>
      </c>
      <c r="L2861" s="11"/>
      <c r="M2861" s="11" t="b">
        <v>1</v>
      </c>
      <c r="N2861" s="10"/>
    </row>
    <row r="2862" spans="1:14" x14ac:dyDescent="0.25">
      <c r="A2862" s="11" t="s">
        <v>119</v>
      </c>
      <c r="B2862" s="11" t="s">
        <v>119</v>
      </c>
      <c r="C2862" s="26" t="str">
        <f>IF(A2862="","",IF((COUNTIFS(A:A,A2862))&gt;1,"ID重复",""))</f>
        <v/>
      </c>
      <c r="D2862" s="11">
        <v>104</v>
      </c>
      <c r="E2862" s="132" t="str">
        <f>INDEX([1]道具配置表!$D:$D,MATCH(D2862,[1]道具配置表!$A:$A,0))</f>
        <v>1黄金</v>
      </c>
      <c r="F2862" s="11">
        <v>48000</v>
      </c>
      <c r="G2862" s="11"/>
      <c r="H2862" s="11"/>
      <c r="I2862" s="11"/>
      <c r="J2862" s="11"/>
      <c r="K2862" s="11">
        <v>1</v>
      </c>
      <c r="L2862" s="11"/>
      <c r="M2862" s="11" t="b">
        <v>1</v>
      </c>
      <c r="N2862" s="10"/>
    </row>
    <row r="2863" spans="1:14" x14ac:dyDescent="0.25">
      <c r="A2863" s="11">
        <v>6622349</v>
      </c>
      <c r="B2863" s="11" t="s">
        <v>172</v>
      </c>
      <c r="C2863" s="26" t="str">
        <f>IF(A2863="","",IF((COUNTIFS(A:A,A2863))&gt;1,"ID重复",""))</f>
        <v/>
      </c>
      <c r="D2863" s="11">
        <v>102</v>
      </c>
      <c r="E2863" s="132" t="str">
        <f>INDEX([1]道具配置表!$D:$D,MATCH(D2863,[1]道具配置表!$A:$A,0))</f>
        <v>1食物</v>
      </c>
      <c r="F2863" s="11">
        <v>49000</v>
      </c>
      <c r="G2863" s="11"/>
      <c r="H2863" s="11"/>
      <c r="I2863" s="11"/>
      <c r="J2863" s="11"/>
      <c r="K2863" s="11">
        <v>1</v>
      </c>
      <c r="L2863" s="11"/>
      <c r="M2863" s="11" t="b">
        <v>1</v>
      </c>
      <c r="N2863" s="10"/>
    </row>
    <row r="2864" spans="1:14" x14ac:dyDescent="0.25">
      <c r="A2864" s="11" t="s">
        <v>119</v>
      </c>
      <c r="B2864" s="11" t="s">
        <v>119</v>
      </c>
      <c r="C2864" s="26" t="str">
        <f>IF(A2864="","",IF((COUNTIFS(A:A,A2864))&gt;1,"ID重复",""))</f>
        <v/>
      </c>
      <c r="D2864" s="11">
        <v>101</v>
      </c>
      <c r="E2864" s="132" t="str">
        <f>INDEX([1]道具配置表!$D:$D,MATCH(D2864,[1]道具配置表!$A:$A,0))</f>
        <v>1木材</v>
      </c>
      <c r="F2864" s="11">
        <v>49000</v>
      </c>
      <c r="G2864" s="11"/>
      <c r="H2864" s="11"/>
      <c r="I2864" s="11"/>
      <c r="J2864" s="11"/>
      <c r="K2864" s="11">
        <v>1</v>
      </c>
      <c r="L2864" s="11"/>
      <c r="M2864" s="11" t="b">
        <v>1</v>
      </c>
      <c r="N2864" s="10"/>
    </row>
    <row r="2865" spans="1:14" x14ac:dyDescent="0.25">
      <c r="A2865" s="11" t="s">
        <v>119</v>
      </c>
      <c r="B2865" s="11" t="s">
        <v>119</v>
      </c>
      <c r="C2865" s="26" t="str">
        <f>IF(A2865="","",IF((COUNTIFS(A:A,A2865))&gt;1,"ID重复",""))</f>
        <v/>
      </c>
      <c r="D2865" s="11">
        <v>103</v>
      </c>
      <c r="E2865" s="132" t="str">
        <f>INDEX([1]道具配置表!$D:$D,MATCH(D2865,[1]道具配置表!$A:$A,0))</f>
        <v>1石头</v>
      </c>
      <c r="F2865" s="11">
        <v>49000</v>
      </c>
      <c r="G2865" s="11"/>
      <c r="H2865" s="11"/>
      <c r="I2865" s="11"/>
      <c r="J2865" s="11"/>
      <c r="K2865" s="11">
        <v>1</v>
      </c>
      <c r="L2865" s="11"/>
      <c r="M2865" s="11" t="b">
        <v>1</v>
      </c>
      <c r="N2865" s="10"/>
    </row>
    <row r="2866" spans="1:14" x14ac:dyDescent="0.25">
      <c r="A2866" s="11" t="s">
        <v>119</v>
      </c>
      <c r="B2866" s="11" t="s">
        <v>119</v>
      </c>
      <c r="C2866" s="26" t="str">
        <f>IF(A2866="","",IF((COUNTIFS(A:A,A2866))&gt;1,"ID重复",""))</f>
        <v/>
      </c>
      <c r="D2866" s="11">
        <v>104</v>
      </c>
      <c r="E2866" s="132" t="str">
        <f>INDEX([1]道具配置表!$D:$D,MATCH(D2866,[1]道具配置表!$A:$A,0))</f>
        <v>1黄金</v>
      </c>
      <c r="F2866" s="11">
        <v>49000</v>
      </c>
      <c r="G2866" s="11"/>
      <c r="H2866" s="11"/>
      <c r="I2866" s="11"/>
      <c r="J2866" s="11"/>
      <c r="K2866" s="11">
        <v>1</v>
      </c>
      <c r="L2866" s="11"/>
      <c r="M2866" s="11" t="b">
        <v>1</v>
      </c>
      <c r="N2866" s="10"/>
    </row>
    <row r="2867" spans="1:14" x14ac:dyDescent="0.25">
      <c r="A2867" s="11">
        <v>6622350</v>
      </c>
      <c r="B2867" s="11" t="s">
        <v>173</v>
      </c>
      <c r="C2867" s="26" t="str">
        <f>IF(A2867="","",IF((COUNTIFS(A:A,A2867))&gt;1,"ID重复",""))</f>
        <v/>
      </c>
      <c r="D2867" s="11">
        <v>102</v>
      </c>
      <c r="E2867" s="132" t="str">
        <f>INDEX([1]道具配置表!$D:$D,MATCH(D2867,[1]道具配置表!$A:$A,0))</f>
        <v>1食物</v>
      </c>
      <c r="F2867" s="11">
        <v>50000</v>
      </c>
      <c r="G2867" s="11"/>
      <c r="H2867" s="11"/>
      <c r="I2867" s="11"/>
      <c r="J2867" s="11"/>
      <c r="K2867" s="11">
        <v>1</v>
      </c>
      <c r="L2867" s="11"/>
      <c r="M2867" s="11" t="b">
        <v>1</v>
      </c>
      <c r="N2867" s="10"/>
    </row>
    <row r="2868" spans="1:14" x14ac:dyDescent="0.25">
      <c r="A2868" s="11" t="s">
        <v>119</v>
      </c>
      <c r="B2868" s="11" t="s">
        <v>119</v>
      </c>
      <c r="C2868" s="26" t="str">
        <f>IF(A2868="","",IF((COUNTIFS(A:A,A2868))&gt;1,"ID重复",""))</f>
        <v/>
      </c>
      <c r="D2868" s="11">
        <v>101</v>
      </c>
      <c r="E2868" s="132" t="str">
        <f>INDEX([1]道具配置表!$D:$D,MATCH(D2868,[1]道具配置表!$A:$A,0))</f>
        <v>1木材</v>
      </c>
      <c r="F2868" s="11">
        <v>50000</v>
      </c>
      <c r="G2868" s="11"/>
      <c r="H2868" s="11"/>
      <c r="I2868" s="11"/>
      <c r="J2868" s="11"/>
      <c r="K2868" s="11">
        <v>1</v>
      </c>
      <c r="L2868" s="11"/>
      <c r="M2868" s="11" t="b">
        <v>1</v>
      </c>
      <c r="N2868" s="10"/>
    </row>
    <row r="2869" spans="1:14" x14ac:dyDescent="0.25">
      <c r="A2869" s="11" t="s">
        <v>119</v>
      </c>
      <c r="B2869" s="11" t="s">
        <v>119</v>
      </c>
      <c r="C2869" s="26" t="str">
        <f>IF(A2869="","",IF((COUNTIFS(A:A,A2869))&gt;1,"ID重复",""))</f>
        <v/>
      </c>
      <c r="D2869" s="11">
        <v>103</v>
      </c>
      <c r="E2869" s="132" t="str">
        <f>INDEX([1]道具配置表!$D:$D,MATCH(D2869,[1]道具配置表!$A:$A,0))</f>
        <v>1石头</v>
      </c>
      <c r="F2869" s="11">
        <v>50000</v>
      </c>
      <c r="G2869" s="11"/>
      <c r="H2869" s="11"/>
      <c r="I2869" s="11"/>
      <c r="J2869" s="11"/>
      <c r="K2869" s="11">
        <v>1</v>
      </c>
      <c r="L2869" s="11"/>
      <c r="M2869" s="11" t="b">
        <v>1</v>
      </c>
      <c r="N2869" s="10"/>
    </row>
    <row r="2870" spans="1:14" x14ac:dyDescent="0.25">
      <c r="A2870" s="11" t="s">
        <v>119</v>
      </c>
      <c r="B2870" s="11" t="s">
        <v>119</v>
      </c>
      <c r="C2870" s="26" t="str">
        <f>IF(A2870="","",IF((COUNTIFS(A:A,A2870))&gt;1,"ID重复",""))</f>
        <v/>
      </c>
      <c r="D2870" s="11">
        <v>104</v>
      </c>
      <c r="E2870" s="132" t="str">
        <f>INDEX([1]道具配置表!$D:$D,MATCH(D2870,[1]道具配置表!$A:$A,0))</f>
        <v>1黄金</v>
      </c>
      <c r="F2870" s="11">
        <v>50000</v>
      </c>
      <c r="G2870" s="11"/>
      <c r="H2870" s="11"/>
      <c r="I2870" s="11"/>
      <c r="J2870" s="11"/>
      <c r="K2870" s="11">
        <v>1</v>
      </c>
      <c r="L2870" s="11"/>
      <c r="M2870" s="11" t="b">
        <v>1</v>
      </c>
      <c r="N2870" s="10"/>
    </row>
    <row r="2871" spans="1:14" x14ac:dyDescent="0.25">
      <c r="A2871" s="62">
        <v>6622351</v>
      </c>
      <c r="B2871" s="62" t="s">
        <v>1005</v>
      </c>
      <c r="C2871" s="62"/>
      <c r="D2871" s="62">
        <v>49108</v>
      </c>
      <c r="E2871" s="132" t="str">
        <f>INDEX([1]道具配置表!$D:$D,MATCH(D2871,[1]道具配置表!$A:$A,0))</f>
        <v>　郁金香之戒</v>
      </c>
      <c r="F2871" s="62">
        <v>1</v>
      </c>
      <c r="G2871" s="62"/>
      <c r="H2871" s="62"/>
      <c r="I2871" s="62"/>
      <c r="J2871" s="62"/>
      <c r="K2871" s="62">
        <v>1</v>
      </c>
      <c r="L2871" s="62"/>
      <c r="M2871" s="62" t="b">
        <v>1</v>
      </c>
      <c r="N2871" s="10"/>
    </row>
    <row r="2872" spans="1:14" x14ac:dyDescent="0.25">
      <c r="A2872" s="62"/>
      <c r="B2872" s="62"/>
      <c r="C2872" s="62"/>
      <c r="D2872" s="62">
        <v>49116</v>
      </c>
      <c r="E2872" s="132" t="str">
        <f>INDEX([1]道具配置表!$D:$D,MATCH(D2872,[1]道具配置表!$A:$A,0))</f>
        <v>紫罗兰之戒</v>
      </c>
      <c r="F2872" s="62">
        <v>1</v>
      </c>
      <c r="G2872" s="62"/>
      <c r="H2872" s="62"/>
      <c r="I2872" s="62"/>
      <c r="J2872" s="62"/>
      <c r="K2872" s="62">
        <v>1</v>
      </c>
      <c r="L2872" s="62"/>
      <c r="M2872" s="62" t="b">
        <v>1</v>
      </c>
      <c r="N2872" s="10"/>
    </row>
    <row r="2873" spans="1:14" x14ac:dyDescent="0.25">
      <c r="A2873" s="62"/>
      <c r="B2873" s="62"/>
      <c r="C2873" s="62"/>
      <c r="D2873" s="62">
        <v>49080</v>
      </c>
      <c r="E2873" s="132" t="str">
        <f>INDEX([1]道具配置表!$D:$D,MATCH(D2873,[1]道具配置表!$A:$A,0))</f>
        <v>装备升级道具-稀有</v>
      </c>
      <c r="F2873" s="62">
        <v>35</v>
      </c>
      <c r="G2873" s="62"/>
      <c r="H2873" s="62"/>
      <c r="I2873" s="62"/>
      <c r="J2873" s="62"/>
      <c r="K2873" s="62">
        <v>1</v>
      </c>
      <c r="L2873" s="62"/>
      <c r="M2873" s="62" t="b">
        <v>1</v>
      </c>
      <c r="N2873" s="10"/>
    </row>
    <row r="2874" spans="1:14" x14ac:dyDescent="0.25">
      <c r="A2874" s="62"/>
      <c r="B2874" s="62"/>
      <c r="C2874" s="62"/>
      <c r="D2874" s="62">
        <v>102</v>
      </c>
      <c r="E2874" s="132" t="str">
        <f>INDEX([1]道具配置表!$D:$D,MATCH(D2874,[1]道具配置表!$A:$A,0))</f>
        <v>1食物</v>
      </c>
      <c r="F2874" s="62">
        <v>10000</v>
      </c>
      <c r="G2874" s="62"/>
      <c r="H2874" s="62"/>
      <c r="I2874" s="62"/>
      <c r="J2874" s="62"/>
      <c r="K2874" s="62">
        <v>1</v>
      </c>
      <c r="L2874" s="62"/>
      <c r="M2874" s="62" t="b">
        <v>1</v>
      </c>
      <c r="N2874" s="10"/>
    </row>
    <row r="2875" spans="1:14" x14ac:dyDescent="0.25">
      <c r="A2875" s="62"/>
      <c r="B2875" s="62"/>
      <c r="C2875" s="62"/>
      <c r="D2875" s="62">
        <v>101</v>
      </c>
      <c r="E2875" s="132" t="str">
        <f>INDEX([1]道具配置表!$D:$D,MATCH(D2875,[1]道具配置表!$A:$A,0))</f>
        <v>1木材</v>
      </c>
      <c r="F2875" s="62">
        <v>10000</v>
      </c>
      <c r="G2875" s="62"/>
      <c r="H2875" s="62"/>
      <c r="I2875" s="62"/>
      <c r="J2875" s="62"/>
      <c r="K2875" s="62">
        <v>1</v>
      </c>
      <c r="L2875" s="62"/>
      <c r="M2875" s="62" t="b">
        <v>1</v>
      </c>
      <c r="N2875" s="10"/>
    </row>
    <row r="2876" spans="1:14" x14ac:dyDescent="0.25">
      <c r="A2876" s="62"/>
      <c r="B2876" s="62"/>
      <c r="C2876" s="62"/>
      <c r="D2876" s="62">
        <v>103</v>
      </c>
      <c r="E2876" s="132" t="str">
        <f>INDEX([1]道具配置表!$D:$D,MATCH(D2876,[1]道具配置表!$A:$A,0))</f>
        <v>1石头</v>
      </c>
      <c r="F2876" s="62">
        <v>10000</v>
      </c>
      <c r="G2876" s="62"/>
      <c r="H2876" s="62"/>
      <c r="I2876" s="62"/>
      <c r="J2876" s="62"/>
      <c r="K2876" s="127">
        <v>1</v>
      </c>
      <c r="L2876" s="127"/>
      <c r="M2876" s="127" t="b">
        <v>1</v>
      </c>
      <c r="N2876" s="10"/>
    </row>
    <row r="2877" spans="1:14" x14ac:dyDescent="0.25">
      <c r="A2877" s="62"/>
      <c r="B2877" s="62"/>
      <c r="C2877" s="62"/>
      <c r="D2877" s="62">
        <v>104</v>
      </c>
      <c r="E2877" s="132" t="str">
        <f>INDEX([1]道具配置表!$D:$D,MATCH(D2877,[1]道具配置表!$A:$A,0))</f>
        <v>1黄金</v>
      </c>
      <c r="F2877" s="62">
        <v>10000</v>
      </c>
      <c r="G2877" s="62"/>
      <c r="H2877" s="62"/>
      <c r="I2877" s="62"/>
      <c r="J2877" s="62"/>
      <c r="K2877" s="127">
        <v>1</v>
      </c>
      <c r="L2877" s="127"/>
      <c r="M2877" s="127" t="b">
        <v>1</v>
      </c>
      <c r="N2877" s="10"/>
    </row>
    <row r="2878" spans="1:14" x14ac:dyDescent="0.25">
      <c r="A2878" s="127">
        <v>6622401</v>
      </c>
      <c r="B2878" s="127" t="s">
        <v>1775</v>
      </c>
      <c r="C2878" s="127"/>
      <c r="D2878" s="127">
        <v>102</v>
      </c>
      <c r="E2878" s="132" t="str">
        <f>INDEX([1]道具配置表!$D:$D,MATCH(D2878,[1]道具配置表!$A:$A,0))</f>
        <v>1食物</v>
      </c>
      <c r="F2878" s="127">
        <v>100000</v>
      </c>
      <c r="G2878" s="127"/>
      <c r="H2878" s="127"/>
      <c r="I2878" s="127"/>
      <c r="J2878" s="127"/>
      <c r="K2878" s="127">
        <v>1</v>
      </c>
      <c r="L2878" s="127"/>
      <c r="M2878" s="127" t="b">
        <v>1</v>
      </c>
      <c r="N2878" s="10"/>
    </row>
    <row r="2879" spans="1:14" x14ac:dyDescent="0.25">
      <c r="A2879" s="127"/>
      <c r="B2879" s="127"/>
      <c r="C2879" s="127"/>
      <c r="D2879" s="127">
        <v>101</v>
      </c>
      <c r="E2879" s="132" t="str">
        <f>INDEX([1]道具配置表!$D:$D,MATCH(D2879,[1]道具配置表!$A:$A,0))</f>
        <v>1木材</v>
      </c>
      <c r="F2879" s="127">
        <v>100000</v>
      </c>
      <c r="G2879" s="127"/>
      <c r="H2879" s="127"/>
      <c r="I2879" s="127"/>
      <c r="J2879" s="127"/>
      <c r="K2879" s="127">
        <v>1</v>
      </c>
      <c r="L2879" s="127"/>
      <c r="M2879" s="127" t="b">
        <v>1</v>
      </c>
      <c r="N2879" s="10"/>
    </row>
    <row r="2880" spans="1:14" x14ac:dyDescent="0.25">
      <c r="A2880" s="127"/>
      <c r="B2880" s="127"/>
      <c r="C2880" s="127"/>
      <c r="D2880" s="127">
        <v>103</v>
      </c>
      <c r="E2880" s="132" t="str">
        <f>INDEX([1]道具配置表!$D:$D,MATCH(D2880,[1]道具配置表!$A:$A,0))</f>
        <v>1石头</v>
      </c>
      <c r="F2880" s="127">
        <v>100000</v>
      </c>
      <c r="G2880" s="127"/>
      <c r="H2880" s="127"/>
      <c r="I2880" s="127"/>
      <c r="J2880" s="127"/>
      <c r="K2880" s="127">
        <v>1</v>
      </c>
      <c r="L2880" s="127"/>
      <c r="M2880" s="127" t="b">
        <v>1</v>
      </c>
      <c r="N2880" s="10"/>
    </row>
    <row r="2881" spans="1:14" x14ac:dyDescent="0.25">
      <c r="A2881" s="127"/>
      <c r="B2881" s="127"/>
      <c r="C2881" s="127"/>
      <c r="D2881" s="127">
        <v>104</v>
      </c>
      <c r="E2881" s="132" t="str">
        <f>INDEX([1]道具配置表!$D:$D,MATCH(D2881,[1]道具配置表!$A:$A,0))</f>
        <v>1黄金</v>
      </c>
      <c r="F2881" s="127">
        <v>100000</v>
      </c>
      <c r="G2881" s="127"/>
      <c r="H2881" s="127"/>
      <c r="I2881" s="127"/>
      <c r="J2881" s="127"/>
      <c r="K2881" s="127">
        <v>1</v>
      </c>
      <c r="L2881" s="127"/>
      <c r="M2881" s="127" t="b">
        <v>1</v>
      </c>
      <c r="N2881" s="10"/>
    </row>
    <row r="2882" spans="1:14" x14ac:dyDescent="0.25">
      <c r="A2882" s="127">
        <v>6622402</v>
      </c>
      <c r="B2882" s="127" t="s">
        <v>1776</v>
      </c>
      <c r="C2882" s="127"/>
      <c r="D2882" s="127">
        <v>102</v>
      </c>
      <c r="E2882" s="132" t="str">
        <f>INDEX([1]道具配置表!$D:$D,MATCH(D2882,[1]道具配置表!$A:$A,0))</f>
        <v>1食物</v>
      </c>
      <c r="F2882" s="127">
        <f>F2878+100000</f>
        <v>200000</v>
      </c>
      <c r="G2882" s="127"/>
      <c r="H2882" s="127"/>
      <c r="I2882" s="127"/>
      <c r="J2882" s="127"/>
      <c r="K2882" s="127">
        <v>1</v>
      </c>
      <c r="L2882" s="127"/>
      <c r="M2882" s="127" t="b">
        <v>1</v>
      </c>
      <c r="N2882" s="10"/>
    </row>
    <row r="2883" spans="1:14" x14ac:dyDescent="0.25">
      <c r="A2883" s="127"/>
      <c r="B2883" s="127"/>
      <c r="C2883" s="127"/>
      <c r="D2883" s="127">
        <v>101</v>
      </c>
      <c r="E2883" s="132" t="str">
        <f>INDEX([1]道具配置表!$D:$D,MATCH(D2883,[1]道具配置表!$A:$A,0))</f>
        <v>1木材</v>
      </c>
      <c r="F2883" s="127">
        <f t="shared" ref="F2883:F2937" si="58">F2879+100000</f>
        <v>200000</v>
      </c>
      <c r="G2883" s="127"/>
      <c r="H2883" s="127"/>
      <c r="I2883" s="127"/>
      <c r="J2883" s="127"/>
      <c r="K2883" s="127">
        <v>1</v>
      </c>
      <c r="L2883" s="127"/>
      <c r="M2883" s="127" t="b">
        <v>1</v>
      </c>
      <c r="N2883" s="10"/>
    </row>
    <row r="2884" spans="1:14" x14ac:dyDescent="0.25">
      <c r="A2884" s="127"/>
      <c r="B2884" s="127"/>
      <c r="C2884" s="127"/>
      <c r="D2884" s="127">
        <v>103</v>
      </c>
      <c r="E2884" s="132" t="str">
        <f>INDEX([1]道具配置表!$D:$D,MATCH(D2884,[1]道具配置表!$A:$A,0))</f>
        <v>1石头</v>
      </c>
      <c r="F2884" s="127">
        <f t="shared" si="58"/>
        <v>200000</v>
      </c>
      <c r="G2884" s="127"/>
      <c r="H2884" s="127"/>
      <c r="I2884" s="127"/>
      <c r="J2884" s="127"/>
      <c r="K2884" s="127">
        <v>1</v>
      </c>
      <c r="L2884" s="127"/>
      <c r="M2884" s="127" t="b">
        <v>1</v>
      </c>
      <c r="N2884" s="10"/>
    </row>
    <row r="2885" spans="1:14" x14ac:dyDescent="0.25">
      <c r="A2885" s="127"/>
      <c r="B2885" s="127"/>
      <c r="C2885" s="127"/>
      <c r="D2885" s="127">
        <v>104</v>
      </c>
      <c r="E2885" s="132" t="str">
        <f>INDEX([1]道具配置表!$D:$D,MATCH(D2885,[1]道具配置表!$A:$A,0))</f>
        <v>1黄金</v>
      </c>
      <c r="F2885" s="127">
        <f t="shared" si="58"/>
        <v>200000</v>
      </c>
      <c r="G2885" s="127"/>
      <c r="H2885" s="127"/>
      <c r="I2885" s="127"/>
      <c r="J2885" s="127"/>
      <c r="K2885" s="127">
        <v>1</v>
      </c>
      <c r="L2885" s="127"/>
      <c r="M2885" s="127" t="b">
        <v>1</v>
      </c>
      <c r="N2885" s="10"/>
    </row>
    <row r="2886" spans="1:14" x14ac:dyDescent="0.25">
      <c r="A2886" s="127">
        <v>6622403</v>
      </c>
      <c r="B2886" s="127" t="s">
        <v>1777</v>
      </c>
      <c r="C2886" s="127"/>
      <c r="D2886" s="127">
        <v>102</v>
      </c>
      <c r="E2886" s="132" t="str">
        <f>INDEX([1]道具配置表!$D:$D,MATCH(D2886,[1]道具配置表!$A:$A,0))</f>
        <v>1食物</v>
      </c>
      <c r="F2886" s="127">
        <f t="shared" si="58"/>
        <v>300000</v>
      </c>
      <c r="G2886" s="127"/>
      <c r="H2886" s="127"/>
      <c r="I2886" s="127"/>
      <c r="J2886" s="127"/>
      <c r="K2886" s="127">
        <v>1</v>
      </c>
      <c r="L2886" s="127"/>
      <c r="M2886" s="127" t="b">
        <v>1</v>
      </c>
      <c r="N2886" s="10"/>
    </row>
    <row r="2887" spans="1:14" x14ac:dyDescent="0.25">
      <c r="A2887" s="127"/>
      <c r="B2887" s="127"/>
      <c r="C2887" s="127"/>
      <c r="D2887" s="127">
        <v>101</v>
      </c>
      <c r="E2887" s="132" t="str">
        <f>INDEX([1]道具配置表!$D:$D,MATCH(D2887,[1]道具配置表!$A:$A,0))</f>
        <v>1木材</v>
      </c>
      <c r="F2887" s="127">
        <f t="shared" si="58"/>
        <v>300000</v>
      </c>
      <c r="G2887" s="127"/>
      <c r="H2887" s="127"/>
      <c r="I2887" s="127"/>
      <c r="J2887" s="127"/>
      <c r="K2887" s="127">
        <v>1</v>
      </c>
      <c r="L2887" s="127"/>
      <c r="M2887" s="127" t="b">
        <v>1</v>
      </c>
      <c r="N2887" s="10"/>
    </row>
    <row r="2888" spans="1:14" x14ac:dyDescent="0.25">
      <c r="A2888" s="127"/>
      <c r="B2888" s="127"/>
      <c r="C2888" s="127"/>
      <c r="D2888" s="127">
        <v>103</v>
      </c>
      <c r="E2888" s="132" t="str">
        <f>INDEX([1]道具配置表!$D:$D,MATCH(D2888,[1]道具配置表!$A:$A,0))</f>
        <v>1石头</v>
      </c>
      <c r="F2888" s="127">
        <f t="shared" si="58"/>
        <v>300000</v>
      </c>
      <c r="G2888" s="127"/>
      <c r="H2888" s="127"/>
      <c r="I2888" s="127"/>
      <c r="J2888" s="127"/>
      <c r="K2888" s="127">
        <v>1</v>
      </c>
      <c r="L2888" s="127"/>
      <c r="M2888" s="127" t="b">
        <v>1</v>
      </c>
      <c r="N2888" s="10"/>
    </row>
    <row r="2889" spans="1:14" x14ac:dyDescent="0.25">
      <c r="A2889" s="127"/>
      <c r="B2889" s="127"/>
      <c r="C2889" s="127"/>
      <c r="D2889" s="127">
        <v>104</v>
      </c>
      <c r="E2889" s="132" t="str">
        <f>INDEX([1]道具配置表!$D:$D,MATCH(D2889,[1]道具配置表!$A:$A,0))</f>
        <v>1黄金</v>
      </c>
      <c r="F2889" s="127">
        <f t="shared" si="58"/>
        <v>300000</v>
      </c>
      <c r="G2889" s="127"/>
      <c r="H2889" s="127"/>
      <c r="I2889" s="127"/>
      <c r="J2889" s="127"/>
      <c r="K2889" s="127">
        <v>1</v>
      </c>
      <c r="L2889" s="127"/>
      <c r="M2889" s="127" t="b">
        <v>1</v>
      </c>
      <c r="N2889" s="10"/>
    </row>
    <row r="2890" spans="1:14" x14ac:dyDescent="0.25">
      <c r="A2890" s="127">
        <v>6622404</v>
      </c>
      <c r="B2890" s="127" t="s">
        <v>1778</v>
      </c>
      <c r="C2890" s="127"/>
      <c r="D2890" s="127">
        <v>102</v>
      </c>
      <c r="E2890" s="132" t="str">
        <f>INDEX([1]道具配置表!$D:$D,MATCH(D2890,[1]道具配置表!$A:$A,0))</f>
        <v>1食物</v>
      </c>
      <c r="F2890" s="127">
        <f t="shared" si="58"/>
        <v>400000</v>
      </c>
      <c r="G2890" s="127"/>
      <c r="H2890" s="127"/>
      <c r="I2890" s="127"/>
      <c r="J2890" s="127"/>
      <c r="K2890" s="127">
        <v>1</v>
      </c>
      <c r="L2890" s="127"/>
      <c r="M2890" s="127" t="b">
        <v>1</v>
      </c>
      <c r="N2890" s="10"/>
    </row>
    <row r="2891" spans="1:14" x14ac:dyDescent="0.25">
      <c r="A2891" s="127"/>
      <c r="B2891" s="127"/>
      <c r="C2891" s="127"/>
      <c r="D2891" s="127">
        <v>101</v>
      </c>
      <c r="E2891" s="132" t="str">
        <f>INDEX([1]道具配置表!$D:$D,MATCH(D2891,[1]道具配置表!$A:$A,0))</f>
        <v>1木材</v>
      </c>
      <c r="F2891" s="127">
        <f t="shared" si="58"/>
        <v>400000</v>
      </c>
      <c r="G2891" s="127"/>
      <c r="H2891" s="127"/>
      <c r="I2891" s="127"/>
      <c r="J2891" s="127"/>
      <c r="K2891" s="127">
        <v>1</v>
      </c>
      <c r="L2891" s="127"/>
      <c r="M2891" s="127" t="b">
        <v>1</v>
      </c>
      <c r="N2891" s="10"/>
    </row>
    <row r="2892" spans="1:14" x14ac:dyDescent="0.25">
      <c r="A2892" s="127"/>
      <c r="B2892" s="127"/>
      <c r="C2892" s="127"/>
      <c r="D2892" s="127">
        <v>103</v>
      </c>
      <c r="E2892" s="132" t="str">
        <f>INDEX([1]道具配置表!$D:$D,MATCH(D2892,[1]道具配置表!$A:$A,0))</f>
        <v>1石头</v>
      </c>
      <c r="F2892" s="127">
        <f t="shared" si="58"/>
        <v>400000</v>
      </c>
      <c r="G2892" s="127"/>
      <c r="H2892" s="127"/>
      <c r="I2892" s="127"/>
      <c r="J2892" s="127"/>
      <c r="K2892" s="127">
        <v>1</v>
      </c>
      <c r="L2892" s="127"/>
      <c r="M2892" s="127" t="b">
        <v>1</v>
      </c>
      <c r="N2892" s="10"/>
    </row>
    <row r="2893" spans="1:14" x14ac:dyDescent="0.25">
      <c r="A2893" s="127"/>
      <c r="B2893" s="127"/>
      <c r="C2893" s="127"/>
      <c r="D2893" s="127">
        <v>104</v>
      </c>
      <c r="E2893" s="132" t="str">
        <f>INDEX([1]道具配置表!$D:$D,MATCH(D2893,[1]道具配置表!$A:$A,0))</f>
        <v>1黄金</v>
      </c>
      <c r="F2893" s="127">
        <f t="shared" si="58"/>
        <v>400000</v>
      </c>
      <c r="G2893" s="127"/>
      <c r="H2893" s="127"/>
      <c r="I2893" s="127"/>
      <c r="J2893" s="127"/>
      <c r="K2893" s="127">
        <v>1</v>
      </c>
      <c r="L2893" s="127"/>
      <c r="M2893" s="127" t="b">
        <v>1</v>
      </c>
      <c r="N2893" s="10"/>
    </row>
    <row r="2894" spans="1:14" x14ac:dyDescent="0.25">
      <c r="A2894" s="127">
        <v>6622405</v>
      </c>
      <c r="B2894" s="127" t="s">
        <v>1779</v>
      </c>
      <c r="C2894" s="127"/>
      <c r="D2894" s="127">
        <v>102</v>
      </c>
      <c r="E2894" s="132" t="str">
        <f>INDEX([1]道具配置表!$D:$D,MATCH(D2894,[1]道具配置表!$A:$A,0))</f>
        <v>1食物</v>
      </c>
      <c r="F2894" s="127">
        <f t="shared" si="58"/>
        <v>500000</v>
      </c>
      <c r="G2894" s="127"/>
      <c r="H2894" s="127"/>
      <c r="I2894" s="127"/>
      <c r="J2894" s="127"/>
      <c r="K2894" s="127">
        <v>1</v>
      </c>
      <c r="L2894" s="127"/>
      <c r="M2894" s="127" t="b">
        <v>1</v>
      </c>
      <c r="N2894" s="10"/>
    </row>
    <row r="2895" spans="1:14" x14ac:dyDescent="0.25">
      <c r="A2895" s="127"/>
      <c r="B2895" s="127"/>
      <c r="C2895" s="127"/>
      <c r="D2895" s="127">
        <v>101</v>
      </c>
      <c r="E2895" s="132" t="str">
        <f>INDEX([1]道具配置表!$D:$D,MATCH(D2895,[1]道具配置表!$A:$A,0))</f>
        <v>1木材</v>
      </c>
      <c r="F2895" s="127">
        <f t="shared" si="58"/>
        <v>500000</v>
      </c>
      <c r="G2895" s="127"/>
      <c r="H2895" s="127"/>
      <c r="I2895" s="127"/>
      <c r="J2895" s="127"/>
      <c r="K2895" s="127">
        <v>1</v>
      </c>
      <c r="L2895" s="127"/>
      <c r="M2895" s="127" t="b">
        <v>1</v>
      </c>
      <c r="N2895" s="10"/>
    </row>
    <row r="2896" spans="1:14" x14ac:dyDescent="0.25">
      <c r="A2896" s="127"/>
      <c r="B2896" s="127"/>
      <c r="C2896" s="127"/>
      <c r="D2896" s="127">
        <v>103</v>
      </c>
      <c r="E2896" s="132" t="str">
        <f>INDEX([1]道具配置表!$D:$D,MATCH(D2896,[1]道具配置表!$A:$A,0))</f>
        <v>1石头</v>
      </c>
      <c r="F2896" s="127">
        <f t="shared" si="58"/>
        <v>500000</v>
      </c>
      <c r="G2896" s="127"/>
      <c r="H2896" s="127"/>
      <c r="I2896" s="127"/>
      <c r="J2896" s="127"/>
      <c r="K2896" s="127">
        <v>1</v>
      </c>
      <c r="L2896" s="127"/>
      <c r="M2896" s="127" t="b">
        <v>1</v>
      </c>
      <c r="N2896" s="10"/>
    </row>
    <row r="2897" spans="1:14" x14ac:dyDescent="0.25">
      <c r="A2897" s="127"/>
      <c r="B2897" s="127"/>
      <c r="C2897" s="127"/>
      <c r="D2897" s="127">
        <v>104</v>
      </c>
      <c r="E2897" s="132" t="str">
        <f>INDEX([1]道具配置表!$D:$D,MATCH(D2897,[1]道具配置表!$A:$A,0))</f>
        <v>1黄金</v>
      </c>
      <c r="F2897" s="127">
        <f t="shared" si="58"/>
        <v>500000</v>
      </c>
      <c r="G2897" s="127"/>
      <c r="H2897" s="127"/>
      <c r="I2897" s="127"/>
      <c r="J2897" s="127"/>
      <c r="K2897" s="127">
        <v>1</v>
      </c>
      <c r="L2897" s="127"/>
      <c r="M2897" s="127" t="b">
        <v>1</v>
      </c>
      <c r="N2897" s="10"/>
    </row>
    <row r="2898" spans="1:14" x14ac:dyDescent="0.25">
      <c r="A2898" s="127">
        <v>6622406</v>
      </c>
      <c r="B2898" s="127" t="s">
        <v>1780</v>
      </c>
      <c r="C2898" s="127"/>
      <c r="D2898" s="127">
        <v>102</v>
      </c>
      <c r="E2898" s="132" t="str">
        <f>INDEX([1]道具配置表!$D:$D,MATCH(D2898,[1]道具配置表!$A:$A,0))</f>
        <v>1食物</v>
      </c>
      <c r="F2898" s="127">
        <f t="shared" si="58"/>
        <v>600000</v>
      </c>
      <c r="G2898" s="127"/>
      <c r="H2898" s="127"/>
      <c r="I2898" s="127"/>
      <c r="J2898" s="127"/>
      <c r="K2898" s="127">
        <v>1</v>
      </c>
      <c r="L2898" s="127"/>
      <c r="M2898" s="127" t="b">
        <v>1</v>
      </c>
      <c r="N2898" s="10"/>
    </row>
    <row r="2899" spans="1:14" x14ac:dyDescent="0.25">
      <c r="A2899" s="127"/>
      <c r="B2899" s="127"/>
      <c r="C2899" s="127"/>
      <c r="D2899" s="127">
        <v>101</v>
      </c>
      <c r="E2899" s="132" t="str">
        <f>INDEX([1]道具配置表!$D:$D,MATCH(D2899,[1]道具配置表!$A:$A,0))</f>
        <v>1木材</v>
      </c>
      <c r="F2899" s="127">
        <f t="shared" si="58"/>
        <v>600000</v>
      </c>
      <c r="G2899" s="127"/>
      <c r="H2899" s="127"/>
      <c r="I2899" s="127"/>
      <c r="J2899" s="127"/>
      <c r="K2899" s="127">
        <v>1</v>
      </c>
      <c r="L2899" s="127"/>
      <c r="M2899" s="127" t="b">
        <v>1</v>
      </c>
      <c r="N2899" s="10"/>
    </row>
    <row r="2900" spans="1:14" x14ac:dyDescent="0.25">
      <c r="A2900" s="127"/>
      <c r="B2900" s="127"/>
      <c r="C2900" s="127"/>
      <c r="D2900" s="127">
        <v>103</v>
      </c>
      <c r="E2900" s="132" t="str">
        <f>INDEX([1]道具配置表!$D:$D,MATCH(D2900,[1]道具配置表!$A:$A,0))</f>
        <v>1石头</v>
      </c>
      <c r="F2900" s="127">
        <f t="shared" si="58"/>
        <v>600000</v>
      </c>
      <c r="G2900" s="127"/>
      <c r="H2900" s="127"/>
      <c r="I2900" s="127"/>
      <c r="J2900" s="127"/>
      <c r="K2900" s="127">
        <v>1</v>
      </c>
      <c r="L2900" s="127"/>
      <c r="M2900" s="127" t="b">
        <v>1</v>
      </c>
      <c r="N2900" s="10"/>
    </row>
    <row r="2901" spans="1:14" x14ac:dyDescent="0.25">
      <c r="A2901" s="127"/>
      <c r="B2901" s="127"/>
      <c r="C2901" s="127"/>
      <c r="D2901" s="127">
        <v>104</v>
      </c>
      <c r="E2901" s="132" t="str">
        <f>INDEX([1]道具配置表!$D:$D,MATCH(D2901,[1]道具配置表!$A:$A,0))</f>
        <v>1黄金</v>
      </c>
      <c r="F2901" s="127">
        <f t="shared" si="58"/>
        <v>600000</v>
      </c>
      <c r="G2901" s="127"/>
      <c r="H2901" s="127"/>
      <c r="I2901" s="127"/>
      <c r="J2901" s="127"/>
      <c r="K2901" s="127">
        <v>1</v>
      </c>
      <c r="L2901" s="127"/>
      <c r="M2901" s="127" t="b">
        <v>1</v>
      </c>
      <c r="N2901" s="10"/>
    </row>
    <row r="2902" spans="1:14" x14ac:dyDescent="0.25">
      <c r="A2902" s="127">
        <v>6622407</v>
      </c>
      <c r="B2902" s="127" t="s">
        <v>1781</v>
      </c>
      <c r="C2902" s="127"/>
      <c r="D2902" s="127">
        <v>102</v>
      </c>
      <c r="E2902" s="132" t="str">
        <f>INDEX([1]道具配置表!$D:$D,MATCH(D2902,[1]道具配置表!$A:$A,0))</f>
        <v>1食物</v>
      </c>
      <c r="F2902" s="127">
        <f t="shared" si="58"/>
        <v>700000</v>
      </c>
      <c r="G2902" s="127"/>
      <c r="H2902" s="127"/>
      <c r="I2902" s="127"/>
      <c r="J2902" s="127"/>
      <c r="K2902" s="127">
        <v>1</v>
      </c>
      <c r="L2902" s="127"/>
      <c r="M2902" s="127" t="b">
        <v>1</v>
      </c>
      <c r="N2902" s="10"/>
    </row>
    <row r="2903" spans="1:14" x14ac:dyDescent="0.25">
      <c r="A2903" s="127"/>
      <c r="B2903" s="127"/>
      <c r="C2903" s="127"/>
      <c r="D2903" s="127">
        <v>101</v>
      </c>
      <c r="E2903" s="132" t="str">
        <f>INDEX([1]道具配置表!$D:$D,MATCH(D2903,[1]道具配置表!$A:$A,0))</f>
        <v>1木材</v>
      </c>
      <c r="F2903" s="127">
        <f t="shared" si="58"/>
        <v>700000</v>
      </c>
      <c r="G2903" s="127"/>
      <c r="H2903" s="127"/>
      <c r="I2903" s="127"/>
      <c r="J2903" s="127"/>
      <c r="K2903" s="127">
        <v>1</v>
      </c>
      <c r="L2903" s="127"/>
      <c r="M2903" s="127" t="b">
        <v>1</v>
      </c>
      <c r="N2903" s="10"/>
    </row>
    <row r="2904" spans="1:14" x14ac:dyDescent="0.25">
      <c r="A2904" s="127"/>
      <c r="B2904" s="127"/>
      <c r="C2904" s="127"/>
      <c r="D2904" s="127">
        <v>103</v>
      </c>
      <c r="E2904" s="132" t="str">
        <f>INDEX([1]道具配置表!$D:$D,MATCH(D2904,[1]道具配置表!$A:$A,0))</f>
        <v>1石头</v>
      </c>
      <c r="F2904" s="127">
        <f t="shared" si="58"/>
        <v>700000</v>
      </c>
      <c r="G2904" s="127"/>
      <c r="H2904" s="127"/>
      <c r="I2904" s="127"/>
      <c r="J2904" s="127"/>
      <c r="K2904" s="127">
        <v>1</v>
      </c>
      <c r="L2904" s="127"/>
      <c r="M2904" s="127" t="b">
        <v>1</v>
      </c>
      <c r="N2904" s="10"/>
    </row>
    <row r="2905" spans="1:14" x14ac:dyDescent="0.25">
      <c r="A2905" s="127"/>
      <c r="B2905" s="127"/>
      <c r="C2905" s="127"/>
      <c r="D2905" s="127">
        <v>104</v>
      </c>
      <c r="E2905" s="132" t="str">
        <f>INDEX([1]道具配置表!$D:$D,MATCH(D2905,[1]道具配置表!$A:$A,0))</f>
        <v>1黄金</v>
      </c>
      <c r="F2905" s="127">
        <f t="shared" si="58"/>
        <v>700000</v>
      </c>
      <c r="G2905" s="127"/>
      <c r="H2905" s="127"/>
      <c r="I2905" s="127"/>
      <c r="J2905" s="127"/>
      <c r="K2905" s="127">
        <v>1</v>
      </c>
      <c r="L2905" s="127"/>
      <c r="M2905" s="127" t="b">
        <v>1</v>
      </c>
      <c r="N2905" s="10"/>
    </row>
    <row r="2906" spans="1:14" x14ac:dyDescent="0.25">
      <c r="A2906" s="127">
        <v>6622408</v>
      </c>
      <c r="B2906" s="127" t="s">
        <v>1782</v>
      </c>
      <c r="C2906" s="127"/>
      <c r="D2906" s="127">
        <v>102</v>
      </c>
      <c r="E2906" s="132" t="str">
        <f>INDEX([1]道具配置表!$D:$D,MATCH(D2906,[1]道具配置表!$A:$A,0))</f>
        <v>1食物</v>
      </c>
      <c r="F2906" s="127">
        <f t="shared" si="58"/>
        <v>800000</v>
      </c>
      <c r="G2906" s="127"/>
      <c r="H2906" s="127"/>
      <c r="I2906" s="127"/>
      <c r="J2906" s="127"/>
      <c r="K2906" s="127">
        <v>1</v>
      </c>
      <c r="L2906" s="127"/>
      <c r="M2906" s="127" t="b">
        <v>1</v>
      </c>
      <c r="N2906" s="10"/>
    </row>
    <row r="2907" spans="1:14" x14ac:dyDescent="0.25">
      <c r="A2907" s="127"/>
      <c r="B2907" s="127"/>
      <c r="C2907" s="127"/>
      <c r="D2907" s="127">
        <v>101</v>
      </c>
      <c r="E2907" s="132" t="str">
        <f>INDEX([1]道具配置表!$D:$D,MATCH(D2907,[1]道具配置表!$A:$A,0))</f>
        <v>1木材</v>
      </c>
      <c r="F2907" s="127">
        <f t="shared" si="58"/>
        <v>800000</v>
      </c>
      <c r="G2907" s="127"/>
      <c r="H2907" s="127"/>
      <c r="I2907" s="127"/>
      <c r="J2907" s="127"/>
      <c r="K2907" s="127">
        <v>1</v>
      </c>
      <c r="L2907" s="127"/>
      <c r="M2907" s="127" t="b">
        <v>1</v>
      </c>
      <c r="N2907" s="10"/>
    </row>
    <row r="2908" spans="1:14" x14ac:dyDescent="0.25">
      <c r="A2908" s="127"/>
      <c r="B2908" s="127"/>
      <c r="C2908" s="127"/>
      <c r="D2908" s="127">
        <v>103</v>
      </c>
      <c r="E2908" s="132" t="str">
        <f>INDEX([1]道具配置表!$D:$D,MATCH(D2908,[1]道具配置表!$A:$A,0))</f>
        <v>1石头</v>
      </c>
      <c r="F2908" s="127">
        <f t="shared" si="58"/>
        <v>800000</v>
      </c>
      <c r="G2908" s="127"/>
      <c r="H2908" s="127"/>
      <c r="I2908" s="127"/>
      <c r="J2908" s="127"/>
      <c r="K2908" s="127">
        <v>1</v>
      </c>
      <c r="L2908" s="127"/>
      <c r="M2908" s="127" t="b">
        <v>1</v>
      </c>
      <c r="N2908" s="10"/>
    </row>
    <row r="2909" spans="1:14" x14ac:dyDescent="0.25">
      <c r="A2909" s="127"/>
      <c r="B2909" s="127"/>
      <c r="C2909" s="127"/>
      <c r="D2909" s="127">
        <v>104</v>
      </c>
      <c r="E2909" s="132" t="str">
        <f>INDEX([1]道具配置表!$D:$D,MATCH(D2909,[1]道具配置表!$A:$A,0))</f>
        <v>1黄金</v>
      </c>
      <c r="F2909" s="127">
        <f t="shared" si="58"/>
        <v>800000</v>
      </c>
      <c r="G2909" s="127"/>
      <c r="H2909" s="127"/>
      <c r="I2909" s="127"/>
      <c r="J2909" s="127"/>
      <c r="K2909" s="127">
        <v>1</v>
      </c>
      <c r="L2909" s="127"/>
      <c r="M2909" s="127" t="b">
        <v>1</v>
      </c>
      <c r="N2909" s="10"/>
    </row>
    <row r="2910" spans="1:14" x14ac:dyDescent="0.25">
      <c r="A2910" s="127">
        <v>6622409</v>
      </c>
      <c r="B2910" s="127" t="s">
        <v>1783</v>
      </c>
      <c r="C2910" s="127"/>
      <c r="D2910" s="127">
        <v>102</v>
      </c>
      <c r="E2910" s="132" t="str">
        <f>INDEX([1]道具配置表!$D:$D,MATCH(D2910,[1]道具配置表!$A:$A,0))</f>
        <v>1食物</v>
      </c>
      <c r="F2910" s="127">
        <f t="shared" si="58"/>
        <v>900000</v>
      </c>
      <c r="G2910" s="127"/>
      <c r="H2910" s="127"/>
      <c r="I2910" s="127"/>
      <c r="J2910" s="127"/>
      <c r="K2910" s="127">
        <v>1</v>
      </c>
      <c r="L2910" s="127"/>
      <c r="M2910" s="127" t="b">
        <v>1</v>
      </c>
      <c r="N2910" s="10"/>
    </row>
    <row r="2911" spans="1:14" x14ac:dyDescent="0.25">
      <c r="A2911" s="127"/>
      <c r="B2911" s="127"/>
      <c r="C2911" s="127"/>
      <c r="D2911" s="127">
        <v>101</v>
      </c>
      <c r="E2911" s="132" t="str">
        <f>INDEX([1]道具配置表!$D:$D,MATCH(D2911,[1]道具配置表!$A:$A,0))</f>
        <v>1木材</v>
      </c>
      <c r="F2911" s="127">
        <f t="shared" si="58"/>
        <v>900000</v>
      </c>
      <c r="G2911" s="127"/>
      <c r="H2911" s="127"/>
      <c r="I2911" s="127"/>
      <c r="J2911" s="127"/>
      <c r="K2911" s="127">
        <v>1</v>
      </c>
      <c r="L2911" s="127"/>
      <c r="M2911" s="127" t="b">
        <v>1</v>
      </c>
      <c r="N2911" s="10"/>
    </row>
    <row r="2912" spans="1:14" x14ac:dyDescent="0.25">
      <c r="A2912" s="127"/>
      <c r="B2912" s="127"/>
      <c r="C2912" s="127"/>
      <c r="D2912" s="127">
        <v>103</v>
      </c>
      <c r="E2912" s="132" t="str">
        <f>INDEX([1]道具配置表!$D:$D,MATCH(D2912,[1]道具配置表!$A:$A,0))</f>
        <v>1石头</v>
      </c>
      <c r="F2912" s="127">
        <f t="shared" si="58"/>
        <v>900000</v>
      </c>
      <c r="G2912" s="127"/>
      <c r="H2912" s="127"/>
      <c r="I2912" s="127"/>
      <c r="J2912" s="127"/>
      <c r="K2912" s="127">
        <v>1</v>
      </c>
      <c r="L2912" s="127"/>
      <c r="M2912" s="127" t="b">
        <v>1</v>
      </c>
      <c r="N2912" s="10"/>
    </row>
    <row r="2913" spans="1:14" x14ac:dyDescent="0.25">
      <c r="A2913" s="127"/>
      <c r="B2913" s="127"/>
      <c r="C2913" s="127"/>
      <c r="D2913" s="127">
        <v>104</v>
      </c>
      <c r="E2913" s="132" t="str">
        <f>INDEX([1]道具配置表!$D:$D,MATCH(D2913,[1]道具配置表!$A:$A,0))</f>
        <v>1黄金</v>
      </c>
      <c r="F2913" s="127">
        <f t="shared" si="58"/>
        <v>900000</v>
      </c>
      <c r="G2913" s="127"/>
      <c r="H2913" s="127"/>
      <c r="I2913" s="127"/>
      <c r="J2913" s="127"/>
      <c r="K2913" s="127">
        <v>1</v>
      </c>
      <c r="L2913" s="127"/>
      <c r="M2913" s="127" t="b">
        <v>1</v>
      </c>
      <c r="N2913" s="10"/>
    </row>
    <row r="2914" spans="1:14" x14ac:dyDescent="0.25">
      <c r="A2914" s="127">
        <v>6622410</v>
      </c>
      <c r="B2914" s="127" t="s">
        <v>1784</v>
      </c>
      <c r="C2914" s="127"/>
      <c r="D2914" s="127">
        <v>102</v>
      </c>
      <c r="E2914" s="132" t="str">
        <f>INDEX([1]道具配置表!$D:$D,MATCH(D2914,[1]道具配置表!$A:$A,0))</f>
        <v>1食物</v>
      </c>
      <c r="F2914" s="127">
        <f t="shared" si="58"/>
        <v>1000000</v>
      </c>
      <c r="G2914" s="127"/>
      <c r="H2914" s="127"/>
      <c r="I2914" s="127"/>
      <c r="J2914" s="127"/>
      <c r="K2914" s="127">
        <v>1</v>
      </c>
      <c r="L2914" s="127"/>
      <c r="M2914" s="127" t="b">
        <v>1</v>
      </c>
      <c r="N2914" s="10"/>
    </row>
    <row r="2915" spans="1:14" x14ac:dyDescent="0.25">
      <c r="A2915" s="127"/>
      <c r="B2915" s="127"/>
      <c r="C2915" s="127"/>
      <c r="D2915" s="127">
        <v>101</v>
      </c>
      <c r="E2915" s="132" t="str">
        <f>INDEX([1]道具配置表!$D:$D,MATCH(D2915,[1]道具配置表!$A:$A,0))</f>
        <v>1木材</v>
      </c>
      <c r="F2915" s="127">
        <f t="shared" si="58"/>
        <v>1000000</v>
      </c>
      <c r="G2915" s="127"/>
      <c r="H2915" s="127"/>
      <c r="I2915" s="127"/>
      <c r="J2915" s="127"/>
      <c r="K2915" s="127">
        <v>1</v>
      </c>
      <c r="L2915" s="127"/>
      <c r="M2915" s="127" t="b">
        <v>1</v>
      </c>
      <c r="N2915" s="10"/>
    </row>
    <row r="2916" spans="1:14" x14ac:dyDescent="0.25">
      <c r="A2916" s="127"/>
      <c r="B2916" s="127"/>
      <c r="C2916" s="127"/>
      <c r="D2916" s="127">
        <v>103</v>
      </c>
      <c r="E2916" s="132" t="str">
        <f>INDEX([1]道具配置表!$D:$D,MATCH(D2916,[1]道具配置表!$A:$A,0))</f>
        <v>1石头</v>
      </c>
      <c r="F2916" s="127">
        <f t="shared" si="58"/>
        <v>1000000</v>
      </c>
      <c r="G2916" s="127"/>
      <c r="H2916" s="127"/>
      <c r="I2916" s="127"/>
      <c r="J2916" s="127"/>
      <c r="K2916" s="127">
        <v>1</v>
      </c>
      <c r="L2916" s="127"/>
      <c r="M2916" s="127" t="b">
        <v>1</v>
      </c>
      <c r="N2916" s="10"/>
    </row>
    <row r="2917" spans="1:14" x14ac:dyDescent="0.25">
      <c r="A2917" s="127"/>
      <c r="B2917" s="127"/>
      <c r="C2917" s="127"/>
      <c r="D2917" s="127">
        <v>104</v>
      </c>
      <c r="E2917" s="132" t="str">
        <f>INDEX([1]道具配置表!$D:$D,MATCH(D2917,[1]道具配置表!$A:$A,0))</f>
        <v>1黄金</v>
      </c>
      <c r="F2917" s="127">
        <f t="shared" si="58"/>
        <v>1000000</v>
      </c>
      <c r="G2917" s="127"/>
      <c r="H2917" s="127"/>
      <c r="I2917" s="127"/>
      <c r="J2917" s="127"/>
      <c r="K2917" s="127">
        <v>1</v>
      </c>
      <c r="L2917" s="127"/>
      <c r="M2917" s="127" t="b">
        <v>1</v>
      </c>
      <c r="N2917" s="10"/>
    </row>
    <row r="2918" spans="1:14" x14ac:dyDescent="0.25">
      <c r="A2918" s="127">
        <v>6622411</v>
      </c>
      <c r="B2918" s="127" t="s">
        <v>1785</v>
      </c>
      <c r="C2918" s="127"/>
      <c r="D2918" s="127">
        <v>102</v>
      </c>
      <c r="E2918" s="132" t="str">
        <f>INDEX([1]道具配置表!$D:$D,MATCH(D2918,[1]道具配置表!$A:$A,0))</f>
        <v>1食物</v>
      </c>
      <c r="F2918" s="127">
        <f t="shared" si="58"/>
        <v>1100000</v>
      </c>
      <c r="G2918" s="127"/>
      <c r="H2918" s="127"/>
      <c r="I2918" s="127"/>
      <c r="J2918" s="127"/>
      <c r="K2918" s="127">
        <v>1</v>
      </c>
      <c r="L2918" s="127"/>
      <c r="M2918" s="127" t="b">
        <v>1</v>
      </c>
      <c r="N2918" s="10"/>
    </row>
    <row r="2919" spans="1:14" x14ac:dyDescent="0.25">
      <c r="A2919" s="127"/>
      <c r="B2919" s="127"/>
      <c r="C2919" s="127"/>
      <c r="D2919" s="127">
        <v>101</v>
      </c>
      <c r="E2919" s="132" t="str">
        <f>INDEX([1]道具配置表!$D:$D,MATCH(D2919,[1]道具配置表!$A:$A,0))</f>
        <v>1木材</v>
      </c>
      <c r="F2919" s="127">
        <f t="shared" si="58"/>
        <v>1100000</v>
      </c>
      <c r="G2919" s="127"/>
      <c r="H2919" s="127"/>
      <c r="I2919" s="127"/>
      <c r="J2919" s="127"/>
      <c r="K2919" s="127">
        <v>1</v>
      </c>
      <c r="L2919" s="127"/>
      <c r="M2919" s="127" t="b">
        <v>1</v>
      </c>
      <c r="N2919" s="10"/>
    </row>
    <row r="2920" spans="1:14" x14ac:dyDescent="0.25">
      <c r="A2920" s="127"/>
      <c r="B2920" s="127"/>
      <c r="C2920" s="127"/>
      <c r="D2920" s="127">
        <v>103</v>
      </c>
      <c r="E2920" s="132" t="str">
        <f>INDEX([1]道具配置表!$D:$D,MATCH(D2920,[1]道具配置表!$A:$A,0))</f>
        <v>1石头</v>
      </c>
      <c r="F2920" s="127">
        <f t="shared" si="58"/>
        <v>1100000</v>
      </c>
      <c r="G2920" s="127"/>
      <c r="H2920" s="127"/>
      <c r="I2920" s="127"/>
      <c r="J2920" s="127"/>
      <c r="K2920" s="127">
        <v>1</v>
      </c>
      <c r="L2920" s="127"/>
      <c r="M2920" s="127" t="b">
        <v>1</v>
      </c>
      <c r="N2920" s="10"/>
    </row>
    <row r="2921" spans="1:14" x14ac:dyDescent="0.25">
      <c r="A2921" s="127"/>
      <c r="B2921" s="127"/>
      <c r="C2921" s="127"/>
      <c r="D2921" s="127">
        <v>104</v>
      </c>
      <c r="E2921" s="132" t="str">
        <f>INDEX([1]道具配置表!$D:$D,MATCH(D2921,[1]道具配置表!$A:$A,0))</f>
        <v>1黄金</v>
      </c>
      <c r="F2921" s="127">
        <f t="shared" si="58"/>
        <v>1100000</v>
      </c>
      <c r="G2921" s="127"/>
      <c r="H2921" s="127"/>
      <c r="I2921" s="127"/>
      <c r="J2921" s="127"/>
      <c r="K2921" s="127">
        <v>1</v>
      </c>
      <c r="L2921" s="127"/>
      <c r="M2921" s="127" t="b">
        <v>1</v>
      </c>
      <c r="N2921" s="10"/>
    </row>
    <row r="2922" spans="1:14" x14ac:dyDescent="0.25">
      <c r="A2922" s="127">
        <v>6622412</v>
      </c>
      <c r="B2922" s="127" t="s">
        <v>1786</v>
      </c>
      <c r="C2922" s="127"/>
      <c r="D2922" s="127">
        <v>102</v>
      </c>
      <c r="E2922" s="132" t="str">
        <f>INDEX([1]道具配置表!$D:$D,MATCH(D2922,[1]道具配置表!$A:$A,0))</f>
        <v>1食物</v>
      </c>
      <c r="F2922" s="127">
        <f t="shared" si="58"/>
        <v>1200000</v>
      </c>
      <c r="G2922" s="127"/>
      <c r="H2922" s="127"/>
      <c r="I2922" s="127"/>
      <c r="J2922" s="127"/>
      <c r="K2922" s="127">
        <v>1</v>
      </c>
      <c r="L2922" s="127"/>
      <c r="M2922" s="127" t="b">
        <v>1</v>
      </c>
      <c r="N2922" s="10"/>
    </row>
    <row r="2923" spans="1:14" x14ac:dyDescent="0.25">
      <c r="A2923" s="127"/>
      <c r="B2923" s="127"/>
      <c r="C2923" s="127"/>
      <c r="D2923" s="127">
        <v>101</v>
      </c>
      <c r="E2923" s="132" t="str">
        <f>INDEX([1]道具配置表!$D:$D,MATCH(D2923,[1]道具配置表!$A:$A,0))</f>
        <v>1木材</v>
      </c>
      <c r="F2923" s="127">
        <f t="shared" si="58"/>
        <v>1200000</v>
      </c>
      <c r="G2923" s="127"/>
      <c r="H2923" s="127"/>
      <c r="I2923" s="127"/>
      <c r="J2923" s="127"/>
      <c r="K2923" s="127">
        <v>1</v>
      </c>
      <c r="L2923" s="127"/>
      <c r="M2923" s="127" t="b">
        <v>1</v>
      </c>
      <c r="N2923" s="10"/>
    </row>
    <row r="2924" spans="1:14" x14ac:dyDescent="0.25">
      <c r="A2924" s="127"/>
      <c r="B2924" s="127"/>
      <c r="C2924" s="127"/>
      <c r="D2924" s="127">
        <v>103</v>
      </c>
      <c r="E2924" s="132" t="str">
        <f>INDEX([1]道具配置表!$D:$D,MATCH(D2924,[1]道具配置表!$A:$A,0))</f>
        <v>1石头</v>
      </c>
      <c r="F2924" s="127">
        <f t="shared" si="58"/>
        <v>1200000</v>
      </c>
      <c r="G2924" s="127"/>
      <c r="H2924" s="127"/>
      <c r="I2924" s="127"/>
      <c r="J2924" s="127"/>
      <c r="K2924" s="127">
        <v>1</v>
      </c>
      <c r="L2924" s="127"/>
      <c r="M2924" s="127" t="b">
        <v>1</v>
      </c>
      <c r="N2924" s="10"/>
    </row>
    <row r="2925" spans="1:14" x14ac:dyDescent="0.25">
      <c r="A2925" s="127"/>
      <c r="B2925" s="127"/>
      <c r="C2925" s="127"/>
      <c r="D2925" s="127">
        <v>104</v>
      </c>
      <c r="E2925" s="132" t="str">
        <f>INDEX([1]道具配置表!$D:$D,MATCH(D2925,[1]道具配置表!$A:$A,0))</f>
        <v>1黄金</v>
      </c>
      <c r="F2925" s="127">
        <f t="shared" si="58"/>
        <v>1200000</v>
      </c>
      <c r="G2925" s="127"/>
      <c r="H2925" s="127"/>
      <c r="I2925" s="127"/>
      <c r="J2925" s="127"/>
      <c r="K2925" s="127">
        <v>1</v>
      </c>
      <c r="L2925" s="127"/>
      <c r="M2925" s="127" t="b">
        <v>1</v>
      </c>
      <c r="N2925" s="10"/>
    </row>
    <row r="2926" spans="1:14" x14ac:dyDescent="0.25">
      <c r="A2926" s="127">
        <v>6622413</v>
      </c>
      <c r="B2926" s="127" t="s">
        <v>1787</v>
      </c>
      <c r="C2926" s="127"/>
      <c r="D2926" s="127">
        <v>102</v>
      </c>
      <c r="E2926" s="132" t="str">
        <f>INDEX([1]道具配置表!$D:$D,MATCH(D2926,[1]道具配置表!$A:$A,0))</f>
        <v>1食物</v>
      </c>
      <c r="F2926" s="127">
        <f t="shared" si="58"/>
        <v>1300000</v>
      </c>
      <c r="G2926" s="127"/>
      <c r="H2926" s="127"/>
      <c r="I2926" s="127"/>
      <c r="J2926" s="127"/>
      <c r="K2926" s="127">
        <v>1</v>
      </c>
      <c r="L2926" s="127"/>
      <c r="M2926" s="127" t="b">
        <v>1</v>
      </c>
      <c r="N2926" s="10"/>
    </row>
    <row r="2927" spans="1:14" x14ac:dyDescent="0.25">
      <c r="A2927" s="127"/>
      <c r="B2927" s="127"/>
      <c r="C2927" s="127"/>
      <c r="D2927" s="127">
        <v>101</v>
      </c>
      <c r="E2927" s="132" t="str">
        <f>INDEX([1]道具配置表!$D:$D,MATCH(D2927,[1]道具配置表!$A:$A,0))</f>
        <v>1木材</v>
      </c>
      <c r="F2927" s="127">
        <f t="shared" si="58"/>
        <v>1300000</v>
      </c>
      <c r="G2927" s="127"/>
      <c r="H2927" s="127"/>
      <c r="I2927" s="127"/>
      <c r="J2927" s="127"/>
      <c r="K2927" s="127">
        <v>1</v>
      </c>
      <c r="L2927" s="127"/>
      <c r="M2927" s="127" t="b">
        <v>1</v>
      </c>
      <c r="N2927" s="10"/>
    </row>
    <row r="2928" spans="1:14" x14ac:dyDescent="0.25">
      <c r="A2928" s="127"/>
      <c r="B2928" s="127"/>
      <c r="C2928" s="127"/>
      <c r="D2928" s="127">
        <v>103</v>
      </c>
      <c r="E2928" s="132" t="str">
        <f>INDEX([1]道具配置表!$D:$D,MATCH(D2928,[1]道具配置表!$A:$A,0))</f>
        <v>1石头</v>
      </c>
      <c r="F2928" s="127">
        <f t="shared" si="58"/>
        <v>1300000</v>
      </c>
      <c r="G2928" s="127"/>
      <c r="H2928" s="127"/>
      <c r="I2928" s="127"/>
      <c r="J2928" s="127"/>
      <c r="K2928" s="127">
        <v>1</v>
      </c>
      <c r="L2928" s="127"/>
      <c r="M2928" s="127" t="b">
        <v>1</v>
      </c>
      <c r="N2928" s="10"/>
    </row>
    <row r="2929" spans="1:14" x14ac:dyDescent="0.25">
      <c r="A2929" s="127"/>
      <c r="B2929" s="127"/>
      <c r="C2929" s="127"/>
      <c r="D2929" s="127">
        <v>104</v>
      </c>
      <c r="E2929" s="132" t="str">
        <f>INDEX([1]道具配置表!$D:$D,MATCH(D2929,[1]道具配置表!$A:$A,0))</f>
        <v>1黄金</v>
      </c>
      <c r="F2929" s="127">
        <f t="shared" si="58"/>
        <v>1300000</v>
      </c>
      <c r="G2929" s="127"/>
      <c r="H2929" s="127"/>
      <c r="I2929" s="127"/>
      <c r="J2929" s="127"/>
      <c r="K2929" s="127">
        <v>1</v>
      </c>
      <c r="L2929" s="127"/>
      <c r="M2929" s="127" t="b">
        <v>1</v>
      </c>
      <c r="N2929" s="10"/>
    </row>
    <row r="2930" spans="1:14" x14ac:dyDescent="0.25">
      <c r="A2930" s="127">
        <v>6622414</v>
      </c>
      <c r="B2930" s="127" t="s">
        <v>1788</v>
      </c>
      <c r="C2930" s="127"/>
      <c r="D2930" s="127">
        <v>102</v>
      </c>
      <c r="E2930" s="132" t="str">
        <f>INDEX([1]道具配置表!$D:$D,MATCH(D2930,[1]道具配置表!$A:$A,0))</f>
        <v>1食物</v>
      </c>
      <c r="F2930" s="127">
        <f t="shared" si="58"/>
        <v>1400000</v>
      </c>
      <c r="G2930" s="127"/>
      <c r="H2930" s="127"/>
      <c r="I2930" s="127"/>
      <c r="J2930" s="127"/>
      <c r="K2930" s="127">
        <v>1</v>
      </c>
      <c r="L2930" s="127"/>
      <c r="M2930" s="127" t="b">
        <v>1</v>
      </c>
      <c r="N2930" s="10"/>
    </row>
    <row r="2931" spans="1:14" x14ac:dyDescent="0.25">
      <c r="A2931" s="127"/>
      <c r="B2931" s="127"/>
      <c r="C2931" s="127"/>
      <c r="D2931" s="127">
        <v>101</v>
      </c>
      <c r="E2931" s="132" t="str">
        <f>INDEX([1]道具配置表!$D:$D,MATCH(D2931,[1]道具配置表!$A:$A,0))</f>
        <v>1木材</v>
      </c>
      <c r="F2931" s="127">
        <f t="shared" si="58"/>
        <v>1400000</v>
      </c>
      <c r="G2931" s="127"/>
      <c r="H2931" s="127"/>
      <c r="I2931" s="127"/>
      <c r="J2931" s="127"/>
      <c r="K2931" s="127">
        <v>1</v>
      </c>
      <c r="L2931" s="127"/>
      <c r="M2931" s="127" t="b">
        <v>1</v>
      </c>
      <c r="N2931" s="10"/>
    </row>
    <row r="2932" spans="1:14" x14ac:dyDescent="0.25">
      <c r="A2932" s="127"/>
      <c r="B2932" s="127"/>
      <c r="C2932" s="127"/>
      <c r="D2932" s="127">
        <v>103</v>
      </c>
      <c r="E2932" s="132" t="str">
        <f>INDEX([1]道具配置表!$D:$D,MATCH(D2932,[1]道具配置表!$A:$A,0))</f>
        <v>1石头</v>
      </c>
      <c r="F2932" s="127">
        <f t="shared" si="58"/>
        <v>1400000</v>
      </c>
      <c r="G2932" s="127"/>
      <c r="H2932" s="127"/>
      <c r="I2932" s="127"/>
      <c r="J2932" s="127"/>
      <c r="K2932" s="127">
        <v>1</v>
      </c>
      <c r="L2932" s="127"/>
      <c r="M2932" s="127" t="b">
        <v>1</v>
      </c>
      <c r="N2932" s="10"/>
    </row>
    <row r="2933" spans="1:14" x14ac:dyDescent="0.25">
      <c r="A2933" s="127"/>
      <c r="B2933" s="127"/>
      <c r="C2933" s="127"/>
      <c r="D2933" s="127">
        <v>104</v>
      </c>
      <c r="E2933" s="132" t="str">
        <f>INDEX([1]道具配置表!$D:$D,MATCH(D2933,[1]道具配置表!$A:$A,0))</f>
        <v>1黄金</v>
      </c>
      <c r="F2933" s="127">
        <f t="shared" si="58"/>
        <v>1400000</v>
      </c>
      <c r="G2933" s="127"/>
      <c r="H2933" s="127"/>
      <c r="I2933" s="127"/>
      <c r="J2933" s="127"/>
      <c r="K2933" s="127">
        <v>1</v>
      </c>
      <c r="L2933" s="127"/>
      <c r="M2933" s="127" t="b">
        <v>1</v>
      </c>
      <c r="N2933" s="10"/>
    </row>
    <row r="2934" spans="1:14" x14ac:dyDescent="0.25">
      <c r="A2934" s="127">
        <v>6622415</v>
      </c>
      <c r="B2934" s="127" t="s">
        <v>1789</v>
      </c>
      <c r="C2934" s="127"/>
      <c r="D2934" s="127">
        <v>102</v>
      </c>
      <c r="E2934" s="132" t="str">
        <f>INDEX([1]道具配置表!$D:$D,MATCH(D2934,[1]道具配置表!$A:$A,0))</f>
        <v>1食物</v>
      </c>
      <c r="F2934" s="127">
        <f t="shared" si="58"/>
        <v>1500000</v>
      </c>
      <c r="G2934" s="127"/>
      <c r="H2934" s="127"/>
      <c r="I2934" s="127"/>
      <c r="J2934" s="127"/>
      <c r="K2934" s="127">
        <v>1</v>
      </c>
      <c r="L2934" s="127"/>
      <c r="M2934" s="127" t="b">
        <v>1</v>
      </c>
      <c r="N2934" s="10"/>
    </row>
    <row r="2935" spans="1:14" x14ac:dyDescent="0.25">
      <c r="A2935" s="127"/>
      <c r="B2935" s="127"/>
      <c r="C2935" s="127"/>
      <c r="D2935" s="127">
        <v>101</v>
      </c>
      <c r="E2935" s="132" t="str">
        <f>INDEX([1]道具配置表!$D:$D,MATCH(D2935,[1]道具配置表!$A:$A,0))</f>
        <v>1木材</v>
      </c>
      <c r="F2935" s="127">
        <f t="shared" si="58"/>
        <v>1500000</v>
      </c>
      <c r="G2935" s="127"/>
      <c r="H2935" s="127"/>
      <c r="I2935" s="127"/>
      <c r="J2935" s="127"/>
      <c r="K2935" s="127">
        <v>1</v>
      </c>
      <c r="L2935" s="127"/>
      <c r="M2935" s="127" t="b">
        <v>1</v>
      </c>
      <c r="N2935" s="10"/>
    </row>
    <row r="2936" spans="1:14" x14ac:dyDescent="0.25">
      <c r="A2936" s="127"/>
      <c r="B2936" s="127"/>
      <c r="C2936" s="127"/>
      <c r="D2936" s="127">
        <v>103</v>
      </c>
      <c r="E2936" s="132" t="str">
        <f>INDEX([1]道具配置表!$D:$D,MATCH(D2936,[1]道具配置表!$A:$A,0))</f>
        <v>1石头</v>
      </c>
      <c r="F2936" s="127">
        <f t="shared" si="58"/>
        <v>1500000</v>
      </c>
      <c r="G2936" s="127"/>
      <c r="H2936" s="127"/>
      <c r="I2936" s="127"/>
      <c r="J2936" s="127"/>
      <c r="K2936" s="127">
        <v>1</v>
      </c>
      <c r="L2936" s="127"/>
      <c r="M2936" s="127" t="b">
        <v>1</v>
      </c>
      <c r="N2936" s="10"/>
    </row>
    <row r="2937" spans="1:14" x14ac:dyDescent="0.25">
      <c r="A2937" s="127"/>
      <c r="B2937" s="127"/>
      <c r="C2937" s="127"/>
      <c r="D2937" s="127">
        <v>104</v>
      </c>
      <c r="E2937" s="132" t="str">
        <f>INDEX([1]道具配置表!$D:$D,MATCH(D2937,[1]道具配置表!$A:$A,0))</f>
        <v>1黄金</v>
      </c>
      <c r="F2937" s="127">
        <f t="shared" si="58"/>
        <v>1500000</v>
      </c>
      <c r="G2937" s="127"/>
      <c r="H2937" s="127"/>
      <c r="I2937" s="127"/>
      <c r="J2937" s="127"/>
      <c r="K2937" s="127">
        <v>1</v>
      </c>
      <c r="L2937" s="127"/>
      <c r="M2937" s="127" t="b">
        <v>1</v>
      </c>
      <c r="N2937" s="10"/>
    </row>
    <row r="2938" spans="1:14" x14ac:dyDescent="0.25">
      <c r="A2938" s="127">
        <v>6622501</v>
      </c>
      <c r="B2938" s="127" t="s">
        <v>1790</v>
      </c>
      <c r="C2938" s="127"/>
      <c r="D2938" s="127">
        <v>7003</v>
      </c>
      <c r="E2938" s="132" t="str">
        <f>INDEX([1]道具配置表!$D:$D,MATCH(D2938,[1]道具配置表!$A:$A,0))</f>
        <v>1银币（立即使用，不进背包）</v>
      </c>
      <c r="F2938" s="127">
        <v>100</v>
      </c>
      <c r="G2938" s="127"/>
      <c r="H2938" s="127"/>
      <c r="I2938" s="127"/>
      <c r="J2938" s="127"/>
      <c r="K2938" s="127">
        <v>1</v>
      </c>
      <c r="L2938" s="127"/>
      <c r="M2938" s="127" t="b">
        <v>1</v>
      </c>
      <c r="N2938" s="10"/>
    </row>
    <row r="2939" spans="1:14" x14ac:dyDescent="0.25">
      <c r="A2939" s="127"/>
      <c r="B2939" s="127"/>
      <c r="C2939" s="127"/>
      <c r="D2939" s="127">
        <v>102</v>
      </c>
      <c r="E2939" s="132" t="str">
        <f>INDEX([1]道具配置表!$D:$D,MATCH(D2939,[1]道具配置表!$A:$A,0))</f>
        <v>1食物</v>
      </c>
      <c r="F2939" s="127">
        <v>100000</v>
      </c>
      <c r="G2939" s="127"/>
      <c r="H2939" s="127"/>
      <c r="I2939" s="127"/>
      <c r="J2939" s="127"/>
      <c r="K2939" s="127">
        <v>1</v>
      </c>
      <c r="L2939" s="127"/>
      <c r="M2939" s="127" t="b">
        <v>1</v>
      </c>
      <c r="N2939" s="10"/>
    </row>
    <row r="2940" spans="1:14" x14ac:dyDescent="0.25">
      <c r="A2940" s="127"/>
      <c r="B2940" s="127"/>
      <c r="C2940" s="127"/>
      <c r="D2940" s="127">
        <v>101</v>
      </c>
      <c r="E2940" s="132" t="str">
        <f>INDEX([1]道具配置表!$D:$D,MATCH(D2940,[1]道具配置表!$A:$A,0))</f>
        <v>1木材</v>
      </c>
      <c r="F2940" s="127">
        <v>100000</v>
      </c>
      <c r="G2940" s="127"/>
      <c r="H2940" s="127"/>
      <c r="I2940" s="127"/>
      <c r="J2940" s="127"/>
      <c r="K2940" s="127">
        <v>1</v>
      </c>
      <c r="L2940" s="127"/>
      <c r="M2940" s="127" t="b">
        <v>1</v>
      </c>
      <c r="N2940" s="10"/>
    </row>
    <row r="2941" spans="1:14" x14ac:dyDescent="0.25">
      <c r="A2941" s="127"/>
      <c r="B2941" s="127"/>
      <c r="C2941" s="127"/>
      <c r="D2941" s="127">
        <v>103</v>
      </c>
      <c r="E2941" s="132" t="str">
        <f>INDEX([1]道具配置表!$D:$D,MATCH(D2941,[1]道具配置表!$A:$A,0))</f>
        <v>1石头</v>
      </c>
      <c r="F2941" s="127">
        <v>100000</v>
      </c>
      <c r="G2941" s="127"/>
      <c r="H2941" s="127"/>
      <c r="I2941" s="127"/>
      <c r="J2941" s="127"/>
      <c r="K2941" s="127">
        <v>1</v>
      </c>
      <c r="L2941" s="127"/>
      <c r="M2941" s="127" t="b">
        <v>1</v>
      </c>
      <c r="N2941" s="10"/>
    </row>
    <row r="2942" spans="1:14" x14ac:dyDescent="0.25">
      <c r="A2942" s="127"/>
      <c r="B2942" s="127"/>
      <c r="C2942" s="127"/>
      <c r="D2942" s="127">
        <v>104</v>
      </c>
      <c r="E2942" s="132" t="str">
        <f>INDEX([1]道具配置表!$D:$D,MATCH(D2942,[1]道具配置表!$A:$A,0))</f>
        <v>1黄金</v>
      </c>
      <c r="F2942" s="127">
        <v>100000</v>
      </c>
      <c r="G2942" s="127"/>
      <c r="H2942" s="127"/>
      <c r="I2942" s="127"/>
      <c r="J2942" s="127"/>
      <c r="K2942" s="127">
        <v>1</v>
      </c>
      <c r="L2942" s="127"/>
      <c r="M2942" s="127" t="b">
        <v>1</v>
      </c>
      <c r="N2942" s="10"/>
    </row>
    <row r="2943" spans="1:14" x14ac:dyDescent="0.25">
      <c r="A2943" s="127">
        <v>6622502</v>
      </c>
      <c r="B2943" s="127" t="s">
        <v>1791</v>
      </c>
      <c r="C2943" s="127"/>
      <c r="D2943" s="127">
        <v>7003</v>
      </c>
      <c r="E2943" s="132" t="str">
        <f>INDEX([1]道具配置表!$D:$D,MATCH(D2943,[1]道具配置表!$A:$A,0))</f>
        <v>1银币（立即使用，不进背包）</v>
      </c>
      <c r="F2943" s="127">
        <v>100</v>
      </c>
      <c r="G2943" s="127"/>
      <c r="H2943" s="127"/>
      <c r="I2943" s="127"/>
      <c r="J2943" s="127"/>
      <c r="K2943" s="127">
        <v>1</v>
      </c>
      <c r="L2943" s="127"/>
      <c r="M2943" s="127" t="b">
        <v>1</v>
      </c>
      <c r="N2943" s="10"/>
    </row>
    <row r="2944" spans="1:14" x14ac:dyDescent="0.25">
      <c r="A2944" s="127"/>
      <c r="B2944" s="127"/>
      <c r="C2944" s="127"/>
      <c r="D2944" s="127">
        <v>102</v>
      </c>
      <c r="E2944" s="132" t="str">
        <f>INDEX([1]道具配置表!$D:$D,MATCH(D2944,[1]道具配置表!$A:$A,0))</f>
        <v>1食物</v>
      </c>
      <c r="F2944" s="127">
        <v>100000</v>
      </c>
      <c r="G2944" s="127"/>
      <c r="H2944" s="127"/>
      <c r="I2944" s="127"/>
      <c r="J2944" s="127"/>
      <c r="K2944" s="127">
        <v>1</v>
      </c>
      <c r="L2944" s="127"/>
      <c r="M2944" s="127" t="b">
        <v>1</v>
      </c>
      <c r="N2944" s="10"/>
    </row>
    <row r="2945" spans="1:14" x14ac:dyDescent="0.25">
      <c r="A2945" s="127"/>
      <c r="B2945" s="127"/>
      <c r="C2945" s="127"/>
      <c r="D2945" s="127">
        <v>101</v>
      </c>
      <c r="E2945" s="132" t="str">
        <f>INDEX([1]道具配置表!$D:$D,MATCH(D2945,[1]道具配置表!$A:$A,0))</f>
        <v>1木材</v>
      </c>
      <c r="F2945" s="127">
        <v>100000</v>
      </c>
      <c r="G2945" s="127"/>
      <c r="H2945" s="127"/>
      <c r="I2945" s="127"/>
      <c r="J2945" s="127"/>
      <c r="K2945" s="127">
        <v>1</v>
      </c>
      <c r="L2945" s="127"/>
      <c r="M2945" s="127" t="b">
        <v>1</v>
      </c>
      <c r="N2945" s="10"/>
    </row>
    <row r="2946" spans="1:14" x14ac:dyDescent="0.25">
      <c r="A2946" s="127"/>
      <c r="B2946" s="127"/>
      <c r="C2946" s="127"/>
      <c r="D2946" s="127">
        <v>103</v>
      </c>
      <c r="E2946" s="132" t="str">
        <f>INDEX([1]道具配置表!$D:$D,MATCH(D2946,[1]道具配置表!$A:$A,0))</f>
        <v>1石头</v>
      </c>
      <c r="F2946" s="127">
        <v>100000</v>
      </c>
      <c r="G2946" s="127"/>
      <c r="H2946" s="127"/>
      <c r="I2946" s="127"/>
      <c r="J2946" s="127"/>
      <c r="K2946" s="127">
        <v>1</v>
      </c>
      <c r="L2946" s="127"/>
      <c r="M2946" s="127" t="b">
        <v>1</v>
      </c>
      <c r="N2946" s="10"/>
    </row>
    <row r="2947" spans="1:14" x14ac:dyDescent="0.25">
      <c r="A2947" s="127"/>
      <c r="B2947" s="127"/>
      <c r="C2947" s="127"/>
      <c r="D2947" s="127">
        <v>104</v>
      </c>
      <c r="E2947" s="132" t="str">
        <f>INDEX([1]道具配置表!$D:$D,MATCH(D2947,[1]道具配置表!$A:$A,0))</f>
        <v>1黄金</v>
      </c>
      <c r="F2947" s="127">
        <v>100000</v>
      </c>
      <c r="G2947" s="127"/>
      <c r="H2947" s="127"/>
      <c r="I2947" s="127"/>
      <c r="J2947" s="127"/>
      <c r="K2947" s="127">
        <v>1</v>
      </c>
      <c r="L2947" s="127"/>
      <c r="M2947" s="127" t="b">
        <v>1</v>
      </c>
      <c r="N2947" s="10"/>
    </row>
    <row r="2948" spans="1:14" x14ac:dyDescent="0.25">
      <c r="A2948" s="127">
        <v>6622503</v>
      </c>
      <c r="B2948" s="127" t="s">
        <v>1792</v>
      </c>
      <c r="C2948" s="127"/>
      <c r="D2948" s="127">
        <v>7003</v>
      </c>
      <c r="E2948" s="132" t="str">
        <f>INDEX([1]道具配置表!$D:$D,MATCH(D2948,[1]道具配置表!$A:$A,0))</f>
        <v>1银币（立即使用，不进背包）</v>
      </c>
      <c r="F2948" s="127">
        <v>100</v>
      </c>
      <c r="G2948" s="127"/>
      <c r="H2948" s="127"/>
      <c r="I2948" s="127"/>
      <c r="J2948" s="127"/>
      <c r="K2948" s="127">
        <v>1</v>
      </c>
      <c r="L2948" s="127"/>
      <c r="M2948" s="127" t="b">
        <v>1</v>
      </c>
      <c r="N2948" s="10"/>
    </row>
    <row r="2949" spans="1:14" x14ac:dyDescent="0.25">
      <c r="A2949" s="127"/>
      <c r="B2949" s="127"/>
      <c r="C2949" s="127"/>
      <c r="D2949" s="127">
        <v>102</v>
      </c>
      <c r="E2949" s="132" t="str">
        <f>INDEX([1]道具配置表!$D:$D,MATCH(D2949,[1]道具配置表!$A:$A,0))</f>
        <v>1食物</v>
      </c>
      <c r="F2949" s="127">
        <v>100000</v>
      </c>
      <c r="G2949" s="127"/>
      <c r="H2949" s="127"/>
      <c r="I2949" s="127"/>
      <c r="J2949" s="127"/>
      <c r="K2949" s="127">
        <v>1</v>
      </c>
      <c r="L2949" s="127"/>
      <c r="M2949" s="127" t="b">
        <v>1</v>
      </c>
      <c r="N2949" s="10"/>
    </row>
    <row r="2950" spans="1:14" x14ac:dyDescent="0.25">
      <c r="A2950" s="127"/>
      <c r="B2950" s="127"/>
      <c r="C2950" s="127"/>
      <c r="D2950" s="127">
        <v>101</v>
      </c>
      <c r="E2950" s="132" t="str">
        <f>INDEX([1]道具配置表!$D:$D,MATCH(D2950,[1]道具配置表!$A:$A,0))</f>
        <v>1木材</v>
      </c>
      <c r="F2950" s="127">
        <v>100000</v>
      </c>
      <c r="G2950" s="127"/>
      <c r="H2950" s="127"/>
      <c r="I2950" s="127"/>
      <c r="J2950" s="127"/>
      <c r="K2950" s="127">
        <v>1</v>
      </c>
      <c r="L2950" s="127"/>
      <c r="M2950" s="127" t="b">
        <v>1</v>
      </c>
      <c r="N2950" s="10"/>
    </row>
    <row r="2951" spans="1:14" x14ac:dyDescent="0.25">
      <c r="A2951" s="127"/>
      <c r="B2951" s="127"/>
      <c r="C2951" s="127"/>
      <c r="D2951" s="127">
        <v>103</v>
      </c>
      <c r="E2951" s="132" t="str">
        <f>INDEX([1]道具配置表!$D:$D,MATCH(D2951,[1]道具配置表!$A:$A,0))</f>
        <v>1石头</v>
      </c>
      <c r="F2951" s="127">
        <v>100000</v>
      </c>
      <c r="G2951" s="127"/>
      <c r="H2951" s="127"/>
      <c r="I2951" s="127"/>
      <c r="J2951" s="127"/>
      <c r="K2951" s="127">
        <v>1</v>
      </c>
      <c r="L2951" s="127"/>
      <c r="M2951" s="127" t="b">
        <v>1</v>
      </c>
      <c r="N2951" s="10"/>
    </row>
    <row r="2952" spans="1:14" x14ac:dyDescent="0.25">
      <c r="A2952" s="127"/>
      <c r="B2952" s="127"/>
      <c r="C2952" s="127"/>
      <c r="D2952" s="127">
        <v>104</v>
      </c>
      <c r="E2952" s="132" t="str">
        <f>INDEX([1]道具配置表!$D:$D,MATCH(D2952,[1]道具配置表!$A:$A,0))</f>
        <v>1黄金</v>
      </c>
      <c r="F2952" s="127">
        <v>100000</v>
      </c>
      <c r="G2952" s="127"/>
      <c r="H2952" s="127"/>
      <c r="I2952" s="127"/>
      <c r="J2952" s="127"/>
      <c r="K2952" s="127">
        <v>1</v>
      </c>
      <c r="L2952" s="127"/>
      <c r="M2952" s="127" t="b">
        <v>1</v>
      </c>
      <c r="N2952" s="10"/>
    </row>
    <row r="2953" spans="1:14" x14ac:dyDescent="0.25">
      <c r="A2953" s="127">
        <v>6622504</v>
      </c>
      <c r="B2953" s="127" t="s">
        <v>1793</v>
      </c>
      <c r="C2953" s="127"/>
      <c r="D2953" s="127">
        <v>7003</v>
      </c>
      <c r="E2953" s="132" t="str">
        <f>INDEX([1]道具配置表!$D:$D,MATCH(D2953,[1]道具配置表!$A:$A,0))</f>
        <v>1银币（立即使用，不进背包）</v>
      </c>
      <c r="F2953" s="127">
        <v>100</v>
      </c>
      <c r="G2953" s="127"/>
      <c r="H2953" s="127"/>
      <c r="I2953" s="127"/>
      <c r="J2953" s="127"/>
      <c r="K2953" s="127">
        <v>1</v>
      </c>
      <c r="L2953" s="127"/>
      <c r="M2953" s="127" t="b">
        <v>1</v>
      </c>
      <c r="N2953" s="10"/>
    </row>
    <row r="2954" spans="1:14" x14ac:dyDescent="0.25">
      <c r="A2954" s="127"/>
      <c r="B2954" s="127"/>
      <c r="C2954" s="127"/>
      <c r="D2954" s="127">
        <v>102</v>
      </c>
      <c r="E2954" s="132" t="str">
        <f>INDEX([1]道具配置表!$D:$D,MATCH(D2954,[1]道具配置表!$A:$A,0))</f>
        <v>1食物</v>
      </c>
      <c r="F2954" s="127">
        <v>100000</v>
      </c>
      <c r="G2954" s="127"/>
      <c r="H2954" s="127"/>
      <c r="I2954" s="127"/>
      <c r="J2954" s="127"/>
      <c r="K2954" s="127">
        <v>1</v>
      </c>
      <c r="L2954" s="127"/>
      <c r="M2954" s="127" t="b">
        <v>1</v>
      </c>
      <c r="N2954" s="10"/>
    </row>
    <row r="2955" spans="1:14" x14ac:dyDescent="0.25">
      <c r="A2955" s="127"/>
      <c r="B2955" s="127"/>
      <c r="C2955" s="127"/>
      <c r="D2955" s="127">
        <v>101</v>
      </c>
      <c r="E2955" s="132" t="str">
        <f>INDEX([1]道具配置表!$D:$D,MATCH(D2955,[1]道具配置表!$A:$A,0))</f>
        <v>1木材</v>
      </c>
      <c r="F2955" s="127">
        <v>100000</v>
      </c>
      <c r="G2955" s="127"/>
      <c r="H2955" s="127"/>
      <c r="I2955" s="127"/>
      <c r="J2955" s="127"/>
      <c r="K2955" s="127">
        <v>1</v>
      </c>
      <c r="L2955" s="127"/>
      <c r="M2955" s="127" t="b">
        <v>1</v>
      </c>
      <c r="N2955" s="10"/>
    </row>
    <row r="2956" spans="1:14" x14ac:dyDescent="0.25">
      <c r="A2956" s="127"/>
      <c r="B2956" s="127"/>
      <c r="C2956" s="127"/>
      <c r="D2956" s="127">
        <v>103</v>
      </c>
      <c r="E2956" s="132" t="str">
        <f>INDEX([1]道具配置表!$D:$D,MATCH(D2956,[1]道具配置表!$A:$A,0))</f>
        <v>1石头</v>
      </c>
      <c r="F2956" s="127">
        <v>100000</v>
      </c>
      <c r="G2956" s="127"/>
      <c r="H2956" s="127"/>
      <c r="I2956" s="127"/>
      <c r="J2956" s="127"/>
      <c r="K2956" s="127">
        <v>1</v>
      </c>
      <c r="L2956" s="127"/>
      <c r="M2956" s="127" t="b">
        <v>1</v>
      </c>
      <c r="N2956" s="10"/>
    </row>
    <row r="2957" spans="1:14" x14ac:dyDescent="0.25">
      <c r="A2957" s="127"/>
      <c r="B2957" s="127"/>
      <c r="C2957" s="127"/>
      <c r="D2957" s="127">
        <v>104</v>
      </c>
      <c r="E2957" s="132" t="str">
        <f>INDEX([1]道具配置表!$D:$D,MATCH(D2957,[1]道具配置表!$A:$A,0))</f>
        <v>1黄金</v>
      </c>
      <c r="F2957" s="127">
        <v>100000</v>
      </c>
      <c r="G2957" s="127"/>
      <c r="H2957" s="127"/>
      <c r="I2957" s="127"/>
      <c r="J2957" s="127"/>
      <c r="K2957" s="127">
        <v>1</v>
      </c>
      <c r="L2957" s="127"/>
      <c r="M2957" s="127" t="b">
        <v>1</v>
      </c>
      <c r="N2957" s="10"/>
    </row>
    <row r="2958" spans="1:14" x14ac:dyDescent="0.25">
      <c r="A2958" s="10">
        <v>6623101</v>
      </c>
      <c r="B2958" s="10" t="s">
        <v>43</v>
      </c>
      <c r="C2958" s="11" t="str">
        <f>IF(A2958="","",IF((COUNTIFS(A:A,A2958))&gt;1,"ID重复",""))</f>
        <v/>
      </c>
      <c r="D2958" s="10">
        <v>102</v>
      </c>
      <c r="E2958" s="132" t="str">
        <f>INDEX([1]道具配置表!$D:$D,MATCH(D2958,[1]道具配置表!$A:$A,0))</f>
        <v>1食物</v>
      </c>
      <c r="F2958" s="10">
        <f>F2959</f>
        <v>10000</v>
      </c>
      <c r="G2958" s="10"/>
      <c r="H2958" s="10"/>
      <c r="I2958" s="10"/>
      <c r="J2958" s="10"/>
      <c r="K2958" s="10">
        <v>1</v>
      </c>
      <c r="L2958" s="10"/>
      <c r="M2958" s="10" t="b">
        <v>1</v>
      </c>
      <c r="N2958" s="10"/>
    </row>
    <row r="2959" spans="1:14" x14ac:dyDescent="0.25">
      <c r="A2959" s="10" t="s">
        <v>119</v>
      </c>
      <c r="B2959" s="10"/>
      <c r="C2959" s="11" t="str">
        <f>IF(A2959="","",IF((COUNTIFS(A:A,A2959))&gt;1,"ID重复",""))</f>
        <v/>
      </c>
      <c r="D2959" s="10">
        <v>101</v>
      </c>
      <c r="E2959" s="132" t="str">
        <f>INDEX([1]道具配置表!$D:$D,MATCH(D2959,[1]道具配置表!$A:$A,0))</f>
        <v>1木材</v>
      </c>
      <c r="F2959" s="10">
        <v>10000</v>
      </c>
      <c r="G2959" s="10"/>
      <c r="H2959" s="10"/>
      <c r="I2959" s="10"/>
      <c r="J2959" s="10"/>
      <c r="K2959" s="10">
        <v>1</v>
      </c>
      <c r="L2959" s="10"/>
      <c r="M2959" s="10" t="b">
        <v>1</v>
      </c>
      <c r="N2959" s="10"/>
    </row>
    <row r="2960" spans="1:14" x14ac:dyDescent="0.25">
      <c r="A2960" s="10" t="s">
        <v>119</v>
      </c>
      <c r="B2960" s="10"/>
      <c r="C2960" s="11" t="str">
        <f>IF(A2960="","",IF((COUNTIFS(A:A,A2960))&gt;1,"ID重复",""))</f>
        <v/>
      </c>
      <c r="D2960" s="10">
        <v>103</v>
      </c>
      <c r="E2960" s="132" t="str">
        <f>INDEX([1]道具配置表!$D:$D,MATCH(D2960,[1]道具配置表!$A:$A,0))</f>
        <v>1石头</v>
      </c>
      <c r="F2960" s="10">
        <v>10000</v>
      </c>
      <c r="G2960" s="10"/>
      <c r="H2960" s="10"/>
      <c r="I2960" s="10"/>
      <c r="J2960" s="10"/>
      <c r="K2960" s="10">
        <v>1</v>
      </c>
      <c r="L2960" s="10"/>
      <c r="M2960" s="10" t="b">
        <v>1</v>
      </c>
      <c r="N2960" s="10"/>
    </row>
    <row r="2961" spans="1:14" x14ac:dyDescent="0.25">
      <c r="A2961" s="10" t="s">
        <v>119</v>
      </c>
      <c r="B2961" s="10"/>
      <c r="C2961" s="11" t="str">
        <f>IF(A2961="","",IF((COUNTIFS(A:A,A2961))&gt;1,"ID重复",""))</f>
        <v/>
      </c>
      <c r="D2961" s="10">
        <v>104</v>
      </c>
      <c r="E2961" s="132" t="str">
        <f>INDEX([1]道具配置表!$D:$D,MATCH(D2961,[1]道具配置表!$A:$A,0))</f>
        <v>1黄金</v>
      </c>
      <c r="F2961" s="10">
        <v>10000</v>
      </c>
      <c r="G2961" s="10"/>
      <c r="H2961" s="10"/>
      <c r="I2961" s="10"/>
      <c r="J2961" s="10"/>
      <c r="K2961" s="10">
        <v>1</v>
      </c>
      <c r="L2961" s="10"/>
      <c r="M2961" s="10" t="b">
        <v>1</v>
      </c>
      <c r="N2961" s="10"/>
    </row>
    <row r="2962" spans="1:14" x14ac:dyDescent="0.25">
      <c r="A2962" s="10" t="s">
        <v>119</v>
      </c>
      <c r="B2962" s="10"/>
      <c r="C2962" s="11" t="str">
        <f>IF(A2962="","",IF((COUNTIFS(A:A,A2962))&gt;1,"ID重复",""))</f>
        <v/>
      </c>
      <c r="D2962" s="10">
        <v>7010</v>
      </c>
      <c r="E2962" s="132" t="str">
        <f>INDEX([1]道具配置表!$D:$D,MATCH(D2962,[1]道具配置表!$A:$A,0))</f>
        <v>军演币</v>
      </c>
      <c r="F2962" s="10">
        <v>10</v>
      </c>
      <c r="G2962" s="10"/>
      <c r="H2962" s="10"/>
      <c r="I2962" s="10"/>
      <c r="J2962" s="10"/>
      <c r="K2962" s="10">
        <v>1</v>
      </c>
      <c r="L2962" s="10"/>
      <c r="M2962" s="10" t="b">
        <v>1</v>
      </c>
      <c r="N2962" s="10"/>
    </row>
    <row r="2963" spans="1:14" x14ac:dyDescent="0.25">
      <c r="A2963" s="10">
        <v>6623102</v>
      </c>
      <c r="B2963" s="10" t="s">
        <v>44</v>
      </c>
      <c r="C2963" s="11" t="str">
        <f>IF(A2963="","",IF((COUNTIFS(A:A,A2963))&gt;1,"ID重复",""))</f>
        <v/>
      </c>
      <c r="D2963" s="10">
        <v>102</v>
      </c>
      <c r="E2963" s="132" t="str">
        <f>INDEX([1]道具配置表!$D:$D,MATCH(D2963,[1]道具配置表!$A:$A,0))</f>
        <v>1食物</v>
      </c>
      <c r="F2963" s="10">
        <f>F2964</f>
        <v>13000</v>
      </c>
      <c r="G2963" s="10"/>
      <c r="H2963" s="10"/>
      <c r="I2963" s="10"/>
      <c r="J2963" s="10"/>
      <c r="K2963" s="10">
        <v>1</v>
      </c>
      <c r="L2963" s="10"/>
      <c r="M2963" s="10" t="b">
        <v>1</v>
      </c>
      <c r="N2963" s="10"/>
    </row>
    <row r="2964" spans="1:14" x14ac:dyDescent="0.25">
      <c r="A2964" s="10" t="s">
        <v>119</v>
      </c>
      <c r="B2964" s="10"/>
      <c r="C2964" s="11" t="str">
        <f>IF(A2964="","",IF((COUNTIFS(A:A,A2964))&gt;1,"ID重复",""))</f>
        <v/>
      </c>
      <c r="D2964" s="10">
        <v>101</v>
      </c>
      <c r="E2964" s="132" t="str">
        <f>INDEX([1]道具配置表!$D:$D,MATCH(D2964,[1]道具配置表!$A:$A,0))</f>
        <v>1木材</v>
      </c>
      <c r="F2964" s="10">
        <v>13000</v>
      </c>
      <c r="G2964" s="10"/>
      <c r="H2964" s="10"/>
      <c r="I2964" s="10"/>
      <c r="J2964" s="10"/>
      <c r="K2964" s="10">
        <v>1</v>
      </c>
      <c r="L2964" s="10"/>
      <c r="M2964" s="10" t="b">
        <v>1</v>
      </c>
      <c r="N2964" s="10"/>
    </row>
    <row r="2965" spans="1:14" x14ac:dyDescent="0.25">
      <c r="A2965" s="10" t="s">
        <v>119</v>
      </c>
      <c r="B2965" s="10"/>
      <c r="C2965" s="11" t="str">
        <f>IF(A2965="","",IF((COUNTIFS(A:A,A2965))&gt;1,"ID重复",""))</f>
        <v/>
      </c>
      <c r="D2965" s="10">
        <v>103</v>
      </c>
      <c r="E2965" s="132" t="str">
        <f>INDEX([1]道具配置表!$D:$D,MATCH(D2965,[1]道具配置表!$A:$A,0))</f>
        <v>1石头</v>
      </c>
      <c r="F2965" s="10">
        <v>13000</v>
      </c>
      <c r="G2965" s="10"/>
      <c r="H2965" s="10"/>
      <c r="I2965" s="10"/>
      <c r="J2965" s="10"/>
      <c r="K2965" s="10">
        <v>1</v>
      </c>
      <c r="L2965" s="10"/>
      <c r="M2965" s="10" t="b">
        <v>1</v>
      </c>
      <c r="N2965" s="10"/>
    </row>
    <row r="2966" spans="1:14" x14ac:dyDescent="0.25">
      <c r="A2966" s="10" t="s">
        <v>119</v>
      </c>
      <c r="B2966" s="10"/>
      <c r="C2966" s="11" t="str">
        <f>IF(A2966="","",IF((COUNTIFS(A:A,A2966))&gt;1,"ID重复",""))</f>
        <v/>
      </c>
      <c r="D2966" s="10">
        <v>104</v>
      </c>
      <c r="E2966" s="132" t="str">
        <f>INDEX([1]道具配置表!$D:$D,MATCH(D2966,[1]道具配置表!$A:$A,0))</f>
        <v>1黄金</v>
      </c>
      <c r="F2966" s="10">
        <v>13000</v>
      </c>
      <c r="G2966" s="10"/>
      <c r="H2966" s="10"/>
      <c r="I2966" s="10"/>
      <c r="J2966" s="10"/>
      <c r="K2966" s="10">
        <v>1</v>
      </c>
      <c r="L2966" s="10"/>
      <c r="M2966" s="10" t="b">
        <v>1</v>
      </c>
      <c r="N2966" s="10"/>
    </row>
    <row r="2967" spans="1:14" x14ac:dyDescent="0.25">
      <c r="A2967" s="10" t="s">
        <v>119</v>
      </c>
      <c r="B2967" s="10"/>
      <c r="C2967" s="11" t="str">
        <f>IF(A2967="","",IF((COUNTIFS(A:A,A2967))&gt;1,"ID重复",""))</f>
        <v/>
      </c>
      <c r="D2967" s="10">
        <v>7010</v>
      </c>
      <c r="E2967" s="132" t="str">
        <f>INDEX([1]道具配置表!$D:$D,MATCH(D2967,[1]道具配置表!$A:$A,0))</f>
        <v>军演币</v>
      </c>
      <c r="F2967" s="10">
        <v>15</v>
      </c>
      <c r="G2967" s="10"/>
      <c r="H2967" s="10"/>
      <c r="I2967" s="10"/>
      <c r="J2967" s="10"/>
      <c r="K2967" s="10">
        <v>1</v>
      </c>
      <c r="L2967" s="10"/>
      <c r="M2967" s="10" t="b">
        <v>1</v>
      </c>
      <c r="N2967" s="10"/>
    </row>
    <row r="2968" spans="1:14" x14ac:dyDescent="0.25">
      <c r="A2968" s="10">
        <v>6623103</v>
      </c>
      <c r="B2968" s="10" t="s">
        <v>45</v>
      </c>
      <c r="C2968" s="11" t="str">
        <f>IF(A2968="","",IF((COUNTIFS(A:A,A2968))&gt;1,"ID重复",""))</f>
        <v/>
      </c>
      <c r="D2968" s="10">
        <v>102</v>
      </c>
      <c r="E2968" s="132" t="str">
        <f>INDEX([1]道具配置表!$D:$D,MATCH(D2968,[1]道具配置表!$A:$A,0))</f>
        <v>1食物</v>
      </c>
      <c r="F2968" s="10">
        <f>F2969</f>
        <v>16000</v>
      </c>
      <c r="G2968" s="10"/>
      <c r="H2968" s="10"/>
      <c r="I2968" s="10"/>
      <c r="J2968" s="10"/>
      <c r="K2968" s="10">
        <v>1</v>
      </c>
      <c r="L2968" s="10"/>
      <c r="M2968" s="10" t="b">
        <v>1</v>
      </c>
      <c r="N2968" s="10"/>
    </row>
    <row r="2969" spans="1:14" x14ac:dyDescent="0.25">
      <c r="A2969" s="10" t="s">
        <v>119</v>
      </c>
      <c r="B2969" s="10"/>
      <c r="C2969" s="11" t="str">
        <f>IF(A2969="","",IF((COUNTIFS(A:A,A2969))&gt;1,"ID重复",""))</f>
        <v/>
      </c>
      <c r="D2969" s="10">
        <v>101</v>
      </c>
      <c r="E2969" s="132" t="str">
        <f>INDEX([1]道具配置表!$D:$D,MATCH(D2969,[1]道具配置表!$A:$A,0))</f>
        <v>1木材</v>
      </c>
      <c r="F2969" s="10">
        <v>16000</v>
      </c>
      <c r="G2969" s="10"/>
      <c r="H2969" s="10"/>
      <c r="I2969" s="10"/>
      <c r="J2969" s="10"/>
      <c r="K2969" s="10">
        <v>1</v>
      </c>
      <c r="L2969" s="10"/>
      <c r="M2969" s="10" t="b">
        <v>1</v>
      </c>
      <c r="N2969" s="10"/>
    </row>
    <row r="2970" spans="1:14" x14ac:dyDescent="0.25">
      <c r="A2970" s="10" t="s">
        <v>119</v>
      </c>
      <c r="B2970" s="10"/>
      <c r="C2970" s="11" t="str">
        <f>IF(A2970="","",IF((COUNTIFS(A:A,A2970))&gt;1,"ID重复",""))</f>
        <v/>
      </c>
      <c r="D2970" s="10">
        <v>103</v>
      </c>
      <c r="E2970" s="132" t="str">
        <f>INDEX([1]道具配置表!$D:$D,MATCH(D2970,[1]道具配置表!$A:$A,0))</f>
        <v>1石头</v>
      </c>
      <c r="F2970" s="10">
        <v>16000</v>
      </c>
      <c r="G2970" s="10"/>
      <c r="H2970" s="10"/>
      <c r="I2970" s="10"/>
      <c r="J2970" s="10"/>
      <c r="K2970" s="10">
        <v>1</v>
      </c>
      <c r="L2970" s="10"/>
      <c r="M2970" s="10" t="b">
        <v>1</v>
      </c>
      <c r="N2970" s="10"/>
    </row>
    <row r="2971" spans="1:14" x14ac:dyDescent="0.25">
      <c r="A2971" s="10" t="s">
        <v>119</v>
      </c>
      <c r="B2971" s="10"/>
      <c r="C2971" s="11" t="str">
        <f>IF(A2971="","",IF((COUNTIFS(A:A,A2971))&gt;1,"ID重复",""))</f>
        <v/>
      </c>
      <c r="D2971" s="10">
        <v>104</v>
      </c>
      <c r="E2971" s="132" t="str">
        <f>INDEX([1]道具配置表!$D:$D,MATCH(D2971,[1]道具配置表!$A:$A,0))</f>
        <v>1黄金</v>
      </c>
      <c r="F2971" s="10">
        <v>16000</v>
      </c>
      <c r="G2971" s="10"/>
      <c r="H2971" s="10"/>
      <c r="I2971" s="10"/>
      <c r="J2971" s="10"/>
      <c r="K2971" s="10">
        <v>1</v>
      </c>
      <c r="L2971" s="10"/>
      <c r="M2971" s="10" t="b">
        <v>1</v>
      </c>
      <c r="N2971" s="10"/>
    </row>
    <row r="2972" spans="1:14" x14ac:dyDescent="0.25">
      <c r="A2972" s="10" t="s">
        <v>119</v>
      </c>
      <c r="B2972" s="10"/>
      <c r="C2972" s="11" t="str">
        <f>IF(A2972="","",IF((COUNTIFS(A:A,A2972))&gt;1,"ID重复",""))</f>
        <v/>
      </c>
      <c r="D2972" s="10">
        <v>7010</v>
      </c>
      <c r="E2972" s="132" t="str">
        <f>INDEX([1]道具配置表!$D:$D,MATCH(D2972,[1]道具配置表!$A:$A,0))</f>
        <v>军演币</v>
      </c>
      <c r="F2972" s="10">
        <v>20</v>
      </c>
      <c r="G2972" s="10"/>
      <c r="H2972" s="10"/>
      <c r="I2972" s="10"/>
      <c r="J2972" s="10"/>
      <c r="K2972" s="10">
        <v>1</v>
      </c>
      <c r="L2972" s="10"/>
      <c r="M2972" s="10" t="b">
        <v>1</v>
      </c>
      <c r="N2972" s="10"/>
    </row>
    <row r="2973" spans="1:14" x14ac:dyDescent="0.25">
      <c r="A2973" s="10">
        <v>6623104</v>
      </c>
      <c r="B2973" s="10" t="s">
        <v>46</v>
      </c>
      <c r="C2973" s="11" t="str">
        <f>IF(A2973="","",IF((COUNTIFS(A:A,A2973))&gt;1,"ID重复",""))</f>
        <v/>
      </c>
      <c r="D2973" s="10">
        <v>102</v>
      </c>
      <c r="E2973" s="132" t="str">
        <f>INDEX([1]道具配置表!$D:$D,MATCH(D2973,[1]道具配置表!$A:$A,0))</f>
        <v>1食物</v>
      </c>
      <c r="F2973" s="10">
        <f>F2974</f>
        <v>19000</v>
      </c>
      <c r="G2973" s="10"/>
      <c r="H2973" s="10"/>
      <c r="I2973" s="10"/>
      <c r="J2973" s="10"/>
      <c r="K2973" s="10">
        <v>1</v>
      </c>
      <c r="L2973" s="10"/>
      <c r="M2973" s="10" t="b">
        <v>1</v>
      </c>
      <c r="N2973" s="10"/>
    </row>
    <row r="2974" spans="1:14" x14ac:dyDescent="0.25">
      <c r="A2974" s="10" t="s">
        <v>119</v>
      </c>
      <c r="B2974" s="10"/>
      <c r="C2974" s="11" t="str">
        <f>IF(A2974="","",IF((COUNTIFS(A:A,A2974))&gt;1,"ID重复",""))</f>
        <v/>
      </c>
      <c r="D2974" s="10">
        <v>101</v>
      </c>
      <c r="E2974" s="132" t="str">
        <f>INDEX([1]道具配置表!$D:$D,MATCH(D2974,[1]道具配置表!$A:$A,0))</f>
        <v>1木材</v>
      </c>
      <c r="F2974" s="10">
        <v>19000</v>
      </c>
      <c r="G2974" s="10"/>
      <c r="H2974" s="10"/>
      <c r="I2974" s="10"/>
      <c r="J2974" s="10"/>
      <c r="K2974" s="10">
        <v>1</v>
      </c>
      <c r="L2974" s="10"/>
      <c r="M2974" s="10" t="b">
        <v>1</v>
      </c>
      <c r="N2974" s="10"/>
    </row>
    <row r="2975" spans="1:14" x14ac:dyDescent="0.25">
      <c r="A2975" s="10" t="s">
        <v>119</v>
      </c>
      <c r="B2975" s="10"/>
      <c r="C2975" s="11" t="str">
        <f>IF(A2975="","",IF((COUNTIFS(A:A,A2975))&gt;1,"ID重复",""))</f>
        <v/>
      </c>
      <c r="D2975" s="10">
        <v>103</v>
      </c>
      <c r="E2975" s="132" t="str">
        <f>INDEX([1]道具配置表!$D:$D,MATCH(D2975,[1]道具配置表!$A:$A,0))</f>
        <v>1石头</v>
      </c>
      <c r="F2975" s="10">
        <v>19000</v>
      </c>
      <c r="G2975" s="10"/>
      <c r="H2975" s="10"/>
      <c r="I2975" s="10"/>
      <c r="J2975" s="10"/>
      <c r="K2975" s="10">
        <v>1</v>
      </c>
      <c r="L2975" s="10"/>
      <c r="M2975" s="10" t="b">
        <v>1</v>
      </c>
      <c r="N2975" s="10"/>
    </row>
    <row r="2976" spans="1:14" x14ac:dyDescent="0.25">
      <c r="A2976" s="10" t="s">
        <v>119</v>
      </c>
      <c r="B2976" s="10"/>
      <c r="C2976" s="11" t="str">
        <f>IF(A2976="","",IF((COUNTIFS(A:A,A2976))&gt;1,"ID重复",""))</f>
        <v/>
      </c>
      <c r="D2976" s="10">
        <v>104</v>
      </c>
      <c r="E2976" s="132" t="str">
        <f>INDEX([1]道具配置表!$D:$D,MATCH(D2976,[1]道具配置表!$A:$A,0))</f>
        <v>1黄金</v>
      </c>
      <c r="F2976" s="10">
        <v>19000</v>
      </c>
      <c r="G2976" s="10"/>
      <c r="H2976" s="10"/>
      <c r="I2976" s="10"/>
      <c r="J2976" s="10"/>
      <c r="K2976" s="10">
        <v>1</v>
      </c>
      <c r="L2976" s="10"/>
      <c r="M2976" s="10" t="b">
        <v>1</v>
      </c>
      <c r="N2976" s="10"/>
    </row>
    <row r="2977" spans="1:14" x14ac:dyDescent="0.25">
      <c r="A2977" s="10" t="s">
        <v>119</v>
      </c>
      <c r="B2977" s="10"/>
      <c r="C2977" s="11" t="str">
        <f>IF(A2977="","",IF((COUNTIFS(A:A,A2977))&gt;1,"ID重复",""))</f>
        <v/>
      </c>
      <c r="D2977" s="10">
        <v>7010</v>
      </c>
      <c r="E2977" s="132" t="str">
        <f>INDEX([1]道具配置表!$D:$D,MATCH(D2977,[1]道具配置表!$A:$A,0))</f>
        <v>军演币</v>
      </c>
      <c r="F2977" s="10">
        <v>25</v>
      </c>
      <c r="G2977" s="10"/>
      <c r="H2977" s="10"/>
      <c r="I2977" s="10"/>
      <c r="J2977" s="10"/>
      <c r="K2977" s="10">
        <v>1</v>
      </c>
      <c r="L2977" s="10"/>
      <c r="M2977" s="10" t="b">
        <v>1</v>
      </c>
      <c r="N2977" s="10"/>
    </row>
    <row r="2978" spans="1:14" x14ac:dyDescent="0.25">
      <c r="A2978" s="10">
        <v>6623105</v>
      </c>
      <c r="B2978" s="10" t="s">
        <v>47</v>
      </c>
      <c r="C2978" s="11" t="str">
        <f>IF(A2978="","",IF((COUNTIFS(A:A,A2978))&gt;1,"ID重复",""))</f>
        <v/>
      </c>
      <c r="D2978" s="10">
        <v>102</v>
      </c>
      <c r="E2978" s="132" t="str">
        <f>INDEX([1]道具配置表!$D:$D,MATCH(D2978,[1]道具配置表!$A:$A,0))</f>
        <v>1食物</v>
      </c>
      <c r="F2978" s="10">
        <f>F2979</f>
        <v>22000</v>
      </c>
      <c r="G2978" s="10"/>
      <c r="H2978" s="10"/>
      <c r="I2978" s="10"/>
      <c r="J2978" s="10"/>
      <c r="K2978" s="10">
        <v>1</v>
      </c>
      <c r="L2978" s="10"/>
      <c r="M2978" s="10" t="b">
        <v>1</v>
      </c>
      <c r="N2978" s="10"/>
    </row>
    <row r="2979" spans="1:14" x14ac:dyDescent="0.25">
      <c r="A2979" s="10" t="s">
        <v>119</v>
      </c>
      <c r="B2979" s="10"/>
      <c r="C2979" s="11" t="str">
        <f>IF(A2979="","",IF((COUNTIFS(A:A,A2979))&gt;1,"ID重复",""))</f>
        <v/>
      </c>
      <c r="D2979" s="10">
        <v>101</v>
      </c>
      <c r="E2979" s="132" t="str">
        <f>INDEX([1]道具配置表!$D:$D,MATCH(D2979,[1]道具配置表!$A:$A,0))</f>
        <v>1木材</v>
      </c>
      <c r="F2979" s="10">
        <v>22000</v>
      </c>
      <c r="G2979" s="10"/>
      <c r="H2979" s="10"/>
      <c r="I2979" s="10"/>
      <c r="J2979" s="10"/>
      <c r="K2979" s="10">
        <v>1</v>
      </c>
      <c r="L2979" s="10"/>
      <c r="M2979" s="10" t="b">
        <v>1</v>
      </c>
      <c r="N2979" s="10"/>
    </row>
    <row r="2980" spans="1:14" x14ac:dyDescent="0.25">
      <c r="A2980" s="10" t="s">
        <v>119</v>
      </c>
      <c r="B2980" s="10"/>
      <c r="C2980" s="11" t="str">
        <f>IF(A2980="","",IF((COUNTIFS(A:A,A2980))&gt;1,"ID重复",""))</f>
        <v/>
      </c>
      <c r="D2980" s="10">
        <v>103</v>
      </c>
      <c r="E2980" s="132" t="str">
        <f>INDEX([1]道具配置表!$D:$D,MATCH(D2980,[1]道具配置表!$A:$A,0))</f>
        <v>1石头</v>
      </c>
      <c r="F2980" s="10">
        <v>22000</v>
      </c>
      <c r="G2980" s="10"/>
      <c r="H2980" s="10"/>
      <c r="I2980" s="10"/>
      <c r="J2980" s="10"/>
      <c r="K2980" s="10">
        <v>1</v>
      </c>
      <c r="L2980" s="10"/>
      <c r="M2980" s="10" t="b">
        <v>1</v>
      </c>
      <c r="N2980" s="10"/>
    </row>
    <row r="2981" spans="1:14" x14ac:dyDescent="0.25">
      <c r="A2981" s="10" t="s">
        <v>119</v>
      </c>
      <c r="B2981" s="10"/>
      <c r="C2981" s="11" t="str">
        <f>IF(A2981="","",IF((COUNTIFS(A:A,A2981))&gt;1,"ID重复",""))</f>
        <v/>
      </c>
      <c r="D2981" s="10">
        <v>104</v>
      </c>
      <c r="E2981" s="132" t="str">
        <f>INDEX([1]道具配置表!$D:$D,MATCH(D2981,[1]道具配置表!$A:$A,0))</f>
        <v>1黄金</v>
      </c>
      <c r="F2981" s="10">
        <v>22000</v>
      </c>
      <c r="G2981" s="10"/>
      <c r="H2981" s="10"/>
      <c r="I2981" s="10"/>
      <c r="J2981" s="10"/>
      <c r="K2981" s="10">
        <v>1</v>
      </c>
      <c r="L2981" s="10"/>
      <c r="M2981" s="10" t="b">
        <v>1</v>
      </c>
      <c r="N2981" s="10"/>
    </row>
    <row r="2982" spans="1:14" x14ac:dyDescent="0.25">
      <c r="A2982" s="10" t="s">
        <v>119</v>
      </c>
      <c r="B2982" s="10"/>
      <c r="C2982" s="11" t="str">
        <f>IF(A2982="","",IF((COUNTIFS(A:A,A2982))&gt;1,"ID重复",""))</f>
        <v/>
      </c>
      <c r="D2982" s="10">
        <v>7010</v>
      </c>
      <c r="E2982" s="132" t="str">
        <f>INDEX([1]道具配置表!$D:$D,MATCH(D2982,[1]道具配置表!$A:$A,0))</f>
        <v>军演币</v>
      </c>
      <c r="F2982" s="10">
        <v>30</v>
      </c>
      <c r="G2982" s="10"/>
      <c r="H2982" s="10"/>
      <c r="I2982" s="10"/>
      <c r="J2982" s="10"/>
      <c r="K2982" s="10">
        <v>1</v>
      </c>
      <c r="L2982" s="10"/>
      <c r="M2982" s="10" t="b">
        <v>1</v>
      </c>
      <c r="N2982" s="10"/>
    </row>
    <row r="2983" spans="1:14" x14ac:dyDescent="0.25">
      <c r="A2983" s="10">
        <v>6623106</v>
      </c>
      <c r="B2983" s="10" t="s">
        <v>48</v>
      </c>
      <c r="C2983" s="11" t="str">
        <f>IF(A2983="","",IF((COUNTIFS(A:A,A2983))&gt;1,"ID重复",""))</f>
        <v/>
      </c>
      <c r="D2983" s="10">
        <v>102</v>
      </c>
      <c r="E2983" s="132" t="str">
        <f>INDEX([1]道具配置表!$D:$D,MATCH(D2983,[1]道具配置表!$A:$A,0))</f>
        <v>1食物</v>
      </c>
      <c r="F2983" s="10">
        <f>F2984</f>
        <v>25000</v>
      </c>
      <c r="G2983" s="10"/>
      <c r="H2983" s="10"/>
      <c r="I2983" s="10"/>
      <c r="J2983" s="10"/>
      <c r="K2983" s="10">
        <v>1</v>
      </c>
      <c r="L2983" s="10"/>
      <c r="M2983" s="10" t="b">
        <v>1</v>
      </c>
      <c r="N2983" s="10"/>
    </row>
    <row r="2984" spans="1:14" x14ac:dyDescent="0.25">
      <c r="A2984" s="10" t="s">
        <v>119</v>
      </c>
      <c r="B2984" s="10"/>
      <c r="C2984" s="11" t="str">
        <f>IF(A2984="","",IF((COUNTIFS(A:A,A2984))&gt;1,"ID重复",""))</f>
        <v/>
      </c>
      <c r="D2984" s="10">
        <v>101</v>
      </c>
      <c r="E2984" s="132" t="str">
        <f>INDEX([1]道具配置表!$D:$D,MATCH(D2984,[1]道具配置表!$A:$A,0))</f>
        <v>1木材</v>
      </c>
      <c r="F2984" s="10">
        <v>25000</v>
      </c>
      <c r="G2984" s="10"/>
      <c r="H2984" s="10"/>
      <c r="I2984" s="10"/>
      <c r="J2984" s="10"/>
      <c r="K2984" s="10">
        <v>1</v>
      </c>
      <c r="L2984" s="10"/>
      <c r="M2984" s="10" t="b">
        <v>1</v>
      </c>
      <c r="N2984" s="10"/>
    </row>
    <row r="2985" spans="1:14" x14ac:dyDescent="0.25">
      <c r="A2985" s="10" t="s">
        <v>119</v>
      </c>
      <c r="B2985" s="10"/>
      <c r="C2985" s="11" t="str">
        <f>IF(A2985="","",IF((COUNTIFS(A:A,A2985))&gt;1,"ID重复",""))</f>
        <v/>
      </c>
      <c r="D2985" s="10">
        <v>103</v>
      </c>
      <c r="E2985" s="132" t="str">
        <f>INDEX([1]道具配置表!$D:$D,MATCH(D2985,[1]道具配置表!$A:$A,0))</f>
        <v>1石头</v>
      </c>
      <c r="F2985" s="10">
        <v>25000</v>
      </c>
      <c r="G2985" s="10"/>
      <c r="H2985" s="10"/>
      <c r="I2985" s="10"/>
      <c r="J2985" s="10"/>
      <c r="K2985" s="10">
        <v>1</v>
      </c>
      <c r="L2985" s="10"/>
      <c r="M2985" s="10" t="b">
        <v>1</v>
      </c>
      <c r="N2985" s="10"/>
    </row>
    <row r="2986" spans="1:14" x14ac:dyDescent="0.25">
      <c r="A2986" s="10" t="s">
        <v>119</v>
      </c>
      <c r="B2986" s="10"/>
      <c r="C2986" s="11" t="str">
        <f>IF(A2986="","",IF((COUNTIFS(A:A,A2986))&gt;1,"ID重复",""))</f>
        <v/>
      </c>
      <c r="D2986" s="10">
        <v>104</v>
      </c>
      <c r="E2986" s="132" t="str">
        <f>INDEX([1]道具配置表!$D:$D,MATCH(D2986,[1]道具配置表!$A:$A,0))</f>
        <v>1黄金</v>
      </c>
      <c r="F2986" s="10">
        <v>25000</v>
      </c>
      <c r="G2986" s="10"/>
      <c r="H2986" s="10"/>
      <c r="I2986" s="10"/>
      <c r="J2986" s="10"/>
      <c r="K2986" s="10">
        <v>1</v>
      </c>
      <c r="L2986" s="10"/>
      <c r="M2986" s="10" t="b">
        <v>1</v>
      </c>
      <c r="N2986" s="10"/>
    </row>
    <row r="2987" spans="1:14" x14ac:dyDescent="0.25">
      <c r="A2987" s="10" t="s">
        <v>119</v>
      </c>
      <c r="B2987" s="10"/>
      <c r="C2987" s="11" t="str">
        <f>IF(A2987="","",IF((COUNTIFS(A:A,A2987))&gt;1,"ID重复",""))</f>
        <v/>
      </c>
      <c r="D2987" s="10">
        <v>7010</v>
      </c>
      <c r="E2987" s="132" t="str">
        <f>INDEX([1]道具配置表!$D:$D,MATCH(D2987,[1]道具配置表!$A:$A,0))</f>
        <v>军演币</v>
      </c>
      <c r="F2987" s="10">
        <v>35</v>
      </c>
      <c r="G2987" s="10"/>
      <c r="H2987" s="10"/>
      <c r="I2987" s="10"/>
      <c r="J2987" s="10"/>
      <c r="K2987" s="10">
        <v>1</v>
      </c>
      <c r="L2987" s="10"/>
      <c r="M2987" s="10" t="b">
        <v>1</v>
      </c>
      <c r="N2987" s="10"/>
    </row>
    <row r="2988" spans="1:14" x14ac:dyDescent="0.25">
      <c r="A2988" s="10">
        <v>6623107</v>
      </c>
      <c r="B2988" s="10" t="s">
        <v>49</v>
      </c>
      <c r="C2988" s="11" t="str">
        <f>IF(A2988="","",IF((COUNTIFS(A:A,A2988))&gt;1,"ID重复",""))</f>
        <v/>
      </c>
      <c r="D2988" s="10">
        <v>102</v>
      </c>
      <c r="E2988" s="132" t="str">
        <f>INDEX([1]道具配置表!$D:$D,MATCH(D2988,[1]道具配置表!$A:$A,0))</f>
        <v>1食物</v>
      </c>
      <c r="F2988" s="10">
        <f>F2989</f>
        <v>28000</v>
      </c>
      <c r="G2988" s="10"/>
      <c r="H2988" s="10"/>
      <c r="I2988" s="10"/>
      <c r="J2988" s="10"/>
      <c r="K2988" s="10">
        <v>1</v>
      </c>
      <c r="L2988" s="10"/>
      <c r="M2988" s="10" t="b">
        <v>1</v>
      </c>
      <c r="N2988" s="10"/>
    </row>
    <row r="2989" spans="1:14" x14ac:dyDescent="0.25">
      <c r="A2989" s="10" t="s">
        <v>119</v>
      </c>
      <c r="B2989" s="10"/>
      <c r="C2989" s="11" t="str">
        <f>IF(A2989="","",IF((COUNTIFS(A:A,A2989))&gt;1,"ID重复",""))</f>
        <v/>
      </c>
      <c r="D2989" s="10">
        <v>101</v>
      </c>
      <c r="E2989" s="132" t="str">
        <f>INDEX([1]道具配置表!$D:$D,MATCH(D2989,[1]道具配置表!$A:$A,0))</f>
        <v>1木材</v>
      </c>
      <c r="F2989" s="10">
        <v>28000</v>
      </c>
      <c r="G2989" s="10"/>
      <c r="H2989" s="10"/>
      <c r="I2989" s="10"/>
      <c r="J2989" s="10"/>
      <c r="K2989" s="10">
        <v>1</v>
      </c>
      <c r="L2989" s="10"/>
      <c r="M2989" s="10" t="b">
        <v>1</v>
      </c>
      <c r="N2989" s="10"/>
    </row>
    <row r="2990" spans="1:14" x14ac:dyDescent="0.25">
      <c r="A2990" s="10" t="s">
        <v>119</v>
      </c>
      <c r="B2990" s="10"/>
      <c r="C2990" s="11" t="str">
        <f>IF(A2990="","",IF((COUNTIFS(A:A,A2990))&gt;1,"ID重复",""))</f>
        <v/>
      </c>
      <c r="D2990" s="10">
        <v>103</v>
      </c>
      <c r="E2990" s="132" t="str">
        <f>INDEX([1]道具配置表!$D:$D,MATCH(D2990,[1]道具配置表!$A:$A,0))</f>
        <v>1石头</v>
      </c>
      <c r="F2990" s="10">
        <v>28000</v>
      </c>
      <c r="G2990" s="10"/>
      <c r="H2990" s="10"/>
      <c r="I2990" s="10"/>
      <c r="J2990" s="10"/>
      <c r="K2990" s="10">
        <v>1</v>
      </c>
      <c r="L2990" s="10"/>
      <c r="M2990" s="10" t="b">
        <v>1</v>
      </c>
      <c r="N2990" s="10"/>
    </row>
    <row r="2991" spans="1:14" x14ac:dyDescent="0.25">
      <c r="A2991" s="10" t="s">
        <v>119</v>
      </c>
      <c r="B2991" s="10"/>
      <c r="C2991" s="11" t="str">
        <f>IF(A2991="","",IF((COUNTIFS(A:A,A2991))&gt;1,"ID重复",""))</f>
        <v/>
      </c>
      <c r="D2991" s="10">
        <v>104</v>
      </c>
      <c r="E2991" s="132" t="str">
        <f>INDEX([1]道具配置表!$D:$D,MATCH(D2991,[1]道具配置表!$A:$A,0))</f>
        <v>1黄金</v>
      </c>
      <c r="F2991" s="10">
        <v>28000</v>
      </c>
      <c r="G2991" s="10"/>
      <c r="H2991" s="10"/>
      <c r="I2991" s="10"/>
      <c r="J2991" s="10"/>
      <c r="K2991" s="10">
        <v>1</v>
      </c>
      <c r="L2991" s="10"/>
      <c r="M2991" s="10" t="b">
        <v>1</v>
      </c>
      <c r="N2991" s="10"/>
    </row>
    <row r="2992" spans="1:14" x14ac:dyDescent="0.25">
      <c r="A2992" s="10" t="s">
        <v>119</v>
      </c>
      <c r="B2992" s="10"/>
      <c r="C2992" s="11" t="str">
        <f>IF(A2992="","",IF((COUNTIFS(A:A,A2992))&gt;1,"ID重复",""))</f>
        <v/>
      </c>
      <c r="D2992" s="10">
        <v>7010</v>
      </c>
      <c r="E2992" s="132" t="str">
        <f>INDEX([1]道具配置表!$D:$D,MATCH(D2992,[1]道具配置表!$A:$A,0))</f>
        <v>军演币</v>
      </c>
      <c r="F2992" s="10">
        <v>40</v>
      </c>
      <c r="G2992" s="10"/>
      <c r="H2992" s="10"/>
      <c r="I2992" s="10"/>
      <c r="J2992" s="10"/>
      <c r="K2992" s="10">
        <v>1</v>
      </c>
      <c r="L2992" s="10"/>
      <c r="M2992" s="10" t="b">
        <v>1</v>
      </c>
      <c r="N2992" s="10"/>
    </row>
    <row r="2993" spans="1:14" x14ac:dyDescent="0.25">
      <c r="A2993" s="10">
        <v>6623108</v>
      </c>
      <c r="B2993" s="10" t="s">
        <v>50</v>
      </c>
      <c r="C2993" s="11" t="str">
        <f>IF(A2993="","",IF((COUNTIFS(A:A,A2993))&gt;1,"ID重复",""))</f>
        <v/>
      </c>
      <c r="D2993" s="10">
        <v>102</v>
      </c>
      <c r="E2993" s="132" t="str">
        <f>INDEX([1]道具配置表!$D:$D,MATCH(D2993,[1]道具配置表!$A:$A,0))</f>
        <v>1食物</v>
      </c>
      <c r="F2993" s="10">
        <f>F2994</f>
        <v>31000</v>
      </c>
      <c r="G2993" s="10"/>
      <c r="H2993" s="10"/>
      <c r="I2993" s="10"/>
      <c r="J2993" s="10"/>
      <c r="K2993" s="10">
        <v>1</v>
      </c>
      <c r="L2993" s="10"/>
      <c r="M2993" s="10" t="b">
        <v>1</v>
      </c>
      <c r="N2993" s="10"/>
    </row>
    <row r="2994" spans="1:14" x14ac:dyDescent="0.25">
      <c r="A2994" s="10" t="s">
        <v>119</v>
      </c>
      <c r="B2994" s="10"/>
      <c r="C2994" s="11" t="str">
        <f>IF(A2994="","",IF((COUNTIFS(A:A,A2994))&gt;1,"ID重复",""))</f>
        <v/>
      </c>
      <c r="D2994" s="10">
        <v>101</v>
      </c>
      <c r="E2994" s="132" t="str">
        <f>INDEX([1]道具配置表!$D:$D,MATCH(D2994,[1]道具配置表!$A:$A,0))</f>
        <v>1木材</v>
      </c>
      <c r="F2994" s="10">
        <v>31000</v>
      </c>
      <c r="G2994" s="10"/>
      <c r="H2994" s="10"/>
      <c r="I2994" s="10"/>
      <c r="J2994" s="10"/>
      <c r="K2994" s="10">
        <v>1</v>
      </c>
      <c r="L2994" s="10"/>
      <c r="M2994" s="10" t="b">
        <v>1</v>
      </c>
      <c r="N2994" s="10"/>
    </row>
    <row r="2995" spans="1:14" x14ac:dyDescent="0.25">
      <c r="A2995" s="10" t="s">
        <v>119</v>
      </c>
      <c r="B2995" s="10"/>
      <c r="C2995" s="11" t="str">
        <f>IF(A2995="","",IF((COUNTIFS(A:A,A2995))&gt;1,"ID重复",""))</f>
        <v/>
      </c>
      <c r="D2995" s="10">
        <v>103</v>
      </c>
      <c r="E2995" s="132" t="str">
        <f>INDEX([1]道具配置表!$D:$D,MATCH(D2995,[1]道具配置表!$A:$A,0))</f>
        <v>1石头</v>
      </c>
      <c r="F2995" s="10">
        <v>31000</v>
      </c>
      <c r="G2995" s="10"/>
      <c r="H2995" s="10"/>
      <c r="I2995" s="10"/>
      <c r="J2995" s="10"/>
      <c r="K2995" s="10">
        <v>1</v>
      </c>
      <c r="L2995" s="10"/>
      <c r="M2995" s="10" t="b">
        <v>1</v>
      </c>
      <c r="N2995" s="10"/>
    </row>
    <row r="2996" spans="1:14" x14ac:dyDescent="0.25">
      <c r="A2996" s="10" t="s">
        <v>119</v>
      </c>
      <c r="B2996" s="10"/>
      <c r="C2996" s="11" t="str">
        <f>IF(A2996="","",IF((COUNTIFS(A:A,A2996))&gt;1,"ID重复",""))</f>
        <v/>
      </c>
      <c r="D2996" s="10">
        <v>104</v>
      </c>
      <c r="E2996" s="132" t="str">
        <f>INDEX([1]道具配置表!$D:$D,MATCH(D2996,[1]道具配置表!$A:$A,0))</f>
        <v>1黄金</v>
      </c>
      <c r="F2996" s="10">
        <v>31000</v>
      </c>
      <c r="G2996" s="10"/>
      <c r="H2996" s="10"/>
      <c r="I2996" s="10"/>
      <c r="J2996" s="10"/>
      <c r="K2996" s="10">
        <v>1</v>
      </c>
      <c r="L2996" s="10"/>
      <c r="M2996" s="10" t="b">
        <v>1</v>
      </c>
      <c r="N2996" s="10"/>
    </row>
    <row r="2997" spans="1:14" x14ac:dyDescent="0.25">
      <c r="A2997" s="10" t="s">
        <v>119</v>
      </c>
      <c r="B2997" s="10"/>
      <c r="C2997" s="11" t="str">
        <f>IF(A2997="","",IF((COUNTIFS(A:A,A2997))&gt;1,"ID重复",""))</f>
        <v/>
      </c>
      <c r="D2997" s="10">
        <v>7010</v>
      </c>
      <c r="E2997" s="132" t="str">
        <f>INDEX([1]道具配置表!$D:$D,MATCH(D2997,[1]道具配置表!$A:$A,0))</f>
        <v>军演币</v>
      </c>
      <c r="F2997" s="10">
        <v>45</v>
      </c>
      <c r="G2997" s="10"/>
      <c r="H2997" s="10"/>
      <c r="I2997" s="10"/>
      <c r="J2997" s="10"/>
      <c r="K2997" s="10">
        <v>1</v>
      </c>
      <c r="L2997" s="10"/>
      <c r="M2997" s="10" t="b">
        <v>1</v>
      </c>
      <c r="N2997" s="10"/>
    </row>
    <row r="2998" spans="1:14" x14ac:dyDescent="0.25">
      <c r="A2998" s="10">
        <v>6623109</v>
      </c>
      <c r="B2998" s="10" t="s">
        <v>51</v>
      </c>
      <c r="C2998" s="11" t="str">
        <f>IF(A2998="","",IF((COUNTIFS(A:A,A2998))&gt;1,"ID重复",""))</f>
        <v/>
      </c>
      <c r="D2998" s="10">
        <v>102</v>
      </c>
      <c r="E2998" s="132" t="str">
        <f>INDEX([1]道具配置表!$D:$D,MATCH(D2998,[1]道具配置表!$A:$A,0))</f>
        <v>1食物</v>
      </c>
      <c r="F2998" s="10">
        <f>F2999</f>
        <v>34000</v>
      </c>
      <c r="G2998" s="10"/>
      <c r="H2998" s="10"/>
      <c r="I2998" s="10"/>
      <c r="J2998" s="10"/>
      <c r="K2998" s="10">
        <v>1</v>
      </c>
      <c r="L2998" s="10"/>
      <c r="M2998" s="10" t="b">
        <v>1</v>
      </c>
      <c r="N2998" s="10"/>
    </row>
    <row r="2999" spans="1:14" x14ac:dyDescent="0.25">
      <c r="A2999" s="10" t="s">
        <v>119</v>
      </c>
      <c r="B2999" s="10"/>
      <c r="C2999" s="11" t="str">
        <f>IF(A2999="","",IF((COUNTIFS(A:A,A2999))&gt;1,"ID重复",""))</f>
        <v/>
      </c>
      <c r="D2999" s="10">
        <v>101</v>
      </c>
      <c r="E2999" s="132" t="str">
        <f>INDEX([1]道具配置表!$D:$D,MATCH(D2999,[1]道具配置表!$A:$A,0))</f>
        <v>1木材</v>
      </c>
      <c r="F2999" s="10">
        <v>34000</v>
      </c>
      <c r="G2999" s="10"/>
      <c r="H2999" s="10"/>
      <c r="I2999" s="10"/>
      <c r="J2999" s="10"/>
      <c r="K2999" s="10">
        <v>1</v>
      </c>
      <c r="L2999" s="10"/>
      <c r="M2999" s="10" t="b">
        <v>1</v>
      </c>
      <c r="N2999" s="10"/>
    </row>
    <row r="3000" spans="1:14" x14ac:dyDescent="0.25">
      <c r="A3000" s="10" t="s">
        <v>119</v>
      </c>
      <c r="B3000" s="10"/>
      <c r="C3000" s="11" t="str">
        <f>IF(A3000="","",IF((COUNTIFS(A:A,A3000))&gt;1,"ID重复",""))</f>
        <v/>
      </c>
      <c r="D3000" s="10">
        <v>103</v>
      </c>
      <c r="E3000" s="132" t="str">
        <f>INDEX([1]道具配置表!$D:$D,MATCH(D3000,[1]道具配置表!$A:$A,0))</f>
        <v>1石头</v>
      </c>
      <c r="F3000" s="10">
        <v>34000</v>
      </c>
      <c r="G3000" s="10"/>
      <c r="H3000" s="10"/>
      <c r="I3000" s="10"/>
      <c r="J3000" s="10"/>
      <c r="K3000" s="10">
        <v>1</v>
      </c>
      <c r="L3000" s="10"/>
      <c r="M3000" s="10" t="b">
        <v>1</v>
      </c>
      <c r="N3000" s="10"/>
    </row>
    <row r="3001" spans="1:14" x14ac:dyDescent="0.25">
      <c r="A3001" s="10" t="s">
        <v>119</v>
      </c>
      <c r="B3001" s="10"/>
      <c r="C3001" s="11" t="str">
        <f>IF(A3001="","",IF((COUNTIFS(A:A,A3001))&gt;1,"ID重复",""))</f>
        <v/>
      </c>
      <c r="D3001" s="10">
        <v>104</v>
      </c>
      <c r="E3001" s="132" t="str">
        <f>INDEX([1]道具配置表!$D:$D,MATCH(D3001,[1]道具配置表!$A:$A,0))</f>
        <v>1黄金</v>
      </c>
      <c r="F3001" s="10">
        <v>34000</v>
      </c>
      <c r="G3001" s="10"/>
      <c r="H3001" s="10"/>
      <c r="I3001" s="10"/>
      <c r="J3001" s="10"/>
      <c r="K3001" s="10">
        <v>1</v>
      </c>
      <c r="L3001" s="10"/>
      <c r="M3001" s="10" t="b">
        <v>1</v>
      </c>
      <c r="N3001" s="10"/>
    </row>
    <row r="3002" spans="1:14" x14ac:dyDescent="0.25">
      <c r="A3002" s="10" t="s">
        <v>119</v>
      </c>
      <c r="B3002" s="10"/>
      <c r="C3002" s="11" t="str">
        <f>IF(A3002="","",IF((COUNTIFS(A:A,A3002))&gt;1,"ID重复",""))</f>
        <v/>
      </c>
      <c r="D3002" s="10">
        <v>7010</v>
      </c>
      <c r="E3002" s="132" t="str">
        <f>INDEX([1]道具配置表!$D:$D,MATCH(D3002,[1]道具配置表!$A:$A,0))</f>
        <v>军演币</v>
      </c>
      <c r="F3002" s="10">
        <v>50</v>
      </c>
      <c r="G3002" s="10"/>
      <c r="H3002" s="10"/>
      <c r="I3002" s="10"/>
      <c r="J3002" s="10"/>
      <c r="K3002" s="10">
        <v>1</v>
      </c>
      <c r="L3002" s="10"/>
      <c r="M3002" s="10" t="b">
        <v>1</v>
      </c>
      <c r="N3002" s="10"/>
    </row>
    <row r="3003" spans="1:14" x14ac:dyDescent="0.25">
      <c r="A3003" s="10">
        <v>6623110</v>
      </c>
      <c r="B3003" s="10" t="s">
        <v>52</v>
      </c>
      <c r="C3003" s="11" t="str">
        <f>IF(A3003="","",IF((COUNTIFS(A:A,A3003))&gt;1,"ID重复",""))</f>
        <v/>
      </c>
      <c r="D3003" s="10">
        <v>102</v>
      </c>
      <c r="E3003" s="132" t="str">
        <f>INDEX([1]道具配置表!$D:$D,MATCH(D3003,[1]道具配置表!$A:$A,0))</f>
        <v>1食物</v>
      </c>
      <c r="F3003" s="10">
        <f>F3004</f>
        <v>37000</v>
      </c>
      <c r="G3003" s="10"/>
      <c r="H3003" s="10"/>
      <c r="I3003" s="10"/>
      <c r="J3003" s="10"/>
      <c r="K3003" s="10">
        <v>1</v>
      </c>
      <c r="L3003" s="10"/>
      <c r="M3003" s="10" t="b">
        <v>1</v>
      </c>
      <c r="N3003" s="10"/>
    </row>
    <row r="3004" spans="1:14" x14ac:dyDescent="0.25">
      <c r="A3004" s="10" t="s">
        <v>119</v>
      </c>
      <c r="B3004" s="10"/>
      <c r="C3004" s="11" t="str">
        <f>IF(A3004="","",IF((COUNTIFS(A:A,A3004))&gt;1,"ID重复",""))</f>
        <v/>
      </c>
      <c r="D3004" s="10">
        <v>101</v>
      </c>
      <c r="E3004" s="132" t="str">
        <f>INDEX([1]道具配置表!$D:$D,MATCH(D3004,[1]道具配置表!$A:$A,0))</f>
        <v>1木材</v>
      </c>
      <c r="F3004" s="10">
        <v>37000</v>
      </c>
      <c r="G3004" s="10"/>
      <c r="H3004" s="10"/>
      <c r="I3004" s="10"/>
      <c r="J3004" s="10"/>
      <c r="K3004" s="10">
        <v>1</v>
      </c>
      <c r="L3004" s="10"/>
      <c r="M3004" s="10" t="b">
        <v>1</v>
      </c>
      <c r="N3004" s="10"/>
    </row>
    <row r="3005" spans="1:14" x14ac:dyDescent="0.25">
      <c r="A3005" s="10" t="s">
        <v>119</v>
      </c>
      <c r="B3005" s="10"/>
      <c r="C3005" s="11" t="str">
        <f>IF(A3005="","",IF((COUNTIFS(A:A,A3005))&gt;1,"ID重复",""))</f>
        <v/>
      </c>
      <c r="D3005" s="10">
        <v>103</v>
      </c>
      <c r="E3005" s="132" t="str">
        <f>INDEX([1]道具配置表!$D:$D,MATCH(D3005,[1]道具配置表!$A:$A,0))</f>
        <v>1石头</v>
      </c>
      <c r="F3005" s="10">
        <v>37000</v>
      </c>
      <c r="G3005" s="10"/>
      <c r="H3005" s="10"/>
      <c r="I3005" s="10"/>
      <c r="J3005" s="10"/>
      <c r="K3005" s="10">
        <v>1</v>
      </c>
      <c r="L3005" s="10"/>
      <c r="M3005" s="10" t="b">
        <v>1</v>
      </c>
      <c r="N3005" s="10"/>
    </row>
    <row r="3006" spans="1:14" x14ac:dyDescent="0.25">
      <c r="A3006" s="10" t="s">
        <v>119</v>
      </c>
      <c r="B3006" s="10"/>
      <c r="C3006" s="11" t="str">
        <f>IF(A3006="","",IF((COUNTIFS(A:A,A3006))&gt;1,"ID重复",""))</f>
        <v/>
      </c>
      <c r="D3006" s="10">
        <v>104</v>
      </c>
      <c r="E3006" s="132" t="str">
        <f>INDEX([1]道具配置表!$D:$D,MATCH(D3006,[1]道具配置表!$A:$A,0))</f>
        <v>1黄金</v>
      </c>
      <c r="F3006" s="10">
        <v>37000</v>
      </c>
      <c r="G3006" s="10"/>
      <c r="H3006" s="10"/>
      <c r="I3006" s="10"/>
      <c r="J3006" s="10"/>
      <c r="K3006" s="10">
        <v>1</v>
      </c>
      <c r="L3006" s="10"/>
      <c r="M3006" s="10" t="b">
        <v>1</v>
      </c>
      <c r="N3006" s="10"/>
    </row>
    <row r="3007" spans="1:14" x14ac:dyDescent="0.25">
      <c r="A3007" s="10" t="s">
        <v>119</v>
      </c>
      <c r="B3007" s="10"/>
      <c r="C3007" s="11" t="str">
        <f>IF(A3007="","",IF((COUNTIFS(A:A,A3007))&gt;1,"ID重复",""))</f>
        <v/>
      </c>
      <c r="D3007" s="10">
        <v>7010</v>
      </c>
      <c r="E3007" s="132" t="str">
        <f>INDEX([1]道具配置表!$D:$D,MATCH(D3007,[1]道具配置表!$A:$A,0))</f>
        <v>军演币</v>
      </c>
      <c r="F3007" s="10">
        <v>55</v>
      </c>
      <c r="G3007" s="10"/>
      <c r="H3007" s="10"/>
      <c r="I3007" s="10"/>
      <c r="J3007" s="10"/>
      <c r="K3007" s="10">
        <v>1</v>
      </c>
      <c r="L3007" s="10"/>
      <c r="M3007" s="10" t="b">
        <v>1</v>
      </c>
      <c r="N3007" s="10"/>
    </row>
    <row r="3008" spans="1:14" x14ac:dyDescent="0.25">
      <c r="A3008" s="10">
        <v>6623111</v>
      </c>
      <c r="B3008" s="10" t="s">
        <v>53</v>
      </c>
      <c r="C3008" s="11" t="str">
        <f>IF(A3008="","",IF((COUNTIFS(A:A,A3008))&gt;1,"ID重复",""))</f>
        <v/>
      </c>
      <c r="D3008" s="10">
        <v>102</v>
      </c>
      <c r="E3008" s="132" t="str">
        <f>INDEX([1]道具配置表!$D:$D,MATCH(D3008,[1]道具配置表!$A:$A,0))</f>
        <v>1食物</v>
      </c>
      <c r="F3008" s="10">
        <f>F3009</f>
        <v>40000</v>
      </c>
      <c r="G3008" s="10"/>
      <c r="H3008" s="10"/>
      <c r="I3008" s="10"/>
      <c r="J3008" s="10"/>
      <c r="K3008" s="10">
        <v>1</v>
      </c>
      <c r="L3008" s="10"/>
      <c r="M3008" s="10" t="b">
        <v>1</v>
      </c>
      <c r="N3008" s="10"/>
    </row>
    <row r="3009" spans="1:14" x14ac:dyDescent="0.25">
      <c r="A3009" s="10" t="s">
        <v>119</v>
      </c>
      <c r="B3009" s="10"/>
      <c r="C3009" s="11" t="str">
        <f>IF(A3009="","",IF((COUNTIFS(A:A,A3009))&gt;1,"ID重复",""))</f>
        <v/>
      </c>
      <c r="D3009" s="10">
        <v>101</v>
      </c>
      <c r="E3009" s="132" t="str">
        <f>INDEX([1]道具配置表!$D:$D,MATCH(D3009,[1]道具配置表!$A:$A,0))</f>
        <v>1木材</v>
      </c>
      <c r="F3009" s="10">
        <v>40000</v>
      </c>
      <c r="G3009" s="10"/>
      <c r="H3009" s="10"/>
      <c r="I3009" s="10"/>
      <c r="J3009" s="10"/>
      <c r="K3009" s="10">
        <v>1</v>
      </c>
      <c r="L3009" s="10"/>
      <c r="M3009" s="10" t="b">
        <v>1</v>
      </c>
      <c r="N3009" s="10"/>
    </row>
    <row r="3010" spans="1:14" x14ac:dyDescent="0.25">
      <c r="A3010" s="10" t="s">
        <v>119</v>
      </c>
      <c r="B3010" s="10"/>
      <c r="C3010" s="11" t="str">
        <f>IF(A3010="","",IF((COUNTIFS(A:A,A3010))&gt;1,"ID重复",""))</f>
        <v/>
      </c>
      <c r="D3010" s="10">
        <v>103</v>
      </c>
      <c r="E3010" s="132" t="str">
        <f>INDEX([1]道具配置表!$D:$D,MATCH(D3010,[1]道具配置表!$A:$A,0))</f>
        <v>1石头</v>
      </c>
      <c r="F3010" s="10">
        <v>40000</v>
      </c>
      <c r="G3010" s="10"/>
      <c r="H3010" s="10"/>
      <c r="I3010" s="10"/>
      <c r="J3010" s="10"/>
      <c r="K3010" s="10">
        <v>1</v>
      </c>
      <c r="L3010" s="10"/>
      <c r="M3010" s="10" t="b">
        <v>1</v>
      </c>
      <c r="N3010" s="10"/>
    </row>
    <row r="3011" spans="1:14" x14ac:dyDescent="0.25">
      <c r="A3011" s="10" t="s">
        <v>119</v>
      </c>
      <c r="B3011" s="10"/>
      <c r="C3011" s="11" t="str">
        <f>IF(A3011="","",IF((COUNTIFS(A:A,A3011))&gt;1,"ID重复",""))</f>
        <v/>
      </c>
      <c r="D3011" s="10">
        <v>104</v>
      </c>
      <c r="E3011" s="132" t="str">
        <f>INDEX([1]道具配置表!$D:$D,MATCH(D3011,[1]道具配置表!$A:$A,0))</f>
        <v>1黄金</v>
      </c>
      <c r="F3011" s="10">
        <v>40000</v>
      </c>
      <c r="G3011" s="10"/>
      <c r="H3011" s="10"/>
      <c r="I3011" s="10"/>
      <c r="J3011" s="10"/>
      <c r="K3011" s="10">
        <v>1</v>
      </c>
      <c r="L3011" s="10"/>
      <c r="M3011" s="10" t="b">
        <v>1</v>
      </c>
      <c r="N3011" s="10"/>
    </row>
    <row r="3012" spans="1:14" x14ac:dyDescent="0.25">
      <c r="A3012" s="10" t="s">
        <v>119</v>
      </c>
      <c r="B3012" s="10"/>
      <c r="C3012" s="11" t="str">
        <f>IF(A3012="","",IF((COUNTIFS(A:A,A3012))&gt;1,"ID重复",""))</f>
        <v/>
      </c>
      <c r="D3012" s="10">
        <v>7010</v>
      </c>
      <c r="E3012" s="132" t="str">
        <f>INDEX([1]道具配置表!$D:$D,MATCH(D3012,[1]道具配置表!$A:$A,0))</f>
        <v>军演币</v>
      </c>
      <c r="F3012" s="10">
        <v>60</v>
      </c>
      <c r="G3012" s="10"/>
      <c r="H3012" s="10"/>
      <c r="I3012" s="10"/>
      <c r="J3012" s="10"/>
      <c r="K3012" s="10">
        <v>1</v>
      </c>
      <c r="L3012" s="10"/>
      <c r="M3012" s="10" t="b">
        <v>1</v>
      </c>
      <c r="N3012" s="10"/>
    </row>
    <row r="3013" spans="1:14" x14ac:dyDescent="0.25">
      <c r="A3013" s="10">
        <v>6623112</v>
      </c>
      <c r="B3013" s="10" t="s">
        <v>54</v>
      </c>
      <c r="C3013" s="11" t="str">
        <f>IF(A3013="","",IF((COUNTIFS(A:A,A3013))&gt;1,"ID重复",""))</f>
        <v/>
      </c>
      <c r="D3013" s="10">
        <v>102</v>
      </c>
      <c r="E3013" s="132" t="str">
        <f>INDEX([1]道具配置表!$D:$D,MATCH(D3013,[1]道具配置表!$A:$A,0))</f>
        <v>1食物</v>
      </c>
      <c r="F3013" s="10">
        <f>F3014</f>
        <v>43000</v>
      </c>
      <c r="G3013" s="10"/>
      <c r="H3013" s="10"/>
      <c r="I3013" s="10"/>
      <c r="J3013" s="10"/>
      <c r="K3013" s="10">
        <v>1</v>
      </c>
      <c r="L3013" s="10"/>
      <c r="M3013" s="10" t="b">
        <v>1</v>
      </c>
      <c r="N3013" s="10"/>
    </row>
    <row r="3014" spans="1:14" x14ac:dyDescent="0.25">
      <c r="A3014" s="10" t="s">
        <v>119</v>
      </c>
      <c r="B3014" s="10"/>
      <c r="C3014" s="11" t="str">
        <f>IF(A3014="","",IF((COUNTIFS(A:A,A3014))&gt;1,"ID重复",""))</f>
        <v/>
      </c>
      <c r="D3014" s="10">
        <v>101</v>
      </c>
      <c r="E3014" s="132" t="str">
        <f>INDEX([1]道具配置表!$D:$D,MATCH(D3014,[1]道具配置表!$A:$A,0))</f>
        <v>1木材</v>
      </c>
      <c r="F3014" s="10">
        <v>43000</v>
      </c>
      <c r="G3014" s="10"/>
      <c r="H3014" s="10"/>
      <c r="I3014" s="10"/>
      <c r="J3014" s="10"/>
      <c r="K3014" s="10">
        <v>1</v>
      </c>
      <c r="L3014" s="10"/>
      <c r="M3014" s="10" t="b">
        <v>1</v>
      </c>
      <c r="N3014" s="10"/>
    </row>
    <row r="3015" spans="1:14" x14ac:dyDescent="0.25">
      <c r="A3015" s="10" t="s">
        <v>119</v>
      </c>
      <c r="B3015" s="10"/>
      <c r="C3015" s="11" t="str">
        <f>IF(A3015="","",IF((COUNTIFS(A:A,A3015))&gt;1,"ID重复",""))</f>
        <v/>
      </c>
      <c r="D3015" s="10">
        <v>103</v>
      </c>
      <c r="E3015" s="132" t="str">
        <f>INDEX([1]道具配置表!$D:$D,MATCH(D3015,[1]道具配置表!$A:$A,0))</f>
        <v>1石头</v>
      </c>
      <c r="F3015" s="10">
        <v>43000</v>
      </c>
      <c r="G3015" s="10"/>
      <c r="H3015" s="10"/>
      <c r="I3015" s="10"/>
      <c r="J3015" s="10"/>
      <c r="K3015" s="10">
        <v>1</v>
      </c>
      <c r="L3015" s="10"/>
      <c r="M3015" s="10" t="b">
        <v>1</v>
      </c>
      <c r="N3015" s="10"/>
    </row>
    <row r="3016" spans="1:14" x14ac:dyDescent="0.25">
      <c r="A3016" s="10" t="s">
        <v>119</v>
      </c>
      <c r="B3016" s="10"/>
      <c r="C3016" s="11" t="str">
        <f>IF(A3016="","",IF((COUNTIFS(A:A,A3016))&gt;1,"ID重复",""))</f>
        <v/>
      </c>
      <c r="D3016" s="10">
        <v>104</v>
      </c>
      <c r="E3016" s="132" t="str">
        <f>INDEX([1]道具配置表!$D:$D,MATCH(D3016,[1]道具配置表!$A:$A,0))</f>
        <v>1黄金</v>
      </c>
      <c r="F3016" s="10">
        <v>43000</v>
      </c>
      <c r="G3016" s="10"/>
      <c r="H3016" s="10"/>
      <c r="I3016" s="10"/>
      <c r="J3016" s="10"/>
      <c r="K3016" s="10">
        <v>1</v>
      </c>
      <c r="L3016" s="10"/>
      <c r="M3016" s="10" t="b">
        <v>1</v>
      </c>
      <c r="N3016" s="10"/>
    </row>
    <row r="3017" spans="1:14" x14ac:dyDescent="0.25">
      <c r="A3017" s="10" t="s">
        <v>119</v>
      </c>
      <c r="B3017" s="10"/>
      <c r="C3017" s="11" t="str">
        <f>IF(A3017="","",IF((COUNTIFS(A:A,A3017))&gt;1,"ID重复",""))</f>
        <v/>
      </c>
      <c r="D3017" s="10">
        <v>7010</v>
      </c>
      <c r="E3017" s="132" t="str">
        <f>INDEX([1]道具配置表!$D:$D,MATCH(D3017,[1]道具配置表!$A:$A,0))</f>
        <v>军演币</v>
      </c>
      <c r="F3017" s="10">
        <v>65</v>
      </c>
      <c r="G3017" s="10"/>
      <c r="H3017" s="10"/>
      <c r="I3017" s="10"/>
      <c r="J3017" s="10"/>
      <c r="K3017" s="10">
        <v>1</v>
      </c>
      <c r="L3017" s="10"/>
      <c r="M3017" s="10" t="b">
        <v>1</v>
      </c>
      <c r="N3017" s="10"/>
    </row>
    <row r="3018" spans="1:14" x14ac:dyDescent="0.25">
      <c r="A3018" s="10">
        <v>6623113</v>
      </c>
      <c r="B3018" s="10" t="s">
        <v>55</v>
      </c>
      <c r="C3018" s="11" t="str">
        <f>IF(A3018="","",IF((COUNTIFS(A:A,A3018))&gt;1,"ID重复",""))</f>
        <v/>
      </c>
      <c r="D3018" s="10">
        <v>102</v>
      </c>
      <c r="E3018" s="132" t="str">
        <f>INDEX([1]道具配置表!$D:$D,MATCH(D3018,[1]道具配置表!$A:$A,0))</f>
        <v>1食物</v>
      </c>
      <c r="F3018" s="10">
        <f>F3019</f>
        <v>46000</v>
      </c>
      <c r="G3018" s="10"/>
      <c r="H3018" s="10"/>
      <c r="I3018" s="10"/>
      <c r="J3018" s="10"/>
      <c r="K3018" s="10">
        <v>1</v>
      </c>
      <c r="L3018" s="10"/>
      <c r="M3018" s="10" t="b">
        <v>1</v>
      </c>
      <c r="N3018" s="10"/>
    </row>
    <row r="3019" spans="1:14" x14ac:dyDescent="0.25">
      <c r="A3019" s="10" t="s">
        <v>119</v>
      </c>
      <c r="B3019" s="10"/>
      <c r="C3019" s="11" t="str">
        <f>IF(A3019="","",IF((COUNTIFS(A:A,A3019))&gt;1,"ID重复",""))</f>
        <v/>
      </c>
      <c r="D3019" s="10">
        <v>101</v>
      </c>
      <c r="E3019" s="132" t="str">
        <f>INDEX([1]道具配置表!$D:$D,MATCH(D3019,[1]道具配置表!$A:$A,0))</f>
        <v>1木材</v>
      </c>
      <c r="F3019" s="10">
        <v>46000</v>
      </c>
      <c r="G3019" s="10"/>
      <c r="H3019" s="10"/>
      <c r="I3019" s="10"/>
      <c r="J3019" s="10"/>
      <c r="K3019" s="10">
        <v>1</v>
      </c>
      <c r="L3019" s="10"/>
      <c r="M3019" s="10" t="b">
        <v>1</v>
      </c>
      <c r="N3019" s="10"/>
    </row>
    <row r="3020" spans="1:14" x14ac:dyDescent="0.25">
      <c r="A3020" s="10" t="s">
        <v>119</v>
      </c>
      <c r="B3020" s="10"/>
      <c r="C3020" s="11" t="str">
        <f>IF(A3020="","",IF((COUNTIFS(A:A,A3020))&gt;1,"ID重复",""))</f>
        <v/>
      </c>
      <c r="D3020" s="10">
        <v>103</v>
      </c>
      <c r="E3020" s="132" t="str">
        <f>INDEX([1]道具配置表!$D:$D,MATCH(D3020,[1]道具配置表!$A:$A,0))</f>
        <v>1石头</v>
      </c>
      <c r="F3020" s="10">
        <v>46000</v>
      </c>
      <c r="G3020" s="10"/>
      <c r="H3020" s="10"/>
      <c r="I3020" s="10"/>
      <c r="J3020" s="10"/>
      <c r="K3020" s="10">
        <v>1</v>
      </c>
      <c r="L3020" s="10"/>
      <c r="M3020" s="10" t="b">
        <v>1</v>
      </c>
      <c r="N3020" s="10"/>
    </row>
    <row r="3021" spans="1:14" x14ac:dyDescent="0.25">
      <c r="A3021" s="10" t="s">
        <v>119</v>
      </c>
      <c r="B3021" s="10"/>
      <c r="C3021" s="11" t="str">
        <f>IF(A3021="","",IF((COUNTIFS(A:A,A3021))&gt;1,"ID重复",""))</f>
        <v/>
      </c>
      <c r="D3021" s="10">
        <v>104</v>
      </c>
      <c r="E3021" s="132" t="str">
        <f>INDEX([1]道具配置表!$D:$D,MATCH(D3021,[1]道具配置表!$A:$A,0))</f>
        <v>1黄金</v>
      </c>
      <c r="F3021" s="10">
        <v>46000</v>
      </c>
      <c r="G3021" s="10"/>
      <c r="H3021" s="10"/>
      <c r="I3021" s="10"/>
      <c r="J3021" s="10"/>
      <c r="K3021" s="10">
        <v>1</v>
      </c>
      <c r="L3021" s="10"/>
      <c r="M3021" s="10" t="b">
        <v>1</v>
      </c>
      <c r="N3021" s="10"/>
    </row>
    <row r="3022" spans="1:14" x14ac:dyDescent="0.25">
      <c r="A3022" s="10" t="s">
        <v>119</v>
      </c>
      <c r="B3022" s="10"/>
      <c r="C3022" s="11" t="str">
        <f>IF(A3022="","",IF((COUNTIFS(A:A,A3022))&gt;1,"ID重复",""))</f>
        <v/>
      </c>
      <c r="D3022" s="10">
        <v>7010</v>
      </c>
      <c r="E3022" s="132" t="str">
        <f>INDEX([1]道具配置表!$D:$D,MATCH(D3022,[1]道具配置表!$A:$A,0))</f>
        <v>军演币</v>
      </c>
      <c r="F3022" s="10">
        <v>70</v>
      </c>
      <c r="G3022" s="10"/>
      <c r="H3022" s="10"/>
      <c r="I3022" s="10"/>
      <c r="J3022" s="10"/>
      <c r="K3022" s="10">
        <v>1</v>
      </c>
      <c r="L3022" s="10"/>
      <c r="M3022" s="10" t="b">
        <v>1</v>
      </c>
      <c r="N3022" s="10"/>
    </row>
    <row r="3023" spans="1:14" x14ac:dyDescent="0.25">
      <c r="A3023" s="10">
        <v>6623114</v>
      </c>
      <c r="B3023" s="10" t="s">
        <v>56</v>
      </c>
      <c r="C3023" s="11" t="str">
        <f>IF(A3023="","",IF((COUNTIFS(A:A,A3023))&gt;1,"ID重复",""))</f>
        <v/>
      </c>
      <c r="D3023" s="10">
        <v>102</v>
      </c>
      <c r="E3023" s="132" t="str">
        <f>INDEX([1]道具配置表!$D:$D,MATCH(D3023,[1]道具配置表!$A:$A,0))</f>
        <v>1食物</v>
      </c>
      <c r="F3023" s="10">
        <f>F3024</f>
        <v>49000</v>
      </c>
      <c r="G3023" s="10"/>
      <c r="H3023" s="10"/>
      <c r="I3023" s="10"/>
      <c r="J3023" s="10"/>
      <c r="K3023" s="10">
        <v>1</v>
      </c>
      <c r="L3023" s="10"/>
      <c r="M3023" s="10" t="b">
        <v>1</v>
      </c>
      <c r="N3023" s="10"/>
    </row>
    <row r="3024" spans="1:14" x14ac:dyDescent="0.25">
      <c r="A3024" s="10" t="s">
        <v>119</v>
      </c>
      <c r="B3024" s="10"/>
      <c r="C3024" s="11" t="str">
        <f>IF(A3024="","",IF((COUNTIFS(A:A,A3024))&gt;1,"ID重复",""))</f>
        <v/>
      </c>
      <c r="D3024" s="10">
        <v>101</v>
      </c>
      <c r="E3024" s="132" t="str">
        <f>INDEX([1]道具配置表!$D:$D,MATCH(D3024,[1]道具配置表!$A:$A,0))</f>
        <v>1木材</v>
      </c>
      <c r="F3024" s="10">
        <v>49000</v>
      </c>
      <c r="G3024" s="10"/>
      <c r="H3024" s="10"/>
      <c r="I3024" s="10"/>
      <c r="J3024" s="10"/>
      <c r="K3024" s="10">
        <v>1</v>
      </c>
      <c r="L3024" s="10"/>
      <c r="M3024" s="10" t="b">
        <v>1</v>
      </c>
      <c r="N3024" s="10"/>
    </row>
    <row r="3025" spans="1:14" x14ac:dyDescent="0.25">
      <c r="A3025" s="10" t="s">
        <v>119</v>
      </c>
      <c r="B3025" s="10"/>
      <c r="C3025" s="11" t="str">
        <f>IF(A3025="","",IF((COUNTIFS(A:A,A3025))&gt;1,"ID重复",""))</f>
        <v/>
      </c>
      <c r="D3025" s="10">
        <v>103</v>
      </c>
      <c r="E3025" s="132" t="str">
        <f>INDEX([1]道具配置表!$D:$D,MATCH(D3025,[1]道具配置表!$A:$A,0))</f>
        <v>1石头</v>
      </c>
      <c r="F3025" s="10">
        <v>49000</v>
      </c>
      <c r="G3025" s="10"/>
      <c r="H3025" s="10"/>
      <c r="I3025" s="10"/>
      <c r="J3025" s="10"/>
      <c r="K3025" s="10">
        <v>1</v>
      </c>
      <c r="L3025" s="10"/>
      <c r="M3025" s="10" t="b">
        <v>1</v>
      </c>
      <c r="N3025" s="10"/>
    </row>
    <row r="3026" spans="1:14" x14ac:dyDescent="0.25">
      <c r="A3026" s="10" t="s">
        <v>119</v>
      </c>
      <c r="B3026" s="10"/>
      <c r="C3026" s="11" t="str">
        <f>IF(A3026="","",IF((COUNTIFS(A:A,A3026))&gt;1,"ID重复",""))</f>
        <v/>
      </c>
      <c r="D3026" s="10">
        <v>104</v>
      </c>
      <c r="E3026" s="132" t="str">
        <f>INDEX([1]道具配置表!$D:$D,MATCH(D3026,[1]道具配置表!$A:$A,0))</f>
        <v>1黄金</v>
      </c>
      <c r="F3026" s="10">
        <v>49000</v>
      </c>
      <c r="G3026" s="10"/>
      <c r="H3026" s="10"/>
      <c r="I3026" s="10"/>
      <c r="J3026" s="10"/>
      <c r="K3026" s="10">
        <v>1</v>
      </c>
      <c r="L3026" s="10"/>
      <c r="M3026" s="10" t="b">
        <v>1</v>
      </c>
      <c r="N3026" s="10"/>
    </row>
    <row r="3027" spans="1:14" x14ac:dyDescent="0.25">
      <c r="A3027" s="10" t="s">
        <v>119</v>
      </c>
      <c r="B3027" s="10"/>
      <c r="C3027" s="11" t="str">
        <f>IF(A3027="","",IF((COUNTIFS(A:A,A3027))&gt;1,"ID重复",""))</f>
        <v/>
      </c>
      <c r="D3027" s="10">
        <v>7010</v>
      </c>
      <c r="E3027" s="132" t="str">
        <f>INDEX([1]道具配置表!$D:$D,MATCH(D3027,[1]道具配置表!$A:$A,0))</f>
        <v>军演币</v>
      </c>
      <c r="F3027" s="10">
        <v>75</v>
      </c>
      <c r="G3027" s="10"/>
      <c r="H3027" s="10"/>
      <c r="I3027" s="10"/>
      <c r="J3027" s="10"/>
      <c r="K3027" s="10">
        <v>1</v>
      </c>
      <c r="L3027" s="10"/>
      <c r="M3027" s="10" t="b">
        <v>1</v>
      </c>
      <c r="N3027" s="10"/>
    </row>
    <row r="3028" spans="1:14" x14ac:dyDescent="0.25">
      <c r="A3028" s="10">
        <v>6623115</v>
      </c>
      <c r="B3028" s="10" t="s">
        <v>57</v>
      </c>
      <c r="C3028" s="11" t="str">
        <f>IF(A3028="","",IF((COUNTIFS(A:A,A3028))&gt;1,"ID重复",""))</f>
        <v/>
      </c>
      <c r="D3028" s="10">
        <v>102</v>
      </c>
      <c r="E3028" s="132" t="str">
        <f>INDEX([1]道具配置表!$D:$D,MATCH(D3028,[1]道具配置表!$A:$A,0))</f>
        <v>1食物</v>
      </c>
      <c r="F3028" s="10">
        <f>F3029</f>
        <v>52000</v>
      </c>
      <c r="G3028" s="10"/>
      <c r="H3028" s="10"/>
      <c r="I3028" s="10"/>
      <c r="J3028" s="10"/>
      <c r="K3028" s="10">
        <v>1</v>
      </c>
      <c r="L3028" s="10"/>
      <c r="M3028" s="10" t="b">
        <v>1</v>
      </c>
      <c r="N3028" s="10"/>
    </row>
    <row r="3029" spans="1:14" x14ac:dyDescent="0.25">
      <c r="A3029" s="10" t="s">
        <v>119</v>
      </c>
      <c r="B3029" s="10"/>
      <c r="C3029" s="11" t="str">
        <f>IF(A3029="","",IF((COUNTIFS(A:A,A3029))&gt;1,"ID重复",""))</f>
        <v/>
      </c>
      <c r="D3029" s="10">
        <v>101</v>
      </c>
      <c r="E3029" s="132" t="str">
        <f>INDEX([1]道具配置表!$D:$D,MATCH(D3029,[1]道具配置表!$A:$A,0))</f>
        <v>1木材</v>
      </c>
      <c r="F3029" s="10">
        <v>52000</v>
      </c>
      <c r="G3029" s="10"/>
      <c r="H3029" s="10"/>
      <c r="I3029" s="10"/>
      <c r="J3029" s="10"/>
      <c r="K3029" s="10">
        <v>1</v>
      </c>
      <c r="L3029" s="10"/>
      <c r="M3029" s="10" t="b">
        <v>1</v>
      </c>
      <c r="N3029" s="10"/>
    </row>
    <row r="3030" spans="1:14" x14ac:dyDescent="0.25">
      <c r="A3030" s="10" t="s">
        <v>119</v>
      </c>
      <c r="B3030" s="10"/>
      <c r="C3030" s="11" t="str">
        <f>IF(A3030="","",IF((COUNTIFS(A:A,A3030))&gt;1,"ID重复",""))</f>
        <v/>
      </c>
      <c r="D3030" s="10">
        <v>103</v>
      </c>
      <c r="E3030" s="132" t="str">
        <f>INDEX([1]道具配置表!$D:$D,MATCH(D3030,[1]道具配置表!$A:$A,0))</f>
        <v>1石头</v>
      </c>
      <c r="F3030" s="10">
        <v>52000</v>
      </c>
      <c r="G3030" s="10"/>
      <c r="H3030" s="10"/>
      <c r="I3030" s="10"/>
      <c r="J3030" s="10"/>
      <c r="K3030" s="10">
        <v>1</v>
      </c>
      <c r="L3030" s="10"/>
      <c r="M3030" s="10" t="b">
        <v>1</v>
      </c>
      <c r="N3030" s="10"/>
    </row>
    <row r="3031" spans="1:14" x14ac:dyDescent="0.25">
      <c r="A3031" s="10" t="s">
        <v>119</v>
      </c>
      <c r="B3031" s="10"/>
      <c r="C3031" s="11" t="str">
        <f>IF(A3031="","",IF((COUNTIFS(A:A,A3031))&gt;1,"ID重复",""))</f>
        <v/>
      </c>
      <c r="D3031" s="10">
        <v>104</v>
      </c>
      <c r="E3031" s="132" t="str">
        <f>INDEX([1]道具配置表!$D:$D,MATCH(D3031,[1]道具配置表!$A:$A,0))</f>
        <v>1黄金</v>
      </c>
      <c r="F3031" s="10">
        <v>52000</v>
      </c>
      <c r="G3031" s="10"/>
      <c r="H3031" s="10"/>
      <c r="I3031" s="10"/>
      <c r="J3031" s="10"/>
      <c r="K3031" s="10">
        <v>1</v>
      </c>
      <c r="L3031" s="10"/>
      <c r="M3031" s="10" t="b">
        <v>1</v>
      </c>
      <c r="N3031" s="10"/>
    </row>
    <row r="3032" spans="1:14" x14ac:dyDescent="0.25">
      <c r="A3032" s="10" t="s">
        <v>119</v>
      </c>
      <c r="B3032" s="10"/>
      <c r="C3032" s="11" t="str">
        <f>IF(A3032="","",IF((COUNTIFS(A:A,A3032))&gt;1,"ID重复",""))</f>
        <v/>
      </c>
      <c r="D3032" s="10">
        <v>7010</v>
      </c>
      <c r="E3032" s="132" t="str">
        <f>INDEX([1]道具配置表!$D:$D,MATCH(D3032,[1]道具配置表!$A:$A,0))</f>
        <v>军演币</v>
      </c>
      <c r="F3032" s="10">
        <v>80</v>
      </c>
      <c r="G3032" s="10"/>
      <c r="H3032" s="10"/>
      <c r="I3032" s="10"/>
      <c r="J3032" s="10"/>
      <c r="K3032" s="10">
        <v>1</v>
      </c>
      <c r="L3032" s="10"/>
      <c r="M3032" s="10" t="b">
        <v>1</v>
      </c>
      <c r="N3032" s="10"/>
    </row>
    <row r="3033" spans="1:14" x14ac:dyDescent="0.25">
      <c r="A3033" s="10">
        <v>6623116</v>
      </c>
      <c r="B3033" s="10" t="s">
        <v>58</v>
      </c>
      <c r="C3033" s="11" t="str">
        <f>IF(A3033="","",IF((COUNTIFS(A:A,A3033))&gt;1,"ID重复",""))</f>
        <v/>
      </c>
      <c r="D3033" s="10">
        <v>102</v>
      </c>
      <c r="E3033" s="132" t="str">
        <f>INDEX([1]道具配置表!$D:$D,MATCH(D3033,[1]道具配置表!$A:$A,0))</f>
        <v>1食物</v>
      </c>
      <c r="F3033" s="10">
        <f>F3034</f>
        <v>55000</v>
      </c>
      <c r="G3033" s="10"/>
      <c r="H3033" s="10"/>
      <c r="I3033" s="10"/>
      <c r="J3033" s="10"/>
      <c r="K3033" s="10">
        <v>1</v>
      </c>
      <c r="L3033" s="10"/>
      <c r="M3033" s="10" t="b">
        <v>1</v>
      </c>
      <c r="N3033" s="10"/>
    </row>
    <row r="3034" spans="1:14" x14ac:dyDescent="0.25">
      <c r="A3034" s="10" t="s">
        <v>119</v>
      </c>
      <c r="B3034" s="10"/>
      <c r="C3034" s="11" t="str">
        <f>IF(A3034="","",IF((COUNTIFS(A:A,A3034))&gt;1,"ID重复",""))</f>
        <v/>
      </c>
      <c r="D3034" s="10">
        <v>101</v>
      </c>
      <c r="E3034" s="132" t="str">
        <f>INDEX([1]道具配置表!$D:$D,MATCH(D3034,[1]道具配置表!$A:$A,0))</f>
        <v>1木材</v>
      </c>
      <c r="F3034" s="10">
        <v>55000</v>
      </c>
      <c r="G3034" s="10"/>
      <c r="H3034" s="10"/>
      <c r="I3034" s="10"/>
      <c r="J3034" s="10"/>
      <c r="K3034" s="10">
        <v>1</v>
      </c>
      <c r="L3034" s="10"/>
      <c r="M3034" s="10" t="b">
        <v>1</v>
      </c>
      <c r="N3034" s="10"/>
    </row>
    <row r="3035" spans="1:14" x14ac:dyDescent="0.25">
      <c r="A3035" s="10" t="s">
        <v>119</v>
      </c>
      <c r="B3035" s="10"/>
      <c r="C3035" s="11" t="str">
        <f>IF(A3035="","",IF((COUNTIFS(A:A,A3035))&gt;1,"ID重复",""))</f>
        <v/>
      </c>
      <c r="D3035" s="10">
        <v>103</v>
      </c>
      <c r="E3035" s="132" t="str">
        <f>INDEX([1]道具配置表!$D:$D,MATCH(D3035,[1]道具配置表!$A:$A,0))</f>
        <v>1石头</v>
      </c>
      <c r="F3035" s="10">
        <v>55000</v>
      </c>
      <c r="G3035" s="10"/>
      <c r="H3035" s="10"/>
      <c r="I3035" s="10"/>
      <c r="J3035" s="10"/>
      <c r="K3035" s="10">
        <v>1</v>
      </c>
      <c r="L3035" s="10"/>
      <c r="M3035" s="10" t="b">
        <v>1</v>
      </c>
      <c r="N3035" s="10"/>
    </row>
    <row r="3036" spans="1:14" x14ac:dyDescent="0.25">
      <c r="A3036" s="10" t="s">
        <v>119</v>
      </c>
      <c r="B3036" s="10"/>
      <c r="C3036" s="11" t="str">
        <f>IF(A3036="","",IF((COUNTIFS(A:A,A3036))&gt;1,"ID重复",""))</f>
        <v/>
      </c>
      <c r="D3036" s="10">
        <v>104</v>
      </c>
      <c r="E3036" s="132" t="str">
        <f>INDEX([1]道具配置表!$D:$D,MATCH(D3036,[1]道具配置表!$A:$A,0))</f>
        <v>1黄金</v>
      </c>
      <c r="F3036" s="10">
        <v>55000</v>
      </c>
      <c r="G3036" s="10"/>
      <c r="H3036" s="10"/>
      <c r="I3036" s="10"/>
      <c r="J3036" s="10"/>
      <c r="K3036" s="10">
        <v>1</v>
      </c>
      <c r="L3036" s="10"/>
      <c r="M3036" s="10" t="b">
        <v>1</v>
      </c>
      <c r="N3036" s="10"/>
    </row>
    <row r="3037" spans="1:14" x14ac:dyDescent="0.25">
      <c r="A3037" s="10" t="s">
        <v>119</v>
      </c>
      <c r="B3037" s="10"/>
      <c r="C3037" s="11" t="str">
        <f>IF(A3037="","",IF((COUNTIFS(A:A,A3037))&gt;1,"ID重复",""))</f>
        <v/>
      </c>
      <c r="D3037" s="10">
        <v>7010</v>
      </c>
      <c r="E3037" s="132" t="str">
        <f>INDEX([1]道具配置表!$D:$D,MATCH(D3037,[1]道具配置表!$A:$A,0))</f>
        <v>军演币</v>
      </c>
      <c r="F3037" s="10">
        <v>85</v>
      </c>
      <c r="G3037" s="10"/>
      <c r="H3037" s="10"/>
      <c r="I3037" s="10"/>
      <c r="J3037" s="10"/>
      <c r="K3037" s="10">
        <v>1</v>
      </c>
      <c r="L3037" s="10"/>
      <c r="M3037" s="10" t="b">
        <v>1</v>
      </c>
      <c r="N3037" s="10"/>
    </row>
    <row r="3038" spans="1:14" x14ac:dyDescent="0.25">
      <c r="A3038" s="10">
        <v>6623117</v>
      </c>
      <c r="B3038" s="10" t="s">
        <v>59</v>
      </c>
      <c r="C3038" s="11" t="str">
        <f>IF(A3038="","",IF((COUNTIFS(A:A,A3038))&gt;1,"ID重复",""))</f>
        <v/>
      </c>
      <c r="D3038" s="10">
        <v>102</v>
      </c>
      <c r="E3038" s="132" t="str">
        <f>INDEX([1]道具配置表!$D:$D,MATCH(D3038,[1]道具配置表!$A:$A,0))</f>
        <v>1食物</v>
      </c>
      <c r="F3038" s="10">
        <f>F3039</f>
        <v>58000</v>
      </c>
      <c r="G3038" s="10"/>
      <c r="H3038" s="10"/>
      <c r="I3038" s="10"/>
      <c r="J3038" s="10"/>
      <c r="K3038" s="10">
        <v>1</v>
      </c>
      <c r="L3038" s="10"/>
      <c r="M3038" s="10" t="b">
        <v>1</v>
      </c>
      <c r="N3038" s="10"/>
    </row>
    <row r="3039" spans="1:14" x14ac:dyDescent="0.25">
      <c r="A3039" s="10" t="s">
        <v>119</v>
      </c>
      <c r="B3039" s="10"/>
      <c r="C3039" s="11" t="str">
        <f>IF(A3039="","",IF((COUNTIFS(A:A,A3039))&gt;1,"ID重复",""))</f>
        <v/>
      </c>
      <c r="D3039" s="10">
        <v>101</v>
      </c>
      <c r="E3039" s="132" t="str">
        <f>INDEX([1]道具配置表!$D:$D,MATCH(D3039,[1]道具配置表!$A:$A,0))</f>
        <v>1木材</v>
      </c>
      <c r="F3039" s="10">
        <v>58000</v>
      </c>
      <c r="G3039" s="10"/>
      <c r="H3039" s="10"/>
      <c r="I3039" s="10"/>
      <c r="J3039" s="10"/>
      <c r="K3039" s="10">
        <v>1</v>
      </c>
      <c r="L3039" s="10"/>
      <c r="M3039" s="10" t="b">
        <v>1</v>
      </c>
      <c r="N3039" s="10"/>
    </row>
    <row r="3040" spans="1:14" x14ac:dyDescent="0.25">
      <c r="A3040" s="10" t="s">
        <v>119</v>
      </c>
      <c r="B3040" s="10"/>
      <c r="C3040" s="11" t="str">
        <f>IF(A3040="","",IF((COUNTIFS(A:A,A3040))&gt;1,"ID重复",""))</f>
        <v/>
      </c>
      <c r="D3040" s="10">
        <v>103</v>
      </c>
      <c r="E3040" s="132" t="str">
        <f>INDEX([1]道具配置表!$D:$D,MATCH(D3040,[1]道具配置表!$A:$A,0))</f>
        <v>1石头</v>
      </c>
      <c r="F3040" s="10">
        <v>58000</v>
      </c>
      <c r="G3040" s="10"/>
      <c r="H3040" s="10"/>
      <c r="I3040" s="10"/>
      <c r="J3040" s="10"/>
      <c r="K3040" s="10">
        <v>1</v>
      </c>
      <c r="L3040" s="10"/>
      <c r="M3040" s="10" t="b">
        <v>1</v>
      </c>
      <c r="N3040" s="10"/>
    </row>
    <row r="3041" spans="1:14" x14ac:dyDescent="0.25">
      <c r="A3041" s="10" t="s">
        <v>119</v>
      </c>
      <c r="B3041" s="10"/>
      <c r="C3041" s="11" t="str">
        <f>IF(A3041="","",IF((COUNTIFS(A:A,A3041))&gt;1,"ID重复",""))</f>
        <v/>
      </c>
      <c r="D3041" s="10">
        <v>104</v>
      </c>
      <c r="E3041" s="132" t="str">
        <f>INDEX([1]道具配置表!$D:$D,MATCH(D3041,[1]道具配置表!$A:$A,0))</f>
        <v>1黄金</v>
      </c>
      <c r="F3041" s="10">
        <v>58000</v>
      </c>
      <c r="G3041" s="10"/>
      <c r="H3041" s="10"/>
      <c r="I3041" s="10"/>
      <c r="J3041" s="10"/>
      <c r="K3041" s="10">
        <v>1</v>
      </c>
      <c r="L3041" s="10"/>
      <c r="M3041" s="10" t="b">
        <v>1</v>
      </c>
      <c r="N3041" s="10"/>
    </row>
    <row r="3042" spans="1:14" x14ac:dyDescent="0.25">
      <c r="A3042" s="10" t="s">
        <v>119</v>
      </c>
      <c r="B3042" s="10"/>
      <c r="C3042" s="11" t="str">
        <f>IF(A3042="","",IF((COUNTIFS(A:A,A3042))&gt;1,"ID重复",""))</f>
        <v/>
      </c>
      <c r="D3042" s="10">
        <v>7010</v>
      </c>
      <c r="E3042" s="132" t="str">
        <f>INDEX([1]道具配置表!$D:$D,MATCH(D3042,[1]道具配置表!$A:$A,0))</f>
        <v>军演币</v>
      </c>
      <c r="F3042" s="10">
        <v>90</v>
      </c>
      <c r="G3042" s="10"/>
      <c r="H3042" s="10"/>
      <c r="I3042" s="10"/>
      <c r="J3042" s="10"/>
      <c r="K3042" s="10">
        <v>1</v>
      </c>
      <c r="L3042" s="10"/>
      <c r="M3042" s="10" t="b">
        <v>1</v>
      </c>
      <c r="N3042" s="10"/>
    </row>
    <row r="3043" spans="1:14" x14ac:dyDescent="0.25">
      <c r="A3043" s="10">
        <v>6623118</v>
      </c>
      <c r="B3043" s="10" t="s">
        <v>60</v>
      </c>
      <c r="C3043" s="11" t="str">
        <f>IF(A3043="","",IF((COUNTIFS(A:A,A3043))&gt;1,"ID重复",""))</f>
        <v/>
      </c>
      <c r="D3043" s="10">
        <v>102</v>
      </c>
      <c r="E3043" s="132" t="str">
        <f>INDEX([1]道具配置表!$D:$D,MATCH(D3043,[1]道具配置表!$A:$A,0))</f>
        <v>1食物</v>
      </c>
      <c r="F3043" s="10">
        <f>F3044</f>
        <v>61000</v>
      </c>
      <c r="G3043" s="10"/>
      <c r="H3043" s="10"/>
      <c r="I3043" s="10"/>
      <c r="J3043" s="10"/>
      <c r="K3043" s="10">
        <v>1</v>
      </c>
      <c r="L3043" s="10"/>
      <c r="M3043" s="10" t="b">
        <v>1</v>
      </c>
      <c r="N3043" s="10"/>
    </row>
    <row r="3044" spans="1:14" x14ac:dyDescent="0.25">
      <c r="A3044" s="10" t="s">
        <v>119</v>
      </c>
      <c r="B3044" s="10"/>
      <c r="C3044" s="11" t="str">
        <f>IF(A3044="","",IF((COUNTIFS(A:A,A3044))&gt;1,"ID重复",""))</f>
        <v/>
      </c>
      <c r="D3044" s="10">
        <v>101</v>
      </c>
      <c r="E3044" s="132" t="str">
        <f>INDEX([1]道具配置表!$D:$D,MATCH(D3044,[1]道具配置表!$A:$A,0))</f>
        <v>1木材</v>
      </c>
      <c r="F3044" s="10">
        <v>61000</v>
      </c>
      <c r="G3044" s="10"/>
      <c r="H3044" s="10"/>
      <c r="I3044" s="10"/>
      <c r="J3044" s="10"/>
      <c r="K3044" s="10">
        <v>1</v>
      </c>
      <c r="L3044" s="10"/>
      <c r="M3044" s="10" t="b">
        <v>1</v>
      </c>
      <c r="N3044" s="10"/>
    </row>
    <row r="3045" spans="1:14" x14ac:dyDescent="0.25">
      <c r="A3045" s="10" t="s">
        <v>119</v>
      </c>
      <c r="B3045" s="10"/>
      <c r="C3045" s="11" t="str">
        <f>IF(A3045="","",IF((COUNTIFS(A:A,A3045))&gt;1,"ID重复",""))</f>
        <v/>
      </c>
      <c r="D3045" s="10">
        <v>103</v>
      </c>
      <c r="E3045" s="132" t="str">
        <f>INDEX([1]道具配置表!$D:$D,MATCH(D3045,[1]道具配置表!$A:$A,0))</f>
        <v>1石头</v>
      </c>
      <c r="F3045" s="10">
        <v>61000</v>
      </c>
      <c r="G3045" s="10"/>
      <c r="H3045" s="10"/>
      <c r="I3045" s="10"/>
      <c r="J3045" s="10"/>
      <c r="K3045" s="10">
        <v>1</v>
      </c>
      <c r="L3045" s="10"/>
      <c r="M3045" s="10" t="b">
        <v>1</v>
      </c>
      <c r="N3045" s="10"/>
    </row>
    <row r="3046" spans="1:14" x14ac:dyDescent="0.25">
      <c r="A3046" s="10" t="s">
        <v>119</v>
      </c>
      <c r="B3046" s="10"/>
      <c r="C3046" s="11" t="str">
        <f>IF(A3046="","",IF((COUNTIFS(A:A,A3046))&gt;1,"ID重复",""))</f>
        <v/>
      </c>
      <c r="D3046" s="10">
        <v>104</v>
      </c>
      <c r="E3046" s="132" t="str">
        <f>INDEX([1]道具配置表!$D:$D,MATCH(D3046,[1]道具配置表!$A:$A,0))</f>
        <v>1黄金</v>
      </c>
      <c r="F3046" s="10">
        <v>61000</v>
      </c>
      <c r="G3046" s="10"/>
      <c r="H3046" s="10"/>
      <c r="I3046" s="10"/>
      <c r="J3046" s="10"/>
      <c r="K3046" s="10">
        <v>1</v>
      </c>
      <c r="L3046" s="10"/>
      <c r="M3046" s="10" t="b">
        <v>1</v>
      </c>
      <c r="N3046" s="10"/>
    </row>
    <row r="3047" spans="1:14" x14ac:dyDescent="0.25">
      <c r="A3047" s="10" t="s">
        <v>119</v>
      </c>
      <c r="B3047" s="10"/>
      <c r="C3047" s="11" t="str">
        <f>IF(A3047="","",IF((COUNTIFS(A:A,A3047))&gt;1,"ID重复",""))</f>
        <v/>
      </c>
      <c r="D3047" s="10">
        <v>7010</v>
      </c>
      <c r="E3047" s="132" t="str">
        <f>INDEX([1]道具配置表!$D:$D,MATCH(D3047,[1]道具配置表!$A:$A,0))</f>
        <v>军演币</v>
      </c>
      <c r="F3047" s="10">
        <v>95</v>
      </c>
      <c r="G3047" s="10"/>
      <c r="H3047" s="10"/>
      <c r="I3047" s="10"/>
      <c r="J3047" s="10"/>
      <c r="K3047" s="10">
        <v>1</v>
      </c>
      <c r="L3047" s="10"/>
      <c r="M3047" s="10" t="b">
        <v>1</v>
      </c>
      <c r="N3047" s="10"/>
    </row>
    <row r="3048" spans="1:14" x14ac:dyDescent="0.25">
      <c r="A3048" s="10">
        <v>6623119</v>
      </c>
      <c r="B3048" s="10" t="s">
        <v>61</v>
      </c>
      <c r="C3048" s="11" t="str">
        <f>IF(A3048="","",IF((COUNTIFS(A:A,A3048))&gt;1,"ID重复",""))</f>
        <v/>
      </c>
      <c r="D3048" s="10">
        <v>102</v>
      </c>
      <c r="E3048" s="132" t="str">
        <f>INDEX([1]道具配置表!$D:$D,MATCH(D3048,[1]道具配置表!$A:$A,0))</f>
        <v>1食物</v>
      </c>
      <c r="F3048" s="10">
        <f>F3049</f>
        <v>64000</v>
      </c>
      <c r="G3048" s="10"/>
      <c r="H3048" s="10"/>
      <c r="I3048" s="10"/>
      <c r="J3048" s="10"/>
      <c r="K3048" s="10">
        <v>1</v>
      </c>
      <c r="L3048" s="10"/>
      <c r="M3048" s="10" t="b">
        <v>1</v>
      </c>
      <c r="N3048" s="10"/>
    </row>
    <row r="3049" spans="1:14" x14ac:dyDescent="0.25">
      <c r="A3049" s="10" t="s">
        <v>119</v>
      </c>
      <c r="B3049" s="10"/>
      <c r="C3049" s="11" t="str">
        <f>IF(A3049="","",IF((COUNTIFS(A:A,A3049))&gt;1,"ID重复",""))</f>
        <v/>
      </c>
      <c r="D3049" s="10">
        <v>101</v>
      </c>
      <c r="E3049" s="132" t="str">
        <f>INDEX([1]道具配置表!$D:$D,MATCH(D3049,[1]道具配置表!$A:$A,0))</f>
        <v>1木材</v>
      </c>
      <c r="F3049" s="10">
        <v>64000</v>
      </c>
      <c r="G3049" s="10"/>
      <c r="H3049" s="10"/>
      <c r="I3049" s="10"/>
      <c r="J3049" s="10"/>
      <c r="K3049" s="10">
        <v>1</v>
      </c>
      <c r="L3049" s="10"/>
      <c r="M3049" s="10" t="b">
        <v>1</v>
      </c>
      <c r="N3049" s="10"/>
    </row>
    <row r="3050" spans="1:14" x14ac:dyDescent="0.25">
      <c r="A3050" s="10" t="s">
        <v>119</v>
      </c>
      <c r="B3050" s="10"/>
      <c r="C3050" s="11" t="str">
        <f>IF(A3050="","",IF((COUNTIFS(A:A,A3050))&gt;1,"ID重复",""))</f>
        <v/>
      </c>
      <c r="D3050" s="10">
        <v>103</v>
      </c>
      <c r="E3050" s="132" t="str">
        <f>INDEX([1]道具配置表!$D:$D,MATCH(D3050,[1]道具配置表!$A:$A,0))</f>
        <v>1石头</v>
      </c>
      <c r="F3050" s="10">
        <v>64000</v>
      </c>
      <c r="G3050" s="10"/>
      <c r="H3050" s="10"/>
      <c r="I3050" s="10"/>
      <c r="J3050" s="10"/>
      <c r="K3050" s="10">
        <v>1</v>
      </c>
      <c r="L3050" s="10"/>
      <c r="M3050" s="10" t="b">
        <v>1</v>
      </c>
      <c r="N3050" s="10"/>
    </row>
    <row r="3051" spans="1:14" x14ac:dyDescent="0.25">
      <c r="A3051" s="10" t="s">
        <v>119</v>
      </c>
      <c r="B3051" s="10"/>
      <c r="C3051" s="11" t="str">
        <f>IF(A3051="","",IF((COUNTIFS(A:A,A3051))&gt;1,"ID重复",""))</f>
        <v/>
      </c>
      <c r="D3051" s="10">
        <v>104</v>
      </c>
      <c r="E3051" s="132" t="str">
        <f>INDEX([1]道具配置表!$D:$D,MATCH(D3051,[1]道具配置表!$A:$A,0))</f>
        <v>1黄金</v>
      </c>
      <c r="F3051" s="10">
        <v>64000</v>
      </c>
      <c r="G3051" s="10"/>
      <c r="H3051" s="10"/>
      <c r="I3051" s="10"/>
      <c r="J3051" s="10"/>
      <c r="K3051" s="10">
        <v>1</v>
      </c>
      <c r="L3051" s="10"/>
      <c r="M3051" s="10" t="b">
        <v>1</v>
      </c>
      <c r="N3051" s="10"/>
    </row>
    <row r="3052" spans="1:14" x14ac:dyDescent="0.25">
      <c r="A3052" s="10" t="s">
        <v>119</v>
      </c>
      <c r="B3052" s="10"/>
      <c r="C3052" s="11" t="str">
        <f>IF(A3052="","",IF((COUNTIFS(A:A,A3052))&gt;1,"ID重复",""))</f>
        <v/>
      </c>
      <c r="D3052" s="10">
        <v>7010</v>
      </c>
      <c r="E3052" s="132" t="str">
        <f>INDEX([1]道具配置表!$D:$D,MATCH(D3052,[1]道具配置表!$A:$A,0))</f>
        <v>军演币</v>
      </c>
      <c r="F3052" s="10">
        <v>100</v>
      </c>
      <c r="G3052" s="10"/>
      <c r="H3052" s="10"/>
      <c r="I3052" s="10"/>
      <c r="J3052" s="10"/>
      <c r="K3052" s="10">
        <v>1</v>
      </c>
      <c r="L3052" s="10"/>
      <c r="M3052" s="10" t="b">
        <v>1</v>
      </c>
      <c r="N3052" s="10"/>
    </row>
    <row r="3053" spans="1:14" x14ac:dyDescent="0.25">
      <c r="A3053" s="10">
        <v>6623120</v>
      </c>
      <c r="B3053" s="10" t="s">
        <v>62</v>
      </c>
      <c r="C3053" s="11" t="str">
        <f>IF(A3053="","",IF((COUNTIFS(A:A,A3053))&gt;1,"ID重复",""))</f>
        <v/>
      </c>
      <c r="D3053" s="10">
        <v>102</v>
      </c>
      <c r="E3053" s="132" t="str">
        <f>INDEX([1]道具配置表!$D:$D,MATCH(D3053,[1]道具配置表!$A:$A,0))</f>
        <v>1食物</v>
      </c>
      <c r="F3053" s="10">
        <f>F3054</f>
        <v>67000</v>
      </c>
      <c r="G3053" s="10"/>
      <c r="H3053" s="10"/>
      <c r="I3053" s="10"/>
      <c r="J3053" s="10"/>
      <c r="K3053" s="10">
        <v>1</v>
      </c>
      <c r="L3053" s="10"/>
      <c r="M3053" s="10" t="b">
        <v>1</v>
      </c>
      <c r="N3053" s="10"/>
    </row>
    <row r="3054" spans="1:14" x14ac:dyDescent="0.25">
      <c r="A3054" s="10" t="s">
        <v>119</v>
      </c>
      <c r="B3054" s="10"/>
      <c r="C3054" s="11" t="str">
        <f>IF(A3054="","",IF((COUNTIFS(A:A,A3054))&gt;1,"ID重复",""))</f>
        <v/>
      </c>
      <c r="D3054" s="10">
        <v>101</v>
      </c>
      <c r="E3054" s="132" t="str">
        <f>INDEX([1]道具配置表!$D:$D,MATCH(D3054,[1]道具配置表!$A:$A,0))</f>
        <v>1木材</v>
      </c>
      <c r="F3054" s="10">
        <v>67000</v>
      </c>
      <c r="G3054" s="10"/>
      <c r="H3054" s="10"/>
      <c r="I3054" s="10"/>
      <c r="J3054" s="10"/>
      <c r="K3054" s="10">
        <v>1</v>
      </c>
      <c r="L3054" s="10"/>
      <c r="M3054" s="10" t="b">
        <v>1</v>
      </c>
      <c r="N3054" s="10"/>
    </row>
    <row r="3055" spans="1:14" x14ac:dyDescent="0.25">
      <c r="A3055" s="10" t="s">
        <v>119</v>
      </c>
      <c r="B3055" s="10"/>
      <c r="C3055" s="11" t="str">
        <f>IF(A3055="","",IF((COUNTIFS(A:A,A3055))&gt;1,"ID重复",""))</f>
        <v/>
      </c>
      <c r="D3055" s="10">
        <v>103</v>
      </c>
      <c r="E3055" s="132" t="str">
        <f>INDEX([1]道具配置表!$D:$D,MATCH(D3055,[1]道具配置表!$A:$A,0))</f>
        <v>1石头</v>
      </c>
      <c r="F3055" s="10">
        <v>67000</v>
      </c>
      <c r="G3055" s="10"/>
      <c r="H3055" s="10"/>
      <c r="I3055" s="10"/>
      <c r="J3055" s="10"/>
      <c r="K3055" s="10">
        <v>1</v>
      </c>
      <c r="L3055" s="10"/>
      <c r="M3055" s="10" t="b">
        <v>1</v>
      </c>
      <c r="N3055" s="10"/>
    </row>
    <row r="3056" spans="1:14" x14ac:dyDescent="0.25">
      <c r="A3056" s="10" t="s">
        <v>119</v>
      </c>
      <c r="B3056" s="10"/>
      <c r="C3056" s="11" t="str">
        <f>IF(A3056="","",IF((COUNTIFS(A:A,A3056))&gt;1,"ID重复",""))</f>
        <v/>
      </c>
      <c r="D3056" s="10">
        <v>104</v>
      </c>
      <c r="E3056" s="132" t="str">
        <f>INDEX([1]道具配置表!$D:$D,MATCH(D3056,[1]道具配置表!$A:$A,0))</f>
        <v>1黄金</v>
      </c>
      <c r="F3056" s="10">
        <v>67000</v>
      </c>
      <c r="G3056" s="10"/>
      <c r="H3056" s="10"/>
      <c r="I3056" s="10"/>
      <c r="J3056" s="10"/>
      <c r="K3056" s="10">
        <v>1</v>
      </c>
      <c r="L3056" s="10"/>
      <c r="M3056" s="10" t="b">
        <v>1</v>
      </c>
      <c r="N3056" s="10"/>
    </row>
    <row r="3057" spans="1:14" x14ac:dyDescent="0.25">
      <c r="A3057" s="10" t="s">
        <v>119</v>
      </c>
      <c r="B3057" s="10"/>
      <c r="C3057" s="11" t="str">
        <f>IF(A3057="","",IF((COUNTIFS(A:A,A3057))&gt;1,"ID重复",""))</f>
        <v/>
      </c>
      <c r="D3057" s="10">
        <v>7010</v>
      </c>
      <c r="E3057" s="132" t="str">
        <f>INDEX([1]道具配置表!$D:$D,MATCH(D3057,[1]道具配置表!$A:$A,0))</f>
        <v>军演币</v>
      </c>
      <c r="F3057" s="10">
        <v>110</v>
      </c>
      <c r="G3057" s="10"/>
      <c r="H3057" s="10"/>
      <c r="I3057" s="10"/>
      <c r="J3057" s="10"/>
      <c r="K3057" s="10">
        <v>1</v>
      </c>
      <c r="L3057" s="10"/>
      <c r="M3057" s="10" t="b">
        <v>1</v>
      </c>
      <c r="N3057" s="10"/>
    </row>
    <row r="3058" spans="1:14" x14ac:dyDescent="0.25">
      <c r="A3058" s="10">
        <v>6623121</v>
      </c>
      <c r="B3058" s="10" t="s">
        <v>63</v>
      </c>
      <c r="C3058" s="11" t="str">
        <f>IF(A3058="","",IF((COUNTIFS(A:A,A3058))&gt;1,"ID重复",""))</f>
        <v/>
      </c>
      <c r="D3058" s="10">
        <v>102</v>
      </c>
      <c r="E3058" s="132" t="str">
        <f>INDEX([1]道具配置表!$D:$D,MATCH(D3058,[1]道具配置表!$A:$A,0))</f>
        <v>1食物</v>
      </c>
      <c r="F3058" s="10">
        <f>F3059</f>
        <v>70000</v>
      </c>
      <c r="G3058" s="10"/>
      <c r="H3058" s="10"/>
      <c r="I3058" s="10"/>
      <c r="J3058" s="10"/>
      <c r="K3058" s="10">
        <v>1</v>
      </c>
      <c r="L3058" s="10"/>
      <c r="M3058" s="10" t="b">
        <v>1</v>
      </c>
      <c r="N3058" s="10"/>
    </row>
    <row r="3059" spans="1:14" x14ac:dyDescent="0.25">
      <c r="A3059" s="10" t="s">
        <v>119</v>
      </c>
      <c r="B3059" s="10"/>
      <c r="C3059" s="11" t="str">
        <f>IF(A3059="","",IF((COUNTIFS(A:A,A3059))&gt;1,"ID重复",""))</f>
        <v/>
      </c>
      <c r="D3059" s="10">
        <v>101</v>
      </c>
      <c r="E3059" s="132" t="str">
        <f>INDEX([1]道具配置表!$D:$D,MATCH(D3059,[1]道具配置表!$A:$A,0))</f>
        <v>1木材</v>
      </c>
      <c r="F3059" s="10">
        <v>70000</v>
      </c>
      <c r="G3059" s="10"/>
      <c r="H3059" s="10"/>
      <c r="I3059" s="10"/>
      <c r="J3059" s="10"/>
      <c r="K3059" s="10">
        <v>1</v>
      </c>
      <c r="L3059" s="10"/>
      <c r="M3059" s="10" t="b">
        <v>1</v>
      </c>
      <c r="N3059" s="10"/>
    </row>
    <row r="3060" spans="1:14" x14ac:dyDescent="0.25">
      <c r="A3060" s="10" t="s">
        <v>119</v>
      </c>
      <c r="B3060" s="10"/>
      <c r="C3060" s="11" t="str">
        <f>IF(A3060="","",IF((COUNTIFS(A:A,A3060))&gt;1,"ID重复",""))</f>
        <v/>
      </c>
      <c r="D3060" s="10">
        <v>103</v>
      </c>
      <c r="E3060" s="132" t="str">
        <f>INDEX([1]道具配置表!$D:$D,MATCH(D3060,[1]道具配置表!$A:$A,0))</f>
        <v>1石头</v>
      </c>
      <c r="F3060" s="10">
        <v>70000</v>
      </c>
      <c r="G3060" s="10"/>
      <c r="H3060" s="10"/>
      <c r="I3060" s="10"/>
      <c r="J3060" s="10"/>
      <c r="K3060" s="10">
        <v>1</v>
      </c>
      <c r="L3060" s="10"/>
      <c r="M3060" s="10" t="b">
        <v>1</v>
      </c>
      <c r="N3060" s="10"/>
    </row>
    <row r="3061" spans="1:14" x14ac:dyDescent="0.25">
      <c r="A3061" s="10" t="s">
        <v>119</v>
      </c>
      <c r="B3061" s="10"/>
      <c r="C3061" s="11" t="str">
        <f>IF(A3061="","",IF((COUNTIFS(A:A,A3061))&gt;1,"ID重复",""))</f>
        <v/>
      </c>
      <c r="D3061" s="10">
        <v>104</v>
      </c>
      <c r="E3061" s="132" t="str">
        <f>INDEX([1]道具配置表!$D:$D,MATCH(D3061,[1]道具配置表!$A:$A,0))</f>
        <v>1黄金</v>
      </c>
      <c r="F3061" s="10">
        <v>70000</v>
      </c>
      <c r="G3061" s="10"/>
      <c r="H3061" s="10"/>
      <c r="I3061" s="10"/>
      <c r="J3061" s="10"/>
      <c r="K3061" s="10">
        <v>1</v>
      </c>
      <c r="L3061" s="10"/>
      <c r="M3061" s="10" t="b">
        <v>1</v>
      </c>
      <c r="N3061" s="10"/>
    </row>
    <row r="3062" spans="1:14" x14ac:dyDescent="0.25">
      <c r="A3062" s="10" t="s">
        <v>119</v>
      </c>
      <c r="B3062" s="10"/>
      <c r="C3062" s="11" t="str">
        <f>IF(A3062="","",IF((COUNTIFS(A:A,A3062))&gt;1,"ID重复",""))</f>
        <v/>
      </c>
      <c r="D3062" s="10">
        <v>7010</v>
      </c>
      <c r="E3062" s="132" t="str">
        <f>INDEX([1]道具配置表!$D:$D,MATCH(D3062,[1]道具配置表!$A:$A,0))</f>
        <v>军演币</v>
      </c>
      <c r="F3062" s="10">
        <v>120</v>
      </c>
      <c r="G3062" s="10"/>
      <c r="H3062" s="10"/>
      <c r="I3062" s="10"/>
      <c r="J3062" s="10"/>
      <c r="K3062" s="10">
        <v>1</v>
      </c>
      <c r="L3062" s="10"/>
      <c r="M3062" s="10" t="b">
        <v>1</v>
      </c>
      <c r="N3062" s="10"/>
    </row>
    <row r="3063" spans="1:14" x14ac:dyDescent="0.25">
      <c r="A3063" s="10">
        <v>6623122</v>
      </c>
      <c r="B3063" s="10" t="s">
        <v>64</v>
      </c>
      <c r="C3063" s="11" t="str">
        <f>IF(A3063="","",IF((COUNTIFS(A:A,A3063))&gt;1,"ID重复",""))</f>
        <v/>
      </c>
      <c r="D3063" s="10">
        <v>102</v>
      </c>
      <c r="E3063" s="132" t="str">
        <f>INDEX([1]道具配置表!$D:$D,MATCH(D3063,[1]道具配置表!$A:$A,0))</f>
        <v>1食物</v>
      </c>
      <c r="F3063" s="10">
        <f>F3064</f>
        <v>73000</v>
      </c>
      <c r="G3063" s="10"/>
      <c r="H3063" s="10"/>
      <c r="I3063" s="10"/>
      <c r="J3063" s="10"/>
      <c r="K3063" s="10">
        <v>1</v>
      </c>
      <c r="L3063" s="10"/>
      <c r="M3063" s="10" t="b">
        <v>1</v>
      </c>
      <c r="N3063" s="10"/>
    </row>
    <row r="3064" spans="1:14" x14ac:dyDescent="0.25">
      <c r="A3064" s="10" t="s">
        <v>119</v>
      </c>
      <c r="B3064" s="10"/>
      <c r="C3064" s="11" t="str">
        <f>IF(A3064="","",IF((COUNTIFS(A:A,A3064))&gt;1,"ID重复",""))</f>
        <v/>
      </c>
      <c r="D3064" s="10">
        <v>101</v>
      </c>
      <c r="E3064" s="132" t="str">
        <f>INDEX([1]道具配置表!$D:$D,MATCH(D3064,[1]道具配置表!$A:$A,0))</f>
        <v>1木材</v>
      </c>
      <c r="F3064" s="10">
        <v>73000</v>
      </c>
      <c r="G3064" s="10"/>
      <c r="H3064" s="10"/>
      <c r="I3064" s="10"/>
      <c r="J3064" s="10"/>
      <c r="K3064" s="10">
        <v>1</v>
      </c>
      <c r="L3064" s="10"/>
      <c r="M3064" s="10" t="b">
        <v>1</v>
      </c>
      <c r="N3064" s="10"/>
    </row>
    <row r="3065" spans="1:14" x14ac:dyDescent="0.25">
      <c r="A3065" s="10" t="s">
        <v>119</v>
      </c>
      <c r="B3065" s="10"/>
      <c r="C3065" s="11" t="str">
        <f>IF(A3065="","",IF((COUNTIFS(A:A,A3065))&gt;1,"ID重复",""))</f>
        <v/>
      </c>
      <c r="D3065" s="10">
        <v>103</v>
      </c>
      <c r="E3065" s="132" t="str">
        <f>INDEX([1]道具配置表!$D:$D,MATCH(D3065,[1]道具配置表!$A:$A,0))</f>
        <v>1石头</v>
      </c>
      <c r="F3065" s="10">
        <v>73000</v>
      </c>
      <c r="G3065" s="10"/>
      <c r="H3065" s="10"/>
      <c r="I3065" s="10"/>
      <c r="J3065" s="10"/>
      <c r="K3065" s="10">
        <v>1</v>
      </c>
      <c r="L3065" s="10"/>
      <c r="M3065" s="10" t="b">
        <v>1</v>
      </c>
      <c r="N3065" s="10"/>
    </row>
    <row r="3066" spans="1:14" x14ac:dyDescent="0.25">
      <c r="A3066" s="10" t="s">
        <v>119</v>
      </c>
      <c r="B3066" s="10"/>
      <c r="C3066" s="11" t="str">
        <f>IF(A3066="","",IF((COUNTIFS(A:A,A3066))&gt;1,"ID重复",""))</f>
        <v/>
      </c>
      <c r="D3066" s="10">
        <v>104</v>
      </c>
      <c r="E3066" s="132" t="str">
        <f>INDEX([1]道具配置表!$D:$D,MATCH(D3066,[1]道具配置表!$A:$A,0))</f>
        <v>1黄金</v>
      </c>
      <c r="F3066" s="10">
        <v>73000</v>
      </c>
      <c r="G3066" s="10"/>
      <c r="H3066" s="10"/>
      <c r="I3066" s="10"/>
      <c r="J3066" s="10"/>
      <c r="K3066" s="10">
        <v>1</v>
      </c>
      <c r="L3066" s="10"/>
      <c r="M3066" s="10" t="b">
        <v>1</v>
      </c>
      <c r="N3066" s="10"/>
    </row>
    <row r="3067" spans="1:14" x14ac:dyDescent="0.25">
      <c r="A3067" s="10" t="s">
        <v>119</v>
      </c>
      <c r="B3067" s="10"/>
      <c r="C3067" s="11" t="str">
        <f>IF(A3067="","",IF((COUNTIFS(A:A,A3067))&gt;1,"ID重复",""))</f>
        <v/>
      </c>
      <c r="D3067" s="10">
        <v>7010</v>
      </c>
      <c r="E3067" s="132" t="str">
        <f>INDEX([1]道具配置表!$D:$D,MATCH(D3067,[1]道具配置表!$A:$A,0))</f>
        <v>军演币</v>
      </c>
      <c r="F3067" s="10">
        <v>130</v>
      </c>
      <c r="G3067" s="10"/>
      <c r="H3067" s="10"/>
      <c r="I3067" s="10"/>
      <c r="J3067" s="10"/>
      <c r="K3067" s="10">
        <v>1</v>
      </c>
      <c r="L3067" s="10"/>
      <c r="M3067" s="10" t="b">
        <v>1</v>
      </c>
      <c r="N3067" s="10"/>
    </row>
    <row r="3068" spans="1:14" x14ac:dyDescent="0.25">
      <c r="A3068" s="10">
        <v>6623123</v>
      </c>
      <c r="B3068" s="10" t="s">
        <v>65</v>
      </c>
      <c r="C3068" s="11" t="str">
        <f>IF(A3068="","",IF((COUNTIFS(A:A,A3068))&gt;1,"ID重复",""))</f>
        <v/>
      </c>
      <c r="D3068" s="10">
        <v>102</v>
      </c>
      <c r="E3068" s="132" t="str">
        <f>INDEX([1]道具配置表!$D:$D,MATCH(D3068,[1]道具配置表!$A:$A,0))</f>
        <v>1食物</v>
      </c>
      <c r="F3068" s="10">
        <f>F3069</f>
        <v>76000</v>
      </c>
      <c r="G3068" s="10"/>
      <c r="H3068" s="10"/>
      <c r="I3068" s="10"/>
      <c r="J3068" s="10"/>
      <c r="K3068" s="10">
        <v>1</v>
      </c>
      <c r="L3068" s="10"/>
      <c r="M3068" s="10" t="b">
        <v>1</v>
      </c>
      <c r="N3068" s="10"/>
    </row>
    <row r="3069" spans="1:14" x14ac:dyDescent="0.25">
      <c r="A3069" s="10" t="s">
        <v>119</v>
      </c>
      <c r="B3069" s="10"/>
      <c r="C3069" s="11" t="str">
        <f>IF(A3069="","",IF((COUNTIFS(A:A,A3069))&gt;1,"ID重复",""))</f>
        <v/>
      </c>
      <c r="D3069" s="10">
        <v>101</v>
      </c>
      <c r="E3069" s="132" t="str">
        <f>INDEX([1]道具配置表!$D:$D,MATCH(D3069,[1]道具配置表!$A:$A,0))</f>
        <v>1木材</v>
      </c>
      <c r="F3069" s="10">
        <v>76000</v>
      </c>
      <c r="G3069" s="10"/>
      <c r="H3069" s="10"/>
      <c r="I3069" s="10"/>
      <c r="J3069" s="10"/>
      <c r="K3069" s="10">
        <v>1</v>
      </c>
      <c r="L3069" s="10"/>
      <c r="M3069" s="10" t="b">
        <v>1</v>
      </c>
      <c r="N3069" s="10"/>
    </row>
    <row r="3070" spans="1:14" x14ac:dyDescent="0.25">
      <c r="A3070" s="10" t="s">
        <v>119</v>
      </c>
      <c r="B3070" s="10"/>
      <c r="C3070" s="11" t="str">
        <f>IF(A3070="","",IF((COUNTIFS(A:A,A3070))&gt;1,"ID重复",""))</f>
        <v/>
      </c>
      <c r="D3070" s="10">
        <v>103</v>
      </c>
      <c r="E3070" s="132" t="str">
        <f>INDEX([1]道具配置表!$D:$D,MATCH(D3070,[1]道具配置表!$A:$A,0))</f>
        <v>1石头</v>
      </c>
      <c r="F3070" s="10">
        <v>76000</v>
      </c>
      <c r="G3070" s="10"/>
      <c r="H3070" s="10"/>
      <c r="I3070" s="10"/>
      <c r="J3070" s="10"/>
      <c r="K3070" s="10">
        <v>1</v>
      </c>
      <c r="L3070" s="10"/>
      <c r="M3070" s="10" t="b">
        <v>1</v>
      </c>
      <c r="N3070" s="10"/>
    </row>
    <row r="3071" spans="1:14" x14ac:dyDescent="0.25">
      <c r="A3071" s="10" t="s">
        <v>119</v>
      </c>
      <c r="B3071" s="10"/>
      <c r="C3071" s="11" t="str">
        <f>IF(A3071="","",IF((COUNTIFS(A:A,A3071))&gt;1,"ID重复",""))</f>
        <v/>
      </c>
      <c r="D3071" s="10">
        <v>104</v>
      </c>
      <c r="E3071" s="132" t="str">
        <f>INDEX([1]道具配置表!$D:$D,MATCH(D3071,[1]道具配置表!$A:$A,0))</f>
        <v>1黄金</v>
      </c>
      <c r="F3071" s="10">
        <v>76000</v>
      </c>
      <c r="G3071" s="10"/>
      <c r="H3071" s="10"/>
      <c r="I3071" s="10"/>
      <c r="J3071" s="10"/>
      <c r="K3071" s="10">
        <v>1</v>
      </c>
      <c r="L3071" s="10"/>
      <c r="M3071" s="10" t="b">
        <v>1</v>
      </c>
      <c r="N3071" s="10"/>
    </row>
    <row r="3072" spans="1:14" x14ac:dyDescent="0.25">
      <c r="A3072" s="10" t="s">
        <v>119</v>
      </c>
      <c r="B3072" s="10"/>
      <c r="C3072" s="11" t="str">
        <f>IF(A3072="","",IF((COUNTIFS(A:A,A3072))&gt;1,"ID重复",""))</f>
        <v/>
      </c>
      <c r="D3072" s="10">
        <v>7010</v>
      </c>
      <c r="E3072" s="132" t="str">
        <f>INDEX([1]道具配置表!$D:$D,MATCH(D3072,[1]道具配置表!$A:$A,0))</f>
        <v>军演币</v>
      </c>
      <c r="F3072" s="10">
        <v>140</v>
      </c>
      <c r="G3072" s="10"/>
      <c r="H3072" s="10"/>
      <c r="I3072" s="10"/>
      <c r="J3072" s="10"/>
      <c r="K3072" s="10">
        <v>1</v>
      </c>
      <c r="L3072" s="10"/>
      <c r="M3072" s="10" t="b">
        <v>1</v>
      </c>
      <c r="N3072" s="10"/>
    </row>
    <row r="3073" spans="1:14" x14ac:dyDescent="0.25">
      <c r="A3073" s="10">
        <v>6623124</v>
      </c>
      <c r="B3073" s="10" t="s">
        <v>66</v>
      </c>
      <c r="C3073" s="11" t="str">
        <f>IF(A3073="","",IF((COUNTIFS(A:A,A3073))&gt;1,"ID重复",""))</f>
        <v/>
      </c>
      <c r="D3073" s="10">
        <v>102</v>
      </c>
      <c r="E3073" s="132" t="str">
        <f>INDEX([1]道具配置表!$D:$D,MATCH(D3073,[1]道具配置表!$A:$A,0))</f>
        <v>1食物</v>
      </c>
      <c r="F3073" s="10">
        <f>F3074</f>
        <v>79000</v>
      </c>
      <c r="G3073" s="10"/>
      <c r="H3073" s="10"/>
      <c r="I3073" s="10"/>
      <c r="J3073" s="10"/>
      <c r="K3073" s="10">
        <v>1</v>
      </c>
      <c r="L3073" s="10"/>
      <c r="M3073" s="10" t="b">
        <v>1</v>
      </c>
      <c r="N3073" s="10"/>
    </row>
    <row r="3074" spans="1:14" x14ac:dyDescent="0.25">
      <c r="A3074" s="10" t="s">
        <v>119</v>
      </c>
      <c r="B3074" s="10"/>
      <c r="C3074" s="11" t="str">
        <f>IF(A3074="","",IF((COUNTIFS(A:A,A3074))&gt;1,"ID重复",""))</f>
        <v/>
      </c>
      <c r="D3074" s="10">
        <v>101</v>
      </c>
      <c r="E3074" s="132" t="str">
        <f>INDEX([1]道具配置表!$D:$D,MATCH(D3074,[1]道具配置表!$A:$A,0))</f>
        <v>1木材</v>
      </c>
      <c r="F3074" s="10">
        <v>79000</v>
      </c>
      <c r="G3074" s="10"/>
      <c r="H3074" s="10"/>
      <c r="I3074" s="10"/>
      <c r="J3074" s="10"/>
      <c r="K3074" s="10">
        <v>1</v>
      </c>
      <c r="L3074" s="10"/>
      <c r="M3074" s="10" t="b">
        <v>1</v>
      </c>
      <c r="N3074" s="10"/>
    </row>
    <row r="3075" spans="1:14" x14ac:dyDescent="0.25">
      <c r="A3075" s="10" t="s">
        <v>119</v>
      </c>
      <c r="B3075" s="10"/>
      <c r="C3075" s="11" t="str">
        <f>IF(A3075="","",IF((COUNTIFS(A:A,A3075))&gt;1,"ID重复",""))</f>
        <v/>
      </c>
      <c r="D3075" s="10">
        <v>103</v>
      </c>
      <c r="E3075" s="132" t="str">
        <f>INDEX([1]道具配置表!$D:$D,MATCH(D3075,[1]道具配置表!$A:$A,0))</f>
        <v>1石头</v>
      </c>
      <c r="F3075" s="10">
        <v>79000</v>
      </c>
      <c r="G3075" s="10"/>
      <c r="H3075" s="10"/>
      <c r="I3075" s="10"/>
      <c r="J3075" s="10"/>
      <c r="K3075" s="10">
        <v>1</v>
      </c>
      <c r="L3075" s="10"/>
      <c r="M3075" s="10" t="b">
        <v>1</v>
      </c>
      <c r="N3075" s="10"/>
    </row>
    <row r="3076" spans="1:14" x14ac:dyDescent="0.25">
      <c r="A3076" s="10" t="s">
        <v>119</v>
      </c>
      <c r="B3076" s="10"/>
      <c r="C3076" s="11" t="str">
        <f>IF(A3076="","",IF((COUNTIFS(A:A,A3076))&gt;1,"ID重复",""))</f>
        <v/>
      </c>
      <c r="D3076" s="10">
        <v>104</v>
      </c>
      <c r="E3076" s="132" t="str">
        <f>INDEX([1]道具配置表!$D:$D,MATCH(D3076,[1]道具配置表!$A:$A,0))</f>
        <v>1黄金</v>
      </c>
      <c r="F3076" s="10">
        <v>79000</v>
      </c>
      <c r="G3076" s="10"/>
      <c r="H3076" s="10"/>
      <c r="I3076" s="10"/>
      <c r="J3076" s="10"/>
      <c r="K3076" s="10">
        <v>1</v>
      </c>
      <c r="L3076" s="10"/>
      <c r="M3076" s="10" t="b">
        <v>1</v>
      </c>
      <c r="N3076" s="10"/>
    </row>
    <row r="3077" spans="1:14" x14ac:dyDescent="0.25">
      <c r="A3077" s="10" t="s">
        <v>119</v>
      </c>
      <c r="B3077" s="10"/>
      <c r="C3077" s="11" t="str">
        <f>IF(A3077="","",IF((COUNTIFS(A:A,A3077))&gt;1,"ID重复",""))</f>
        <v/>
      </c>
      <c r="D3077" s="10">
        <v>7010</v>
      </c>
      <c r="E3077" s="132" t="str">
        <f>INDEX([1]道具配置表!$D:$D,MATCH(D3077,[1]道具配置表!$A:$A,0))</f>
        <v>军演币</v>
      </c>
      <c r="F3077" s="10">
        <v>150</v>
      </c>
      <c r="G3077" s="10"/>
      <c r="H3077" s="10"/>
      <c r="I3077" s="10"/>
      <c r="J3077" s="10"/>
      <c r="K3077" s="10">
        <v>1</v>
      </c>
      <c r="L3077" s="10"/>
      <c r="M3077" s="10" t="b">
        <v>1</v>
      </c>
      <c r="N3077" s="10"/>
    </row>
    <row r="3078" spans="1:14" x14ac:dyDescent="0.25">
      <c r="A3078" s="10">
        <v>6623125</v>
      </c>
      <c r="B3078" s="10" t="s">
        <v>67</v>
      </c>
      <c r="C3078" s="11" t="str">
        <f>IF(A3078="","",IF((COUNTIFS(A:A,A3078))&gt;1,"ID重复",""))</f>
        <v/>
      </c>
      <c r="D3078" s="10">
        <v>102</v>
      </c>
      <c r="E3078" s="132" t="str">
        <f>INDEX([1]道具配置表!$D:$D,MATCH(D3078,[1]道具配置表!$A:$A,0))</f>
        <v>1食物</v>
      </c>
      <c r="F3078" s="10">
        <f>F3079</f>
        <v>82000</v>
      </c>
      <c r="G3078" s="10"/>
      <c r="H3078" s="10"/>
      <c r="I3078" s="10"/>
      <c r="J3078" s="10"/>
      <c r="K3078" s="10">
        <v>1</v>
      </c>
      <c r="L3078" s="10"/>
      <c r="M3078" s="10" t="b">
        <v>1</v>
      </c>
      <c r="N3078" s="10"/>
    </row>
    <row r="3079" spans="1:14" x14ac:dyDescent="0.25">
      <c r="A3079" s="10" t="s">
        <v>119</v>
      </c>
      <c r="B3079" s="10"/>
      <c r="C3079" s="11" t="str">
        <f>IF(A3079="","",IF((COUNTIFS(A:A,A3079))&gt;1,"ID重复",""))</f>
        <v/>
      </c>
      <c r="D3079" s="10">
        <v>101</v>
      </c>
      <c r="E3079" s="132" t="str">
        <f>INDEX([1]道具配置表!$D:$D,MATCH(D3079,[1]道具配置表!$A:$A,0))</f>
        <v>1木材</v>
      </c>
      <c r="F3079" s="10">
        <v>82000</v>
      </c>
      <c r="G3079" s="10"/>
      <c r="H3079" s="10"/>
      <c r="I3079" s="10"/>
      <c r="J3079" s="10"/>
      <c r="K3079" s="10">
        <v>1</v>
      </c>
      <c r="L3079" s="10"/>
      <c r="M3079" s="10" t="b">
        <v>1</v>
      </c>
      <c r="N3079" s="10"/>
    </row>
    <row r="3080" spans="1:14" x14ac:dyDescent="0.25">
      <c r="A3080" s="10" t="s">
        <v>119</v>
      </c>
      <c r="B3080" s="10"/>
      <c r="C3080" s="11" t="str">
        <f>IF(A3080="","",IF((COUNTIFS(A:A,A3080))&gt;1,"ID重复",""))</f>
        <v/>
      </c>
      <c r="D3080" s="10">
        <v>103</v>
      </c>
      <c r="E3080" s="132" t="str">
        <f>INDEX([1]道具配置表!$D:$D,MATCH(D3080,[1]道具配置表!$A:$A,0))</f>
        <v>1石头</v>
      </c>
      <c r="F3080" s="10">
        <v>82000</v>
      </c>
      <c r="G3080" s="10"/>
      <c r="H3080" s="10"/>
      <c r="I3080" s="10"/>
      <c r="J3080" s="10"/>
      <c r="K3080" s="10">
        <v>1</v>
      </c>
      <c r="L3080" s="10"/>
      <c r="M3080" s="10" t="b">
        <v>1</v>
      </c>
      <c r="N3080" s="10"/>
    </row>
    <row r="3081" spans="1:14" x14ac:dyDescent="0.25">
      <c r="A3081" s="10" t="s">
        <v>119</v>
      </c>
      <c r="B3081" s="10"/>
      <c r="C3081" s="11" t="str">
        <f>IF(A3081="","",IF((COUNTIFS(A:A,A3081))&gt;1,"ID重复",""))</f>
        <v/>
      </c>
      <c r="D3081" s="10">
        <v>104</v>
      </c>
      <c r="E3081" s="132" t="str">
        <f>INDEX([1]道具配置表!$D:$D,MATCH(D3081,[1]道具配置表!$A:$A,0))</f>
        <v>1黄金</v>
      </c>
      <c r="F3081" s="10">
        <v>82000</v>
      </c>
      <c r="G3081" s="10"/>
      <c r="H3081" s="10"/>
      <c r="I3081" s="10"/>
      <c r="J3081" s="10"/>
      <c r="K3081" s="10">
        <v>1</v>
      </c>
      <c r="L3081" s="10"/>
      <c r="M3081" s="10" t="b">
        <v>1</v>
      </c>
      <c r="N3081" s="10"/>
    </row>
    <row r="3082" spans="1:14" x14ac:dyDescent="0.25">
      <c r="A3082" s="10" t="s">
        <v>119</v>
      </c>
      <c r="B3082" s="10"/>
      <c r="C3082" s="11" t="str">
        <f>IF(A3082="","",IF((COUNTIFS(A:A,A3082))&gt;1,"ID重复",""))</f>
        <v/>
      </c>
      <c r="D3082" s="10">
        <v>7010</v>
      </c>
      <c r="E3082" s="132" t="str">
        <f>INDEX([1]道具配置表!$D:$D,MATCH(D3082,[1]道具配置表!$A:$A,0))</f>
        <v>军演币</v>
      </c>
      <c r="F3082" s="10">
        <v>160</v>
      </c>
      <c r="G3082" s="10"/>
      <c r="H3082" s="10"/>
      <c r="I3082" s="10"/>
      <c r="J3082" s="10"/>
      <c r="K3082" s="10">
        <v>1</v>
      </c>
      <c r="L3082" s="10"/>
      <c r="M3082" s="10" t="b">
        <v>1</v>
      </c>
      <c r="N3082" s="10"/>
    </row>
    <row r="3083" spans="1:14" x14ac:dyDescent="0.25">
      <c r="A3083" s="10">
        <v>6623126</v>
      </c>
      <c r="B3083" s="10" t="s">
        <v>68</v>
      </c>
      <c r="C3083" s="11" t="str">
        <f>IF(A3083="","",IF((COUNTIFS(A:A,A3083))&gt;1,"ID重复",""))</f>
        <v/>
      </c>
      <c r="D3083" s="10">
        <v>102</v>
      </c>
      <c r="E3083" s="132" t="str">
        <f>INDEX([1]道具配置表!$D:$D,MATCH(D3083,[1]道具配置表!$A:$A,0))</f>
        <v>1食物</v>
      </c>
      <c r="F3083" s="10">
        <f>F3084</f>
        <v>85000</v>
      </c>
      <c r="G3083" s="10"/>
      <c r="H3083" s="10"/>
      <c r="I3083" s="10"/>
      <c r="J3083" s="10"/>
      <c r="K3083" s="10">
        <v>1</v>
      </c>
      <c r="L3083" s="10"/>
      <c r="M3083" s="10" t="b">
        <v>1</v>
      </c>
      <c r="N3083" s="10"/>
    </row>
    <row r="3084" spans="1:14" x14ac:dyDescent="0.25">
      <c r="A3084" s="10" t="s">
        <v>119</v>
      </c>
      <c r="B3084" s="10"/>
      <c r="C3084" s="11" t="str">
        <f>IF(A3084="","",IF((COUNTIFS(A:A,A3084))&gt;1,"ID重复",""))</f>
        <v/>
      </c>
      <c r="D3084" s="10">
        <v>101</v>
      </c>
      <c r="E3084" s="132" t="str">
        <f>INDEX([1]道具配置表!$D:$D,MATCH(D3084,[1]道具配置表!$A:$A,0))</f>
        <v>1木材</v>
      </c>
      <c r="F3084" s="10">
        <v>85000</v>
      </c>
      <c r="G3084" s="10"/>
      <c r="H3084" s="10"/>
      <c r="I3084" s="10"/>
      <c r="J3084" s="10"/>
      <c r="K3084" s="10">
        <v>1</v>
      </c>
      <c r="L3084" s="10"/>
      <c r="M3084" s="10" t="b">
        <v>1</v>
      </c>
      <c r="N3084" s="10"/>
    </row>
    <row r="3085" spans="1:14" x14ac:dyDescent="0.25">
      <c r="A3085" s="10" t="s">
        <v>119</v>
      </c>
      <c r="B3085" s="10"/>
      <c r="C3085" s="11" t="str">
        <f>IF(A3085="","",IF((COUNTIFS(A:A,A3085))&gt;1,"ID重复",""))</f>
        <v/>
      </c>
      <c r="D3085" s="10">
        <v>103</v>
      </c>
      <c r="E3085" s="132" t="str">
        <f>INDEX([1]道具配置表!$D:$D,MATCH(D3085,[1]道具配置表!$A:$A,0))</f>
        <v>1石头</v>
      </c>
      <c r="F3085" s="10">
        <v>85000</v>
      </c>
      <c r="G3085" s="10"/>
      <c r="H3085" s="10"/>
      <c r="I3085" s="10"/>
      <c r="J3085" s="10"/>
      <c r="K3085" s="10">
        <v>1</v>
      </c>
      <c r="L3085" s="10"/>
      <c r="M3085" s="10" t="b">
        <v>1</v>
      </c>
      <c r="N3085" s="10"/>
    </row>
    <row r="3086" spans="1:14" x14ac:dyDescent="0.25">
      <c r="A3086" s="10" t="s">
        <v>119</v>
      </c>
      <c r="B3086" s="10"/>
      <c r="C3086" s="11" t="str">
        <f>IF(A3086="","",IF((COUNTIFS(A:A,A3086))&gt;1,"ID重复",""))</f>
        <v/>
      </c>
      <c r="D3086" s="10">
        <v>104</v>
      </c>
      <c r="E3086" s="132" t="str">
        <f>INDEX([1]道具配置表!$D:$D,MATCH(D3086,[1]道具配置表!$A:$A,0))</f>
        <v>1黄金</v>
      </c>
      <c r="F3086" s="10">
        <v>85000</v>
      </c>
      <c r="G3086" s="10"/>
      <c r="H3086" s="10"/>
      <c r="I3086" s="10"/>
      <c r="J3086" s="10"/>
      <c r="K3086" s="10">
        <v>1</v>
      </c>
      <c r="L3086" s="10"/>
      <c r="M3086" s="10" t="b">
        <v>1</v>
      </c>
      <c r="N3086" s="10"/>
    </row>
    <row r="3087" spans="1:14" x14ac:dyDescent="0.25">
      <c r="A3087" s="10" t="s">
        <v>119</v>
      </c>
      <c r="B3087" s="10"/>
      <c r="C3087" s="11" t="str">
        <f>IF(A3087="","",IF((COUNTIFS(A:A,A3087))&gt;1,"ID重复",""))</f>
        <v/>
      </c>
      <c r="D3087" s="10">
        <v>7010</v>
      </c>
      <c r="E3087" s="132" t="str">
        <f>INDEX([1]道具配置表!$D:$D,MATCH(D3087,[1]道具配置表!$A:$A,0))</f>
        <v>军演币</v>
      </c>
      <c r="F3087" s="10">
        <v>170</v>
      </c>
      <c r="G3087" s="10"/>
      <c r="H3087" s="10"/>
      <c r="I3087" s="10"/>
      <c r="J3087" s="10"/>
      <c r="K3087" s="10">
        <v>1</v>
      </c>
      <c r="L3087" s="10"/>
      <c r="M3087" s="10" t="b">
        <v>1</v>
      </c>
      <c r="N3087" s="10"/>
    </row>
    <row r="3088" spans="1:14" x14ac:dyDescent="0.25">
      <c r="A3088" s="10">
        <v>6623127</v>
      </c>
      <c r="B3088" s="10" t="s">
        <v>69</v>
      </c>
      <c r="C3088" s="11" t="str">
        <f>IF(A3088="","",IF((COUNTIFS(A:A,A3088))&gt;1,"ID重复",""))</f>
        <v/>
      </c>
      <c r="D3088" s="10">
        <v>102</v>
      </c>
      <c r="E3088" s="132" t="str">
        <f>INDEX([1]道具配置表!$D:$D,MATCH(D3088,[1]道具配置表!$A:$A,0))</f>
        <v>1食物</v>
      </c>
      <c r="F3088" s="10">
        <f>F3089</f>
        <v>88000</v>
      </c>
      <c r="G3088" s="10"/>
      <c r="H3088" s="10"/>
      <c r="I3088" s="10"/>
      <c r="J3088" s="10"/>
      <c r="K3088" s="10">
        <v>1</v>
      </c>
      <c r="L3088" s="10"/>
      <c r="M3088" s="10" t="b">
        <v>1</v>
      </c>
      <c r="N3088" s="10"/>
    </row>
    <row r="3089" spans="1:14" x14ac:dyDescent="0.25">
      <c r="A3089" s="10" t="s">
        <v>119</v>
      </c>
      <c r="B3089" s="10"/>
      <c r="C3089" s="11" t="str">
        <f>IF(A3089="","",IF((COUNTIFS(A:A,A3089))&gt;1,"ID重复",""))</f>
        <v/>
      </c>
      <c r="D3089" s="10">
        <v>101</v>
      </c>
      <c r="E3089" s="132" t="str">
        <f>INDEX([1]道具配置表!$D:$D,MATCH(D3089,[1]道具配置表!$A:$A,0))</f>
        <v>1木材</v>
      </c>
      <c r="F3089" s="10">
        <v>88000</v>
      </c>
      <c r="G3089" s="10"/>
      <c r="H3089" s="10"/>
      <c r="I3089" s="10"/>
      <c r="J3089" s="10"/>
      <c r="K3089" s="10">
        <v>1</v>
      </c>
      <c r="L3089" s="10"/>
      <c r="M3089" s="10" t="b">
        <v>1</v>
      </c>
      <c r="N3089" s="10"/>
    </row>
    <row r="3090" spans="1:14" x14ac:dyDescent="0.25">
      <c r="A3090" s="10" t="s">
        <v>119</v>
      </c>
      <c r="B3090" s="10"/>
      <c r="C3090" s="11" t="str">
        <f>IF(A3090="","",IF((COUNTIFS(A:A,A3090))&gt;1,"ID重复",""))</f>
        <v/>
      </c>
      <c r="D3090" s="10">
        <v>103</v>
      </c>
      <c r="E3090" s="132" t="str">
        <f>INDEX([1]道具配置表!$D:$D,MATCH(D3090,[1]道具配置表!$A:$A,0))</f>
        <v>1石头</v>
      </c>
      <c r="F3090" s="10">
        <v>88000</v>
      </c>
      <c r="G3090" s="10"/>
      <c r="H3090" s="10"/>
      <c r="I3090" s="10"/>
      <c r="J3090" s="10"/>
      <c r="K3090" s="10">
        <v>1</v>
      </c>
      <c r="L3090" s="10"/>
      <c r="M3090" s="10" t="b">
        <v>1</v>
      </c>
      <c r="N3090" s="10"/>
    </row>
    <row r="3091" spans="1:14" x14ac:dyDescent="0.25">
      <c r="A3091" s="10" t="s">
        <v>119</v>
      </c>
      <c r="B3091" s="10"/>
      <c r="C3091" s="11" t="str">
        <f>IF(A3091="","",IF((COUNTIFS(A:A,A3091))&gt;1,"ID重复",""))</f>
        <v/>
      </c>
      <c r="D3091" s="10">
        <v>104</v>
      </c>
      <c r="E3091" s="132" t="str">
        <f>INDEX([1]道具配置表!$D:$D,MATCH(D3091,[1]道具配置表!$A:$A,0))</f>
        <v>1黄金</v>
      </c>
      <c r="F3091" s="10">
        <v>88000</v>
      </c>
      <c r="G3091" s="10"/>
      <c r="H3091" s="10"/>
      <c r="I3091" s="10"/>
      <c r="J3091" s="10"/>
      <c r="K3091" s="10">
        <v>1</v>
      </c>
      <c r="L3091" s="10"/>
      <c r="M3091" s="10" t="b">
        <v>1</v>
      </c>
      <c r="N3091" s="10"/>
    </row>
    <row r="3092" spans="1:14" x14ac:dyDescent="0.25">
      <c r="A3092" s="10" t="s">
        <v>119</v>
      </c>
      <c r="B3092" s="10"/>
      <c r="C3092" s="11" t="str">
        <f>IF(A3092="","",IF((COUNTIFS(A:A,A3092))&gt;1,"ID重复",""))</f>
        <v/>
      </c>
      <c r="D3092" s="10">
        <v>7010</v>
      </c>
      <c r="E3092" s="132" t="str">
        <f>INDEX([1]道具配置表!$D:$D,MATCH(D3092,[1]道具配置表!$A:$A,0))</f>
        <v>军演币</v>
      </c>
      <c r="F3092" s="10">
        <v>180</v>
      </c>
      <c r="G3092" s="10"/>
      <c r="H3092" s="10"/>
      <c r="I3092" s="10"/>
      <c r="J3092" s="10"/>
      <c r="K3092" s="10">
        <v>1</v>
      </c>
      <c r="L3092" s="10"/>
      <c r="M3092" s="10" t="b">
        <v>1</v>
      </c>
      <c r="N3092" s="10"/>
    </row>
    <row r="3093" spans="1:14" s="19" customFormat="1" outlineLevel="1" x14ac:dyDescent="0.25">
      <c r="A3093" s="10">
        <v>6623128</v>
      </c>
      <c r="B3093" s="10" t="s">
        <v>70</v>
      </c>
      <c r="C3093" s="11" t="str">
        <f>IF(A3093="","",IF((COUNTIFS(A:A,A3093))&gt;1,"ID重复",""))</f>
        <v/>
      </c>
      <c r="D3093" s="10">
        <v>102</v>
      </c>
      <c r="E3093" s="132" t="str">
        <f>INDEX([1]道具配置表!$D:$D,MATCH(D3093,[1]道具配置表!$A:$A,0))</f>
        <v>1食物</v>
      </c>
      <c r="F3093" s="10">
        <f>F3094</f>
        <v>91000</v>
      </c>
      <c r="G3093" s="10"/>
      <c r="H3093" s="10"/>
      <c r="I3093" s="10"/>
      <c r="J3093" s="10"/>
      <c r="K3093" s="10">
        <v>1</v>
      </c>
      <c r="L3093" s="10"/>
      <c r="M3093" s="10" t="b">
        <v>1</v>
      </c>
      <c r="N3093" s="18"/>
    </row>
    <row r="3094" spans="1:14" s="19" customFormat="1" outlineLevel="1" x14ac:dyDescent="0.25">
      <c r="A3094" s="10" t="s">
        <v>119</v>
      </c>
      <c r="B3094" s="10"/>
      <c r="C3094" s="11" t="str">
        <f>IF(A3094="","",IF((COUNTIFS(A:A,A3094))&gt;1,"ID重复",""))</f>
        <v/>
      </c>
      <c r="D3094" s="10">
        <v>101</v>
      </c>
      <c r="E3094" s="132" t="str">
        <f>INDEX([1]道具配置表!$D:$D,MATCH(D3094,[1]道具配置表!$A:$A,0))</f>
        <v>1木材</v>
      </c>
      <c r="F3094" s="10">
        <v>91000</v>
      </c>
      <c r="G3094" s="10"/>
      <c r="H3094" s="10"/>
      <c r="I3094" s="10"/>
      <c r="J3094" s="10"/>
      <c r="K3094" s="10">
        <v>1</v>
      </c>
      <c r="L3094" s="10"/>
      <c r="M3094" s="10" t="b">
        <v>1</v>
      </c>
      <c r="N3094" s="18"/>
    </row>
    <row r="3095" spans="1:14" s="19" customFormat="1" outlineLevel="1" x14ac:dyDescent="0.25">
      <c r="A3095" s="10" t="s">
        <v>119</v>
      </c>
      <c r="B3095" s="10"/>
      <c r="C3095" s="11" t="str">
        <f>IF(A3095="","",IF((COUNTIFS(A:A,A3095))&gt;1,"ID重复",""))</f>
        <v/>
      </c>
      <c r="D3095" s="10">
        <v>103</v>
      </c>
      <c r="E3095" s="132" t="str">
        <f>INDEX([1]道具配置表!$D:$D,MATCH(D3095,[1]道具配置表!$A:$A,0))</f>
        <v>1石头</v>
      </c>
      <c r="F3095" s="10">
        <v>91000</v>
      </c>
      <c r="G3095" s="10"/>
      <c r="H3095" s="10"/>
      <c r="I3095" s="10"/>
      <c r="J3095" s="10"/>
      <c r="K3095" s="10">
        <v>1</v>
      </c>
      <c r="L3095" s="10"/>
      <c r="M3095" s="10" t="b">
        <v>1</v>
      </c>
      <c r="N3095" s="18"/>
    </row>
    <row r="3096" spans="1:14" s="19" customFormat="1" outlineLevel="1" x14ac:dyDescent="0.25">
      <c r="A3096" s="10" t="s">
        <v>119</v>
      </c>
      <c r="B3096" s="10"/>
      <c r="C3096" s="11" t="str">
        <f>IF(A3096="","",IF((COUNTIFS(A:A,A3096))&gt;1,"ID重复",""))</f>
        <v/>
      </c>
      <c r="D3096" s="10">
        <v>104</v>
      </c>
      <c r="E3096" s="132" t="str">
        <f>INDEX([1]道具配置表!$D:$D,MATCH(D3096,[1]道具配置表!$A:$A,0))</f>
        <v>1黄金</v>
      </c>
      <c r="F3096" s="10">
        <v>91000</v>
      </c>
      <c r="G3096" s="10"/>
      <c r="H3096" s="10"/>
      <c r="I3096" s="10"/>
      <c r="J3096" s="10"/>
      <c r="K3096" s="10">
        <v>1</v>
      </c>
      <c r="L3096" s="10"/>
      <c r="M3096" s="10" t="b">
        <v>1</v>
      </c>
      <c r="N3096" s="18"/>
    </row>
    <row r="3097" spans="1:14" s="19" customFormat="1" outlineLevel="1" x14ac:dyDescent="0.25">
      <c r="A3097" s="10" t="s">
        <v>119</v>
      </c>
      <c r="B3097" s="10"/>
      <c r="C3097" s="11" t="str">
        <f>IF(A3097="","",IF((COUNTIFS(A:A,A3097))&gt;1,"ID重复",""))</f>
        <v/>
      </c>
      <c r="D3097" s="10">
        <v>7010</v>
      </c>
      <c r="E3097" s="132" t="str">
        <f>INDEX([1]道具配置表!$D:$D,MATCH(D3097,[1]道具配置表!$A:$A,0))</f>
        <v>军演币</v>
      </c>
      <c r="F3097" s="10">
        <v>190</v>
      </c>
      <c r="G3097" s="10"/>
      <c r="H3097" s="10"/>
      <c r="I3097" s="10"/>
      <c r="J3097" s="10"/>
      <c r="K3097" s="10">
        <v>1</v>
      </c>
      <c r="L3097" s="10"/>
      <c r="M3097" s="10" t="b">
        <v>1</v>
      </c>
      <c r="N3097" s="18"/>
    </row>
    <row r="3098" spans="1:14" s="19" customFormat="1" outlineLevel="1" x14ac:dyDescent="0.25">
      <c r="A3098" s="10">
        <v>6623129</v>
      </c>
      <c r="B3098" s="10" t="s">
        <v>71</v>
      </c>
      <c r="C3098" s="11" t="str">
        <f>IF(A3098="","",IF((COUNTIFS(A:A,A3098))&gt;1,"ID重复",""))</f>
        <v/>
      </c>
      <c r="D3098" s="10">
        <v>102</v>
      </c>
      <c r="E3098" s="132" t="str">
        <f>INDEX([1]道具配置表!$D:$D,MATCH(D3098,[1]道具配置表!$A:$A,0))</f>
        <v>1食物</v>
      </c>
      <c r="F3098" s="10">
        <f>F3099</f>
        <v>94000</v>
      </c>
      <c r="G3098" s="10"/>
      <c r="H3098" s="10"/>
      <c r="I3098" s="10"/>
      <c r="J3098" s="10"/>
      <c r="K3098" s="10">
        <v>1</v>
      </c>
      <c r="L3098" s="10"/>
      <c r="M3098" s="10" t="b">
        <v>1</v>
      </c>
      <c r="N3098" s="18"/>
    </row>
    <row r="3099" spans="1:14" s="19" customFormat="1" outlineLevel="1" x14ac:dyDescent="0.25">
      <c r="A3099" s="10" t="s">
        <v>119</v>
      </c>
      <c r="B3099" s="10"/>
      <c r="C3099" s="11" t="str">
        <f>IF(A3099="","",IF((COUNTIFS(A:A,A3099))&gt;1,"ID重复",""))</f>
        <v/>
      </c>
      <c r="D3099" s="10">
        <v>101</v>
      </c>
      <c r="E3099" s="132" t="str">
        <f>INDEX([1]道具配置表!$D:$D,MATCH(D3099,[1]道具配置表!$A:$A,0))</f>
        <v>1木材</v>
      </c>
      <c r="F3099" s="10">
        <v>94000</v>
      </c>
      <c r="G3099" s="10"/>
      <c r="H3099" s="10"/>
      <c r="I3099" s="10"/>
      <c r="J3099" s="10"/>
      <c r="K3099" s="10">
        <v>1</v>
      </c>
      <c r="L3099" s="10"/>
      <c r="M3099" s="10" t="b">
        <v>1</v>
      </c>
      <c r="N3099" s="18"/>
    </row>
    <row r="3100" spans="1:14" s="19" customFormat="1" outlineLevel="1" x14ac:dyDescent="0.25">
      <c r="A3100" s="10" t="s">
        <v>119</v>
      </c>
      <c r="B3100" s="10"/>
      <c r="C3100" s="11" t="str">
        <f>IF(A3100="","",IF((COUNTIFS(A:A,A3100))&gt;1,"ID重复",""))</f>
        <v/>
      </c>
      <c r="D3100" s="10">
        <v>103</v>
      </c>
      <c r="E3100" s="132" t="str">
        <f>INDEX([1]道具配置表!$D:$D,MATCH(D3100,[1]道具配置表!$A:$A,0))</f>
        <v>1石头</v>
      </c>
      <c r="F3100" s="10">
        <v>94000</v>
      </c>
      <c r="G3100" s="10"/>
      <c r="H3100" s="10"/>
      <c r="I3100" s="10"/>
      <c r="J3100" s="10"/>
      <c r="K3100" s="10">
        <v>1</v>
      </c>
      <c r="L3100" s="10"/>
      <c r="M3100" s="10" t="b">
        <v>1</v>
      </c>
      <c r="N3100" s="18"/>
    </row>
    <row r="3101" spans="1:14" s="19" customFormat="1" outlineLevel="1" x14ac:dyDescent="0.25">
      <c r="A3101" s="10" t="s">
        <v>119</v>
      </c>
      <c r="B3101" s="10"/>
      <c r="C3101" s="11" t="str">
        <f>IF(A3101="","",IF((COUNTIFS(A:A,A3101))&gt;1,"ID重复",""))</f>
        <v/>
      </c>
      <c r="D3101" s="10">
        <v>104</v>
      </c>
      <c r="E3101" s="132" t="str">
        <f>INDEX([1]道具配置表!$D:$D,MATCH(D3101,[1]道具配置表!$A:$A,0))</f>
        <v>1黄金</v>
      </c>
      <c r="F3101" s="10">
        <v>94000</v>
      </c>
      <c r="G3101" s="10"/>
      <c r="H3101" s="10"/>
      <c r="I3101" s="10"/>
      <c r="J3101" s="10"/>
      <c r="K3101" s="10">
        <v>1</v>
      </c>
      <c r="L3101" s="10"/>
      <c r="M3101" s="10" t="b">
        <v>1</v>
      </c>
      <c r="N3101" s="18"/>
    </row>
    <row r="3102" spans="1:14" s="19" customFormat="1" outlineLevel="1" x14ac:dyDescent="0.25">
      <c r="A3102" s="10" t="s">
        <v>119</v>
      </c>
      <c r="B3102" s="10"/>
      <c r="C3102" s="11" t="str">
        <f>IF(A3102="","",IF((COUNTIFS(A:A,A3102))&gt;1,"ID重复",""))</f>
        <v/>
      </c>
      <c r="D3102" s="10">
        <v>7010</v>
      </c>
      <c r="E3102" s="132" t="str">
        <f>INDEX([1]道具配置表!$D:$D,MATCH(D3102,[1]道具配置表!$A:$A,0))</f>
        <v>军演币</v>
      </c>
      <c r="F3102" s="10">
        <v>200</v>
      </c>
      <c r="G3102" s="10"/>
      <c r="H3102" s="10"/>
      <c r="I3102" s="10"/>
      <c r="J3102" s="10"/>
      <c r="K3102" s="10">
        <v>1</v>
      </c>
      <c r="L3102" s="10"/>
      <c r="M3102" s="10" t="b">
        <v>1</v>
      </c>
      <c r="N3102" s="18"/>
    </row>
    <row r="3103" spans="1:14" s="19" customFormat="1" outlineLevel="1" x14ac:dyDescent="0.25">
      <c r="A3103" s="10">
        <v>6623130</v>
      </c>
      <c r="B3103" s="10" t="s">
        <v>72</v>
      </c>
      <c r="C3103" s="11" t="str">
        <f>IF(A3103="","",IF((COUNTIFS(A:A,A3103))&gt;1,"ID重复",""))</f>
        <v/>
      </c>
      <c r="D3103" s="10">
        <v>102</v>
      </c>
      <c r="E3103" s="132" t="str">
        <f>INDEX([1]道具配置表!$D:$D,MATCH(D3103,[1]道具配置表!$A:$A,0))</f>
        <v>1食物</v>
      </c>
      <c r="F3103" s="10">
        <f>F3104</f>
        <v>97000</v>
      </c>
      <c r="G3103" s="10"/>
      <c r="H3103" s="10"/>
      <c r="I3103" s="10"/>
      <c r="J3103" s="10"/>
      <c r="K3103" s="10">
        <v>1</v>
      </c>
      <c r="L3103" s="10"/>
      <c r="M3103" s="10" t="b">
        <v>1</v>
      </c>
      <c r="N3103" s="18"/>
    </row>
    <row r="3104" spans="1:14" s="19" customFormat="1" outlineLevel="1" x14ac:dyDescent="0.25">
      <c r="A3104" s="10" t="s">
        <v>119</v>
      </c>
      <c r="B3104" s="10"/>
      <c r="C3104" s="11" t="str">
        <f>IF(A3104="","",IF((COUNTIFS(A:A,A3104))&gt;1,"ID重复",""))</f>
        <v/>
      </c>
      <c r="D3104" s="10">
        <v>101</v>
      </c>
      <c r="E3104" s="132" t="str">
        <f>INDEX([1]道具配置表!$D:$D,MATCH(D3104,[1]道具配置表!$A:$A,0))</f>
        <v>1木材</v>
      </c>
      <c r="F3104" s="10">
        <v>97000</v>
      </c>
      <c r="G3104" s="10"/>
      <c r="H3104" s="10"/>
      <c r="I3104" s="10"/>
      <c r="J3104" s="10"/>
      <c r="K3104" s="10">
        <v>1</v>
      </c>
      <c r="L3104" s="10"/>
      <c r="M3104" s="10" t="b">
        <v>1</v>
      </c>
      <c r="N3104" s="18"/>
    </row>
    <row r="3105" spans="1:14" s="19" customFormat="1" outlineLevel="1" x14ac:dyDescent="0.25">
      <c r="A3105" s="10" t="s">
        <v>119</v>
      </c>
      <c r="B3105" s="10"/>
      <c r="C3105" s="11" t="str">
        <f>IF(A3105="","",IF((COUNTIFS(A:A,A3105))&gt;1,"ID重复",""))</f>
        <v/>
      </c>
      <c r="D3105" s="10">
        <v>103</v>
      </c>
      <c r="E3105" s="132" t="str">
        <f>INDEX([1]道具配置表!$D:$D,MATCH(D3105,[1]道具配置表!$A:$A,0))</f>
        <v>1石头</v>
      </c>
      <c r="F3105" s="10">
        <v>97000</v>
      </c>
      <c r="G3105" s="10"/>
      <c r="H3105" s="10"/>
      <c r="I3105" s="10"/>
      <c r="J3105" s="10"/>
      <c r="K3105" s="10">
        <v>1</v>
      </c>
      <c r="L3105" s="10"/>
      <c r="M3105" s="10" t="b">
        <v>1</v>
      </c>
      <c r="N3105" s="18"/>
    </row>
    <row r="3106" spans="1:14" s="19" customFormat="1" outlineLevel="1" x14ac:dyDescent="0.25">
      <c r="A3106" s="10" t="s">
        <v>119</v>
      </c>
      <c r="B3106" s="10"/>
      <c r="C3106" s="11" t="str">
        <f>IF(A3106="","",IF((COUNTIFS(A:A,A3106))&gt;1,"ID重复",""))</f>
        <v/>
      </c>
      <c r="D3106" s="10">
        <v>104</v>
      </c>
      <c r="E3106" s="132" t="str">
        <f>INDEX([1]道具配置表!$D:$D,MATCH(D3106,[1]道具配置表!$A:$A,0))</f>
        <v>1黄金</v>
      </c>
      <c r="F3106" s="10">
        <v>97000</v>
      </c>
      <c r="G3106" s="10"/>
      <c r="H3106" s="10"/>
      <c r="I3106" s="10"/>
      <c r="J3106" s="10"/>
      <c r="K3106" s="10">
        <v>1</v>
      </c>
      <c r="L3106" s="10"/>
      <c r="M3106" s="10" t="b">
        <v>1</v>
      </c>
      <c r="N3106" s="18"/>
    </row>
    <row r="3107" spans="1:14" s="19" customFormat="1" outlineLevel="1" x14ac:dyDescent="0.25">
      <c r="A3107" s="10" t="s">
        <v>119</v>
      </c>
      <c r="B3107" s="10"/>
      <c r="C3107" s="11" t="str">
        <f>IF(A3107="","",IF((COUNTIFS(A:A,A3107))&gt;1,"ID重复",""))</f>
        <v/>
      </c>
      <c r="D3107" s="10">
        <v>7010</v>
      </c>
      <c r="E3107" s="132" t="str">
        <f>INDEX([1]道具配置表!$D:$D,MATCH(D3107,[1]道具配置表!$A:$A,0))</f>
        <v>军演币</v>
      </c>
      <c r="F3107" s="10">
        <v>210</v>
      </c>
      <c r="G3107" s="10"/>
      <c r="H3107" s="10"/>
      <c r="I3107" s="10"/>
      <c r="J3107" s="10"/>
      <c r="K3107" s="10">
        <v>1</v>
      </c>
      <c r="L3107" s="10"/>
      <c r="M3107" s="10" t="b">
        <v>1</v>
      </c>
      <c r="N3107" s="18"/>
    </row>
    <row r="3108" spans="1:14" s="19" customFormat="1" outlineLevel="1" x14ac:dyDescent="0.25">
      <c r="A3108" s="10">
        <v>6623131</v>
      </c>
      <c r="B3108" s="10" t="s">
        <v>73</v>
      </c>
      <c r="C3108" s="11" t="str">
        <f>IF(A3108="","",IF((COUNTIFS(A:A,A3108))&gt;1,"ID重复",""))</f>
        <v/>
      </c>
      <c r="D3108" s="10">
        <v>102</v>
      </c>
      <c r="E3108" s="132" t="str">
        <f>INDEX([1]道具配置表!$D:$D,MATCH(D3108,[1]道具配置表!$A:$A,0))</f>
        <v>1食物</v>
      </c>
      <c r="F3108" s="10">
        <f>F3109</f>
        <v>100000</v>
      </c>
      <c r="G3108" s="10"/>
      <c r="H3108" s="10"/>
      <c r="I3108" s="10"/>
      <c r="J3108" s="10"/>
      <c r="K3108" s="10">
        <v>1</v>
      </c>
      <c r="L3108" s="10"/>
      <c r="M3108" s="10" t="b">
        <v>1</v>
      </c>
      <c r="N3108" s="18"/>
    </row>
    <row r="3109" spans="1:14" s="19" customFormat="1" outlineLevel="1" x14ac:dyDescent="0.25">
      <c r="A3109" s="10" t="s">
        <v>119</v>
      </c>
      <c r="B3109" s="10"/>
      <c r="C3109" s="11" t="str">
        <f>IF(A3109="","",IF((COUNTIFS(A:A,A3109))&gt;1,"ID重复",""))</f>
        <v/>
      </c>
      <c r="D3109" s="10">
        <v>101</v>
      </c>
      <c r="E3109" s="132" t="str">
        <f>INDEX([1]道具配置表!$D:$D,MATCH(D3109,[1]道具配置表!$A:$A,0))</f>
        <v>1木材</v>
      </c>
      <c r="F3109" s="10">
        <v>100000</v>
      </c>
      <c r="G3109" s="10"/>
      <c r="H3109" s="10"/>
      <c r="I3109" s="10"/>
      <c r="J3109" s="10"/>
      <c r="K3109" s="10">
        <v>1</v>
      </c>
      <c r="L3109" s="10"/>
      <c r="M3109" s="10" t="b">
        <v>1</v>
      </c>
      <c r="N3109" s="18"/>
    </row>
    <row r="3110" spans="1:14" s="19" customFormat="1" outlineLevel="1" x14ac:dyDescent="0.25">
      <c r="A3110" s="10" t="s">
        <v>119</v>
      </c>
      <c r="B3110" s="10"/>
      <c r="C3110" s="11" t="str">
        <f>IF(A3110="","",IF((COUNTIFS(A:A,A3110))&gt;1,"ID重复",""))</f>
        <v/>
      </c>
      <c r="D3110" s="10">
        <v>103</v>
      </c>
      <c r="E3110" s="132" t="str">
        <f>INDEX([1]道具配置表!$D:$D,MATCH(D3110,[1]道具配置表!$A:$A,0))</f>
        <v>1石头</v>
      </c>
      <c r="F3110" s="10">
        <v>100000</v>
      </c>
      <c r="G3110" s="10"/>
      <c r="H3110" s="10"/>
      <c r="I3110" s="10"/>
      <c r="J3110" s="10"/>
      <c r="K3110" s="10">
        <v>1</v>
      </c>
      <c r="L3110" s="10"/>
      <c r="M3110" s="10" t="b">
        <v>1</v>
      </c>
      <c r="N3110" s="18"/>
    </row>
    <row r="3111" spans="1:14" s="19" customFormat="1" outlineLevel="1" x14ac:dyDescent="0.25">
      <c r="A3111" s="10" t="s">
        <v>119</v>
      </c>
      <c r="B3111" s="10"/>
      <c r="C3111" s="11" t="str">
        <f>IF(A3111="","",IF((COUNTIFS(A:A,A3111))&gt;1,"ID重复",""))</f>
        <v/>
      </c>
      <c r="D3111" s="10">
        <v>104</v>
      </c>
      <c r="E3111" s="132" t="str">
        <f>INDEX([1]道具配置表!$D:$D,MATCH(D3111,[1]道具配置表!$A:$A,0))</f>
        <v>1黄金</v>
      </c>
      <c r="F3111" s="10">
        <v>100000</v>
      </c>
      <c r="G3111" s="10"/>
      <c r="H3111" s="10"/>
      <c r="I3111" s="10"/>
      <c r="J3111" s="10"/>
      <c r="K3111" s="10">
        <v>1</v>
      </c>
      <c r="L3111" s="10"/>
      <c r="M3111" s="10" t="b">
        <v>1</v>
      </c>
      <c r="N3111" s="18"/>
    </row>
    <row r="3112" spans="1:14" s="19" customFormat="1" outlineLevel="1" x14ac:dyDescent="0.25">
      <c r="A3112" s="10" t="s">
        <v>119</v>
      </c>
      <c r="B3112" s="10"/>
      <c r="C3112" s="21" t="str">
        <f>IF(A3112="","",IF((COUNTIFS(A:A,A3112))&gt;1,"ID重复",""))</f>
        <v/>
      </c>
      <c r="D3112" s="10">
        <v>7010</v>
      </c>
      <c r="E3112" s="132" t="str">
        <f>INDEX([1]道具配置表!$D:$D,MATCH(D3112,[1]道具配置表!$A:$A,0))</f>
        <v>军演币</v>
      </c>
      <c r="F3112" s="10">
        <v>220</v>
      </c>
      <c r="G3112" s="10"/>
      <c r="H3112" s="10"/>
      <c r="I3112" s="10"/>
      <c r="J3112" s="10"/>
      <c r="K3112" s="10">
        <v>1</v>
      </c>
      <c r="L3112" s="10"/>
      <c r="M3112" s="10" t="b">
        <v>1</v>
      </c>
      <c r="N3112" s="18"/>
    </row>
    <row r="3113" spans="1:14" s="19" customFormat="1" outlineLevel="1" x14ac:dyDescent="0.25">
      <c r="A3113" s="10">
        <v>6623132</v>
      </c>
      <c r="B3113" s="10" t="s">
        <v>74</v>
      </c>
      <c r="C3113" s="21" t="str">
        <f>IF(A3113="","",IF((COUNTIFS(A:A,A3113))&gt;1,"ID重复",""))</f>
        <v/>
      </c>
      <c r="D3113" s="10">
        <v>102</v>
      </c>
      <c r="E3113" s="132" t="str">
        <f>INDEX([1]道具配置表!$D:$D,MATCH(D3113,[1]道具配置表!$A:$A,0))</f>
        <v>1食物</v>
      </c>
      <c r="F3113" s="10">
        <f>F3114</f>
        <v>103000</v>
      </c>
      <c r="G3113" s="10"/>
      <c r="H3113" s="10"/>
      <c r="I3113" s="10"/>
      <c r="J3113" s="10"/>
      <c r="K3113" s="10">
        <v>1</v>
      </c>
      <c r="L3113" s="10"/>
      <c r="M3113" s="10" t="b">
        <v>1</v>
      </c>
      <c r="N3113" s="18"/>
    </row>
    <row r="3114" spans="1:14" s="19" customFormat="1" outlineLevel="1" x14ac:dyDescent="0.25">
      <c r="A3114" s="10" t="s">
        <v>119</v>
      </c>
      <c r="B3114" s="10"/>
      <c r="C3114" s="21" t="str">
        <f>IF(A3114="","",IF((COUNTIFS(A:A,A3114))&gt;1,"ID重复",""))</f>
        <v/>
      </c>
      <c r="D3114" s="10">
        <v>101</v>
      </c>
      <c r="E3114" s="132" t="str">
        <f>INDEX([1]道具配置表!$D:$D,MATCH(D3114,[1]道具配置表!$A:$A,0))</f>
        <v>1木材</v>
      </c>
      <c r="F3114" s="10">
        <v>103000</v>
      </c>
      <c r="G3114" s="10"/>
      <c r="H3114" s="10"/>
      <c r="I3114" s="10"/>
      <c r="J3114" s="10"/>
      <c r="K3114" s="10">
        <v>1</v>
      </c>
      <c r="L3114" s="10"/>
      <c r="M3114" s="10" t="b">
        <v>1</v>
      </c>
      <c r="N3114" s="18"/>
    </row>
    <row r="3115" spans="1:14" s="19" customFormat="1" outlineLevel="1" x14ac:dyDescent="0.25">
      <c r="A3115" s="10" t="s">
        <v>119</v>
      </c>
      <c r="B3115" s="10"/>
      <c r="C3115" s="21" t="str">
        <f>IF(A3115="","",IF((COUNTIFS(A:A,A3115))&gt;1,"ID重复",""))</f>
        <v/>
      </c>
      <c r="D3115" s="10">
        <v>103</v>
      </c>
      <c r="E3115" s="132" t="str">
        <f>INDEX([1]道具配置表!$D:$D,MATCH(D3115,[1]道具配置表!$A:$A,0))</f>
        <v>1石头</v>
      </c>
      <c r="F3115" s="10">
        <v>103000</v>
      </c>
      <c r="G3115" s="10"/>
      <c r="H3115" s="10"/>
      <c r="I3115" s="10"/>
      <c r="J3115" s="10"/>
      <c r="K3115" s="10">
        <v>1</v>
      </c>
      <c r="L3115" s="10"/>
      <c r="M3115" s="10" t="b">
        <v>1</v>
      </c>
      <c r="N3115" s="18"/>
    </row>
    <row r="3116" spans="1:14" s="19" customFormat="1" outlineLevel="1" x14ac:dyDescent="0.25">
      <c r="A3116" s="10" t="s">
        <v>119</v>
      </c>
      <c r="B3116" s="10"/>
      <c r="C3116" s="21" t="str">
        <f>IF(A3116="","",IF((COUNTIFS(A:A,A3116))&gt;1,"ID重复",""))</f>
        <v/>
      </c>
      <c r="D3116" s="10">
        <v>104</v>
      </c>
      <c r="E3116" s="132" t="str">
        <f>INDEX([1]道具配置表!$D:$D,MATCH(D3116,[1]道具配置表!$A:$A,0))</f>
        <v>1黄金</v>
      </c>
      <c r="F3116" s="10">
        <v>103000</v>
      </c>
      <c r="G3116" s="10"/>
      <c r="H3116" s="10"/>
      <c r="I3116" s="10"/>
      <c r="J3116" s="10"/>
      <c r="K3116" s="10">
        <v>1</v>
      </c>
      <c r="L3116" s="10"/>
      <c r="M3116" s="10" t="b">
        <v>1</v>
      </c>
      <c r="N3116" s="18"/>
    </row>
    <row r="3117" spans="1:14" s="19" customFormat="1" outlineLevel="1" x14ac:dyDescent="0.25">
      <c r="A3117" s="10" t="s">
        <v>119</v>
      </c>
      <c r="B3117" s="10"/>
      <c r="C3117" s="21" t="str">
        <f>IF(A3117="","",IF((COUNTIFS(A:A,A3117))&gt;1,"ID重复",""))</f>
        <v/>
      </c>
      <c r="D3117" s="10">
        <v>7010</v>
      </c>
      <c r="E3117" s="132" t="str">
        <f>INDEX([1]道具配置表!$D:$D,MATCH(D3117,[1]道具配置表!$A:$A,0))</f>
        <v>军演币</v>
      </c>
      <c r="F3117" s="10">
        <v>230</v>
      </c>
      <c r="G3117" s="10"/>
      <c r="H3117" s="10"/>
      <c r="I3117" s="10"/>
      <c r="J3117" s="10"/>
      <c r="K3117" s="10">
        <v>1</v>
      </c>
      <c r="L3117" s="10"/>
      <c r="M3117" s="10" t="b">
        <v>1</v>
      </c>
      <c r="N3117" s="18"/>
    </row>
    <row r="3118" spans="1:14" s="19" customFormat="1" outlineLevel="1" x14ac:dyDescent="0.25">
      <c r="A3118" s="10">
        <v>6623133</v>
      </c>
      <c r="B3118" s="10" t="s">
        <v>75</v>
      </c>
      <c r="C3118" s="21" t="str">
        <f>IF(A3118="","",IF((COUNTIFS(A:A,A3118))&gt;1,"ID重复",""))</f>
        <v/>
      </c>
      <c r="D3118" s="10">
        <v>102</v>
      </c>
      <c r="E3118" s="132" t="str">
        <f>INDEX([1]道具配置表!$D:$D,MATCH(D3118,[1]道具配置表!$A:$A,0))</f>
        <v>1食物</v>
      </c>
      <c r="F3118" s="10">
        <f>F3119</f>
        <v>106000</v>
      </c>
      <c r="G3118" s="10"/>
      <c r="H3118" s="10"/>
      <c r="I3118" s="10"/>
      <c r="J3118" s="10"/>
      <c r="K3118" s="10">
        <v>1</v>
      </c>
      <c r="L3118" s="10"/>
      <c r="M3118" s="10" t="b">
        <v>1</v>
      </c>
      <c r="N3118" s="18"/>
    </row>
    <row r="3119" spans="1:14" s="19" customFormat="1" outlineLevel="1" x14ac:dyDescent="0.25">
      <c r="A3119" s="10" t="s">
        <v>119</v>
      </c>
      <c r="B3119" s="10"/>
      <c r="C3119" s="21" t="str">
        <f>IF(A3119="","",IF((COUNTIFS(A:A,A3119))&gt;1,"ID重复",""))</f>
        <v/>
      </c>
      <c r="D3119" s="10">
        <v>101</v>
      </c>
      <c r="E3119" s="132" t="str">
        <f>INDEX([1]道具配置表!$D:$D,MATCH(D3119,[1]道具配置表!$A:$A,0))</f>
        <v>1木材</v>
      </c>
      <c r="F3119" s="10">
        <v>106000</v>
      </c>
      <c r="G3119" s="10"/>
      <c r="H3119" s="10"/>
      <c r="I3119" s="10"/>
      <c r="J3119" s="10"/>
      <c r="K3119" s="10">
        <v>1</v>
      </c>
      <c r="L3119" s="10"/>
      <c r="M3119" s="10" t="b">
        <v>1</v>
      </c>
      <c r="N3119" s="18"/>
    </row>
    <row r="3120" spans="1:14" s="19" customFormat="1" outlineLevel="1" x14ac:dyDescent="0.25">
      <c r="A3120" s="10" t="s">
        <v>119</v>
      </c>
      <c r="B3120" s="10"/>
      <c r="C3120" s="21" t="str">
        <f>IF(A3120="","",IF((COUNTIFS(A:A,A3120))&gt;1,"ID重复",""))</f>
        <v/>
      </c>
      <c r="D3120" s="10">
        <v>103</v>
      </c>
      <c r="E3120" s="132" t="str">
        <f>INDEX([1]道具配置表!$D:$D,MATCH(D3120,[1]道具配置表!$A:$A,0))</f>
        <v>1石头</v>
      </c>
      <c r="F3120" s="10">
        <v>106000</v>
      </c>
      <c r="G3120" s="10"/>
      <c r="H3120" s="10"/>
      <c r="I3120" s="10"/>
      <c r="J3120" s="10"/>
      <c r="K3120" s="10">
        <v>1</v>
      </c>
      <c r="L3120" s="10"/>
      <c r="M3120" s="10" t="b">
        <v>1</v>
      </c>
      <c r="N3120" s="18"/>
    </row>
    <row r="3121" spans="1:14" s="19" customFormat="1" outlineLevel="1" x14ac:dyDescent="0.25">
      <c r="A3121" s="10" t="s">
        <v>119</v>
      </c>
      <c r="B3121" s="10"/>
      <c r="C3121" s="21" t="str">
        <f>IF(A3121="","",IF((COUNTIFS(A:A,A3121))&gt;1,"ID重复",""))</f>
        <v/>
      </c>
      <c r="D3121" s="10">
        <v>104</v>
      </c>
      <c r="E3121" s="132" t="str">
        <f>INDEX([1]道具配置表!$D:$D,MATCH(D3121,[1]道具配置表!$A:$A,0))</f>
        <v>1黄金</v>
      </c>
      <c r="F3121" s="10">
        <v>106000</v>
      </c>
      <c r="G3121" s="10"/>
      <c r="H3121" s="10"/>
      <c r="I3121" s="10"/>
      <c r="J3121" s="10"/>
      <c r="K3121" s="10">
        <v>1</v>
      </c>
      <c r="L3121" s="10"/>
      <c r="M3121" s="10" t="b">
        <v>1</v>
      </c>
      <c r="N3121" s="18"/>
    </row>
    <row r="3122" spans="1:14" s="19" customFormat="1" outlineLevel="1" x14ac:dyDescent="0.25">
      <c r="A3122" s="10" t="s">
        <v>119</v>
      </c>
      <c r="B3122" s="10"/>
      <c r="C3122" s="21" t="str">
        <f>IF(A3122="","",IF((COUNTIFS(A:A,A3122))&gt;1,"ID重复",""))</f>
        <v/>
      </c>
      <c r="D3122" s="10">
        <v>7010</v>
      </c>
      <c r="E3122" s="132" t="str">
        <f>INDEX([1]道具配置表!$D:$D,MATCH(D3122,[1]道具配置表!$A:$A,0))</f>
        <v>军演币</v>
      </c>
      <c r="F3122" s="10">
        <v>240</v>
      </c>
      <c r="G3122" s="10"/>
      <c r="H3122" s="10"/>
      <c r="I3122" s="10"/>
      <c r="J3122" s="10"/>
      <c r="K3122" s="10">
        <v>1</v>
      </c>
      <c r="L3122" s="10"/>
      <c r="M3122" s="10" t="b">
        <v>1</v>
      </c>
      <c r="N3122" s="18"/>
    </row>
    <row r="3123" spans="1:14" s="19" customFormat="1" outlineLevel="1" x14ac:dyDescent="0.25">
      <c r="A3123" s="10">
        <v>6623134</v>
      </c>
      <c r="B3123" s="10" t="s">
        <v>76</v>
      </c>
      <c r="C3123" s="21" t="str">
        <f>IF(A3123="","",IF((COUNTIFS(A:A,A3123))&gt;1,"ID重复",""))</f>
        <v/>
      </c>
      <c r="D3123" s="10">
        <v>102</v>
      </c>
      <c r="E3123" s="132" t="str">
        <f>INDEX([1]道具配置表!$D:$D,MATCH(D3123,[1]道具配置表!$A:$A,0))</f>
        <v>1食物</v>
      </c>
      <c r="F3123" s="10">
        <f>F3124</f>
        <v>109000</v>
      </c>
      <c r="G3123" s="10"/>
      <c r="H3123" s="10"/>
      <c r="I3123" s="10"/>
      <c r="J3123" s="10"/>
      <c r="K3123" s="10">
        <v>1</v>
      </c>
      <c r="L3123" s="10"/>
      <c r="M3123" s="10" t="b">
        <v>1</v>
      </c>
      <c r="N3123" s="18"/>
    </row>
    <row r="3124" spans="1:14" s="19" customFormat="1" outlineLevel="1" x14ac:dyDescent="0.25">
      <c r="A3124" s="10" t="s">
        <v>119</v>
      </c>
      <c r="B3124" s="10"/>
      <c r="C3124" s="21" t="str">
        <f>IF(A3124="","",IF((COUNTIFS(A:A,A3124))&gt;1,"ID重复",""))</f>
        <v/>
      </c>
      <c r="D3124" s="10">
        <v>101</v>
      </c>
      <c r="E3124" s="132" t="str">
        <f>INDEX([1]道具配置表!$D:$D,MATCH(D3124,[1]道具配置表!$A:$A,0))</f>
        <v>1木材</v>
      </c>
      <c r="F3124" s="10">
        <v>109000</v>
      </c>
      <c r="G3124" s="10"/>
      <c r="H3124" s="10"/>
      <c r="I3124" s="10"/>
      <c r="J3124" s="10"/>
      <c r="K3124" s="10">
        <v>1</v>
      </c>
      <c r="L3124" s="10"/>
      <c r="M3124" s="10" t="b">
        <v>1</v>
      </c>
      <c r="N3124" s="18"/>
    </row>
    <row r="3125" spans="1:14" s="19" customFormat="1" outlineLevel="1" x14ac:dyDescent="0.25">
      <c r="A3125" s="10" t="s">
        <v>119</v>
      </c>
      <c r="B3125" s="10"/>
      <c r="C3125" s="21" t="str">
        <f>IF(A3125="","",IF((COUNTIFS(A:A,A3125))&gt;1,"ID重复",""))</f>
        <v/>
      </c>
      <c r="D3125" s="10">
        <v>103</v>
      </c>
      <c r="E3125" s="132" t="str">
        <f>INDEX([1]道具配置表!$D:$D,MATCH(D3125,[1]道具配置表!$A:$A,0))</f>
        <v>1石头</v>
      </c>
      <c r="F3125" s="10">
        <v>109000</v>
      </c>
      <c r="G3125" s="10"/>
      <c r="H3125" s="10"/>
      <c r="I3125" s="10"/>
      <c r="J3125" s="10"/>
      <c r="K3125" s="10">
        <v>1</v>
      </c>
      <c r="L3125" s="10"/>
      <c r="M3125" s="10" t="b">
        <v>1</v>
      </c>
      <c r="N3125" s="18"/>
    </row>
    <row r="3126" spans="1:14" s="19" customFormat="1" outlineLevel="1" x14ac:dyDescent="0.25">
      <c r="A3126" s="10" t="s">
        <v>119</v>
      </c>
      <c r="B3126" s="10"/>
      <c r="C3126" s="21" t="str">
        <f>IF(A3126="","",IF((COUNTIFS(A:A,A3126))&gt;1,"ID重复",""))</f>
        <v/>
      </c>
      <c r="D3126" s="10">
        <v>104</v>
      </c>
      <c r="E3126" s="132" t="str">
        <f>INDEX([1]道具配置表!$D:$D,MATCH(D3126,[1]道具配置表!$A:$A,0))</f>
        <v>1黄金</v>
      </c>
      <c r="F3126" s="10">
        <v>109000</v>
      </c>
      <c r="G3126" s="10"/>
      <c r="H3126" s="10"/>
      <c r="I3126" s="10"/>
      <c r="J3126" s="10"/>
      <c r="K3126" s="10">
        <v>1</v>
      </c>
      <c r="L3126" s="10"/>
      <c r="M3126" s="10" t="b">
        <v>1</v>
      </c>
      <c r="N3126" s="18"/>
    </row>
    <row r="3127" spans="1:14" s="19" customFormat="1" outlineLevel="1" x14ac:dyDescent="0.25">
      <c r="A3127" s="10" t="s">
        <v>119</v>
      </c>
      <c r="B3127" s="10"/>
      <c r="C3127" s="21" t="str">
        <f>IF(A3127="","",IF((COUNTIFS(A:A,A3127))&gt;1,"ID重复",""))</f>
        <v/>
      </c>
      <c r="D3127" s="10">
        <v>7010</v>
      </c>
      <c r="E3127" s="132" t="str">
        <f>INDEX([1]道具配置表!$D:$D,MATCH(D3127,[1]道具配置表!$A:$A,0))</f>
        <v>军演币</v>
      </c>
      <c r="F3127" s="10">
        <v>250</v>
      </c>
      <c r="G3127" s="10"/>
      <c r="H3127" s="10"/>
      <c r="I3127" s="10"/>
      <c r="J3127" s="10"/>
      <c r="K3127" s="10">
        <v>1</v>
      </c>
      <c r="L3127" s="10"/>
      <c r="M3127" s="10" t="b">
        <v>1</v>
      </c>
      <c r="N3127" s="18"/>
    </row>
    <row r="3128" spans="1:14" s="19" customFormat="1" outlineLevel="1" x14ac:dyDescent="0.25">
      <c r="A3128" s="10">
        <v>6623135</v>
      </c>
      <c r="B3128" s="10" t="s">
        <v>77</v>
      </c>
      <c r="C3128" s="21" t="str">
        <f>IF(A3128="","",IF((COUNTIFS(A:A,A3128))&gt;1,"ID重复",""))</f>
        <v/>
      </c>
      <c r="D3128" s="10">
        <v>102</v>
      </c>
      <c r="E3128" s="132" t="str">
        <f>INDEX([1]道具配置表!$D:$D,MATCH(D3128,[1]道具配置表!$A:$A,0))</f>
        <v>1食物</v>
      </c>
      <c r="F3128" s="10">
        <f>F3129</f>
        <v>112000</v>
      </c>
      <c r="G3128" s="10"/>
      <c r="H3128" s="10"/>
      <c r="I3128" s="10"/>
      <c r="J3128" s="10"/>
      <c r="K3128" s="10">
        <v>1</v>
      </c>
      <c r="L3128" s="10"/>
      <c r="M3128" s="10" t="b">
        <v>1</v>
      </c>
      <c r="N3128" s="18"/>
    </row>
    <row r="3129" spans="1:14" s="19" customFormat="1" outlineLevel="1" x14ac:dyDescent="0.25">
      <c r="A3129" s="10" t="s">
        <v>119</v>
      </c>
      <c r="B3129" s="10"/>
      <c r="C3129" s="21" t="str">
        <f>IF(A3129="","",IF((COUNTIFS(A:A,A3129))&gt;1,"ID重复",""))</f>
        <v/>
      </c>
      <c r="D3129" s="10">
        <v>101</v>
      </c>
      <c r="E3129" s="132" t="str">
        <f>INDEX([1]道具配置表!$D:$D,MATCH(D3129,[1]道具配置表!$A:$A,0))</f>
        <v>1木材</v>
      </c>
      <c r="F3129" s="10">
        <v>112000</v>
      </c>
      <c r="G3129" s="10"/>
      <c r="H3129" s="10"/>
      <c r="I3129" s="10"/>
      <c r="J3129" s="10"/>
      <c r="K3129" s="10">
        <v>1</v>
      </c>
      <c r="L3129" s="10"/>
      <c r="M3129" s="10" t="b">
        <v>1</v>
      </c>
      <c r="N3129" s="18"/>
    </row>
    <row r="3130" spans="1:14" s="19" customFormat="1" outlineLevel="1" x14ac:dyDescent="0.25">
      <c r="A3130" s="10" t="s">
        <v>119</v>
      </c>
      <c r="B3130" s="10"/>
      <c r="C3130" s="21" t="str">
        <f>IF(A3130="","",IF((COUNTIFS(A:A,A3130))&gt;1,"ID重复",""))</f>
        <v/>
      </c>
      <c r="D3130" s="10">
        <v>103</v>
      </c>
      <c r="E3130" s="132" t="str">
        <f>INDEX([1]道具配置表!$D:$D,MATCH(D3130,[1]道具配置表!$A:$A,0))</f>
        <v>1石头</v>
      </c>
      <c r="F3130" s="10">
        <v>112000</v>
      </c>
      <c r="G3130" s="10"/>
      <c r="H3130" s="10"/>
      <c r="I3130" s="10"/>
      <c r="J3130" s="10"/>
      <c r="K3130" s="10">
        <v>1</v>
      </c>
      <c r="L3130" s="10"/>
      <c r="M3130" s="10" t="b">
        <v>1</v>
      </c>
      <c r="N3130" s="18"/>
    </row>
    <row r="3131" spans="1:14" s="19" customFormat="1" outlineLevel="1" x14ac:dyDescent="0.25">
      <c r="A3131" s="10" t="s">
        <v>119</v>
      </c>
      <c r="B3131" s="10"/>
      <c r="C3131" s="21" t="str">
        <f>IF(A3131="","",IF((COUNTIFS(A:A,A3131))&gt;1,"ID重复",""))</f>
        <v/>
      </c>
      <c r="D3131" s="10">
        <v>104</v>
      </c>
      <c r="E3131" s="132" t="str">
        <f>INDEX([1]道具配置表!$D:$D,MATCH(D3131,[1]道具配置表!$A:$A,0))</f>
        <v>1黄金</v>
      </c>
      <c r="F3131" s="10">
        <v>112000</v>
      </c>
      <c r="G3131" s="10"/>
      <c r="H3131" s="10"/>
      <c r="I3131" s="10"/>
      <c r="J3131" s="10"/>
      <c r="K3131" s="10">
        <v>1</v>
      </c>
      <c r="L3131" s="10"/>
      <c r="M3131" s="10" t="b">
        <v>1</v>
      </c>
      <c r="N3131" s="18"/>
    </row>
    <row r="3132" spans="1:14" s="19" customFormat="1" outlineLevel="1" x14ac:dyDescent="0.25">
      <c r="A3132" s="10" t="s">
        <v>119</v>
      </c>
      <c r="B3132" s="10"/>
      <c r="C3132" s="21" t="str">
        <f>IF(A3132="","",IF((COUNTIFS(A:A,A3132))&gt;1,"ID重复",""))</f>
        <v/>
      </c>
      <c r="D3132" s="10">
        <v>7010</v>
      </c>
      <c r="E3132" s="132" t="str">
        <f>INDEX([1]道具配置表!$D:$D,MATCH(D3132,[1]道具配置表!$A:$A,0))</f>
        <v>军演币</v>
      </c>
      <c r="F3132" s="10">
        <v>260</v>
      </c>
      <c r="G3132" s="10"/>
      <c r="H3132" s="10"/>
      <c r="I3132" s="10"/>
      <c r="J3132" s="10"/>
      <c r="K3132" s="10">
        <v>1</v>
      </c>
      <c r="L3132" s="10"/>
      <c r="M3132" s="10" t="b">
        <v>1</v>
      </c>
      <c r="N3132" s="18"/>
    </row>
    <row r="3133" spans="1:14" s="19" customFormat="1" outlineLevel="1" x14ac:dyDescent="0.25">
      <c r="A3133" s="10">
        <v>6623136</v>
      </c>
      <c r="B3133" s="10" t="s">
        <v>78</v>
      </c>
      <c r="C3133" s="21" t="str">
        <f>IF(A3133="","",IF((COUNTIFS(A:A,A3133))&gt;1,"ID重复",""))</f>
        <v/>
      </c>
      <c r="D3133" s="10">
        <v>102</v>
      </c>
      <c r="E3133" s="132" t="str">
        <f>INDEX([1]道具配置表!$D:$D,MATCH(D3133,[1]道具配置表!$A:$A,0))</f>
        <v>1食物</v>
      </c>
      <c r="F3133" s="10">
        <f>F3134</f>
        <v>115000</v>
      </c>
      <c r="G3133" s="10"/>
      <c r="H3133" s="10"/>
      <c r="I3133" s="10"/>
      <c r="J3133" s="10"/>
      <c r="K3133" s="10">
        <v>1</v>
      </c>
      <c r="L3133" s="10"/>
      <c r="M3133" s="10" t="b">
        <v>1</v>
      </c>
      <c r="N3133" s="18"/>
    </row>
    <row r="3134" spans="1:14" s="19" customFormat="1" outlineLevel="1" x14ac:dyDescent="0.25">
      <c r="A3134" s="10" t="s">
        <v>119</v>
      </c>
      <c r="B3134" s="10"/>
      <c r="C3134" s="21" t="str">
        <f>IF(A3134="","",IF((COUNTIFS(A:A,A3134))&gt;1,"ID重复",""))</f>
        <v/>
      </c>
      <c r="D3134" s="10">
        <v>101</v>
      </c>
      <c r="E3134" s="132" t="str">
        <f>INDEX([1]道具配置表!$D:$D,MATCH(D3134,[1]道具配置表!$A:$A,0))</f>
        <v>1木材</v>
      </c>
      <c r="F3134" s="10">
        <v>115000</v>
      </c>
      <c r="G3134" s="10"/>
      <c r="H3134" s="10"/>
      <c r="I3134" s="10"/>
      <c r="J3134" s="10"/>
      <c r="K3134" s="10">
        <v>1</v>
      </c>
      <c r="L3134" s="10"/>
      <c r="M3134" s="10" t="b">
        <v>1</v>
      </c>
      <c r="N3134" s="18"/>
    </row>
    <row r="3135" spans="1:14" s="19" customFormat="1" outlineLevel="1" x14ac:dyDescent="0.25">
      <c r="A3135" s="10" t="s">
        <v>119</v>
      </c>
      <c r="B3135" s="10"/>
      <c r="C3135" s="21" t="str">
        <f>IF(A3135="","",IF((COUNTIFS(A:A,A3135))&gt;1,"ID重复",""))</f>
        <v/>
      </c>
      <c r="D3135" s="10">
        <v>103</v>
      </c>
      <c r="E3135" s="132" t="str">
        <f>INDEX([1]道具配置表!$D:$D,MATCH(D3135,[1]道具配置表!$A:$A,0))</f>
        <v>1石头</v>
      </c>
      <c r="F3135" s="10">
        <v>115000</v>
      </c>
      <c r="G3135" s="10"/>
      <c r="H3135" s="10"/>
      <c r="I3135" s="10"/>
      <c r="J3135" s="10"/>
      <c r="K3135" s="10">
        <v>1</v>
      </c>
      <c r="L3135" s="10"/>
      <c r="M3135" s="10" t="b">
        <v>1</v>
      </c>
      <c r="N3135" s="18"/>
    </row>
    <row r="3136" spans="1:14" s="19" customFormat="1" outlineLevel="1" x14ac:dyDescent="0.25">
      <c r="A3136" s="10" t="s">
        <v>119</v>
      </c>
      <c r="B3136" s="10"/>
      <c r="C3136" s="21" t="str">
        <f>IF(A3136="","",IF((COUNTIFS(A:A,A3136))&gt;1,"ID重复",""))</f>
        <v/>
      </c>
      <c r="D3136" s="10">
        <v>104</v>
      </c>
      <c r="E3136" s="132" t="str">
        <f>INDEX([1]道具配置表!$D:$D,MATCH(D3136,[1]道具配置表!$A:$A,0))</f>
        <v>1黄金</v>
      </c>
      <c r="F3136" s="10">
        <v>115000</v>
      </c>
      <c r="G3136" s="10"/>
      <c r="H3136" s="10"/>
      <c r="I3136" s="10"/>
      <c r="J3136" s="10"/>
      <c r="K3136" s="10">
        <v>1</v>
      </c>
      <c r="L3136" s="10"/>
      <c r="M3136" s="10" t="b">
        <v>1</v>
      </c>
      <c r="N3136" s="18"/>
    </row>
    <row r="3137" spans="1:14" s="19" customFormat="1" outlineLevel="1" x14ac:dyDescent="0.25">
      <c r="A3137" s="10" t="s">
        <v>119</v>
      </c>
      <c r="B3137" s="10"/>
      <c r="C3137" s="21" t="str">
        <f>IF(A3137="","",IF((COUNTIFS(A:A,A3137))&gt;1,"ID重复",""))</f>
        <v/>
      </c>
      <c r="D3137" s="10">
        <v>7010</v>
      </c>
      <c r="E3137" s="132" t="str">
        <f>INDEX([1]道具配置表!$D:$D,MATCH(D3137,[1]道具配置表!$A:$A,0))</f>
        <v>军演币</v>
      </c>
      <c r="F3137" s="10">
        <v>270</v>
      </c>
      <c r="G3137" s="10"/>
      <c r="H3137" s="10"/>
      <c r="I3137" s="10"/>
      <c r="J3137" s="10"/>
      <c r="K3137" s="10">
        <v>1</v>
      </c>
      <c r="L3137" s="10"/>
      <c r="M3137" s="10" t="b">
        <v>1</v>
      </c>
      <c r="N3137" s="18"/>
    </row>
    <row r="3138" spans="1:14" s="19" customFormat="1" outlineLevel="1" x14ac:dyDescent="0.25">
      <c r="A3138" s="10">
        <v>6623137</v>
      </c>
      <c r="B3138" s="10" t="s">
        <v>79</v>
      </c>
      <c r="C3138" s="21" t="str">
        <f>IF(A3138="","",IF((COUNTIFS(A:A,A3138))&gt;1,"ID重复",""))</f>
        <v/>
      </c>
      <c r="D3138" s="10">
        <v>102</v>
      </c>
      <c r="E3138" s="132" t="str">
        <f>INDEX([1]道具配置表!$D:$D,MATCH(D3138,[1]道具配置表!$A:$A,0))</f>
        <v>1食物</v>
      </c>
      <c r="F3138" s="10">
        <f>F3139</f>
        <v>118000</v>
      </c>
      <c r="G3138" s="10"/>
      <c r="H3138" s="10"/>
      <c r="I3138" s="10"/>
      <c r="J3138" s="10"/>
      <c r="K3138" s="10">
        <v>1</v>
      </c>
      <c r="L3138" s="10"/>
      <c r="M3138" s="10" t="b">
        <v>1</v>
      </c>
      <c r="N3138" s="18"/>
    </row>
    <row r="3139" spans="1:14" s="19" customFormat="1" outlineLevel="1" x14ac:dyDescent="0.25">
      <c r="A3139" s="10" t="s">
        <v>119</v>
      </c>
      <c r="B3139" s="10"/>
      <c r="C3139" s="21" t="str">
        <f>IF(A3139="","",IF((COUNTIFS(A:A,A3139))&gt;1,"ID重复",""))</f>
        <v/>
      </c>
      <c r="D3139" s="10">
        <v>101</v>
      </c>
      <c r="E3139" s="132" t="str">
        <f>INDEX([1]道具配置表!$D:$D,MATCH(D3139,[1]道具配置表!$A:$A,0))</f>
        <v>1木材</v>
      </c>
      <c r="F3139" s="10">
        <v>118000</v>
      </c>
      <c r="G3139" s="10"/>
      <c r="H3139" s="10"/>
      <c r="I3139" s="10"/>
      <c r="J3139" s="10"/>
      <c r="K3139" s="10">
        <v>1</v>
      </c>
      <c r="L3139" s="10"/>
      <c r="M3139" s="10" t="b">
        <v>1</v>
      </c>
      <c r="N3139" s="18"/>
    </row>
    <row r="3140" spans="1:14" s="19" customFormat="1" outlineLevel="1" x14ac:dyDescent="0.25">
      <c r="A3140" s="10" t="s">
        <v>119</v>
      </c>
      <c r="B3140" s="10"/>
      <c r="C3140" s="21" t="str">
        <f>IF(A3140="","",IF((COUNTIFS(A:A,A3140))&gt;1,"ID重复",""))</f>
        <v/>
      </c>
      <c r="D3140" s="10">
        <v>103</v>
      </c>
      <c r="E3140" s="132" t="str">
        <f>INDEX([1]道具配置表!$D:$D,MATCH(D3140,[1]道具配置表!$A:$A,0))</f>
        <v>1石头</v>
      </c>
      <c r="F3140" s="10">
        <v>118000</v>
      </c>
      <c r="G3140" s="10"/>
      <c r="H3140" s="10"/>
      <c r="I3140" s="10"/>
      <c r="J3140" s="10"/>
      <c r="K3140" s="10">
        <v>1</v>
      </c>
      <c r="L3140" s="10"/>
      <c r="M3140" s="10" t="b">
        <v>1</v>
      </c>
      <c r="N3140" s="18"/>
    </row>
    <row r="3141" spans="1:14" s="19" customFormat="1" outlineLevel="1" x14ac:dyDescent="0.25">
      <c r="A3141" s="10" t="s">
        <v>119</v>
      </c>
      <c r="B3141" s="10"/>
      <c r="C3141" s="21" t="str">
        <f>IF(A3141="","",IF((COUNTIFS(A:A,A3141))&gt;1,"ID重复",""))</f>
        <v/>
      </c>
      <c r="D3141" s="10">
        <v>104</v>
      </c>
      <c r="E3141" s="132" t="str">
        <f>INDEX([1]道具配置表!$D:$D,MATCH(D3141,[1]道具配置表!$A:$A,0))</f>
        <v>1黄金</v>
      </c>
      <c r="F3141" s="10">
        <v>118000</v>
      </c>
      <c r="G3141" s="10"/>
      <c r="H3141" s="10"/>
      <c r="I3141" s="10"/>
      <c r="J3141" s="10"/>
      <c r="K3141" s="10">
        <v>1</v>
      </c>
      <c r="L3141" s="10"/>
      <c r="M3141" s="10" t="b">
        <v>1</v>
      </c>
      <c r="N3141" s="18"/>
    </row>
    <row r="3142" spans="1:14" s="19" customFormat="1" outlineLevel="1" x14ac:dyDescent="0.25">
      <c r="A3142" s="10" t="s">
        <v>119</v>
      </c>
      <c r="B3142" s="10"/>
      <c r="C3142" s="21" t="str">
        <f>IF(A3142="","",IF((COUNTIFS(A:A,A3142))&gt;1,"ID重复",""))</f>
        <v/>
      </c>
      <c r="D3142" s="10">
        <v>7010</v>
      </c>
      <c r="E3142" s="132" t="str">
        <f>INDEX([1]道具配置表!$D:$D,MATCH(D3142,[1]道具配置表!$A:$A,0))</f>
        <v>军演币</v>
      </c>
      <c r="F3142" s="10">
        <v>280</v>
      </c>
      <c r="G3142" s="10"/>
      <c r="H3142" s="10"/>
      <c r="I3142" s="10"/>
      <c r="J3142" s="10"/>
      <c r="K3142" s="10">
        <v>1</v>
      </c>
      <c r="L3142" s="10"/>
      <c r="M3142" s="10" t="b">
        <v>1</v>
      </c>
      <c r="N3142" s="18"/>
    </row>
    <row r="3143" spans="1:14" s="19" customFormat="1" outlineLevel="1" x14ac:dyDescent="0.25">
      <c r="A3143" s="10">
        <v>6623138</v>
      </c>
      <c r="B3143" s="10" t="s">
        <v>80</v>
      </c>
      <c r="C3143" s="21" t="str">
        <f>IF(A3143="","",IF((COUNTIFS(A:A,A3143))&gt;1,"ID重复",""))</f>
        <v/>
      </c>
      <c r="D3143" s="10">
        <v>102</v>
      </c>
      <c r="E3143" s="132" t="str">
        <f>INDEX([1]道具配置表!$D:$D,MATCH(D3143,[1]道具配置表!$A:$A,0))</f>
        <v>1食物</v>
      </c>
      <c r="F3143" s="10">
        <f>F3144</f>
        <v>121000</v>
      </c>
      <c r="G3143" s="10"/>
      <c r="H3143" s="10"/>
      <c r="I3143" s="10"/>
      <c r="J3143" s="10"/>
      <c r="K3143" s="10">
        <v>1</v>
      </c>
      <c r="L3143" s="10"/>
      <c r="M3143" s="10" t="b">
        <v>1</v>
      </c>
      <c r="N3143" s="18"/>
    </row>
    <row r="3144" spans="1:14" s="19" customFormat="1" outlineLevel="1" x14ac:dyDescent="0.25">
      <c r="A3144" s="10" t="s">
        <v>119</v>
      </c>
      <c r="B3144" s="10"/>
      <c r="C3144" s="21" t="str">
        <f>IF(A3144="","",IF((COUNTIFS(A:A,A3144))&gt;1,"ID重复",""))</f>
        <v/>
      </c>
      <c r="D3144" s="10">
        <v>101</v>
      </c>
      <c r="E3144" s="132" t="str">
        <f>INDEX([1]道具配置表!$D:$D,MATCH(D3144,[1]道具配置表!$A:$A,0))</f>
        <v>1木材</v>
      </c>
      <c r="F3144" s="10">
        <v>121000</v>
      </c>
      <c r="G3144" s="10"/>
      <c r="H3144" s="10"/>
      <c r="I3144" s="10"/>
      <c r="J3144" s="10"/>
      <c r="K3144" s="10">
        <v>1</v>
      </c>
      <c r="L3144" s="10"/>
      <c r="M3144" s="10" t="b">
        <v>1</v>
      </c>
      <c r="N3144" s="18"/>
    </row>
    <row r="3145" spans="1:14" s="19" customFormat="1" outlineLevel="1" x14ac:dyDescent="0.25">
      <c r="A3145" s="10" t="s">
        <v>119</v>
      </c>
      <c r="B3145" s="10"/>
      <c r="C3145" s="21" t="str">
        <f>IF(A3145="","",IF((COUNTIFS(A:A,A3145))&gt;1,"ID重复",""))</f>
        <v/>
      </c>
      <c r="D3145" s="10">
        <v>103</v>
      </c>
      <c r="E3145" s="132" t="str">
        <f>INDEX([1]道具配置表!$D:$D,MATCH(D3145,[1]道具配置表!$A:$A,0))</f>
        <v>1石头</v>
      </c>
      <c r="F3145" s="10">
        <v>121000</v>
      </c>
      <c r="G3145" s="10"/>
      <c r="H3145" s="10"/>
      <c r="I3145" s="10"/>
      <c r="J3145" s="10"/>
      <c r="K3145" s="10">
        <v>1</v>
      </c>
      <c r="L3145" s="10"/>
      <c r="M3145" s="10" t="b">
        <v>1</v>
      </c>
      <c r="N3145" s="18"/>
    </row>
    <row r="3146" spans="1:14" s="19" customFormat="1" outlineLevel="1" x14ac:dyDescent="0.25">
      <c r="A3146" s="10" t="s">
        <v>119</v>
      </c>
      <c r="B3146" s="10"/>
      <c r="C3146" s="21" t="str">
        <f>IF(A3146="","",IF((COUNTIFS(A:A,A3146))&gt;1,"ID重复",""))</f>
        <v/>
      </c>
      <c r="D3146" s="10">
        <v>104</v>
      </c>
      <c r="E3146" s="132" t="str">
        <f>INDEX([1]道具配置表!$D:$D,MATCH(D3146,[1]道具配置表!$A:$A,0))</f>
        <v>1黄金</v>
      </c>
      <c r="F3146" s="10">
        <v>121000</v>
      </c>
      <c r="G3146" s="10"/>
      <c r="H3146" s="10"/>
      <c r="I3146" s="10"/>
      <c r="J3146" s="10"/>
      <c r="K3146" s="10">
        <v>1</v>
      </c>
      <c r="L3146" s="10"/>
      <c r="M3146" s="10" t="b">
        <v>1</v>
      </c>
      <c r="N3146" s="18"/>
    </row>
    <row r="3147" spans="1:14" s="19" customFormat="1" outlineLevel="1" x14ac:dyDescent="0.25">
      <c r="A3147" s="10" t="s">
        <v>119</v>
      </c>
      <c r="B3147" s="10"/>
      <c r="C3147" s="21" t="str">
        <f>IF(A3147="","",IF((COUNTIFS(A:A,A3147))&gt;1,"ID重复",""))</f>
        <v/>
      </c>
      <c r="D3147" s="10">
        <v>7010</v>
      </c>
      <c r="E3147" s="132" t="str">
        <f>INDEX([1]道具配置表!$D:$D,MATCH(D3147,[1]道具配置表!$A:$A,0))</f>
        <v>军演币</v>
      </c>
      <c r="F3147" s="10">
        <v>290</v>
      </c>
      <c r="G3147" s="10"/>
      <c r="H3147" s="10"/>
      <c r="I3147" s="10"/>
      <c r="J3147" s="10"/>
      <c r="K3147" s="10">
        <v>1</v>
      </c>
      <c r="L3147" s="10"/>
      <c r="M3147" s="10" t="b">
        <v>1</v>
      </c>
      <c r="N3147" s="18"/>
    </row>
    <row r="3148" spans="1:14" s="19" customFormat="1" outlineLevel="1" x14ac:dyDescent="0.25">
      <c r="A3148" s="10">
        <v>6623139</v>
      </c>
      <c r="B3148" s="10" t="s">
        <v>81</v>
      </c>
      <c r="C3148" s="21" t="str">
        <f>IF(A3148="","",IF((COUNTIFS(A:A,A3148))&gt;1,"ID重复",""))</f>
        <v/>
      </c>
      <c r="D3148" s="10">
        <v>102</v>
      </c>
      <c r="E3148" s="132" t="str">
        <f>INDEX([1]道具配置表!$D:$D,MATCH(D3148,[1]道具配置表!$A:$A,0))</f>
        <v>1食物</v>
      </c>
      <c r="F3148" s="10">
        <f>F3149</f>
        <v>124000</v>
      </c>
      <c r="G3148" s="10"/>
      <c r="H3148" s="10"/>
      <c r="I3148" s="10"/>
      <c r="J3148" s="10"/>
      <c r="K3148" s="10">
        <v>1</v>
      </c>
      <c r="L3148" s="10"/>
      <c r="M3148" s="10" t="b">
        <v>1</v>
      </c>
      <c r="N3148" s="18"/>
    </row>
    <row r="3149" spans="1:14" s="19" customFormat="1" outlineLevel="1" x14ac:dyDescent="0.25">
      <c r="A3149" s="10" t="s">
        <v>119</v>
      </c>
      <c r="B3149" s="10"/>
      <c r="C3149" s="21" t="str">
        <f>IF(A3149="","",IF((COUNTIFS(A:A,A3149))&gt;1,"ID重复",""))</f>
        <v/>
      </c>
      <c r="D3149" s="10">
        <v>101</v>
      </c>
      <c r="E3149" s="132" t="str">
        <f>INDEX([1]道具配置表!$D:$D,MATCH(D3149,[1]道具配置表!$A:$A,0))</f>
        <v>1木材</v>
      </c>
      <c r="F3149" s="10">
        <v>124000</v>
      </c>
      <c r="G3149" s="10"/>
      <c r="H3149" s="10"/>
      <c r="I3149" s="10"/>
      <c r="J3149" s="10"/>
      <c r="K3149" s="10">
        <v>1</v>
      </c>
      <c r="L3149" s="10"/>
      <c r="M3149" s="10" t="b">
        <v>1</v>
      </c>
      <c r="N3149" s="18"/>
    </row>
    <row r="3150" spans="1:14" s="19" customFormat="1" outlineLevel="1" x14ac:dyDescent="0.25">
      <c r="A3150" s="10" t="s">
        <v>119</v>
      </c>
      <c r="B3150" s="10"/>
      <c r="C3150" s="21" t="str">
        <f>IF(A3150="","",IF((COUNTIFS(A:A,A3150))&gt;1,"ID重复",""))</f>
        <v/>
      </c>
      <c r="D3150" s="10">
        <v>103</v>
      </c>
      <c r="E3150" s="132" t="str">
        <f>INDEX([1]道具配置表!$D:$D,MATCH(D3150,[1]道具配置表!$A:$A,0))</f>
        <v>1石头</v>
      </c>
      <c r="F3150" s="10">
        <v>124000</v>
      </c>
      <c r="G3150" s="10"/>
      <c r="H3150" s="10"/>
      <c r="I3150" s="10"/>
      <c r="J3150" s="10"/>
      <c r="K3150" s="10">
        <v>1</v>
      </c>
      <c r="L3150" s="10"/>
      <c r="M3150" s="10" t="b">
        <v>1</v>
      </c>
      <c r="N3150" s="18"/>
    </row>
    <row r="3151" spans="1:14" s="19" customFormat="1" outlineLevel="1" x14ac:dyDescent="0.25">
      <c r="A3151" s="10" t="s">
        <v>119</v>
      </c>
      <c r="B3151" s="10"/>
      <c r="C3151" s="21" t="str">
        <f>IF(A3151="","",IF((COUNTIFS(A:A,A3151))&gt;1,"ID重复",""))</f>
        <v/>
      </c>
      <c r="D3151" s="10">
        <v>104</v>
      </c>
      <c r="E3151" s="132" t="str">
        <f>INDEX([1]道具配置表!$D:$D,MATCH(D3151,[1]道具配置表!$A:$A,0))</f>
        <v>1黄金</v>
      </c>
      <c r="F3151" s="10">
        <v>124000</v>
      </c>
      <c r="G3151" s="10"/>
      <c r="H3151" s="10"/>
      <c r="I3151" s="10"/>
      <c r="J3151" s="10"/>
      <c r="K3151" s="10">
        <v>1</v>
      </c>
      <c r="L3151" s="10"/>
      <c r="M3151" s="10" t="b">
        <v>1</v>
      </c>
      <c r="N3151" s="18"/>
    </row>
    <row r="3152" spans="1:14" s="19" customFormat="1" outlineLevel="1" x14ac:dyDescent="0.25">
      <c r="A3152" s="10" t="s">
        <v>119</v>
      </c>
      <c r="B3152" s="10"/>
      <c r="C3152" s="21" t="str">
        <f>IF(A3152="","",IF((COUNTIFS(A:A,A3152))&gt;1,"ID重复",""))</f>
        <v/>
      </c>
      <c r="D3152" s="10">
        <v>7010</v>
      </c>
      <c r="E3152" s="132" t="str">
        <f>INDEX([1]道具配置表!$D:$D,MATCH(D3152,[1]道具配置表!$A:$A,0))</f>
        <v>军演币</v>
      </c>
      <c r="F3152" s="10">
        <v>300</v>
      </c>
      <c r="G3152" s="10"/>
      <c r="H3152" s="10"/>
      <c r="I3152" s="10"/>
      <c r="J3152" s="10"/>
      <c r="K3152" s="10">
        <v>1</v>
      </c>
      <c r="L3152" s="10"/>
      <c r="M3152" s="10" t="b">
        <v>1</v>
      </c>
      <c r="N3152" s="18"/>
    </row>
    <row r="3153" spans="1:14" s="19" customFormat="1" outlineLevel="1" x14ac:dyDescent="0.25">
      <c r="A3153" s="10">
        <v>6623140</v>
      </c>
      <c r="B3153" s="10" t="s">
        <v>82</v>
      </c>
      <c r="C3153" s="21" t="str">
        <f>IF(A3153="","",IF((COUNTIFS(A:A,A3153))&gt;1,"ID重复",""))</f>
        <v/>
      </c>
      <c r="D3153" s="10">
        <v>102</v>
      </c>
      <c r="E3153" s="132" t="str">
        <f>INDEX([1]道具配置表!$D:$D,MATCH(D3153,[1]道具配置表!$A:$A,0))</f>
        <v>1食物</v>
      </c>
      <c r="F3153" s="10">
        <f>F3154</f>
        <v>127000</v>
      </c>
      <c r="G3153" s="10"/>
      <c r="H3153" s="10"/>
      <c r="I3153" s="10"/>
      <c r="J3153" s="10"/>
      <c r="K3153" s="10">
        <v>1</v>
      </c>
      <c r="L3153" s="10"/>
      <c r="M3153" s="10" t="b">
        <v>1</v>
      </c>
      <c r="N3153" s="18"/>
    </row>
    <row r="3154" spans="1:14" s="19" customFormat="1" outlineLevel="1" x14ac:dyDescent="0.25">
      <c r="A3154" s="10" t="s">
        <v>119</v>
      </c>
      <c r="B3154" s="10"/>
      <c r="C3154" s="21" t="str">
        <f>IF(A3154="","",IF((COUNTIFS(A:A,A3154))&gt;1,"ID重复",""))</f>
        <v/>
      </c>
      <c r="D3154" s="10">
        <v>101</v>
      </c>
      <c r="E3154" s="132" t="str">
        <f>INDEX([1]道具配置表!$D:$D,MATCH(D3154,[1]道具配置表!$A:$A,0))</f>
        <v>1木材</v>
      </c>
      <c r="F3154" s="10">
        <v>127000</v>
      </c>
      <c r="G3154" s="10"/>
      <c r="H3154" s="10"/>
      <c r="I3154" s="10"/>
      <c r="J3154" s="10"/>
      <c r="K3154" s="10">
        <v>1</v>
      </c>
      <c r="L3154" s="10"/>
      <c r="M3154" s="10" t="b">
        <v>1</v>
      </c>
      <c r="N3154" s="18"/>
    </row>
    <row r="3155" spans="1:14" s="19" customFormat="1" outlineLevel="1" x14ac:dyDescent="0.25">
      <c r="A3155" s="10" t="s">
        <v>119</v>
      </c>
      <c r="B3155" s="10"/>
      <c r="C3155" s="21" t="str">
        <f>IF(A3155="","",IF((COUNTIFS(A:A,A3155))&gt;1,"ID重复",""))</f>
        <v/>
      </c>
      <c r="D3155" s="10">
        <v>103</v>
      </c>
      <c r="E3155" s="132" t="str">
        <f>INDEX([1]道具配置表!$D:$D,MATCH(D3155,[1]道具配置表!$A:$A,0))</f>
        <v>1石头</v>
      </c>
      <c r="F3155" s="10">
        <v>127000</v>
      </c>
      <c r="G3155" s="10"/>
      <c r="H3155" s="10"/>
      <c r="I3155" s="10"/>
      <c r="J3155" s="10"/>
      <c r="K3155" s="10">
        <v>1</v>
      </c>
      <c r="L3155" s="10"/>
      <c r="M3155" s="10" t="b">
        <v>1</v>
      </c>
      <c r="N3155" s="18"/>
    </row>
    <row r="3156" spans="1:14" s="19" customFormat="1" outlineLevel="1" x14ac:dyDescent="0.25">
      <c r="A3156" s="10" t="s">
        <v>119</v>
      </c>
      <c r="B3156" s="10"/>
      <c r="C3156" s="21" t="str">
        <f>IF(A3156="","",IF((COUNTIFS(A:A,A3156))&gt;1,"ID重复",""))</f>
        <v/>
      </c>
      <c r="D3156" s="10">
        <v>104</v>
      </c>
      <c r="E3156" s="132" t="str">
        <f>INDEX([1]道具配置表!$D:$D,MATCH(D3156,[1]道具配置表!$A:$A,0))</f>
        <v>1黄金</v>
      </c>
      <c r="F3156" s="10">
        <v>127000</v>
      </c>
      <c r="G3156" s="10"/>
      <c r="H3156" s="10"/>
      <c r="I3156" s="10"/>
      <c r="J3156" s="10"/>
      <c r="K3156" s="10">
        <v>1</v>
      </c>
      <c r="L3156" s="10"/>
      <c r="M3156" s="10" t="b">
        <v>1</v>
      </c>
      <c r="N3156" s="18"/>
    </row>
    <row r="3157" spans="1:14" s="19" customFormat="1" outlineLevel="1" x14ac:dyDescent="0.25">
      <c r="A3157" s="10" t="s">
        <v>119</v>
      </c>
      <c r="B3157" s="10"/>
      <c r="C3157" s="21" t="str">
        <f>IF(A3157="","",IF((COUNTIFS(A:A,A3157))&gt;1,"ID重复",""))</f>
        <v/>
      </c>
      <c r="D3157" s="10">
        <v>7010</v>
      </c>
      <c r="E3157" s="132" t="str">
        <f>INDEX([1]道具配置表!$D:$D,MATCH(D3157,[1]道具配置表!$A:$A,0))</f>
        <v>军演币</v>
      </c>
      <c r="F3157" s="10">
        <v>310</v>
      </c>
      <c r="G3157" s="10"/>
      <c r="H3157" s="10"/>
      <c r="I3157" s="10"/>
      <c r="J3157" s="10"/>
      <c r="K3157" s="10">
        <v>1</v>
      </c>
      <c r="L3157" s="10"/>
      <c r="M3157" s="10" t="b">
        <v>1</v>
      </c>
      <c r="N3157" s="18"/>
    </row>
    <row r="3158" spans="1:14" s="19" customFormat="1" outlineLevel="1" x14ac:dyDescent="0.25">
      <c r="A3158" s="10">
        <v>6623141</v>
      </c>
      <c r="B3158" s="10" t="s">
        <v>83</v>
      </c>
      <c r="C3158" s="21" t="str">
        <f>IF(A3158="","",IF((COUNTIFS(A:A,A3158))&gt;1,"ID重复",""))</f>
        <v/>
      </c>
      <c r="D3158" s="10">
        <v>102</v>
      </c>
      <c r="E3158" s="132" t="str">
        <f>INDEX([1]道具配置表!$D:$D,MATCH(D3158,[1]道具配置表!$A:$A,0))</f>
        <v>1食物</v>
      </c>
      <c r="F3158" s="10">
        <f>F3159</f>
        <v>130000</v>
      </c>
      <c r="G3158" s="10"/>
      <c r="H3158" s="10"/>
      <c r="I3158" s="10"/>
      <c r="J3158" s="10"/>
      <c r="K3158" s="10">
        <v>1</v>
      </c>
      <c r="L3158" s="10"/>
      <c r="M3158" s="10" t="b">
        <v>1</v>
      </c>
      <c r="N3158" s="18"/>
    </row>
    <row r="3159" spans="1:14" s="19" customFormat="1" outlineLevel="1" x14ac:dyDescent="0.25">
      <c r="A3159" s="10" t="s">
        <v>119</v>
      </c>
      <c r="B3159" s="10"/>
      <c r="C3159" s="21" t="str">
        <f>IF(A3159="","",IF((COUNTIFS(A:A,A3159))&gt;1,"ID重复",""))</f>
        <v/>
      </c>
      <c r="D3159" s="10">
        <v>101</v>
      </c>
      <c r="E3159" s="132" t="str">
        <f>INDEX([1]道具配置表!$D:$D,MATCH(D3159,[1]道具配置表!$A:$A,0))</f>
        <v>1木材</v>
      </c>
      <c r="F3159" s="10">
        <v>130000</v>
      </c>
      <c r="G3159" s="10"/>
      <c r="H3159" s="10"/>
      <c r="I3159" s="10"/>
      <c r="J3159" s="10"/>
      <c r="K3159" s="10">
        <v>1</v>
      </c>
      <c r="L3159" s="10"/>
      <c r="M3159" s="10" t="b">
        <v>1</v>
      </c>
      <c r="N3159" s="18"/>
    </row>
    <row r="3160" spans="1:14" s="19" customFormat="1" outlineLevel="1" x14ac:dyDescent="0.25">
      <c r="A3160" s="10" t="s">
        <v>119</v>
      </c>
      <c r="B3160" s="10"/>
      <c r="C3160" s="21" t="str">
        <f>IF(A3160="","",IF((COUNTIFS(A:A,A3160))&gt;1,"ID重复",""))</f>
        <v/>
      </c>
      <c r="D3160" s="10">
        <v>103</v>
      </c>
      <c r="E3160" s="132" t="str">
        <f>INDEX([1]道具配置表!$D:$D,MATCH(D3160,[1]道具配置表!$A:$A,0))</f>
        <v>1石头</v>
      </c>
      <c r="F3160" s="10">
        <v>130000</v>
      </c>
      <c r="G3160" s="10"/>
      <c r="H3160" s="10"/>
      <c r="I3160" s="10"/>
      <c r="J3160" s="10"/>
      <c r="K3160" s="10">
        <v>1</v>
      </c>
      <c r="L3160" s="10"/>
      <c r="M3160" s="10" t="b">
        <v>1</v>
      </c>
      <c r="N3160" s="18"/>
    </row>
    <row r="3161" spans="1:14" s="19" customFormat="1" outlineLevel="1" x14ac:dyDescent="0.25">
      <c r="A3161" s="10" t="s">
        <v>119</v>
      </c>
      <c r="B3161" s="10"/>
      <c r="C3161" s="21" t="str">
        <f>IF(A3161="","",IF((COUNTIFS(A:A,A3161))&gt;1,"ID重复",""))</f>
        <v/>
      </c>
      <c r="D3161" s="10">
        <v>104</v>
      </c>
      <c r="E3161" s="132" t="str">
        <f>INDEX([1]道具配置表!$D:$D,MATCH(D3161,[1]道具配置表!$A:$A,0))</f>
        <v>1黄金</v>
      </c>
      <c r="F3161" s="10">
        <v>130000</v>
      </c>
      <c r="G3161" s="10"/>
      <c r="H3161" s="10"/>
      <c r="I3161" s="10"/>
      <c r="J3161" s="10"/>
      <c r="K3161" s="10">
        <v>1</v>
      </c>
      <c r="L3161" s="10"/>
      <c r="M3161" s="10" t="b">
        <v>1</v>
      </c>
      <c r="N3161" s="18"/>
    </row>
    <row r="3162" spans="1:14" s="19" customFormat="1" outlineLevel="1" x14ac:dyDescent="0.25">
      <c r="A3162" s="10" t="s">
        <v>119</v>
      </c>
      <c r="B3162" s="10"/>
      <c r="C3162" s="21" t="str">
        <f>IF(A3162="","",IF((COUNTIFS(A:A,A3162))&gt;1,"ID重复",""))</f>
        <v/>
      </c>
      <c r="D3162" s="10">
        <v>7010</v>
      </c>
      <c r="E3162" s="132" t="str">
        <f>INDEX([1]道具配置表!$D:$D,MATCH(D3162,[1]道具配置表!$A:$A,0))</f>
        <v>军演币</v>
      </c>
      <c r="F3162" s="10">
        <v>320</v>
      </c>
      <c r="G3162" s="10"/>
      <c r="H3162" s="10"/>
      <c r="I3162" s="10"/>
      <c r="J3162" s="10"/>
      <c r="K3162" s="10">
        <v>1</v>
      </c>
      <c r="L3162" s="10"/>
      <c r="M3162" s="10" t="b">
        <v>1</v>
      </c>
      <c r="N3162" s="18"/>
    </row>
    <row r="3163" spans="1:14" x14ac:dyDescent="0.25">
      <c r="A3163" s="10">
        <v>6623142</v>
      </c>
      <c r="B3163" s="10" t="s">
        <v>84</v>
      </c>
      <c r="C3163" s="21" t="str">
        <f>IF(A3163="","",IF((COUNTIFS(A:A,A3163))&gt;1,"ID重复",""))</f>
        <v/>
      </c>
      <c r="D3163" s="10">
        <v>102</v>
      </c>
      <c r="E3163" s="132" t="str">
        <f>INDEX([1]道具配置表!$D:$D,MATCH(D3163,[1]道具配置表!$A:$A,0))</f>
        <v>1食物</v>
      </c>
      <c r="F3163" s="10">
        <f>F3164</f>
        <v>133000</v>
      </c>
      <c r="G3163" s="10"/>
      <c r="H3163" s="10"/>
      <c r="I3163" s="10"/>
      <c r="J3163" s="10"/>
      <c r="K3163" s="10">
        <v>1</v>
      </c>
      <c r="L3163" s="10"/>
      <c r="M3163" s="10" t="b">
        <v>1</v>
      </c>
      <c r="N3163" s="17"/>
    </row>
    <row r="3164" spans="1:14" x14ac:dyDescent="0.25">
      <c r="A3164" s="10" t="s">
        <v>119</v>
      </c>
      <c r="B3164" s="10"/>
      <c r="C3164" s="21" t="str">
        <f>IF(A3164="","",IF((COUNTIFS(A:A,A3164))&gt;1,"ID重复",""))</f>
        <v/>
      </c>
      <c r="D3164" s="10">
        <v>101</v>
      </c>
      <c r="E3164" s="132" t="str">
        <f>INDEX([1]道具配置表!$D:$D,MATCH(D3164,[1]道具配置表!$A:$A,0))</f>
        <v>1木材</v>
      </c>
      <c r="F3164" s="10">
        <v>133000</v>
      </c>
      <c r="G3164" s="10"/>
      <c r="H3164" s="10"/>
      <c r="I3164" s="10"/>
      <c r="J3164" s="10"/>
      <c r="K3164" s="10">
        <v>1</v>
      </c>
      <c r="L3164" s="10"/>
      <c r="M3164" s="10" t="b">
        <v>1</v>
      </c>
      <c r="N3164" s="17"/>
    </row>
    <row r="3165" spans="1:14" x14ac:dyDescent="0.25">
      <c r="A3165" s="10" t="s">
        <v>119</v>
      </c>
      <c r="B3165" s="10"/>
      <c r="C3165" s="21" t="str">
        <f>IF(A3165="","",IF((COUNTIFS(A:A,A3165))&gt;1,"ID重复",""))</f>
        <v/>
      </c>
      <c r="D3165" s="10">
        <v>103</v>
      </c>
      <c r="E3165" s="132" t="str">
        <f>INDEX([1]道具配置表!$D:$D,MATCH(D3165,[1]道具配置表!$A:$A,0))</f>
        <v>1石头</v>
      </c>
      <c r="F3165" s="10">
        <v>133000</v>
      </c>
      <c r="G3165" s="10"/>
      <c r="H3165" s="10"/>
      <c r="I3165" s="10"/>
      <c r="J3165" s="10"/>
      <c r="K3165" s="10">
        <v>1</v>
      </c>
      <c r="L3165" s="10"/>
      <c r="M3165" s="10" t="b">
        <v>1</v>
      </c>
      <c r="N3165" s="17"/>
    </row>
    <row r="3166" spans="1:14" x14ac:dyDescent="0.25">
      <c r="A3166" s="10" t="s">
        <v>119</v>
      </c>
      <c r="B3166" s="10"/>
      <c r="C3166" s="21" t="str">
        <f>IF(A3166="","",IF((COUNTIFS(A:A,A3166))&gt;1,"ID重复",""))</f>
        <v/>
      </c>
      <c r="D3166" s="10">
        <v>104</v>
      </c>
      <c r="E3166" s="132" t="str">
        <f>INDEX([1]道具配置表!$D:$D,MATCH(D3166,[1]道具配置表!$A:$A,0))</f>
        <v>1黄金</v>
      </c>
      <c r="F3166" s="10">
        <v>133000</v>
      </c>
      <c r="G3166" s="10"/>
      <c r="H3166" s="10"/>
      <c r="I3166" s="10"/>
      <c r="J3166" s="10"/>
      <c r="K3166" s="10">
        <v>1</v>
      </c>
      <c r="L3166" s="10"/>
      <c r="M3166" s="10" t="b">
        <v>1</v>
      </c>
      <c r="N3166" s="17"/>
    </row>
    <row r="3167" spans="1:14" x14ac:dyDescent="0.25">
      <c r="A3167" s="10" t="s">
        <v>119</v>
      </c>
      <c r="B3167" s="10"/>
      <c r="C3167" s="21" t="str">
        <f>IF(A3167="","",IF((COUNTIFS(A:A,A3167))&gt;1,"ID重复",""))</f>
        <v/>
      </c>
      <c r="D3167" s="10">
        <v>7010</v>
      </c>
      <c r="E3167" s="132" t="str">
        <f>INDEX([1]道具配置表!$D:$D,MATCH(D3167,[1]道具配置表!$A:$A,0))</f>
        <v>军演币</v>
      </c>
      <c r="F3167" s="10">
        <v>330</v>
      </c>
      <c r="G3167" s="10"/>
      <c r="H3167" s="10"/>
      <c r="I3167" s="10"/>
      <c r="J3167" s="10"/>
      <c r="K3167" s="10">
        <v>1</v>
      </c>
      <c r="L3167" s="10"/>
      <c r="M3167" s="10" t="b">
        <v>1</v>
      </c>
      <c r="N3167" s="17"/>
    </row>
    <row r="3168" spans="1:14" x14ac:dyDescent="0.25">
      <c r="A3168" s="10">
        <v>6623143</v>
      </c>
      <c r="B3168" s="10" t="s">
        <v>85</v>
      </c>
      <c r="C3168" s="21" t="str">
        <f>IF(A3168="","",IF((COUNTIFS(A:A,A3168))&gt;1,"ID重复",""))</f>
        <v/>
      </c>
      <c r="D3168" s="10">
        <v>102</v>
      </c>
      <c r="E3168" s="132" t="str">
        <f>INDEX([1]道具配置表!$D:$D,MATCH(D3168,[1]道具配置表!$A:$A,0))</f>
        <v>1食物</v>
      </c>
      <c r="F3168" s="10">
        <f>F3169</f>
        <v>136000</v>
      </c>
      <c r="G3168" s="10"/>
      <c r="H3168" s="10"/>
      <c r="I3168" s="10"/>
      <c r="J3168" s="10"/>
      <c r="K3168" s="10">
        <v>1</v>
      </c>
      <c r="L3168" s="10"/>
      <c r="M3168" s="10" t="b">
        <v>1</v>
      </c>
      <c r="N3168" s="17"/>
    </row>
    <row r="3169" spans="1:14" x14ac:dyDescent="0.25">
      <c r="A3169" s="10" t="s">
        <v>119</v>
      </c>
      <c r="B3169" s="10"/>
      <c r="C3169" s="21" t="str">
        <f>IF(A3169="","",IF((COUNTIFS(A:A,A3169))&gt;1,"ID重复",""))</f>
        <v/>
      </c>
      <c r="D3169" s="10">
        <v>101</v>
      </c>
      <c r="E3169" s="132" t="str">
        <f>INDEX([1]道具配置表!$D:$D,MATCH(D3169,[1]道具配置表!$A:$A,0))</f>
        <v>1木材</v>
      </c>
      <c r="F3169" s="10">
        <v>136000</v>
      </c>
      <c r="G3169" s="10"/>
      <c r="H3169" s="10"/>
      <c r="I3169" s="10"/>
      <c r="J3169" s="10"/>
      <c r="K3169" s="10">
        <v>1</v>
      </c>
      <c r="L3169" s="10"/>
      <c r="M3169" s="10" t="b">
        <v>1</v>
      </c>
      <c r="N3169" s="17"/>
    </row>
    <row r="3170" spans="1:14" x14ac:dyDescent="0.25">
      <c r="A3170" s="10" t="s">
        <v>119</v>
      </c>
      <c r="B3170" s="10"/>
      <c r="C3170" s="21" t="str">
        <f>IF(A3170="","",IF((COUNTIFS(A:A,A3170))&gt;1,"ID重复",""))</f>
        <v/>
      </c>
      <c r="D3170" s="10">
        <v>103</v>
      </c>
      <c r="E3170" s="132" t="str">
        <f>INDEX([1]道具配置表!$D:$D,MATCH(D3170,[1]道具配置表!$A:$A,0))</f>
        <v>1石头</v>
      </c>
      <c r="F3170" s="10">
        <v>136000</v>
      </c>
      <c r="G3170" s="10"/>
      <c r="H3170" s="10"/>
      <c r="I3170" s="10"/>
      <c r="J3170" s="10"/>
      <c r="K3170" s="10">
        <v>1</v>
      </c>
      <c r="L3170" s="10"/>
      <c r="M3170" s="10" t="b">
        <v>1</v>
      </c>
      <c r="N3170" s="17"/>
    </row>
    <row r="3171" spans="1:14" x14ac:dyDescent="0.25">
      <c r="A3171" s="10" t="s">
        <v>119</v>
      </c>
      <c r="B3171" s="10"/>
      <c r="C3171" s="21" t="str">
        <f>IF(A3171="","",IF((COUNTIFS(A:A,A3171))&gt;1,"ID重复",""))</f>
        <v/>
      </c>
      <c r="D3171" s="10">
        <v>104</v>
      </c>
      <c r="E3171" s="132" t="str">
        <f>INDEX([1]道具配置表!$D:$D,MATCH(D3171,[1]道具配置表!$A:$A,0))</f>
        <v>1黄金</v>
      </c>
      <c r="F3171" s="10">
        <v>136000</v>
      </c>
      <c r="G3171" s="10"/>
      <c r="H3171" s="10"/>
      <c r="I3171" s="10"/>
      <c r="J3171" s="10"/>
      <c r="K3171" s="10">
        <v>1</v>
      </c>
      <c r="L3171" s="10"/>
      <c r="M3171" s="10" t="b">
        <v>1</v>
      </c>
      <c r="N3171" s="17"/>
    </row>
    <row r="3172" spans="1:14" x14ac:dyDescent="0.25">
      <c r="A3172" s="10" t="s">
        <v>119</v>
      </c>
      <c r="B3172" s="10"/>
      <c r="C3172" s="21" t="str">
        <f>IF(A3172="","",IF((COUNTIFS(A:A,A3172))&gt;1,"ID重复",""))</f>
        <v/>
      </c>
      <c r="D3172" s="10">
        <v>7010</v>
      </c>
      <c r="E3172" s="132" t="str">
        <f>INDEX([1]道具配置表!$D:$D,MATCH(D3172,[1]道具配置表!$A:$A,0))</f>
        <v>军演币</v>
      </c>
      <c r="F3172" s="10">
        <v>340</v>
      </c>
      <c r="G3172" s="10"/>
      <c r="H3172" s="10"/>
      <c r="I3172" s="10"/>
      <c r="J3172" s="10"/>
      <c r="K3172" s="10">
        <v>1</v>
      </c>
      <c r="L3172" s="10"/>
      <c r="M3172" s="10" t="b">
        <v>1</v>
      </c>
      <c r="N3172" s="17"/>
    </row>
    <row r="3173" spans="1:14" x14ac:dyDescent="0.25">
      <c r="A3173" s="10">
        <v>6623144</v>
      </c>
      <c r="B3173" s="10" t="s">
        <v>86</v>
      </c>
      <c r="C3173" s="21" t="str">
        <f>IF(A3173="","",IF((COUNTIFS(A:A,A3173))&gt;1,"ID重复",""))</f>
        <v/>
      </c>
      <c r="D3173" s="10">
        <v>102</v>
      </c>
      <c r="E3173" s="132" t="str">
        <f>INDEX([1]道具配置表!$D:$D,MATCH(D3173,[1]道具配置表!$A:$A,0))</f>
        <v>1食物</v>
      </c>
      <c r="F3173" s="10">
        <f>F3174</f>
        <v>139000</v>
      </c>
      <c r="G3173" s="10"/>
      <c r="H3173" s="10"/>
      <c r="I3173" s="10"/>
      <c r="J3173" s="10"/>
      <c r="K3173" s="10">
        <v>1</v>
      </c>
      <c r="L3173" s="10"/>
      <c r="M3173" s="10" t="b">
        <v>1</v>
      </c>
      <c r="N3173" s="17"/>
    </row>
    <row r="3174" spans="1:14" x14ac:dyDescent="0.25">
      <c r="A3174" s="10" t="s">
        <v>119</v>
      </c>
      <c r="B3174" s="10"/>
      <c r="C3174" s="21" t="str">
        <f>IF(A3174="","",IF((COUNTIFS(A:A,A3174))&gt;1,"ID重复",""))</f>
        <v/>
      </c>
      <c r="D3174" s="10">
        <v>101</v>
      </c>
      <c r="E3174" s="132" t="str">
        <f>INDEX([1]道具配置表!$D:$D,MATCH(D3174,[1]道具配置表!$A:$A,0))</f>
        <v>1木材</v>
      </c>
      <c r="F3174" s="10">
        <v>139000</v>
      </c>
      <c r="G3174" s="10"/>
      <c r="H3174" s="10"/>
      <c r="I3174" s="10"/>
      <c r="J3174" s="10"/>
      <c r="K3174" s="10">
        <v>1</v>
      </c>
      <c r="L3174" s="10"/>
      <c r="M3174" s="10" t="b">
        <v>1</v>
      </c>
      <c r="N3174" s="17"/>
    </row>
    <row r="3175" spans="1:14" x14ac:dyDescent="0.25">
      <c r="A3175" s="10" t="s">
        <v>119</v>
      </c>
      <c r="B3175" s="10"/>
      <c r="C3175" s="21" t="str">
        <f>IF(A3175="","",IF((COUNTIFS(A:A,A3175))&gt;1,"ID重复",""))</f>
        <v/>
      </c>
      <c r="D3175" s="10">
        <v>103</v>
      </c>
      <c r="E3175" s="132" t="str">
        <f>INDEX([1]道具配置表!$D:$D,MATCH(D3175,[1]道具配置表!$A:$A,0))</f>
        <v>1石头</v>
      </c>
      <c r="F3175" s="10">
        <v>139000</v>
      </c>
      <c r="G3175" s="10"/>
      <c r="H3175" s="10"/>
      <c r="I3175" s="10"/>
      <c r="J3175" s="10"/>
      <c r="K3175" s="10">
        <v>1</v>
      </c>
      <c r="L3175" s="10"/>
      <c r="M3175" s="10" t="b">
        <v>1</v>
      </c>
      <c r="N3175" s="17"/>
    </row>
    <row r="3176" spans="1:14" x14ac:dyDescent="0.25">
      <c r="A3176" s="10" t="s">
        <v>119</v>
      </c>
      <c r="B3176" s="10"/>
      <c r="C3176" s="21" t="str">
        <f>IF(A3176="","",IF((COUNTIFS(A:A,A3176))&gt;1,"ID重复",""))</f>
        <v/>
      </c>
      <c r="D3176" s="10">
        <v>104</v>
      </c>
      <c r="E3176" s="132" t="str">
        <f>INDEX([1]道具配置表!$D:$D,MATCH(D3176,[1]道具配置表!$A:$A,0))</f>
        <v>1黄金</v>
      </c>
      <c r="F3176" s="10">
        <v>139000</v>
      </c>
      <c r="G3176" s="10"/>
      <c r="H3176" s="10"/>
      <c r="I3176" s="10"/>
      <c r="J3176" s="10"/>
      <c r="K3176" s="10">
        <v>1</v>
      </c>
      <c r="L3176" s="10"/>
      <c r="M3176" s="10" t="b">
        <v>1</v>
      </c>
      <c r="N3176" s="17"/>
    </row>
    <row r="3177" spans="1:14" x14ac:dyDescent="0.25">
      <c r="A3177" s="10" t="s">
        <v>119</v>
      </c>
      <c r="B3177" s="10"/>
      <c r="C3177" s="21" t="str">
        <f>IF(A3177="","",IF((COUNTIFS(A:A,A3177))&gt;1,"ID重复",""))</f>
        <v/>
      </c>
      <c r="D3177" s="10">
        <v>7010</v>
      </c>
      <c r="E3177" s="132" t="str">
        <f>INDEX([1]道具配置表!$D:$D,MATCH(D3177,[1]道具配置表!$A:$A,0))</f>
        <v>军演币</v>
      </c>
      <c r="F3177" s="10">
        <v>350</v>
      </c>
      <c r="G3177" s="10"/>
      <c r="H3177" s="10"/>
      <c r="I3177" s="10"/>
      <c r="J3177" s="10"/>
      <c r="K3177" s="10">
        <v>1</v>
      </c>
      <c r="L3177" s="10"/>
      <c r="M3177" s="10" t="b">
        <v>1</v>
      </c>
      <c r="N3177" s="17"/>
    </row>
    <row r="3178" spans="1:14" x14ac:dyDescent="0.25">
      <c r="A3178" s="10">
        <v>6623145</v>
      </c>
      <c r="B3178" s="10" t="s">
        <v>87</v>
      </c>
      <c r="C3178" s="21" t="str">
        <f>IF(A3178="","",IF((COUNTIFS(A:A,A3178))&gt;1,"ID重复",""))</f>
        <v/>
      </c>
      <c r="D3178" s="10">
        <v>102</v>
      </c>
      <c r="E3178" s="132" t="str">
        <f>INDEX([1]道具配置表!$D:$D,MATCH(D3178,[1]道具配置表!$A:$A,0))</f>
        <v>1食物</v>
      </c>
      <c r="F3178" s="10">
        <f>F3179</f>
        <v>142000</v>
      </c>
      <c r="G3178" s="10"/>
      <c r="H3178" s="10"/>
      <c r="I3178" s="10"/>
      <c r="J3178" s="10"/>
      <c r="K3178" s="10">
        <v>1</v>
      </c>
      <c r="L3178" s="10"/>
      <c r="M3178" s="10" t="b">
        <v>1</v>
      </c>
      <c r="N3178" s="17"/>
    </row>
    <row r="3179" spans="1:14" x14ac:dyDescent="0.25">
      <c r="A3179" s="10" t="s">
        <v>119</v>
      </c>
      <c r="B3179" s="10"/>
      <c r="C3179" s="21" t="str">
        <f>IF(A3179="","",IF((COUNTIFS(A:A,A3179))&gt;1,"ID重复",""))</f>
        <v/>
      </c>
      <c r="D3179" s="10">
        <v>101</v>
      </c>
      <c r="E3179" s="132" t="str">
        <f>INDEX([1]道具配置表!$D:$D,MATCH(D3179,[1]道具配置表!$A:$A,0))</f>
        <v>1木材</v>
      </c>
      <c r="F3179" s="10">
        <v>142000</v>
      </c>
      <c r="G3179" s="10"/>
      <c r="H3179" s="10"/>
      <c r="I3179" s="10"/>
      <c r="J3179" s="10"/>
      <c r="K3179" s="10">
        <v>1</v>
      </c>
      <c r="L3179" s="10"/>
      <c r="M3179" s="10" t="b">
        <v>1</v>
      </c>
      <c r="N3179" s="17"/>
    </row>
    <row r="3180" spans="1:14" x14ac:dyDescent="0.25">
      <c r="A3180" s="10" t="s">
        <v>119</v>
      </c>
      <c r="B3180" s="10"/>
      <c r="C3180" s="21" t="str">
        <f>IF(A3180="","",IF((COUNTIFS(A:A,A3180))&gt;1,"ID重复",""))</f>
        <v/>
      </c>
      <c r="D3180" s="10">
        <v>103</v>
      </c>
      <c r="E3180" s="132" t="str">
        <f>INDEX([1]道具配置表!$D:$D,MATCH(D3180,[1]道具配置表!$A:$A,0))</f>
        <v>1石头</v>
      </c>
      <c r="F3180" s="10">
        <v>142000</v>
      </c>
      <c r="G3180" s="10"/>
      <c r="H3180" s="10"/>
      <c r="I3180" s="10"/>
      <c r="J3180" s="10"/>
      <c r="K3180" s="10">
        <v>1</v>
      </c>
      <c r="L3180" s="10"/>
      <c r="M3180" s="10" t="b">
        <v>1</v>
      </c>
      <c r="N3180" s="17"/>
    </row>
    <row r="3181" spans="1:14" x14ac:dyDescent="0.25">
      <c r="A3181" s="10" t="s">
        <v>119</v>
      </c>
      <c r="B3181" s="10"/>
      <c r="C3181" s="21" t="str">
        <f>IF(A3181="","",IF((COUNTIFS(A:A,A3181))&gt;1,"ID重复",""))</f>
        <v/>
      </c>
      <c r="D3181" s="10">
        <v>104</v>
      </c>
      <c r="E3181" s="132" t="str">
        <f>INDEX([1]道具配置表!$D:$D,MATCH(D3181,[1]道具配置表!$A:$A,0))</f>
        <v>1黄金</v>
      </c>
      <c r="F3181" s="10">
        <v>142000</v>
      </c>
      <c r="G3181" s="10"/>
      <c r="H3181" s="10"/>
      <c r="I3181" s="10"/>
      <c r="J3181" s="10"/>
      <c r="K3181" s="10">
        <v>1</v>
      </c>
      <c r="L3181" s="10"/>
      <c r="M3181" s="10" t="b">
        <v>1</v>
      </c>
      <c r="N3181" s="17"/>
    </row>
    <row r="3182" spans="1:14" x14ac:dyDescent="0.25">
      <c r="A3182" s="10" t="s">
        <v>119</v>
      </c>
      <c r="B3182" s="10"/>
      <c r="C3182" s="21" t="str">
        <f>IF(A3182="","",IF((COUNTIFS(A:A,A3182))&gt;1,"ID重复",""))</f>
        <v/>
      </c>
      <c r="D3182" s="10">
        <v>7010</v>
      </c>
      <c r="E3182" s="132" t="str">
        <f>INDEX([1]道具配置表!$D:$D,MATCH(D3182,[1]道具配置表!$A:$A,0))</f>
        <v>军演币</v>
      </c>
      <c r="F3182" s="10">
        <v>360</v>
      </c>
      <c r="G3182" s="10"/>
      <c r="H3182" s="10"/>
      <c r="I3182" s="10"/>
      <c r="J3182" s="10"/>
      <c r="K3182" s="10">
        <v>1</v>
      </c>
      <c r="L3182" s="10"/>
      <c r="M3182" s="10" t="b">
        <v>1</v>
      </c>
      <c r="N3182" s="17"/>
    </row>
    <row r="3183" spans="1:14" x14ac:dyDescent="0.25">
      <c r="A3183" s="10">
        <v>6623146</v>
      </c>
      <c r="B3183" s="10" t="s">
        <v>88</v>
      </c>
      <c r="C3183" s="21" t="str">
        <f>IF(A3183="","",IF((COUNTIFS(A:A,A3183))&gt;1,"ID重复",""))</f>
        <v/>
      </c>
      <c r="D3183" s="10">
        <v>102</v>
      </c>
      <c r="E3183" s="132" t="str">
        <f>INDEX([1]道具配置表!$D:$D,MATCH(D3183,[1]道具配置表!$A:$A,0))</f>
        <v>1食物</v>
      </c>
      <c r="F3183" s="10">
        <f>F3184</f>
        <v>145000</v>
      </c>
      <c r="G3183" s="10"/>
      <c r="H3183" s="10"/>
      <c r="I3183" s="10"/>
      <c r="J3183" s="10"/>
      <c r="K3183" s="10">
        <v>1</v>
      </c>
      <c r="L3183" s="10"/>
      <c r="M3183" s="10" t="b">
        <v>1</v>
      </c>
      <c r="N3183" s="17"/>
    </row>
    <row r="3184" spans="1:14" x14ac:dyDescent="0.25">
      <c r="A3184" s="10" t="s">
        <v>119</v>
      </c>
      <c r="B3184" s="10"/>
      <c r="C3184" s="21" t="str">
        <f>IF(A3184="","",IF((COUNTIFS(A:A,A3184))&gt;1,"ID重复",""))</f>
        <v/>
      </c>
      <c r="D3184" s="10">
        <v>101</v>
      </c>
      <c r="E3184" s="132" t="str">
        <f>INDEX([1]道具配置表!$D:$D,MATCH(D3184,[1]道具配置表!$A:$A,0))</f>
        <v>1木材</v>
      </c>
      <c r="F3184" s="10">
        <v>145000</v>
      </c>
      <c r="G3184" s="10"/>
      <c r="H3184" s="10"/>
      <c r="I3184" s="10"/>
      <c r="J3184" s="10"/>
      <c r="K3184" s="10">
        <v>1</v>
      </c>
      <c r="L3184" s="10"/>
      <c r="M3184" s="10" t="b">
        <v>1</v>
      </c>
      <c r="N3184" s="17"/>
    </row>
    <row r="3185" spans="1:14" x14ac:dyDescent="0.25">
      <c r="A3185" s="10" t="s">
        <v>119</v>
      </c>
      <c r="B3185" s="10"/>
      <c r="C3185" s="21" t="str">
        <f>IF(A3185="","",IF((COUNTIFS(A:A,A3185))&gt;1,"ID重复",""))</f>
        <v/>
      </c>
      <c r="D3185" s="10">
        <v>103</v>
      </c>
      <c r="E3185" s="132" t="str">
        <f>INDEX([1]道具配置表!$D:$D,MATCH(D3185,[1]道具配置表!$A:$A,0))</f>
        <v>1石头</v>
      </c>
      <c r="F3185" s="10">
        <v>145000</v>
      </c>
      <c r="G3185" s="10"/>
      <c r="H3185" s="10"/>
      <c r="I3185" s="10"/>
      <c r="J3185" s="10"/>
      <c r="K3185" s="10">
        <v>1</v>
      </c>
      <c r="L3185" s="10"/>
      <c r="M3185" s="10" t="b">
        <v>1</v>
      </c>
      <c r="N3185" s="17"/>
    </row>
    <row r="3186" spans="1:14" x14ac:dyDescent="0.25">
      <c r="A3186" s="10" t="s">
        <v>119</v>
      </c>
      <c r="B3186" s="10"/>
      <c r="C3186" s="21" t="str">
        <f>IF(A3186="","",IF((COUNTIFS(A:A,A3186))&gt;1,"ID重复",""))</f>
        <v/>
      </c>
      <c r="D3186" s="10">
        <v>104</v>
      </c>
      <c r="E3186" s="132" t="str">
        <f>INDEX([1]道具配置表!$D:$D,MATCH(D3186,[1]道具配置表!$A:$A,0))</f>
        <v>1黄金</v>
      </c>
      <c r="F3186" s="10">
        <v>145000</v>
      </c>
      <c r="G3186" s="10"/>
      <c r="H3186" s="10"/>
      <c r="I3186" s="10"/>
      <c r="J3186" s="10"/>
      <c r="K3186" s="10">
        <v>1</v>
      </c>
      <c r="L3186" s="10"/>
      <c r="M3186" s="10" t="b">
        <v>1</v>
      </c>
      <c r="N3186" s="17"/>
    </row>
    <row r="3187" spans="1:14" x14ac:dyDescent="0.25">
      <c r="A3187" s="10" t="s">
        <v>119</v>
      </c>
      <c r="B3187" s="10"/>
      <c r="C3187" s="21" t="str">
        <f>IF(A3187="","",IF((COUNTIFS(A:A,A3187))&gt;1,"ID重复",""))</f>
        <v/>
      </c>
      <c r="D3187" s="10">
        <v>7010</v>
      </c>
      <c r="E3187" s="132" t="str">
        <f>INDEX([1]道具配置表!$D:$D,MATCH(D3187,[1]道具配置表!$A:$A,0))</f>
        <v>军演币</v>
      </c>
      <c r="F3187" s="10">
        <v>370</v>
      </c>
      <c r="G3187" s="10"/>
      <c r="H3187" s="10"/>
      <c r="I3187" s="10"/>
      <c r="J3187" s="10"/>
      <c r="K3187" s="10">
        <v>1</v>
      </c>
      <c r="L3187" s="10"/>
      <c r="M3187" s="10" t="b">
        <v>1</v>
      </c>
      <c r="N3187" s="17"/>
    </row>
    <row r="3188" spans="1:14" x14ac:dyDescent="0.25">
      <c r="A3188" s="10">
        <v>6623147</v>
      </c>
      <c r="B3188" s="10" t="s">
        <v>89</v>
      </c>
      <c r="C3188" s="21" t="str">
        <f>IF(A3188="","",IF((COUNTIFS(A:A,A3188))&gt;1,"ID重复",""))</f>
        <v/>
      </c>
      <c r="D3188" s="10">
        <v>102</v>
      </c>
      <c r="E3188" s="132" t="str">
        <f>INDEX([1]道具配置表!$D:$D,MATCH(D3188,[1]道具配置表!$A:$A,0))</f>
        <v>1食物</v>
      </c>
      <c r="F3188" s="10">
        <f>F3189</f>
        <v>148000</v>
      </c>
      <c r="G3188" s="10"/>
      <c r="H3188" s="10"/>
      <c r="I3188" s="10"/>
      <c r="J3188" s="10"/>
      <c r="K3188" s="10">
        <v>1</v>
      </c>
      <c r="L3188" s="10"/>
      <c r="M3188" s="10" t="b">
        <v>1</v>
      </c>
      <c r="N3188" s="17"/>
    </row>
    <row r="3189" spans="1:14" x14ac:dyDescent="0.25">
      <c r="A3189" s="10" t="s">
        <v>119</v>
      </c>
      <c r="B3189" s="10"/>
      <c r="C3189" s="21" t="str">
        <f>IF(A3189="","",IF((COUNTIFS(A:A,A3189))&gt;1,"ID重复",""))</f>
        <v/>
      </c>
      <c r="D3189" s="10">
        <v>101</v>
      </c>
      <c r="E3189" s="132" t="str">
        <f>INDEX([1]道具配置表!$D:$D,MATCH(D3189,[1]道具配置表!$A:$A,0))</f>
        <v>1木材</v>
      </c>
      <c r="F3189" s="10">
        <v>148000</v>
      </c>
      <c r="G3189" s="10"/>
      <c r="H3189" s="10"/>
      <c r="I3189" s="10"/>
      <c r="J3189" s="10"/>
      <c r="K3189" s="10">
        <v>1</v>
      </c>
      <c r="L3189" s="10"/>
      <c r="M3189" s="10" t="b">
        <v>1</v>
      </c>
      <c r="N3189" s="17"/>
    </row>
    <row r="3190" spans="1:14" x14ac:dyDescent="0.25">
      <c r="A3190" s="10" t="s">
        <v>119</v>
      </c>
      <c r="B3190" s="10"/>
      <c r="C3190" s="21" t="str">
        <f>IF(A3190="","",IF((COUNTIFS(A:A,A3190))&gt;1,"ID重复",""))</f>
        <v/>
      </c>
      <c r="D3190" s="10">
        <v>103</v>
      </c>
      <c r="E3190" s="132" t="str">
        <f>INDEX([1]道具配置表!$D:$D,MATCH(D3190,[1]道具配置表!$A:$A,0))</f>
        <v>1石头</v>
      </c>
      <c r="F3190" s="10">
        <v>148000</v>
      </c>
      <c r="G3190" s="10"/>
      <c r="H3190" s="10"/>
      <c r="I3190" s="10"/>
      <c r="J3190" s="10"/>
      <c r="K3190" s="10">
        <v>1</v>
      </c>
      <c r="L3190" s="10"/>
      <c r="M3190" s="10" t="b">
        <v>1</v>
      </c>
      <c r="N3190" s="17"/>
    </row>
    <row r="3191" spans="1:14" x14ac:dyDescent="0.25">
      <c r="A3191" s="10" t="s">
        <v>119</v>
      </c>
      <c r="B3191" s="10"/>
      <c r="C3191" s="21" t="str">
        <f>IF(A3191="","",IF((COUNTIFS(A:A,A3191))&gt;1,"ID重复",""))</f>
        <v/>
      </c>
      <c r="D3191" s="10">
        <v>104</v>
      </c>
      <c r="E3191" s="132" t="str">
        <f>INDEX([1]道具配置表!$D:$D,MATCH(D3191,[1]道具配置表!$A:$A,0))</f>
        <v>1黄金</v>
      </c>
      <c r="F3191" s="10">
        <v>148000</v>
      </c>
      <c r="G3191" s="10"/>
      <c r="H3191" s="10"/>
      <c r="I3191" s="10"/>
      <c r="J3191" s="10"/>
      <c r="K3191" s="10">
        <v>1</v>
      </c>
      <c r="L3191" s="10"/>
      <c r="M3191" s="10" t="b">
        <v>1</v>
      </c>
      <c r="N3191" s="17"/>
    </row>
    <row r="3192" spans="1:14" x14ac:dyDescent="0.25">
      <c r="A3192" s="10" t="s">
        <v>119</v>
      </c>
      <c r="B3192" s="10"/>
      <c r="C3192" s="21" t="str">
        <f>IF(A3192="","",IF((COUNTIFS(A:A,A3192))&gt;1,"ID重复",""))</f>
        <v/>
      </c>
      <c r="D3192" s="10">
        <v>7010</v>
      </c>
      <c r="E3192" s="132" t="str">
        <f>INDEX([1]道具配置表!$D:$D,MATCH(D3192,[1]道具配置表!$A:$A,0))</f>
        <v>军演币</v>
      </c>
      <c r="F3192" s="10">
        <v>380</v>
      </c>
      <c r="G3192" s="10"/>
      <c r="H3192" s="10"/>
      <c r="I3192" s="10"/>
      <c r="J3192" s="10"/>
      <c r="K3192" s="10">
        <v>1</v>
      </c>
      <c r="L3192" s="10"/>
      <c r="M3192" s="10" t="b">
        <v>1</v>
      </c>
      <c r="N3192" s="17"/>
    </row>
    <row r="3193" spans="1:14" x14ac:dyDescent="0.25">
      <c r="A3193" s="10">
        <v>6623148</v>
      </c>
      <c r="B3193" s="10" t="s">
        <v>90</v>
      </c>
      <c r="C3193" s="21" t="str">
        <f>IF(A3193="","",IF((COUNTIFS(A:A,A3193))&gt;1,"ID重复",""))</f>
        <v/>
      </c>
      <c r="D3193" s="10">
        <v>102</v>
      </c>
      <c r="E3193" s="132" t="str">
        <f>INDEX([1]道具配置表!$D:$D,MATCH(D3193,[1]道具配置表!$A:$A,0))</f>
        <v>1食物</v>
      </c>
      <c r="F3193" s="10">
        <f>F3194</f>
        <v>151000</v>
      </c>
      <c r="G3193" s="10"/>
      <c r="H3193" s="10"/>
      <c r="I3193" s="10"/>
      <c r="J3193" s="10"/>
      <c r="K3193" s="10">
        <v>1</v>
      </c>
      <c r="L3193" s="10"/>
      <c r="M3193" s="10" t="b">
        <v>1</v>
      </c>
      <c r="N3193" s="21"/>
    </row>
    <row r="3194" spans="1:14" x14ac:dyDescent="0.25">
      <c r="A3194" s="10" t="s">
        <v>119</v>
      </c>
      <c r="B3194" s="10"/>
      <c r="C3194" s="21" t="str">
        <f>IF(A3194="","",IF((COUNTIFS(A:A,A3194))&gt;1,"ID重复",""))</f>
        <v/>
      </c>
      <c r="D3194" s="10">
        <v>101</v>
      </c>
      <c r="E3194" s="132" t="str">
        <f>INDEX([1]道具配置表!$D:$D,MATCH(D3194,[1]道具配置表!$A:$A,0))</f>
        <v>1木材</v>
      </c>
      <c r="F3194" s="10">
        <v>151000</v>
      </c>
      <c r="G3194" s="10"/>
      <c r="H3194" s="10"/>
      <c r="I3194" s="10"/>
      <c r="J3194" s="10"/>
      <c r="K3194" s="10">
        <v>1</v>
      </c>
      <c r="L3194" s="10"/>
      <c r="M3194" s="10" t="b">
        <v>1</v>
      </c>
      <c r="N3194" s="21"/>
    </row>
    <row r="3195" spans="1:14" x14ac:dyDescent="0.25">
      <c r="A3195" s="10" t="s">
        <v>119</v>
      </c>
      <c r="B3195" s="10"/>
      <c r="C3195" s="21" t="str">
        <f>IF(A3195="","",IF((COUNTIFS(A:A,A3195))&gt;1,"ID重复",""))</f>
        <v/>
      </c>
      <c r="D3195" s="10">
        <v>103</v>
      </c>
      <c r="E3195" s="132" t="str">
        <f>INDEX([1]道具配置表!$D:$D,MATCH(D3195,[1]道具配置表!$A:$A,0))</f>
        <v>1石头</v>
      </c>
      <c r="F3195" s="10">
        <v>151000</v>
      </c>
      <c r="G3195" s="10"/>
      <c r="H3195" s="10"/>
      <c r="I3195" s="10"/>
      <c r="J3195" s="10"/>
      <c r="K3195" s="10">
        <v>1</v>
      </c>
      <c r="L3195" s="10"/>
      <c r="M3195" s="10" t="b">
        <v>1</v>
      </c>
      <c r="N3195" s="21"/>
    </row>
    <row r="3196" spans="1:14" x14ac:dyDescent="0.25">
      <c r="A3196" s="10" t="s">
        <v>119</v>
      </c>
      <c r="B3196" s="10"/>
      <c r="C3196" s="21" t="str">
        <f>IF(A3196="","",IF((COUNTIFS(A:A,A3196))&gt;1,"ID重复",""))</f>
        <v/>
      </c>
      <c r="D3196" s="10">
        <v>104</v>
      </c>
      <c r="E3196" s="132" t="str">
        <f>INDEX([1]道具配置表!$D:$D,MATCH(D3196,[1]道具配置表!$A:$A,0))</f>
        <v>1黄金</v>
      </c>
      <c r="F3196" s="10">
        <v>151000</v>
      </c>
      <c r="G3196" s="10"/>
      <c r="H3196" s="10"/>
      <c r="I3196" s="10"/>
      <c r="J3196" s="10"/>
      <c r="K3196" s="10">
        <v>1</v>
      </c>
      <c r="L3196" s="10"/>
      <c r="M3196" s="10" t="b">
        <v>1</v>
      </c>
      <c r="N3196" s="21"/>
    </row>
    <row r="3197" spans="1:14" x14ac:dyDescent="0.25">
      <c r="A3197" s="10" t="s">
        <v>119</v>
      </c>
      <c r="B3197" s="10"/>
      <c r="C3197" s="21" t="str">
        <f>IF(A3197="","",IF((COUNTIFS(A:A,A3197))&gt;1,"ID重复",""))</f>
        <v/>
      </c>
      <c r="D3197" s="10">
        <v>7010</v>
      </c>
      <c r="E3197" s="132" t="str">
        <f>INDEX([1]道具配置表!$D:$D,MATCH(D3197,[1]道具配置表!$A:$A,0))</f>
        <v>军演币</v>
      </c>
      <c r="F3197" s="10">
        <v>390</v>
      </c>
      <c r="G3197" s="10"/>
      <c r="H3197" s="10"/>
      <c r="I3197" s="10"/>
      <c r="J3197" s="10"/>
      <c r="K3197" s="10">
        <v>1</v>
      </c>
      <c r="L3197" s="10"/>
      <c r="M3197" s="10" t="b">
        <v>1</v>
      </c>
      <c r="N3197" s="21"/>
    </row>
    <row r="3198" spans="1:14" x14ac:dyDescent="0.25">
      <c r="A3198" s="10">
        <v>6623149</v>
      </c>
      <c r="B3198" s="10" t="s">
        <v>91</v>
      </c>
      <c r="C3198" s="21" t="str">
        <f>IF(A3198="","",IF((COUNTIFS(A:A,A3198))&gt;1,"ID重复",""))</f>
        <v/>
      </c>
      <c r="D3198" s="10">
        <v>102</v>
      </c>
      <c r="E3198" s="132" t="str">
        <f>INDEX([1]道具配置表!$D:$D,MATCH(D3198,[1]道具配置表!$A:$A,0))</f>
        <v>1食物</v>
      </c>
      <c r="F3198" s="10">
        <f>F3199</f>
        <v>154000</v>
      </c>
      <c r="G3198" s="10"/>
      <c r="H3198" s="10"/>
      <c r="I3198" s="10"/>
      <c r="J3198" s="10"/>
      <c r="K3198" s="10">
        <v>1</v>
      </c>
      <c r="L3198" s="10"/>
      <c r="M3198" s="10" t="b">
        <v>1</v>
      </c>
      <c r="N3198" s="21"/>
    </row>
    <row r="3199" spans="1:14" x14ac:dyDescent="0.25">
      <c r="A3199" s="10" t="s">
        <v>119</v>
      </c>
      <c r="B3199" s="10"/>
      <c r="C3199" s="21" t="str">
        <f>IF(A3199="","",IF((COUNTIFS(A:A,A3199))&gt;1,"ID重复",""))</f>
        <v/>
      </c>
      <c r="D3199" s="10">
        <v>101</v>
      </c>
      <c r="E3199" s="132" t="str">
        <f>INDEX([1]道具配置表!$D:$D,MATCH(D3199,[1]道具配置表!$A:$A,0))</f>
        <v>1木材</v>
      </c>
      <c r="F3199" s="10">
        <v>154000</v>
      </c>
      <c r="G3199" s="10"/>
      <c r="H3199" s="10"/>
      <c r="I3199" s="10"/>
      <c r="J3199" s="10"/>
      <c r="K3199" s="10">
        <v>1</v>
      </c>
      <c r="L3199" s="10"/>
      <c r="M3199" s="10" t="b">
        <v>1</v>
      </c>
      <c r="N3199" s="21"/>
    </row>
    <row r="3200" spans="1:14" x14ac:dyDescent="0.25">
      <c r="A3200" s="10" t="s">
        <v>119</v>
      </c>
      <c r="B3200" s="10"/>
      <c r="C3200" s="21" t="str">
        <f>IF(A3200="","",IF((COUNTIFS(A:A,A3200))&gt;1,"ID重复",""))</f>
        <v/>
      </c>
      <c r="D3200" s="10">
        <v>103</v>
      </c>
      <c r="E3200" s="132" t="str">
        <f>INDEX([1]道具配置表!$D:$D,MATCH(D3200,[1]道具配置表!$A:$A,0))</f>
        <v>1石头</v>
      </c>
      <c r="F3200" s="10">
        <v>154000</v>
      </c>
      <c r="G3200" s="10"/>
      <c r="H3200" s="10"/>
      <c r="I3200" s="10"/>
      <c r="J3200" s="10"/>
      <c r="K3200" s="10">
        <v>1</v>
      </c>
      <c r="L3200" s="10"/>
      <c r="M3200" s="10" t="b">
        <v>1</v>
      </c>
      <c r="N3200" s="21"/>
    </row>
    <row r="3201" spans="1:14" x14ac:dyDescent="0.25">
      <c r="A3201" s="10" t="s">
        <v>119</v>
      </c>
      <c r="B3201" s="10"/>
      <c r="C3201" s="21" t="str">
        <f>IF(A3201="","",IF((COUNTIFS(A:A,A3201))&gt;1,"ID重复",""))</f>
        <v/>
      </c>
      <c r="D3201" s="10">
        <v>104</v>
      </c>
      <c r="E3201" s="132" t="str">
        <f>INDEX([1]道具配置表!$D:$D,MATCH(D3201,[1]道具配置表!$A:$A,0))</f>
        <v>1黄金</v>
      </c>
      <c r="F3201" s="10">
        <v>154000</v>
      </c>
      <c r="G3201" s="10"/>
      <c r="H3201" s="10"/>
      <c r="I3201" s="10"/>
      <c r="J3201" s="10"/>
      <c r="K3201" s="10">
        <v>1</v>
      </c>
      <c r="L3201" s="10"/>
      <c r="M3201" s="10" t="b">
        <v>1</v>
      </c>
      <c r="N3201" s="21"/>
    </row>
    <row r="3202" spans="1:14" x14ac:dyDescent="0.25">
      <c r="A3202" s="10" t="s">
        <v>119</v>
      </c>
      <c r="B3202" s="10"/>
      <c r="C3202" s="21" t="str">
        <f>IF(A3202="","",IF((COUNTIFS(A:A,A3202))&gt;1,"ID重复",""))</f>
        <v/>
      </c>
      <c r="D3202" s="10">
        <v>7010</v>
      </c>
      <c r="E3202" s="132" t="str">
        <f>INDEX([1]道具配置表!$D:$D,MATCH(D3202,[1]道具配置表!$A:$A,0))</f>
        <v>军演币</v>
      </c>
      <c r="F3202" s="10">
        <v>400</v>
      </c>
      <c r="G3202" s="10"/>
      <c r="H3202" s="10"/>
      <c r="I3202" s="10"/>
      <c r="J3202" s="10"/>
      <c r="K3202" s="10">
        <v>1</v>
      </c>
      <c r="L3202" s="10"/>
      <c r="M3202" s="10" t="b">
        <v>1</v>
      </c>
      <c r="N3202" s="21"/>
    </row>
    <row r="3203" spans="1:14" x14ac:dyDescent="0.25">
      <c r="A3203" s="10">
        <v>6623150</v>
      </c>
      <c r="B3203" s="10" t="s">
        <v>92</v>
      </c>
      <c r="C3203" s="21" t="str">
        <f>IF(A3203="","",IF((COUNTIFS(A:A,A3203))&gt;1,"ID重复",""))</f>
        <v/>
      </c>
      <c r="D3203" s="10">
        <v>102</v>
      </c>
      <c r="E3203" s="132" t="str">
        <f>INDEX([1]道具配置表!$D:$D,MATCH(D3203,[1]道具配置表!$A:$A,0))</f>
        <v>1食物</v>
      </c>
      <c r="F3203" s="10">
        <f>F3204</f>
        <v>157000</v>
      </c>
      <c r="G3203" s="10"/>
      <c r="H3203" s="10"/>
      <c r="I3203" s="10"/>
      <c r="J3203" s="10"/>
      <c r="K3203" s="10">
        <v>1</v>
      </c>
      <c r="L3203" s="10"/>
      <c r="M3203" s="10" t="b">
        <v>1</v>
      </c>
      <c r="N3203" s="21"/>
    </row>
    <row r="3204" spans="1:14" x14ac:dyDescent="0.25">
      <c r="A3204" s="10" t="s">
        <v>119</v>
      </c>
      <c r="B3204" s="10"/>
      <c r="C3204" s="21" t="str">
        <f>IF(A3204="","",IF((COUNTIFS(A:A,A3204))&gt;1,"ID重复",""))</f>
        <v/>
      </c>
      <c r="D3204" s="10">
        <v>101</v>
      </c>
      <c r="E3204" s="132" t="str">
        <f>INDEX([1]道具配置表!$D:$D,MATCH(D3204,[1]道具配置表!$A:$A,0))</f>
        <v>1木材</v>
      </c>
      <c r="F3204" s="10">
        <v>157000</v>
      </c>
      <c r="G3204" s="10"/>
      <c r="H3204" s="10"/>
      <c r="I3204" s="10"/>
      <c r="J3204" s="10"/>
      <c r="K3204" s="10">
        <v>1</v>
      </c>
      <c r="L3204" s="10"/>
      <c r="M3204" s="10" t="b">
        <v>1</v>
      </c>
      <c r="N3204" s="21"/>
    </row>
    <row r="3205" spans="1:14" x14ac:dyDescent="0.25">
      <c r="A3205" s="10" t="s">
        <v>119</v>
      </c>
      <c r="B3205" s="10"/>
      <c r="C3205" s="21" t="str">
        <f>IF(A3205="","",IF((COUNTIFS(A:A,A3205))&gt;1,"ID重复",""))</f>
        <v/>
      </c>
      <c r="D3205" s="10">
        <v>103</v>
      </c>
      <c r="E3205" s="132" t="str">
        <f>INDEX([1]道具配置表!$D:$D,MATCH(D3205,[1]道具配置表!$A:$A,0))</f>
        <v>1石头</v>
      </c>
      <c r="F3205" s="10">
        <v>157000</v>
      </c>
      <c r="G3205" s="10"/>
      <c r="H3205" s="10"/>
      <c r="I3205" s="10"/>
      <c r="J3205" s="10"/>
      <c r="K3205" s="10">
        <v>1</v>
      </c>
      <c r="L3205" s="10"/>
      <c r="M3205" s="10" t="b">
        <v>1</v>
      </c>
      <c r="N3205" s="21"/>
    </row>
    <row r="3206" spans="1:14" x14ac:dyDescent="0.25">
      <c r="A3206" s="10" t="s">
        <v>119</v>
      </c>
      <c r="B3206" s="10"/>
      <c r="C3206" s="21" t="str">
        <f>IF(A3206="","",IF((COUNTIFS(A:A,A3206))&gt;1,"ID重复",""))</f>
        <v/>
      </c>
      <c r="D3206" s="10">
        <v>104</v>
      </c>
      <c r="E3206" s="132" t="str">
        <f>INDEX([1]道具配置表!$D:$D,MATCH(D3206,[1]道具配置表!$A:$A,0))</f>
        <v>1黄金</v>
      </c>
      <c r="F3206" s="10">
        <v>157000</v>
      </c>
      <c r="G3206" s="10"/>
      <c r="H3206" s="10"/>
      <c r="I3206" s="10"/>
      <c r="J3206" s="10"/>
      <c r="K3206" s="10">
        <v>1</v>
      </c>
      <c r="L3206" s="10"/>
      <c r="M3206" s="10" t="b">
        <v>1</v>
      </c>
      <c r="N3206" s="21"/>
    </row>
    <row r="3207" spans="1:14" x14ac:dyDescent="0.25">
      <c r="A3207" s="10" t="s">
        <v>119</v>
      </c>
      <c r="B3207" s="10"/>
      <c r="C3207" s="21" t="str">
        <f>IF(A3207="","",IF((COUNTIFS(A:A,A3207))&gt;1,"ID重复",""))</f>
        <v/>
      </c>
      <c r="D3207" s="10">
        <v>7010</v>
      </c>
      <c r="E3207" s="132" t="str">
        <f>INDEX([1]道具配置表!$D:$D,MATCH(D3207,[1]道具配置表!$A:$A,0))</f>
        <v>军演币</v>
      </c>
      <c r="F3207" s="10">
        <v>410</v>
      </c>
      <c r="G3207" s="10"/>
      <c r="H3207" s="10"/>
      <c r="I3207" s="10"/>
      <c r="J3207" s="10"/>
      <c r="K3207" s="10">
        <v>1</v>
      </c>
      <c r="L3207" s="10"/>
      <c r="M3207" s="10" t="b">
        <v>1</v>
      </c>
      <c r="N3207" s="21"/>
    </row>
    <row r="3208" spans="1:14" x14ac:dyDescent="0.25">
      <c r="A3208" s="10">
        <v>6623201</v>
      </c>
      <c r="B3208" s="10" t="s">
        <v>93</v>
      </c>
      <c r="C3208" s="21" t="str">
        <f>IF(A3208="","",IF((COUNTIFS(A:A,A3208))&gt;1,"ID重复",""))</f>
        <v/>
      </c>
      <c r="D3208" s="10">
        <v>7010</v>
      </c>
      <c r="E3208" s="132" t="str">
        <f>INDEX([1]道具配置表!$D:$D,MATCH(D3208,[1]道具配置表!$A:$A,0))</f>
        <v>军演币</v>
      </c>
      <c r="F3208" s="10">
        <v>100</v>
      </c>
      <c r="G3208" s="10"/>
      <c r="H3208" s="10"/>
      <c r="I3208" s="10"/>
      <c r="J3208" s="10"/>
      <c r="K3208" s="10">
        <v>1</v>
      </c>
      <c r="L3208" s="10"/>
      <c r="M3208" s="10" t="b">
        <v>1</v>
      </c>
      <c r="N3208" s="21"/>
    </row>
    <row r="3209" spans="1:14" x14ac:dyDescent="0.25">
      <c r="A3209" s="10">
        <v>6623202</v>
      </c>
      <c r="B3209" s="10" t="s">
        <v>94</v>
      </c>
      <c r="C3209" s="21" t="str">
        <f>IF(A3209="","",IF((COUNTIFS(A:A,A3209))&gt;1,"ID重复",""))</f>
        <v/>
      </c>
      <c r="D3209" s="10">
        <v>7010</v>
      </c>
      <c r="E3209" s="132" t="str">
        <f>INDEX([1]道具配置表!$D:$D,MATCH(D3209,[1]道具配置表!$A:$A,0))</f>
        <v>军演币</v>
      </c>
      <c r="F3209" s="10">
        <v>10</v>
      </c>
      <c r="G3209" s="10"/>
      <c r="H3209" s="10"/>
      <c r="I3209" s="10"/>
      <c r="J3209" s="10"/>
      <c r="K3209" s="10">
        <v>1</v>
      </c>
      <c r="L3209" s="10"/>
      <c r="M3209" s="10" t="b">
        <v>1</v>
      </c>
      <c r="N3209" s="21"/>
    </row>
    <row r="3210" spans="1:14" x14ac:dyDescent="0.25">
      <c r="A3210" s="10">
        <v>6623203</v>
      </c>
      <c r="B3210" s="10" t="s">
        <v>95</v>
      </c>
      <c r="C3210" s="21" t="str">
        <f>IF(A3210="","",IF((COUNTIFS(A:A,A3210))&gt;1,"ID重复",""))</f>
        <v/>
      </c>
      <c r="D3210" s="10">
        <v>7010</v>
      </c>
      <c r="E3210" s="132" t="str">
        <f>INDEX([1]道具配置表!$D:$D,MATCH(D3210,[1]道具配置表!$A:$A,0))</f>
        <v>军演币</v>
      </c>
      <c r="F3210" s="10">
        <v>12</v>
      </c>
      <c r="G3210" s="10"/>
      <c r="H3210" s="10"/>
      <c r="I3210" s="10"/>
      <c r="J3210" s="10"/>
      <c r="K3210" s="10">
        <v>1</v>
      </c>
      <c r="L3210" s="10"/>
      <c r="M3210" s="10" t="b">
        <v>1</v>
      </c>
      <c r="N3210" s="21"/>
    </row>
    <row r="3211" spans="1:14" x14ac:dyDescent="0.25">
      <c r="A3211" s="10">
        <v>6623204</v>
      </c>
      <c r="B3211" s="10" t="s">
        <v>96</v>
      </c>
      <c r="C3211" s="21" t="str">
        <f>IF(A3211="","",IF((COUNTIFS(A:A,A3211))&gt;1,"ID重复",""))</f>
        <v/>
      </c>
      <c r="D3211" s="10">
        <v>7010</v>
      </c>
      <c r="E3211" s="132" t="str">
        <f>INDEX([1]道具配置表!$D:$D,MATCH(D3211,[1]道具配置表!$A:$A,0))</f>
        <v>军演币</v>
      </c>
      <c r="F3211" s="10">
        <v>14</v>
      </c>
      <c r="G3211" s="10"/>
      <c r="H3211" s="10"/>
      <c r="I3211" s="10"/>
      <c r="J3211" s="10"/>
      <c r="K3211" s="10">
        <v>1</v>
      </c>
      <c r="L3211" s="10"/>
      <c r="M3211" s="10" t="b">
        <v>1</v>
      </c>
      <c r="N3211" s="21"/>
    </row>
    <row r="3212" spans="1:14" x14ac:dyDescent="0.25">
      <c r="A3212" s="10">
        <v>6623205</v>
      </c>
      <c r="B3212" s="10" t="s">
        <v>97</v>
      </c>
      <c r="C3212" s="21" t="str">
        <f>IF(A3212="","",IF((COUNTIFS(A:A,A3212))&gt;1,"ID重复",""))</f>
        <v/>
      </c>
      <c r="D3212" s="10">
        <v>7010</v>
      </c>
      <c r="E3212" s="132" t="str">
        <f>INDEX([1]道具配置表!$D:$D,MATCH(D3212,[1]道具配置表!$A:$A,0))</f>
        <v>军演币</v>
      </c>
      <c r="F3212" s="10">
        <v>16</v>
      </c>
      <c r="G3212" s="10"/>
      <c r="H3212" s="10"/>
      <c r="I3212" s="10"/>
      <c r="J3212" s="10"/>
      <c r="K3212" s="10">
        <v>1</v>
      </c>
      <c r="L3212" s="10"/>
      <c r="M3212" s="10" t="b">
        <v>1</v>
      </c>
      <c r="N3212" s="21"/>
    </row>
    <row r="3213" spans="1:14" x14ac:dyDescent="0.25">
      <c r="A3213" s="18">
        <v>6623401</v>
      </c>
      <c r="B3213" s="18" t="s">
        <v>116</v>
      </c>
      <c r="C3213" s="21" t="str">
        <f>IF(A3213="","",IF((COUNTIFS(A:A,A3213))&gt;1,"ID重复",""))</f>
        <v/>
      </c>
      <c r="D3213" s="18">
        <v>101</v>
      </c>
      <c r="E3213" s="132" t="str">
        <f>INDEX([1]道具配置表!$D:$D,MATCH(D3213,[1]道具配置表!$A:$A,0))</f>
        <v>1木材</v>
      </c>
      <c r="F3213" s="18">
        <v>20000</v>
      </c>
      <c r="G3213" s="18"/>
      <c r="H3213" s="18"/>
      <c r="I3213" s="18"/>
      <c r="J3213" s="18"/>
      <c r="K3213" s="18">
        <v>1</v>
      </c>
      <c r="L3213" s="18"/>
      <c r="M3213" s="18" t="b">
        <v>1</v>
      </c>
      <c r="N3213" s="21"/>
    </row>
    <row r="3214" spans="1:14" x14ac:dyDescent="0.25">
      <c r="A3214" s="18" t="s">
        <v>119</v>
      </c>
      <c r="B3214" s="18"/>
      <c r="C3214" s="21" t="str">
        <f>IF(A3214="","",IF((COUNTIFS(A:A,A3214))&gt;1,"ID重复",""))</f>
        <v/>
      </c>
      <c r="D3214" s="18">
        <v>103</v>
      </c>
      <c r="E3214" s="132" t="str">
        <f>INDEX([1]道具配置表!$D:$D,MATCH(D3214,[1]道具配置表!$A:$A,0))</f>
        <v>1石头</v>
      </c>
      <c r="F3214" s="18">
        <v>20000</v>
      </c>
      <c r="G3214" s="18"/>
      <c r="H3214" s="18"/>
      <c r="I3214" s="18"/>
      <c r="J3214" s="18"/>
      <c r="K3214" s="18">
        <v>1</v>
      </c>
      <c r="L3214" s="18"/>
      <c r="M3214" s="18" t="b">
        <v>1</v>
      </c>
      <c r="N3214" s="21"/>
    </row>
    <row r="3215" spans="1:14" x14ac:dyDescent="0.25">
      <c r="A3215" s="18" t="s">
        <v>119</v>
      </c>
      <c r="B3215" s="18"/>
      <c r="C3215" s="21" t="str">
        <f>IF(A3215="","",IF((COUNTIFS(A:A,A3215))&gt;1,"ID重复",""))</f>
        <v/>
      </c>
      <c r="D3215" s="18">
        <v>104</v>
      </c>
      <c r="E3215" s="132" t="str">
        <f>INDEX([1]道具配置表!$D:$D,MATCH(D3215,[1]道具配置表!$A:$A,0))</f>
        <v>1黄金</v>
      </c>
      <c r="F3215" s="18">
        <v>20000</v>
      </c>
      <c r="G3215" s="18"/>
      <c r="H3215" s="18"/>
      <c r="I3215" s="18"/>
      <c r="J3215" s="18"/>
      <c r="K3215" s="18">
        <v>1</v>
      </c>
      <c r="L3215" s="18"/>
      <c r="M3215" s="18" t="b">
        <v>1</v>
      </c>
      <c r="N3215" s="21"/>
    </row>
    <row r="3216" spans="1:14" x14ac:dyDescent="0.25">
      <c r="A3216" s="18">
        <v>6623402</v>
      </c>
      <c r="B3216" s="18" t="s">
        <v>117</v>
      </c>
      <c r="C3216" s="21" t="str">
        <f>IF(A3216="","",IF((COUNTIFS(A:A,A3216))&gt;1,"ID重复",""))</f>
        <v/>
      </c>
      <c r="D3216" s="18">
        <v>101</v>
      </c>
      <c r="E3216" s="132" t="str">
        <f>INDEX([1]道具配置表!$D:$D,MATCH(D3216,[1]道具配置表!$A:$A,0))</f>
        <v>1木材</v>
      </c>
      <c r="F3216" s="18">
        <v>40000</v>
      </c>
      <c r="G3216" s="18"/>
      <c r="H3216" s="18"/>
      <c r="I3216" s="18"/>
      <c r="J3216" s="18"/>
      <c r="K3216" s="18">
        <v>1</v>
      </c>
      <c r="L3216" s="18"/>
      <c r="M3216" s="18" t="b">
        <v>1</v>
      </c>
      <c r="N3216" s="21"/>
    </row>
    <row r="3217" spans="1:14" x14ac:dyDescent="0.25">
      <c r="A3217" s="18" t="s">
        <v>119</v>
      </c>
      <c r="B3217" s="18"/>
      <c r="C3217" s="21" t="str">
        <f>IF(A3217="","",IF((COUNTIFS(A:A,A3217))&gt;1,"ID重复",""))</f>
        <v/>
      </c>
      <c r="D3217" s="18">
        <v>103</v>
      </c>
      <c r="E3217" s="132" t="str">
        <f>INDEX([1]道具配置表!$D:$D,MATCH(D3217,[1]道具配置表!$A:$A,0))</f>
        <v>1石头</v>
      </c>
      <c r="F3217" s="18">
        <v>40000</v>
      </c>
      <c r="G3217" s="18"/>
      <c r="H3217" s="18"/>
      <c r="I3217" s="18"/>
      <c r="J3217" s="18"/>
      <c r="K3217" s="18">
        <v>1</v>
      </c>
      <c r="L3217" s="18"/>
      <c r="M3217" s="18" t="b">
        <v>1</v>
      </c>
      <c r="N3217" s="17"/>
    </row>
    <row r="3218" spans="1:14" x14ac:dyDescent="0.25">
      <c r="A3218" s="18" t="s">
        <v>119</v>
      </c>
      <c r="B3218" s="18"/>
      <c r="C3218" s="21" t="str">
        <f>IF(A3218="","",IF((COUNTIFS(A:A,A3218))&gt;1,"ID重复",""))</f>
        <v/>
      </c>
      <c r="D3218" s="18">
        <v>104</v>
      </c>
      <c r="E3218" s="132" t="str">
        <f>INDEX([1]道具配置表!$D:$D,MATCH(D3218,[1]道具配置表!$A:$A,0))</f>
        <v>1黄金</v>
      </c>
      <c r="F3218" s="18">
        <v>40000</v>
      </c>
      <c r="G3218" s="18"/>
      <c r="H3218" s="18"/>
      <c r="I3218" s="18"/>
      <c r="J3218" s="18"/>
      <c r="K3218" s="18">
        <v>1</v>
      </c>
      <c r="L3218" s="18"/>
      <c r="M3218" s="18" t="b">
        <v>1</v>
      </c>
      <c r="N3218" s="17"/>
    </row>
    <row r="3219" spans="1:14" x14ac:dyDescent="0.25">
      <c r="A3219" s="18">
        <v>6623403</v>
      </c>
      <c r="B3219" s="18" t="s">
        <v>118</v>
      </c>
      <c r="C3219" s="21" t="str">
        <f>IF(A3219="","",IF((COUNTIFS(A:A,A3219))&gt;1,"ID重复",""))</f>
        <v/>
      </c>
      <c r="D3219" s="18">
        <v>1055</v>
      </c>
      <c r="E3219" s="132" t="str">
        <f>INDEX([1]道具配置表!$D:$D,MATCH(D3219,[1]道具配置表!$A:$A,0))</f>
        <v>大卫王（完整英雄）</v>
      </c>
      <c r="F3219" s="18">
        <v>1</v>
      </c>
      <c r="G3219" s="18"/>
      <c r="H3219" s="18"/>
      <c r="I3219" s="18"/>
      <c r="J3219" s="18"/>
      <c r="K3219" s="18">
        <v>1</v>
      </c>
      <c r="L3219" s="18"/>
      <c r="M3219" s="18" t="b">
        <v>1</v>
      </c>
      <c r="N3219" s="21"/>
    </row>
    <row r="3220" spans="1:14" x14ac:dyDescent="0.25">
      <c r="A3220" s="18" t="s">
        <v>119</v>
      </c>
      <c r="B3220" s="18"/>
      <c r="C3220" s="21" t="str">
        <f>IF(A3220="","",IF((COUNTIFS(A:A,A3220))&gt;1,"ID重复",""))</f>
        <v/>
      </c>
      <c r="D3220" s="18">
        <v>101</v>
      </c>
      <c r="E3220" s="132" t="str">
        <f>INDEX([1]道具配置表!$D:$D,MATCH(D3220,[1]道具配置表!$A:$A,0))</f>
        <v>1木材</v>
      </c>
      <c r="F3220" s="18">
        <v>40000</v>
      </c>
      <c r="G3220" s="18"/>
      <c r="H3220" s="18"/>
      <c r="I3220" s="18"/>
      <c r="J3220" s="18"/>
      <c r="K3220" s="18">
        <v>1</v>
      </c>
      <c r="L3220" s="18"/>
      <c r="M3220" s="18" t="b">
        <v>1</v>
      </c>
      <c r="N3220" s="17"/>
    </row>
    <row r="3221" spans="1:14" x14ac:dyDescent="0.25">
      <c r="A3221" s="18" t="s">
        <v>119</v>
      </c>
      <c r="B3221" s="18"/>
      <c r="C3221" s="21" t="str">
        <f>IF(A3221="","",IF((COUNTIFS(A:A,A3221))&gt;1,"ID重复",""))</f>
        <v/>
      </c>
      <c r="D3221" s="18">
        <v>103</v>
      </c>
      <c r="E3221" s="132" t="str">
        <f>INDEX([1]道具配置表!$D:$D,MATCH(D3221,[1]道具配置表!$A:$A,0))</f>
        <v>1石头</v>
      </c>
      <c r="F3221" s="18">
        <v>40000</v>
      </c>
      <c r="G3221" s="18"/>
      <c r="H3221" s="18"/>
      <c r="I3221" s="18"/>
      <c r="J3221" s="18"/>
      <c r="K3221" s="18">
        <v>1</v>
      </c>
      <c r="L3221" s="18"/>
      <c r="M3221" s="18" t="b">
        <v>1</v>
      </c>
      <c r="N3221" s="17"/>
    </row>
    <row r="3222" spans="1:14" x14ac:dyDescent="0.25">
      <c r="A3222" s="18" t="s">
        <v>119</v>
      </c>
      <c r="B3222" s="18"/>
      <c r="C3222" s="21" t="str">
        <f>IF(A3222="","",IF((COUNTIFS(A:A,A3222))&gt;1,"ID重复",""))</f>
        <v/>
      </c>
      <c r="D3222" s="18">
        <v>104</v>
      </c>
      <c r="E3222" s="132" t="str">
        <f>INDEX([1]道具配置表!$D:$D,MATCH(D3222,[1]道具配置表!$A:$A,0))</f>
        <v>1黄金</v>
      </c>
      <c r="F3222" s="18">
        <v>40000</v>
      </c>
      <c r="G3222" s="18"/>
      <c r="H3222" s="18"/>
      <c r="I3222" s="18"/>
      <c r="J3222" s="18"/>
      <c r="K3222" s="18">
        <v>1</v>
      </c>
      <c r="L3222" s="18"/>
      <c r="M3222" s="18" t="b">
        <v>1</v>
      </c>
      <c r="N3222" s="21"/>
    </row>
    <row r="3223" spans="1:14" x14ac:dyDescent="0.25">
      <c r="A3223" s="18">
        <v>6623404</v>
      </c>
      <c r="B3223" s="18" t="s">
        <v>98</v>
      </c>
      <c r="C3223" s="21" t="str">
        <f>IF(A3223="","",IF((COUNTIFS(A:A,A3223))&gt;1,"ID重复",""))</f>
        <v/>
      </c>
      <c r="D3223" s="18">
        <v>101</v>
      </c>
      <c r="E3223" s="132" t="str">
        <f>INDEX([1]道具配置表!$D:$D,MATCH(D3223,[1]道具配置表!$A:$A,0))</f>
        <v>1木材</v>
      </c>
      <c r="F3223" s="18">
        <v>40000</v>
      </c>
      <c r="G3223" s="18"/>
      <c r="H3223" s="18"/>
      <c r="I3223" s="18"/>
      <c r="J3223" s="18"/>
      <c r="K3223" s="18">
        <v>1</v>
      </c>
      <c r="L3223" s="18"/>
      <c r="M3223" s="18" t="b">
        <v>1</v>
      </c>
      <c r="N3223" s="21"/>
    </row>
    <row r="3224" spans="1:14" x14ac:dyDescent="0.25">
      <c r="A3224" s="18" t="s">
        <v>119</v>
      </c>
      <c r="B3224" s="18"/>
      <c r="C3224" s="21" t="str">
        <f>IF(A3224="","",IF((COUNTIFS(A:A,A3224))&gt;1,"ID重复",""))</f>
        <v/>
      </c>
      <c r="D3224" s="18">
        <v>103</v>
      </c>
      <c r="E3224" s="132" t="str">
        <f>INDEX([1]道具配置表!$D:$D,MATCH(D3224,[1]道具配置表!$A:$A,0))</f>
        <v>1石头</v>
      </c>
      <c r="F3224" s="18">
        <v>40000</v>
      </c>
      <c r="G3224" s="18"/>
      <c r="H3224" s="18"/>
      <c r="I3224" s="18"/>
      <c r="J3224" s="18"/>
      <c r="K3224" s="18">
        <v>1</v>
      </c>
      <c r="L3224" s="18"/>
      <c r="M3224" s="18" t="b">
        <v>1</v>
      </c>
      <c r="N3224" s="21"/>
    </row>
    <row r="3225" spans="1:14" x14ac:dyDescent="0.25">
      <c r="A3225" s="18" t="s">
        <v>119</v>
      </c>
      <c r="B3225" s="18"/>
      <c r="C3225" s="21" t="str">
        <f>IF(A3225="","",IF((COUNTIFS(A:A,A3225))&gt;1,"ID重复",""))</f>
        <v/>
      </c>
      <c r="D3225" s="18">
        <v>104</v>
      </c>
      <c r="E3225" s="132" t="str">
        <f>INDEX([1]道具配置表!$D:$D,MATCH(D3225,[1]道具配置表!$A:$A,0))</f>
        <v>1黄金</v>
      </c>
      <c r="F3225" s="18">
        <v>40000</v>
      </c>
      <c r="G3225" s="18"/>
      <c r="H3225" s="18"/>
      <c r="I3225" s="18"/>
      <c r="J3225" s="18"/>
      <c r="K3225" s="18">
        <v>1</v>
      </c>
      <c r="L3225" s="18"/>
      <c r="M3225" s="18" t="b">
        <v>1</v>
      </c>
      <c r="N3225" s="21"/>
    </row>
    <row r="3226" spans="1:14" x14ac:dyDescent="0.25">
      <c r="A3226" s="18">
        <v>6623405</v>
      </c>
      <c r="B3226" s="18" t="s">
        <v>99</v>
      </c>
      <c r="C3226" s="21" t="str">
        <f>IF(A3226="","",IF((COUNTIFS(A:A,A3226))&gt;1,"ID重复",""))</f>
        <v/>
      </c>
      <c r="D3226" s="18">
        <v>101</v>
      </c>
      <c r="E3226" s="132" t="str">
        <f>INDEX([1]道具配置表!$D:$D,MATCH(D3226,[1]道具配置表!$A:$A,0))</f>
        <v>1木材</v>
      </c>
      <c r="F3226" s="18">
        <v>40000</v>
      </c>
      <c r="G3226" s="18"/>
      <c r="H3226" s="18"/>
      <c r="I3226" s="18"/>
      <c r="J3226" s="18"/>
      <c r="K3226" s="18">
        <v>1</v>
      </c>
      <c r="L3226" s="18"/>
      <c r="M3226" s="18" t="b">
        <v>1</v>
      </c>
      <c r="N3226" s="21"/>
    </row>
    <row r="3227" spans="1:14" x14ac:dyDescent="0.25">
      <c r="A3227" s="18" t="s">
        <v>119</v>
      </c>
      <c r="B3227" s="18"/>
      <c r="C3227" s="21" t="str">
        <f>IF(A3227="","",IF((COUNTIFS(A:A,A3227))&gt;1,"ID重复",""))</f>
        <v/>
      </c>
      <c r="D3227" s="18">
        <v>103</v>
      </c>
      <c r="E3227" s="132" t="str">
        <f>INDEX([1]道具配置表!$D:$D,MATCH(D3227,[1]道具配置表!$A:$A,0))</f>
        <v>1石头</v>
      </c>
      <c r="F3227" s="18">
        <v>40000</v>
      </c>
      <c r="G3227" s="18"/>
      <c r="H3227" s="18"/>
      <c r="I3227" s="18"/>
      <c r="J3227" s="18"/>
      <c r="K3227" s="18">
        <v>1</v>
      </c>
      <c r="L3227" s="18"/>
      <c r="M3227" s="18" t="b">
        <v>1</v>
      </c>
      <c r="N3227" s="21"/>
    </row>
    <row r="3228" spans="1:14" x14ac:dyDescent="0.25">
      <c r="A3228" s="18" t="s">
        <v>119</v>
      </c>
      <c r="B3228" s="18"/>
      <c r="C3228" s="21" t="str">
        <f>IF(A3228="","",IF((COUNTIFS(A:A,A3228))&gt;1,"ID重复",""))</f>
        <v/>
      </c>
      <c r="D3228" s="18">
        <v>104</v>
      </c>
      <c r="E3228" s="132" t="str">
        <f>INDEX([1]道具配置表!$D:$D,MATCH(D3228,[1]道具配置表!$A:$A,0))</f>
        <v>1黄金</v>
      </c>
      <c r="F3228" s="18">
        <v>40000</v>
      </c>
      <c r="G3228" s="18"/>
      <c r="H3228" s="18"/>
      <c r="I3228" s="18"/>
      <c r="J3228" s="18"/>
      <c r="K3228" s="18">
        <v>1</v>
      </c>
      <c r="L3228" s="18"/>
      <c r="M3228" s="18" t="b">
        <v>1</v>
      </c>
      <c r="N3228" s="21"/>
    </row>
    <row r="3229" spans="1:14" x14ac:dyDescent="0.25">
      <c r="A3229" s="18">
        <v>6623406</v>
      </c>
      <c r="B3229" s="18" t="s">
        <v>100</v>
      </c>
      <c r="C3229" s="21" t="str">
        <f>IF(A3229="","",IF((COUNTIFS(A:A,A3229))&gt;1,"ID重复",""))</f>
        <v/>
      </c>
      <c r="D3229" s="18">
        <v>1017</v>
      </c>
      <c r="E3229" s="132" t="str">
        <f>INDEX([1]道具配置表!$D:$D,MATCH(D3229,[1]道具配置表!$A:$A,0))</f>
        <v>巴巴罗萨（完整英雄）</v>
      </c>
      <c r="F3229" s="18">
        <v>1</v>
      </c>
      <c r="G3229" s="18"/>
      <c r="H3229" s="18"/>
      <c r="I3229" s="18"/>
      <c r="J3229" s="18"/>
      <c r="K3229" s="18">
        <v>1</v>
      </c>
      <c r="L3229" s="18"/>
      <c r="M3229" s="18" t="b">
        <v>1</v>
      </c>
      <c r="N3229" s="21"/>
    </row>
    <row r="3230" spans="1:14" x14ac:dyDescent="0.25">
      <c r="A3230" s="18" t="s">
        <v>119</v>
      </c>
      <c r="B3230" s="18"/>
      <c r="C3230" s="21" t="str">
        <f>IF(A3230="","",IF((COUNTIFS(A:A,A3230))&gt;1,"ID重复",""))</f>
        <v/>
      </c>
      <c r="D3230" s="18">
        <v>101</v>
      </c>
      <c r="E3230" s="132" t="str">
        <f>INDEX([1]道具配置表!$D:$D,MATCH(D3230,[1]道具配置表!$A:$A,0))</f>
        <v>1木材</v>
      </c>
      <c r="F3230" s="18">
        <v>60000</v>
      </c>
      <c r="G3230" s="18"/>
      <c r="H3230" s="18"/>
      <c r="I3230" s="18"/>
      <c r="J3230" s="18"/>
      <c r="K3230" s="18">
        <v>1</v>
      </c>
      <c r="L3230" s="18"/>
      <c r="M3230" s="18" t="b">
        <v>1</v>
      </c>
      <c r="N3230" s="21"/>
    </row>
    <row r="3231" spans="1:14" x14ac:dyDescent="0.25">
      <c r="A3231" s="18" t="s">
        <v>119</v>
      </c>
      <c r="B3231" s="18"/>
      <c r="C3231" s="21" t="str">
        <f>IF(A3231="","",IF((COUNTIFS(A:A,A3231))&gt;1,"ID重复",""))</f>
        <v/>
      </c>
      <c r="D3231" s="18">
        <v>103</v>
      </c>
      <c r="E3231" s="132" t="str">
        <f>INDEX([1]道具配置表!$D:$D,MATCH(D3231,[1]道具配置表!$A:$A,0))</f>
        <v>1石头</v>
      </c>
      <c r="F3231" s="18">
        <v>60000</v>
      </c>
      <c r="G3231" s="18"/>
      <c r="H3231" s="18"/>
      <c r="I3231" s="18"/>
      <c r="J3231" s="18"/>
      <c r="K3231" s="18">
        <v>1</v>
      </c>
      <c r="L3231" s="18"/>
      <c r="M3231" s="18" t="b">
        <v>1</v>
      </c>
      <c r="N3231" s="21"/>
    </row>
    <row r="3232" spans="1:14" x14ac:dyDescent="0.25">
      <c r="A3232" s="18" t="s">
        <v>119</v>
      </c>
      <c r="B3232" s="18"/>
      <c r="C3232" s="21" t="str">
        <f>IF(A3232="","",IF((COUNTIFS(A:A,A3232))&gt;1,"ID重复",""))</f>
        <v/>
      </c>
      <c r="D3232" s="18">
        <v>104</v>
      </c>
      <c r="E3232" s="132" t="str">
        <f>INDEX([1]道具配置表!$D:$D,MATCH(D3232,[1]道具配置表!$A:$A,0))</f>
        <v>1黄金</v>
      </c>
      <c r="F3232" s="18">
        <v>60000</v>
      </c>
      <c r="G3232" s="18"/>
      <c r="H3232" s="18"/>
      <c r="I3232" s="18"/>
      <c r="J3232" s="18"/>
      <c r="K3232" s="18">
        <v>1</v>
      </c>
      <c r="L3232" s="18"/>
      <c r="M3232" s="18" t="b">
        <v>1</v>
      </c>
      <c r="N3232" s="21"/>
    </row>
    <row r="3233" spans="1:14" x14ac:dyDescent="0.25">
      <c r="A3233" s="18">
        <v>6623407</v>
      </c>
      <c r="B3233" s="18" t="s">
        <v>101</v>
      </c>
      <c r="C3233" s="21" t="str">
        <f>IF(A3233="","",IF((COUNTIFS(A:A,A3233))&gt;1,"ID重复",""))</f>
        <v/>
      </c>
      <c r="D3233" s="18">
        <v>101</v>
      </c>
      <c r="E3233" s="132" t="str">
        <f>INDEX([1]道具配置表!$D:$D,MATCH(D3233,[1]道具配置表!$A:$A,0))</f>
        <v>1木材</v>
      </c>
      <c r="F3233" s="18">
        <v>40000</v>
      </c>
      <c r="G3233" s="18"/>
      <c r="H3233" s="18"/>
      <c r="I3233" s="18"/>
      <c r="J3233" s="18"/>
      <c r="K3233" s="18">
        <v>1</v>
      </c>
      <c r="L3233" s="18"/>
      <c r="M3233" s="18" t="b">
        <v>1</v>
      </c>
      <c r="N3233" s="21"/>
    </row>
    <row r="3234" spans="1:14" x14ac:dyDescent="0.25">
      <c r="A3234" s="18" t="s">
        <v>119</v>
      </c>
      <c r="B3234" s="18"/>
      <c r="C3234" s="21" t="str">
        <f>IF(A3234="","",IF((COUNTIFS(A:A,A3234))&gt;1,"ID重复",""))</f>
        <v/>
      </c>
      <c r="D3234" s="18">
        <v>103</v>
      </c>
      <c r="E3234" s="132" t="str">
        <f>INDEX([1]道具配置表!$D:$D,MATCH(D3234,[1]道具配置表!$A:$A,0))</f>
        <v>1石头</v>
      </c>
      <c r="F3234" s="18">
        <v>40000</v>
      </c>
      <c r="G3234" s="18"/>
      <c r="H3234" s="18"/>
      <c r="I3234" s="18"/>
      <c r="J3234" s="18"/>
      <c r="K3234" s="18">
        <v>1</v>
      </c>
      <c r="L3234" s="18"/>
      <c r="M3234" s="18" t="b">
        <v>1</v>
      </c>
      <c r="N3234" s="21"/>
    </row>
    <row r="3235" spans="1:14" x14ac:dyDescent="0.25">
      <c r="A3235" s="18" t="s">
        <v>119</v>
      </c>
      <c r="B3235" s="18"/>
      <c r="C3235" s="21" t="str">
        <f>IF(A3235="","",IF((COUNTIFS(A:A,A3235))&gt;1,"ID重复",""))</f>
        <v/>
      </c>
      <c r="D3235" s="18">
        <v>104</v>
      </c>
      <c r="E3235" s="132" t="str">
        <f>INDEX([1]道具配置表!$D:$D,MATCH(D3235,[1]道具配置表!$A:$A,0))</f>
        <v>1黄金</v>
      </c>
      <c r="F3235" s="18">
        <v>40000</v>
      </c>
      <c r="G3235" s="18"/>
      <c r="H3235" s="18"/>
      <c r="I3235" s="18"/>
      <c r="J3235" s="18"/>
      <c r="K3235" s="18">
        <v>1</v>
      </c>
      <c r="L3235" s="18"/>
      <c r="M3235" s="18" t="b">
        <v>1</v>
      </c>
      <c r="N3235" s="21"/>
    </row>
    <row r="3236" spans="1:14" x14ac:dyDescent="0.25">
      <c r="A3236" s="18">
        <v>6623408</v>
      </c>
      <c r="B3236" s="18" t="s">
        <v>102</v>
      </c>
      <c r="C3236" s="21" t="str">
        <f>IF(A3236="","",IF((COUNTIFS(A:A,A3236))&gt;1,"ID重复",""))</f>
        <v/>
      </c>
      <c r="D3236" s="18">
        <v>101</v>
      </c>
      <c r="E3236" s="132" t="str">
        <f>INDEX([1]道具配置表!$D:$D,MATCH(D3236,[1]道具配置表!$A:$A,0))</f>
        <v>1木材</v>
      </c>
      <c r="F3236" s="18">
        <v>40000</v>
      </c>
      <c r="G3236" s="18"/>
      <c r="H3236" s="18"/>
      <c r="I3236" s="18"/>
      <c r="J3236" s="18"/>
      <c r="K3236" s="18">
        <v>1</v>
      </c>
      <c r="L3236" s="18"/>
      <c r="M3236" s="18" t="b">
        <v>1</v>
      </c>
      <c r="N3236" s="21"/>
    </row>
    <row r="3237" spans="1:14" x14ac:dyDescent="0.25">
      <c r="A3237" s="18" t="s">
        <v>119</v>
      </c>
      <c r="B3237" s="18"/>
      <c r="C3237" s="21" t="str">
        <f>IF(A3237="","",IF((COUNTIFS(A:A,A3237))&gt;1,"ID重复",""))</f>
        <v/>
      </c>
      <c r="D3237" s="18">
        <v>103</v>
      </c>
      <c r="E3237" s="132" t="str">
        <f>INDEX([1]道具配置表!$D:$D,MATCH(D3237,[1]道具配置表!$A:$A,0))</f>
        <v>1石头</v>
      </c>
      <c r="F3237" s="18">
        <v>40000</v>
      </c>
      <c r="G3237" s="18"/>
      <c r="H3237" s="18"/>
      <c r="I3237" s="18"/>
      <c r="J3237" s="18"/>
      <c r="K3237" s="18">
        <v>1</v>
      </c>
      <c r="L3237" s="18"/>
      <c r="M3237" s="18" t="b">
        <v>1</v>
      </c>
      <c r="N3237" s="21"/>
    </row>
    <row r="3238" spans="1:14" x14ac:dyDescent="0.25">
      <c r="A3238" s="18" t="s">
        <v>119</v>
      </c>
      <c r="B3238" s="18"/>
      <c r="C3238" s="21" t="str">
        <f>IF(A3238="","",IF((COUNTIFS(A:A,A3238))&gt;1,"ID重复",""))</f>
        <v/>
      </c>
      <c r="D3238" s="18">
        <v>104</v>
      </c>
      <c r="E3238" s="132" t="str">
        <f>INDEX([1]道具配置表!$D:$D,MATCH(D3238,[1]道具配置表!$A:$A,0))</f>
        <v>1黄金</v>
      </c>
      <c r="F3238" s="18">
        <v>40000</v>
      </c>
      <c r="G3238" s="18"/>
      <c r="H3238" s="18"/>
      <c r="I3238" s="18"/>
      <c r="J3238" s="18"/>
      <c r="K3238" s="18">
        <v>1</v>
      </c>
      <c r="L3238" s="18"/>
      <c r="M3238" s="18" t="b">
        <v>1</v>
      </c>
      <c r="N3238" s="21"/>
    </row>
    <row r="3239" spans="1:14" x14ac:dyDescent="0.25">
      <c r="A3239" s="18">
        <v>6623409</v>
      </c>
      <c r="B3239" s="18" t="s">
        <v>103</v>
      </c>
      <c r="C3239" s="21" t="str">
        <f>IF(A3239="","",IF((COUNTIFS(A:A,A3239))&gt;1,"ID重复",""))</f>
        <v/>
      </c>
      <c r="D3239" s="18">
        <v>1019</v>
      </c>
      <c r="E3239" s="132" t="str">
        <f>INDEX([1]道具配置表!$D:$D,MATCH(D3239,[1]道具配置表!$A:$A,0))</f>
        <v>大流士一世（完整英雄）</v>
      </c>
      <c r="F3239" s="18">
        <v>1</v>
      </c>
      <c r="G3239" s="18"/>
      <c r="H3239" s="18"/>
      <c r="I3239" s="18"/>
      <c r="J3239" s="18"/>
      <c r="K3239" s="18">
        <v>1</v>
      </c>
      <c r="L3239" s="18"/>
      <c r="M3239" s="18" t="b">
        <v>1</v>
      </c>
      <c r="N3239" s="21"/>
    </row>
    <row r="3240" spans="1:14" x14ac:dyDescent="0.25">
      <c r="A3240" s="18" t="s">
        <v>119</v>
      </c>
      <c r="B3240" s="18"/>
      <c r="C3240" s="21" t="str">
        <f>IF(A3240="","",IF((COUNTIFS(A:A,A3240))&gt;1,"ID重复",""))</f>
        <v/>
      </c>
      <c r="D3240" s="18">
        <v>101</v>
      </c>
      <c r="E3240" s="132" t="str">
        <f>INDEX([1]道具配置表!$D:$D,MATCH(D3240,[1]道具配置表!$A:$A,0))</f>
        <v>1木材</v>
      </c>
      <c r="F3240" s="18">
        <v>80000</v>
      </c>
      <c r="G3240" s="18"/>
      <c r="H3240" s="18"/>
      <c r="I3240" s="18"/>
      <c r="J3240" s="18"/>
      <c r="K3240" s="18">
        <v>1</v>
      </c>
      <c r="L3240" s="18"/>
      <c r="M3240" s="18" t="b">
        <v>1</v>
      </c>
      <c r="N3240" s="21"/>
    </row>
    <row r="3241" spans="1:14" x14ac:dyDescent="0.25">
      <c r="A3241" s="18" t="s">
        <v>119</v>
      </c>
      <c r="B3241" s="18"/>
      <c r="C3241" s="21" t="str">
        <f>IF(A3241="","",IF((COUNTIFS(A:A,A3241))&gt;1,"ID重复",""))</f>
        <v/>
      </c>
      <c r="D3241" s="18">
        <v>103</v>
      </c>
      <c r="E3241" s="132" t="str">
        <f>INDEX([1]道具配置表!$D:$D,MATCH(D3241,[1]道具配置表!$A:$A,0))</f>
        <v>1石头</v>
      </c>
      <c r="F3241" s="18">
        <v>80000</v>
      </c>
      <c r="G3241" s="18"/>
      <c r="H3241" s="18"/>
      <c r="I3241" s="18"/>
      <c r="J3241" s="18"/>
      <c r="K3241" s="18">
        <v>1</v>
      </c>
      <c r="L3241" s="18"/>
      <c r="M3241" s="18" t="b">
        <v>1</v>
      </c>
      <c r="N3241" s="21"/>
    </row>
    <row r="3242" spans="1:14" x14ac:dyDescent="0.25">
      <c r="A3242" s="18" t="s">
        <v>119</v>
      </c>
      <c r="B3242" s="18"/>
      <c r="C3242" s="21" t="str">
        <f>IF(A3242="","",IF((COUNTIFS(A:A,A3242))&gt;1,"ID重复",""))</f>
        <v/>
      </c>
      <c r="D3242" s="18">
        <v>104</v>
      </c>
      <c r="E3242" s="132" t="str">
        <f>INDEX([1]道具配置表!$D:$D,MATCH(D3242,[1]道具配置表!$A:$A,0))</f>
        <v>1黄金</v>
      </c>
      <c r="F3242" s="18">
        <v>80000</v>
      </c>
      <c r="G3242" s="18"/>
      <c r="H3242" s="18"/>
      <c r="I3242" s="18"/>
      <c r="J3242" s="18"/>
      <c r="K3242" s="18">
        <v>1</v>
      </c>
      <c r="L3242" s="18"/>
      <c r="M3242" s="18" t="b">
        <v>1</v>
      </c>
      <c r="N3242" s="21"/>
    </row>
    <row r="3243" spans="1:14" x14ac:dyDescent="0.25">
      <c r="A3243" s="18">
        <v>6623410</v>
      </c>
      <c r="B3243" s="18" t="s">
        <v>104</v>
      </c>
      <c r="C3243" s="21" t="str">
        <f>IF(A3243="","",IF((COUNTIFS(A:A,A3243))&gt;1,"ID重复",""))</f>
        <v/>
      </c>
      <c r="D3243" s="18">
        <v>101</v>
      </c>
      <c r="E3243" s="132" t="str">
        <f>INDEX([1]道具配置表!$D:$D,MATCH(D3243,[1]道具配置表!$A:$A,0))</f>
        <v>1木材</v>
      </c>
      <c r="F3243" s="18">
        <v>40000</v>
      </c>
      <c r="G3243" s="18"/>
      <c r="H3243" s="18"/>
      <c r="I3243" s="18"/>
      <c r="J3243" s="18"/>
      <c r="K3243" s="18">
        <v>1</v>
      </c>
      <c r="L3243" s="18"/>
      <c r="M3243" s="18" t="b">
        <v>1</v>
      </c>
      <c r="N3243" s="21"/>
    </row>
    <row r="3244" spans="1:14" x14ac:dyDescent="0.25">
      <c r="A3244" s="18" t="s">
        <v>119</v>
      </c>
      <c r="B3244" s="18"/>
      <c r="C3244" s="21" t="str">
        <f>IF(A3244="","",IF((COUNTIFS(A:A,A3244))&gt;1,"ID重复",""))</f>
        <v/>
      </c>
      <c r="D3244" s="18">
        <v>103</v>
      </c>
      <c r="E3244" s="132" t="str">
        <f>INDEX([1]道具配置表!$D:$D,MATCH(D3244,[1]道具配置表!$A:$A,0))</f>
        <v>1石头</v>
      </c>
      <c r="F3244" s="18">
        <v>40000</v>
      </c>
      <c r="G3244" s="18"/>
      <c r="H3244" s="18"/>
      <c r="I3244" s="18"/>
      <c r="J3244" s="18"/>
      <c r="K3244" s="18">
        <v>1</v>
      </c>
      <c r="L3244" s="18"/>
      <c r="M3244" s="18" t="b">
        <v>1</v>
      </c>
      <c r="N3244" s="21"/>
    </row>
    <row r="3245" spans="1:14" x14ac:dyDescent="0.25">
      <c r="A3245" s="18" t="s">
        <v>119</v>
      </c>
      <c r="B3245" s="18"/>
      <c r="C3245" s="21" t="str">
        <f>IF(A3245="","",IF((COUNTIFS(A:A,A3245))&gt;1,"ID重复",""))</f>
        <v/>
      </c>
      <c r="D3245" s="18">
        <v>104</v>
      </c>
      <c r="E3245" s="132" t="str">
        <f>INDEX([1]道具配置表!$D:$D,MATCH(D3245,[1]道具配置表!$A:$A,0))</f>
        <v>1黄金</v>
      </c>
      <c r="F3245" s="18">
        <v>40000</v>
      </c>
      <c r="G3245" s="18"/>
      <c r="H3245" s="18"/>
      <c r="I3245" s="18"/>
      <c r="J3245" s="18"/>
      <c r="K3245" s="18">
        <v>1</v>
      </c>
      <c r="L3245" s="18"/>
      <c r="M3245" s="18" t="b">
        <v>1</v>
      </c>
      <c r="N3245" s="21"/>
    </row>
    <row r="3246" spans="1:14" x14ac:dyDescent="0.25">
      <c r="A3246" s="18">
        <v>6623411</v>
      </c>
      <c r="B3246" s="18" t="s">
        <v>105</v>
      </c>
      <c r="C3246" s="21" t="str">
        <f>IF(A3246="","",IF((COUNTIFS(A:A,A3246))&gt;1,"ID重复",""))</f>
        <v/>
      </c>
      <c r="D3246" s="18">
        <v>101</v>
      </c>
      <c r="E3246" s="132" t="str">
        <f>INDEX([1]道具配置表!$D:$D,MATCH(D3246,[1]道具配置表!$A:$A,0))</f>
        <v>1木材</v>
      </c>
      <c r="F3246" s="18">
        <v>40000</v>
      </c>
      <c r="G3246" s="18"/>
      <c r="H3246" s="18"/>
      <c r="I3246" s="18"/>
      <c r="J3246" s="18"/>
      <c r="K3246" s="18">
        <v>1</v>
      </c>
      <c r="L3246" s="18"/>
      <c r="M3246" s="18" t="b">
        <v>1</v>
      </c>
      <c r="N3246" s="21"/>
    </row>
    <row r="3247" spans="1:14" x14ac:dyDescent="0.25">
      <c r="A3247" s="18" t="s">
        <v>119</v>
      </c>
      <c r="B3247" s="18"/>
      <c r="C3247" s="21" t="str">
        <f>IF(A3247="","",IF((COUNTIFS(A:A,A3247))&gt;1,"ID重复",""))</f>
        <v/>
      </c>
      <c r="D3247" s="18">
        <v>103</v>
      </c>
      <c r="E3247" s="132" t="str">
        <f>INDEX([1]道具配置表!$D:$D,MATCH(D3247,[1]道具配置表!$A:$A,0))</f>
        <v>1石头</v>
      </c>
      <c r="F3247" s="18">
        <v>40000</v>
      </c>
      <c r="G3247" s="18"/>
      <c r="H3247" s="18"/>
      <c r="I3247" s="18"/>
      <c r="J3247" s="18"/>
      <c r="K3247" s="18">
        <v>1</v>
      </c>
      <c r="L3247" s="18"/>
      <c r="M3247" s="18" t="b">
        <v>1</v>
      </c>
      <c r="N3247" s="21"/>
    </row>
    <row r="3248" spans="1:14" x14ac:dyDescent="0.25">
      <c r="A3248" s="18" t="s">
        <v>119</v>
      </c>
      <c r="B3248" s="18"/>
      <c r="C3248" s="21" t="str">
        <f>IF(A3248="","",IF((COUNTIFS(A:A,A3248))&gt;1,"ID重复",""))</f>
        <v/>
      </c>
      <c r="D3248" s="18">
        <v>104</v>
      </c>
      <c r="E3248" s="132" t="str">
        <f>INDEX([1]道具配置表!$D:$D,MATCH(D3248,[1]道具配置表!$A:$A,0))</f>
        <v>1黄金</v>
      </c>
      <c r="F3248" s="18">
        <v>40000</v>
      </c>
      <c r="G3248" s="18"/>
      <c r="H3248" s="18"/>
      <c r="I3248" s="18"/>
      <c r="J3248" s="18"/>
      <c r="K3248" s="18">
        <v>1</v>
      </c>
      <c r="L3248" s="18"/>
      <c r="M3248" s="18" t="b">
        <v>1</v>
      </c>
      <c r="N3248" s="21"/>
    </row>
    <row r="3249" spans="1:14" x14ac:dyDescent="0.25">
      <c r="A3249" s="18">
        <v>6623412</v>
      </c>
      <c r="B3249" s="18" t="s">
        <v>106</v>
      </c>
      <c r="C3249" s="21" t="str">
        <f>IF(A3249="","",IF((COUNTIFS(A:A,A3249))&gt;1,"ID重复",""))</f>
        <v/>
      </c>
      <c r="D3249" s="18">
        <v>7003</v>
      </c>
      <c r="E3249" s="132" t="str">
        <f>INDEX([1]道具配置表!$D:$D,MATCH(D3249,[1]道具配置表!$A:$A,0))</f>
        <v>1银币（立即使用，不进背包）</v>
      </c>
      <c r="F3249" s="18">
        <v>200</v>
      </c>
      <c r="G3249" s="18"/>
      <c r="H3249" s="18"/>
      <c r="I3249" s="18"/>
      <c r="J3249" s="18"/>
      <c r="K3249" s="18">
        <v>1</v>
      </c>
      <c r="L3249" s="18"/>
      <c r="M3249" s="18" t="b">
        <v>1</v>
      </c>
      <c r="N3249" s="21"/>
    </row>
    <row r="3250" spans="1:14" x14ac:dyDescent="0.25">
      <c r="A3250" s="18" t="s">
        <v>119</v>
      </c>
      <c r="B3250" s="18"/>
      <c r="C3250" s="21" t="str">
        <f>IF(A3250="","",IF((COUNTIFS(A:A,A3250))&gt;1,"ID重复",""))</f>
        <v/>
      </c>
      <c r="D3250" s="18">
        <v>101</v>
      </c>
      <c r="E3250" s="132" t="str">
        <f>INDEX([1]道具配置表!$D:$D,MATCH(D3250,[1]道具配置表!$A:$A,0))</f>
        <v>1木材</v>
      </c>
      <c r="F3250" s="18">
        <v>100000</v>
      </c>
      <c r="G3250" s="18"/>
      <c r="H3250" s="18"/>
      <c r="I3250" s="18"/>
      <c r="J3250" s="18"/>
      <c r="K3250" s="18">
        <v>1</v>
      </c>
      <c r="L3250" s="18"/>
      <c r="M3250" s="18" t="b">
        <v>1</v>
      </c>
      <c r="N3250" s="21"/>
    </row>
    <row r="3251" spans="1:14" x14ac:dyDescent="0.25">
      <c r="A3251" s="18" t="s">
        <v>119</v>
      </c>
      <c r="B3251" s="18"/>
      <c r="C3251" s="21" t="str">
        <f>IF(A3251="","",IF((COUNTIFS(A:A,A3251))&gt;1,"ID重复",""))</f>
        <v/>
      </c>
      <c r="D3251" s="18">
        <v>103</v>
      </c>
      <c r="E3251" s="132" t="str">
        <f>INDEX([1]道具配置表!$D:$D,MATCH(D3251,[1]道具配置表!$A:$A,0))</f>
        <v>1石头</v>
      </c>
      <c r="F3251" s="18">
        <v>100000</v>
      </c>
      <c r="G3251" s="18"/>
      <c r="H3251" s="18"/>
      <c r="I3251" s="18"/>
      <c r="J3251" s="18"/>
      <c r="K3251" s="18">
        <v>1</v>
      </c>
      <c r="L3251" s="18"/>
      <c r="M3251" s="18" t="b">
        <v>1</v>
      </c>
      <c r="N3251" s="21"/>
    </row>
    <row r="3252" spans="1:14" x14ac:dyDescent="0.25">
      <c r="A3252" s="18" t="s">
        <v>119</v>
      </c>
      <c r="B3252" s="18"/>
      <c r="C3252" s="21" t="str">
        <f>IF(A3252="","",IF((COUNTIFS(A:A,A3252))&gt;1,"ID重复",""))</f>
        <v/>
      </c>
      <c r="D3252" s="18">
        <v>104</v>
      </c>
      <c r="E3252" s="132" t="str">
        <f>INDEX([1]道具配置表!$D:$D,MATCH(D3252,[1]道具配置表!$A:$A,0))</f>
        <v>1黄金</v>
      </c>
      <c r="F3252" s="18">
        <v>100000</v>
      </c>
      <c r="G3252" s="18"/>
      <c r="H3252" s="18"/>
      <c r="I3252" s="18"/>
      <c r="J3252" s="18"/>
      <c r="K3252" s="18">
        <v>1</v>
      </c>
      <c r="L3252" s="18"/>
      <c r="M3252" s="18" t="b">
        <v>1</v>
      </c>
      <c r="N3252" s="21"/>
    </row>
    <row r="3253" spans="1:14" x14ac:dyDescent="0.25">
      <c r="A3253" s="18">
        <v>6623413</v>
      </c>
      <c r="B3253" s="18" t="s">
        <v>107</v>
      </c>
      <c r="C3253" s="21" t="str">
        <f>IF(A3253="","",IF((COUNTIFS(A:A,A3253))&gt;1,"ID重复",""))</f>
        <v/>
      </c>
      <c r="D3253" s="18">
        <v>101</v>
      </c>
      <c r="E3253" s="132" t="str">
        <f>INDEX([1]道具配置表!$D:$D,MATCH(D3253,[1]道具配置表!$A:$A,0))</f>
        <v>1木材</v>
      </c>
      <c r="F3253" s="18">
        <v>40000</v>
      </c>
      <c r="G3253" s="18"/>
      <c r="H3253" s="18"/>
      <c r="I3253" s="18"/>
      <c r="J3253" s="18"/>
      <c r="K3253" s="18">
        <v>1</v>
      </c>
      <c r="L3253" s="18"/>
      <c r="M3253" s="18" t="b">
        <v>1</v>
      </c>
      <c r="N3253" s="21"/>
    </row>
    <row r="3254" spans="1:14" x14ac:dyDescent="0.25">
      <c r="A3254" s="18" t="s">
        <v>119</v>
      </c>
      <c r="B3254" s="18"/>
      <c r="C3254" s="21" t="str">
        <f>IF(A3254="","",IF((COUNTIFS(A:A,A3254))&gt;1,"ID重复",""))</f>
        <v/>
      </c>
      <c r="D3254" s="18">
        <v>103</v>
      </c>
      <c r="E3254" s="132" t="str">
        <f>INDEX([1]道具配置表!$D:$D,MATCH(D3254,[1]道具配置表!$A:$A,0))</f>
        <v>1石头</v>
      </c>
      <c r="F3254" s="18">
        <v>40000</v>
      </c>
      <c r="G3254" s="18"/>
      <c r="H3254" s="18"/>
      <c r="I3254" s="18"/>
      <c r="J3254" s="18"/>
      <c r="K3254" s="18">
        <v>1</v>
      </c>
      <c r="L3254" s="18"/>
      <c r="M3254" s="18" t="b">
        <v>1</v>
      </c>
      <c r="N3254" s="21"/>
    </row>
    <row r="3255" spans="1:14" x14ac:dyDescent="0.25">
      <c r="A3255" s="18" t="s">
        <v>119</v>
      </c>
      <c r="B3255" s="18"/>
      <c r="C3255" s="21" t="str">
        <f>IF(A3255="","",IF((COUNTIFS(A:A,A3255))&gt;1,"ID重复",""))</f>
        <v/>
      </c>
      <c r="D3255" s="18">
        <v>104</v>
      </c>
      <c r="E3255" s="132" t="str">
        <f>INDEX([1]道具配置表!$D:$D,MATCH(D3255,[1]道具配置表!$A:$A,0))</f>
        <v>1黄金</v>
      </c>
      <c r="F3255" s="18">
        <v>40000</v>
      </c>
      <c r="G3255" s="18"/>
      <c r="H3255" s="18"/>
      <c r="I3255" s="18"/>
      <c r="J3255" s="18"/>
      <c r="K3255" s="18">
        <v>1</v>
      </c>
      <c r="L3255" s="18"/>
      <c r="M3255" s="18" t="b">
        <v>1</v>
      </c>
      <c r="N3255" s="21"/>
    </row>
    <row r="3256" spans="1:14" x14ac:dyDescent="0.25">
      <c r="A3256" s="18">
        <v>6623414</v>
      </c>
      <c r="B3256" s="18" t="s">
        <v>108</v>
      </c>
      <c r="C3256" s="21" t="str">
        <f>IF(A3256="","",IF((COUNTIFS(A:A,A3256))&gt;1,"ID重复",""))</f>
        <v/>
      </c>
      <c r="D3256" s="18">
        <v>101</v>
      </c>
      <c r="E3256" s="132" t="str">
        <f>INDEX([1]道具配置表!$D:$D,MATCH(D3256,[1]道具配置表!$A:$A,0))</f>
        <v>1木材</v>
      </c>
      <c r="F3256" s="18">
        <v>40000</v>
      </c>
      <c r="G3256" s="18"/>
      <c r="H3256" s="18"/>
      <c r="I3256" s="18"/>
      <c r="J3256" s="18"/>
      <c r="K3256" s="18">
        <v>1</v>
      </c>
      <c r="L3256" s="18"/>
      <c r="M3256" s="18" t="b">
        <v>1</v>
      </c>
      <c r="N3256" s="21"/>
    </row>
    <row r="3257" spans="1:14" x14ac:dyDescent="0.25">
      <c r="A3257" s="18" t="s">
        <v>119</v>
      </c>
      <c r="B3257" s="18"/>
      <c r="C3257" s="21" t="str">
        <f>IF(A3257="","",IF((COUNTIFS(A:A,A3257))&gt;1,"ID重复",""))</f>
        <v/>
      </c>
      <c r="D3257" s="18">
        <v>103</v>
      </c>
      <c r="E3257" s="132" t="str">
        <f>INDEX([1]道具配置表!$D:$D,MATCH(D3257,[1]道具配置表!$A:$A,0))</f>
        <v>1石头</v>
      </c>
      <c r="F3257" s="18">
        <v>40000</v>
      </c>
      <c r="G3257" s="18"/>
      <c r="H3257" s="18"/>
      <c r="I3257" s="18"/>
      <c r="J3257" s="18"/>
      <c r="K3257" s="18">
        <v>1</v>
      </c>
      <c r="L3257" s="18"/>
      <c r="M3257" s="18" t="b">
        <v>1</v>
      </c>
      <c r="N3257" s="21"/>
    </row>
    <row r="3258" spans="1:14" x14ac:dyDescent="0.25">
      <c r="A3258" s="18" t="s">
        <v>119</v>
      </c>
      <c r="B3258" s="18"/>
      <c r="C3258" s="21" t="str">
        <f>IF(A3258="","",IF((COUNTIFS(A:A,A3258))&gt;1,"ID重复",""))</f>
        <v/>
      </c>
      <c r="D3258" s="18">
        <v>104</v>
      </c>
      <c r="E3258" s="132" t="str">
        <f>INDEX([1]道具配置表!$D:$D,MATCH(D3258,[1]道具配置表!$A:$A,0))</f>
        <v>1黄金</v>
      </c>
      <c r="F3258" s="18">
        <v>40000</v>
      </c>
      <c r="G3258" s="18"/>
      <c r="H3258" s="18"/>
      <c r="I3258" s="18"/>
      <c r="J3258" s="18"/>
      <c r="K3258" s="18">
        <v>1</v>
      </c>
      <c r="L3258" s="18"/>
      <c r="M3258" s="18" t="b">
        <v>1</v>
      </c>
      <c r="N3258" s="21"/>
    </row>
    <row r="3259" spans="1:14" x14ac:dyDescent="0.25">
      <c r="A3259" s="18">
        <v>6623415</v>
      </c>
      <c r="B3259" s="18" t="s">
        <v>109</v>
      </c>
      <c r="C3259" s="21" t="str">
        <f>IF(A3259="","",IF((COUNTIFS(A:A,A3259))&gt;1,"ID重复",""))</f>
        <v/>
      </c>
      <c r="D3259" s="18">
        <v>1036</v>
      </c>
      <c r="E3259" s="132" t="str">
        <f>INDEX([1]道具配置表!$D:$D,MATCH(D3259,[1]道具配置表!$A:$A,0))</f>
        <v>约瑟芬（完整英雄）</v>
      </c>
      <c r="F3259" s="18">
        <v>1</v>
      </c>
      <c r="G3259" s="18"/>
      <c r="H3259" s="18"/>
      <c r="I3259" s="18"/>
      <c r="J3259" s="18"/>
      <c r="K3259" s="18">
        <v>1</v>
      </c>
      <c r="L3259" s="18"/>
      <c r="M3259" s="18" t="b">
        <v>1</v>
      </c>
      <c r="N3259" s="21"/>
    </row>
    <row r="3260" spans="1:14" x14ac:dyDescent="0.25">
      <c r="A3260" s="18" t="s">
        <v>119</v>
      </c>
      <c r="B3260" s="18"/>
      <c r="C3260" s="21" t="str">
        <f>IF(A3260="","",IF((COUNTIFS(A:A,A3260))&gt;1,"ID重复",""))</f>
        <v/>
      </c>
      <c r="D3260" s="18">
        <v>101</v>
      </c>
      <c r="E3260" s="132" t="str">
        <f>INDEX([1]道具配置表!$D:$D,MATCH(D3260,[1]道具配置表!$A:$A,0))</f>
        <v>1木材</v>
      </c>
      <c r="F3260" s="18">
        <v>120000</v>
      </c>
      <c r="G3260" s="18"/>
      <c r="H3260" s="18"/>
      <c r="I3260" s="18"/>
      <c r="J3260" s="18"/>
      <c r="K3260" s="18">
        <v>1</v>
      </c>
      <c r="L3260" s="18"/>
      <c r="M3260" s="18" t="b">
        <v>1</v>
      </c>
      <c r="N3260" s="21"/>
    </row>
    <row r="3261" spans="1:14" x14ac:dyDescent="0.25">
      <c r="A3261" s="18" t="s">
        <v>119</v>
      </c>
      <c r="B3261" s="18"/>
      <c r="C3261" s="21" t="str">
        <f>IF(A3261="","",IF((COUNTIFS(A:A,A3261))&gt;1,"ID重复",""))</f>
        <v/>
      </c>
      <c r="D3261" s="18">
        <v>103</v>
      </c>
      <c r="E3261" s="132" t="str">
        <f>INDEX([1]道具配置表!$D:$D,MATCH(D3261,[1]道具配置表!$A:$A,0))</f>
        <v>1石头</v>
      </c>
      <c r="F3261" s="18">
        <v>120000</v>
      </c>
      <c r="G3261" s="18"/>
      <c r="H3261" s="18"/>
      <c r="I3261" s="18"/>
      <c r="J3261" s="18"/>
      <c r="K3261" s="18">
        <v>1</v>
      </c>
      <c r="L3261" s="18"/>
      <c r="M3261" s="18" t="b">
        <v>1</v>
      </c>
      <c r="N3261" s="21"/>
    </row>
    <row r="3262" spans="1:14" x14ac:dyDescent="0.25">
      <c r="A3262" s="18" t="s">
        <v>119</v>
      </c>
      <c r="B3262" s="18"/>
      <c r="C3262" s="21" t="str">
        <f>IF(A3262="","",IF((COUNTIFS(A:A,A3262))&gt;1,"ID重复",""))</f>
        <v/>
      </c>
      <c r="D3262" s="18">
        <v>104</v>
      </c>
      <c r="E3262" s="132" t="str">
        <f>INDEX([1]道具配置表!$D:$D,MATCH(D3262,[1]道具配置表!$A:$A,0))</f>
        <v>1黄金</v>
      </c>
      <c r="F3262" s="18">
        <v>120000</v>
      </c>
      <c r="G3262" s="18"/>
      <c r="H3262" s="18"/>
      <c r="I3262" s="18"/>
      <c r="J3262" s="18"/>
      <c r="K3262" s="18">
        <v>1</v>
      </c>
      <c r="L3262" s="18"/>
      <c r="M3262" s="18" t="b">
        <v>1</v>
      </c>
      <c r="N3262" s="21"/>
    </row>
    <row r="3263" spans="1:14" x14ac:dyDescent="0.25">
      <c r="A3263" s="18">
        <v>6623416</v>
      </c>
      <c r="B3263" s="18" t="s">
        <v>110</v>
      </c>
      <c r="C3263" s="21" t="str">
        <f>IF(A3263="","",IF((COUNTIFS(A:A,A3263))&gt;1,"ID重复",""))</f>
        <v/>
      </c>
      <c r="D3263" s="18">
        <v>101</v>
      </c>
      <c r="E3263" s="132" t="str">
        <f>INDEX([1]道具配置表!$D:$D,MATCH(D3263,[1]道具配置表!$A:$A,0))</f>
        <v>1木材</v>
      </c>
      <c r="F3263" s="18">
        <v>80000</v>
      </c>
      <c r="G3263" s="18"/>
      <c r="H3263" s="18"/>
      <c r="I3263" s="18"/>
      <c r="J3263" s="18"/>
      <c r="K3263" s="18">
        <v>1</v>
      </c>
      <c r="L3263" s="18"/>
      <c r="M3263" s="18" t="b">
        <v>1</v>
      </c>
      <c r="N3263" s="21"/>
    </row>
    <row r="3264" spans="1:14" x14ac:dyDescent="0.25">
      <c r="A3264" s="18" t="s">
        <v>119</v>
      </c>
      <c r="B3264" s="18"/>
      <c r="C3264" s="21" t="str">
        <f>IF(A3264="","",IF((COUNTIFS(A:A,A3264))&gt;1,"ID重复",""))</f>
        <v/>
      </c>
      <c r="D3264" s="18">
        <v>103</v>
      </c>
      <c r="E3264" s="132" t="str">
        <f>INDEX([1]道具配置表!$D:$D,MATCH(D3264,[1]道具配置表!$A:$A,0))</f>
        <v>1石头</v>
      </c>
      <c r="F3264" s="18">
        <v>80000</v>
      </c>
      <c r="G3264" s="18"/>
      <c r="H3264" s="18"/>
      <c r="I3264" s="18"/>
      <c r="J3264" s="18"/>
      <c r="K3264" s="18">
        <v>1</v>
      </c>
      <c r="L3264" s="18"/>
      <c r="M3264" s="18" t="b">
        <v>1</v>
      </c>
      <c r="N3264" s="21"/>
    </row>
    <row r="3265" spans="1:14" x14ac:dyDescent="0.25">
      <c r="A3265" s="18" t="s">
        <v>119</v>
      </c>
      <c r="B3265" s="18"/>
      <c r="C3265" s="21" t="str">
        <f>IF(A3265="","",IF((COUNTIFS(A:A,A3265))&gt;1,"ID重复",""))</f>
        <v/>
      </c>
      <c r="D3265" s="18">
        <v>104</v>
      </c>
      <c r="E3265" s="132" t="str">
        <f>INDEX([1]道具配置表!$D:$D,MATCH(D3265,[1]道具配置表!$A:$A,0))</f>
        <v>1黄金</v>
      </c>
      <c r="F3265" s="18">
        <v>80000</v>
      </c>
      <c r="G3265" s="18"/>
      <c r="H3265" s="18"/>
      <c r="I3265" s="18"/>
      <c r="J3265" s="18"/>
      <c r="K3265" s="18">
        <v>1</v>
      </c>
      <c r="L3265" s="18"/>
      <c r="M3265" s="18" t="b">
        <v>1</v>
      </c>
      <c r="N3265" s="21"/>
    </row>
    <row r="3266" spans="1:14" x14ac:dyDescent="0.25">
      <c r="A3266" s="18">
        <v>6623417</v>
      </c>
      <c r="B3266" s="18" t="s">
        <v>111</v>
      </c>
      <c r="C3266" s="21" t="str">
        <f>IF(A3266="","",IF((COUNTIFS(A:A,A3266))&gt;1,"ID重复",""))</f>
        <v/>
      </c>
      <c r="D3266" s="18">
        <v>101</v>
      </c>
      <c r="E3266" s="132" t="str">
        <f>INDEX([1]道具配置表!$D:$D,MATCH(D3266,[1]道具配置表!$A:$A,0))</f>
        <v>1木材</v>
      </c>
      <c r="F3266" s="18">
        <v>80000</v>
      </c>
      <c r="G3266" s="18"/>
      <c r="H3266" s="18"/>
      <c r="I3266" s="18"/>
      <c r="J3266" s="18"/>
      <c r="K3266" s="18">
        <v>1</v>
      </c>
      <c r="L3266" s="18"/>
      <c r="M3266" s="18" t="b">
        <v>1</v>
      </c>
      <c r="N3266" s="21"/>
    </row>
    <row r="3267" spans="1:14" x14ac:dyDescent="0.25">
      <c r="A3267" s="18" t="s">
        <v>119</v>
      </c>
      <c r="B3267" s="18"/>
      <c r="C3267" s="21" t="str">
        <f>IF(A3267="","",IF((COUNTIFS(A:A,A3267))&gt;1,"ID重复",""))</f>
        <v/>
      </c>
      <c r="D3267" s="18">
        <v>103</v>
      </c>
      <c r="E3267" s="132" t="str">
        <f>INDEX([1]道具配置表!$D:$D,MATCH(D3267,[1]道具配置表!$A:$A,0))</f>
        <v>1石头</v>
      </c>
      <c r="F3267" s="18">
        <v>80000</v>
      </c>
      <c r="G3267" s="18"/>
      <c r="H3267" s="18"/>
      <c r="I3267" s="18"/>
      <c r="J3267" s="18"/>
      <c r="K3267" s="18">
        <v>1</v>
      </c>
      <c r="L3267" s="18"/>
      <c r="M3267" s="18" t="b">
        <v>1</v>
      </c>
      <c r="N3267" s="21"/>
    </row>
    <row r="3268" spans="1:14" x14ac:dyDescent="0.25">
      <c r="A3268" s="18" t="s">
        <v>119</v>
      </c>
      <c r="B3268" s="18"/>
      <c r="C3268" s="21" t="str">
        <f>IF(A3268="","",IF((COUNTIFS(A:A,A3268))&gt;1,"ID重复",""))</f>
        <v/>
      </c>
      <c r="D3268" s="18">
        <v>104</v>
      </c>
      <c r="E3268" s="132" t="str">
        <f>INDEX([1]道具配置表!$D:$D,MATCH(D3268,[1]道具配置表!$A:$A,0))</f>
        <v>1黄金</v>
      </c>
      <c r="F3268" s="18">
        <v>80000</v>
      </c>
      <c r="G3268" s="18"/>
      <c r="H3268" s="18"/>
      <c r="I3268" s="18"/>
      <c r="J3268" s="18"/>
      <c r="K3268" s="18">
        <v>1</v>
      </c>
      <c r="L3268" s="18"/>
      <c r="M3268" s="18" t="b">
        <v>1</v>
      </c>
      <c r="N3268" s="21"/>
    </row>
    <row r="3269" spans="1:14" x14ac:dyDescent="0.25">
      <c r="A3269" s="18">
        <v>6623418</v>
      </c>
      <c r="B3269" s="18" t="s">
        <v>112</v>
      </c>
      <c r="C3269" s="21" t="str">
        <f>IF(A3269="","",IF((COUNTIFS(A:A,A3269))&gt;1,"ID重复",""))</f>
        <v/>
      </c>
      <c r="D3269" s="18">
        <v>7003</v>
      </c>
      <c r="E3269" s="132" t="str">
        <f>INDEX([1]道具配置表!$D:$D,MATCH(D3269,[1]道具配置表!$A:$A,0))</f>
        <v>1银币（立即使用，不进背包）</v>
      </c>
      <c r="F3269" s="18">
        <v>500</v>
      </c>
      <c r="G3269" s="18"/>
      <c r="H3269" s="18"/>
      <c r="I3269" s="18"/>
      <c r="J3269" s="18"/>
      <c r="K3269" s="18">
        <v>1</v>
      </c>
      <c r="L3269" s="18"/>
      <c r="M3269" s="18" t="b">
        <v>1</v>
      </c>
      <c r="N3269" s="21"/>
    </row>
    <row r="3270" spans="1:14" x14ac:dyDescent="0.25">
      <c r="A3270" s="18" t="s">
        <v>119</v>
      </c>
      <c r="B3270" s="18"/>
      <c r="C3270" s="21" t="str">
        <f>IF(A3270="","",IF((COUNTIFS(A:A,A3270))&gt;1,"ID重复",""))</f>
        <v/>
      </c>
      <c r="D3270" s="18">
        <v>101</v>
      </c>
      <c r="E3270" s="132" t="str">
        <f>INDEX([1]道具配置表!$D:$D,MATCH(D3270,[1]道具配置表!$A:$A,0))</f>
        <v>1木材</v>
      </c>
      <c r="F3270" s="18">
        <v>140000</v>
      </c>
      <c r="G3270" s="18"/>
      <c r="H3270" s="18"/>
      <c r="I3270" s="18"/>
      <c r="J3270" s="18"/>
      <c r="K3270" s="18">
        <v>1</v>
      </c>
      <c r="L3270" s="18"/>
      <c r="M3270" s="18" t="b">
        <v>1</v>
      </c>
      <c r="N3270" s="21"/>
    </row>
    <row r="3271" spans="1:14" x14ac:dyDescent="0.25">
      <c r="A3271" s="18" t="s">
        <v>119</v>
      </c>
      <c r="B3271" s="18"/>
      <c r="C3271" s="21" t="str">
        <f>IF(A3271="","",IF((COUNTIFS(A:A,A3271))&gt;1,"ID重复",""))</f>
        <v/>
      </c>
      <c r="D3271" s="18">
        <v>103</v>
      </c>
      <c r="E3271" s="132" t="str">
        <f>INDEX([1]道具配置表!$D:$D,MATCH(D3271,[1]道具配置表!$A:$A,0))</f>
        <v>1石头</v>
      </c>
      <c r="F3271" s="18">
        <v>140000</v>
      </c>
      <c r="G3271" s="18"/>
      <c r="H3271" s="18"/>
      <c r="I3271" s="18"/>
      <c r="J3271" s="18"/>
      <c r="K3271" s="18">
        <v>1</v>
      </c>
      <c r="L3271" s="18"/>
      <c r="M3271" s="18" t="b">
        <v>1</v>
      </c>
      <c r="N3271" s="51"/>
    </row>
    <row r="3272" spans="1:14" x14ac:dyDescent="0.25">
      <c r="A3272" s="18" t="s">
        <v>119</v>
      </c>
      <c r="B3272" s="18"/>
      <c r="C3272" s="21" t="str">
        <f>IF(A3272="","",IF((COUNTIFS(A:A,A3272))&gt;1,"ID重复",""))</f>
        <v/>
      </c>
      <c r="D3272" s="18">
        <v>104</v>
      </c>
      <c r="E3272" s="132" t="str">
        <f>INDEX([1]道具配置表!$D:$D,MATCH(D3272,[1]道具配置表!$A:$A,0))</f>
        <v>1黄金</v>
      </c>
      <c r="F3272" s="18">
        <v>140000</v>
      </c>
      <c r="G3272" s="18"/>
      <c r="H3272" s="18"/>
      <c r="I3272" s="18"/>
      <c r="J3272" s="18"/>
      <c r="K3272" s="18">
        <v>1</v>
      </c>
      <c r="L3272" s="18"/>
      <c r="M3272" s="18" t="b">
        <v>1</v>
      </c>
      <c r="N3272" s="51"/>
    </row>
    <row r="3273" spans="1:14" x14ac:dyDescent="0.25">
      <c r="A3273" s="18">
        <v>6623419</v>
      </c>
      <c r="B3273" s="18" t="s">
        <v>113</v>
      </c>
      <c r="C3273" s="21" t="str">
        <f>IF(A3273="","",IF((COUNTIFS(A:A,A3273))&gt;1,"ID重复",""))</f>
        <v/>
      </c>
      <c r="D3273" s="18">
        <v>101</v>
      </c>
      <c r="E3273" s="132" t="str">
        <f>INDEX([1]道具配置表!$D:$D,MATCH(D3273,[1]道具配置表!$A:$A,0))</f>
        <v>1木材</v>
      </c>
      <c r="F3273" s="18">
        <v>80000</v>
      </c>
      <c r="G3273" s="18"/>
      <c r="H3273" s="18"/>
      <c r="I3273" s="18"/>
      <c r="J3273" s="18"/>
      <c r="K3273" s="18">
        <v>1</v>
      </c>
      <c r="L3273" s="18"/>
      <c r="M3273" s="18" t="b">
        <v>1</v>
      </c>
      <c r="N3273" s="51"/>
    </row>
    <row r="3274" spans="1:14" x14ac:dyDescent="0.25">
      <c r="A3274" s="18" t="s">
        <v>119</v>
      </c>
      <c r="B3274" s="18"/>
      <c r="C3274" s="21" t="str">
        <f>IF(A3274="","",IF((COUNTIFS(A:A,A3274))&gt;1,"ID重复",""))</f>
        <v/>
      </c>
      <c r="D3274" s="18">
        <v>103</v>
      </c>
      <c r="E3274" s="132" t="str">
        <f>INDEX([1]道具配置表!$D:$D,MATCH(D3274,[1]道具配置表!$A:$A,0))</f>
        <v>1石头</v>
      </c>
      <c r="F3274" s="18">
        <v>80000</v>
      </c>
      <c r="G3274" s="18"/>
      <c r="H3274" s="18"/>
      <c r="I3274" s="18"/>
      <c r="J3274" s="18"/>
      <c r="K3274" s="18">
        <v>1</v>
      </c>
      <c r="L3274" s="18"/>
      <c r="M3274" s="18" t="b">
        <v>1</v>
      </c>
      <c r="N3274" s="51"/>
    </row>
    <row r="3275" spans="1:14" x14ac:dyDescent="0.25">
      <c r="A3275" s="18" t="s">
        <v>119</v>
      </c>
      <c r="B3275" s="18"/>
      <c r="C3275" s="21" t="str">
        <f>IF(A3275="","",IF((COUNTIFS(A:A,A3275))&gt;1,"ID重复",""))</f>
        <v/>
      </c>
      <c r="D3275" s="18">
        <v>104</v>
      </c>
      <c r="E3275" s="132" t="str">
        <f>INDEX([1]道具配置表!$D:$D,MATCH(D3275,[1]道具配置表!$A:$A,0))</f>
        <v>1黄金</v>
      </c>
      <c r="F3275" s="18">
        <v>80000</v>
      </c>
      <c r="G3275" s="18"/>
      <c r="H3275" s="18"/>
      <c r="I3275" s="18"/>
      <c r="J3275" s="18"/>
      <c r="K3275" s="18">
        <v>1</v>
      </c>
      <c r="L3275" s="18"/>
      <c r="M3275" s="18" t="b">
        <v>1</v>
      </c>
      <c r="N3275" s="51"/>
    </row>
    <row r="3276" spans="1:14" x14ac:dyDescent="0.25">
      <c r="A3276" s="18">
        <v>6623420</v>
      </c>
      <c r="B3276" s="18" t="s">
        <v>114</v>
      </c>
      <c r="C3276" s="21" t="str">
        <f>IF(A3276="","",IF((COUNTIFS(A:A,A3276))&gt;1,"ID重复",""))</f>
        <v/>
      </c>
      <c r="D3276" s="18">
        <v>101</v>
      </c>
      <c r="E3276" s="132" t="str">
        <f>INDEX([1]道具配置表!$D:$D,MATCH(D3276,[1]道具配置表!$A:$A,0))</f>
        <v>1木材</v>
      </c>
      <c r="F3276" s="18">
        <v>80000</v>
      </c>
      <c r="G3276" s="18"/>
      <c r="H3276" s="18"/>
      <c r="I3276" s="18"/>
      <c r="J3276" s="18"/>
      <c r="K3276" s="18">
        <v>1</v>
      </c>
      <c r="L3276" s="18"/>
      <c r="M3276" s="18" t="b">
        <v>1</v>
      </c>
      <c r="N3276" s="51"/>
    </row>
    <row r="3277" spans="1:14" x14ac:dyDescent="0.25">
      <c r="A3277" s="18" t="s">
        <v>119</v>
      </c>
      <c r="B3277" s="18"/>
      <c r="C3277" s="21" t="str">
        <f>IF(A3277="","",IF((COUNTIFS(A:A,A3277))&gt;1,"ID重复",""))</f>
        <v/>
      </c>
      <c r="D3277" s="18">
        <v>103</v>
      </c>
      <c r="E3277" s="132" t="str">
        <f>INDEX([1]道具配置表!$D:$D,MATCH(D3277,[1]道具配置表!$A:$A,0))</f>
        <v>1石头</v>
      </c>
      <c r="F3277" s="18">
        <v>80000</v>
      </c>
      <c r="G3277" s="18"/>
      <c r="H3277" s="18"/>
      <c r="I3277" s="18"/>
      <c r="J3277" s="18"/>
      <c r="K3277" s="18">
        <v>1</v>
      </c>
      <c r="L3277" s="18"/>
      <c r="M3277" s="18" t="b">
        <v>1</v>
      </c>
      <c r="N3277" s="51"/>
    </row>
    <row r="3278" spans="1:14" x14ac:dyDescent="0.25">
      <c r="A3278" s="18" t="s">
        <v>119</v>
      </c>
      <c r="B3278" s="18"/>
      <c r="C3278" s="21" t="str">
        <f>IF(A3278="","",IF((COUNTIFS(A:A,A3278))&gt;1,"ID重复",""))</f>
        <v/>
      </c>
      <c r="D3278" s="18">
        <v>104</v>
      </c>
      <c r="E3278" s="132" t="str">
        <f>INDEX([1]道具配置表!$D:$D,MATCH(D3278,[1]道具配置表!$A:$A,0))</f>
        <v>1黄金</v>
      </c>
      <c r="F3278" s="18">
        <v>80000</v>
      </c>
      <c r="G3278" s="18"/>
      <c r="H3278" s="18"/>
      <c r="I3278" s="18"/>
      <c r="J3278" s="18"/>
      <c r="K3278" s="18">
        <v>1</v>
      </c>
      <c r="L3278" s="18"/>
      <c r="M3278" s="18" t="b">
        <v>1</v>
      </c>
      <c r="N3278" s="51"/>
    </row>
    <row r="3279" spans="1:14" x14ac:dyDescent="0.25">
      <c r="A3279" s="18">
        <v>6623421</v>
      </c>
      <c r="B3279" s="18" t="s">
        <v>115</v>
      </c>
      <c r="C3279" s="21" t="str">
        <f>IF(A3279="","",IF((COUNTIFS(A:A,A3279))&gt;1,"ID重复",""))</f>
        <v/>
      </c>
      <c r="D3279" s="18">
        <v>1061</v>
      </c>
      <c r="E3279" s="132" t="str">
        <f>INDEX([1]道具配置表!$D:$D,MATCH(D3279,[1]道具配置表!$A:$A,0))</f>
        <v>汉谟拉比（完整英雄）</v>
      </c>
      <c r="F3279" s="18">
        <v>1</v>
      </c>
      <c r="G3279" s="18"/>
      <c r="H3279" s="18"/>
      <c r="I3279" s="18"/>
      <c r="J3279" s="18"/>
      <c r="K3279" s="18">
        <v>1</v>
      </c>
      <c r="L3279" s="18"/>
      <c r="M3279" s="18" t="b">
        <v>1</v>
      </c>
      <c r="N3279" s="51"/>
    </row>
    <row r="3280" spans="1:14" x14ac:dyDescent="0.25">
      <c r="A3280" s="18" t="s">
        <v>119</v>
      </c>
      <c r="B3280" s="18"/>
      <c r="C3280" s="21" t="str">
        <f>IF(A3280="","",IF((COUNTIFS(A:A,A3280))&gt;1,"ID重复",""))</f>
        <v/>
      </c>
      <c r="D3280" s="18">
        <v>101</v>
      </c>
      <c r="E3280" s="132" t="str">
        <f>INDEX([1]道具配置表!$D:$D,MATCH(D3280,[1]道具配置表!$A:$A,0))</f>
        <v>1木材</v>
      </c>
      <c r="F3280" s="18">
        <v>180000</v>
      </c>
      <c r="G3280" s="18"/>
      <c r="H3280" s="18"/>
      <c r="I3280" s="18"/>
      <c r="J3280" s="18"/>
      <c r="K3280" s="18">
        <v>1</v>
      </c>
      <c r="L3280" s="18"/>
      <c r="M3280" s="18" t="b">
        <v>1</v>
      </c>
      <c r="N3280" s="51"/>
    </row>
    <row r="3281" spans="1:14" x14ac:dyDescent="0.25">
      <c r="A3281" s="18" t="s">
        <v>119</v>
      </c>
      <c r="B3281" s="18"/>
      <c r="C3281" s="21" t="str">
        <f>IF(A3281="","",IF((COUNTIFS(A:A,A3281))&gt;1,"ID重复",""))</f>
        <v/>
      </c>
      <c r="D3281" s="18">
        <v>103</v>
      </c>
      <c r="E3281" s="132" t="str">
        <f>INDEX([1]道具配置表!$D:$D,MATCH(D3281,[1]道具配置表!$A:$A,0))</f>
        <v>1石头</v>
      </c>
      <c r="F3281" s="18">
        <v>180000</v>
      </c>
      <c r="G3281" s="18"/>
      <c r="H3281" s="18"/>
      <c r="I3281" s="18"/>
      <c r="J3281" s="18"/>
      <c r="K3281" s="18">
        <v>1</v>
      </c>
      <c r="L3281" s="18"/>
      <c r="M3281" s="18" t="b">
        <v>1</v>
      </c>
      <c r="N3281" s="51"/>
    </row>
    <row r="3282" spans="1:14" x14ac:dyDescent="0.25">
      <c r="A3282" s="18" t="s">
        <v>119</v>
      </c>
      <c r="B3282" s="18"/>
      <c r="C3282" s="21" t="str">
        <f>IF(A3282="","",IF((COUNTIFS(A:A,A3282))&gt;1,"ID重复",""))</f>
        <v/>
      </c>
      <c r="D3282" s="18">
        <v>104</v>
      </c>
      <c r="E3282" s="132" t="str">
        <f>INDEX([1]道具配置表!$D:$D,MATCH(D3282,[1]道具配置表!$A:$A,0))</f>
        <v>1黄金</v>
      </c>
      <c r="F3282" s="18">
        <v>180000</v>
      </c>
      <c r="G3282" s="18"/>
      <c r="H3282" s="18"/>
      <c r="I3282" s="18"/>
      <c r="J3282" s="18"/>
      <c r="K3282" s="18">
        <v>1</v>
      </c>
      <c r="L3282" s="18"/>
      <c r="M3282" s="18" t="b">
        <v>1</v>
      </c>
      <c r="N3282" s="51"/>
    </row>
    <row r="3283" spans="1:14" x14ac:dyDescent="0.25">
      <c r="A3283" s="17">
        <v>6624101</v>
      </c>
      <c r="B3283" s="17" t="s">
        <v>175</v>
      </c>
      <c r="C3283" s="21" t="str">
        <f>IF(A3283="","",IF((COUNTIFS(A:A,A3283))&gt;1,"ID重复",""))</f>
        <v/>
      </c>
      <c r="D3283" s="17">
        <v>2007</v>
      </c>
      <c r="E3283" s="132" t="str">
        <f>INDEX([1]道具配置表!$D:$D,MATCH(D3283,[1]道具配置表!$A:$A,0))</f>
        <v>大奖池招募券</v>
      </c>
      <c r="F3283" s="17">
        <v>1</v>
      </c>
      <c r="G3283" s="17"/>
      <c r="H3283" s="17"/>
      <c r="I3283" s="17"/>
      <c r="J3283" s="17"/>
      <c r="K3283" s="17">
        <v>1</v>
      </c>
      <c r="L3283" s="17"/>
      <c r="M3283" s="17" t="b">
        <v>1</v>
      </c>
      <c r="N3283" s="17"/>
    </row>
    <row r="3284" spans="1:14" x14ac:dyDescent="0.25">
      <c r="A3284" s="17" t="s">
        <v>119</v>
      </c>
      <c r="B3284" s="17"/>
      <c r="C3284" s="21" t="str">
        <f>IF(A3284="","",IF((COUNTIFS(A:A,A3284))&gt;1,"ID重复",""))</f>
        <v/>
      </c>
      <c r="D3284" s="17">
        <v>7003</v>
      </c>
      <c r="E3284" s="132" t="str">
        <f>INDEX([1]道具配置表!$D:$D,MATCH(D3284,[1]道具配置表!$A:$A,0))</f>
        <v>1银币（立即使用，不进背包）</v>
      </c>
      <c r="F3284" s="17">
        <v>300</v>
      </c>
      <c r="G3284" s="17"/>
      <c r="H3284" s="17"/>
      <c r="I3284" s="17"/>
      <c r="J3284" s="17"/>
      <c r="K3284" s="17">
        <v>1</v>
      </c>
      <c r="L3284" s="17"/>
      <c r="M3284" s="17" t="b">
        <v>1</v>
      </c>
      <c r="N3284" s="21"/>
    </row>
    <row r="3285" spans="1:14" x14ac:dyDescent="0.25">
      <c r="A3285" s="17" t="s">
        <v>119</v>
      </c>
      <c r="B3285" s="17"/>
      <c r="C3285" s="21" t="str">
        <f>IF(A3285="","",IF((COUNTIFS(A:A,A3285))&gt;1,"ID重复",""))</f>
        <v/>
      </c>
      <c r="D3285" s="17">
        <v>6121</v>
      </c>
      <c r="E3285" s="132" t="str">
        <f>INDEX([1]道具配置表!$D:$D,MATCH(D3285,[1]道具配置表!$A:$A,0))</f>
        <v>5分钟建造加速</v>
      </c>
      <c r="F3285" s="17">
        <v>10</v>
      </c>
      <c r="G3285" s="17"/>
      <c r="H3285" s="17"/>
      <c r="I3285" s="17"/>
      <c r="J3285" s="17"/>
      <c r="K3285" s="17">
        <v>1</v>
      </c>
      <c r="L3285" s="17"/>
      <c r="M3285" s="17" t="b">
        <v>1</v>
      </c>
      <c r="N3285" s="17"/>
    </row>
    <row r="3286" spans="1:14" x14ac:dyDescent="0.25">
      <c r="A3286" s="17">
        <f>A3283+1</f>
        <v>6624102</v>
      </c>
      <c r="B3286" s="17" t="s">
        <v>176</v>
      </c>
      <c r="C3286" s="21" t="str">
        <f>IF(A3286="","",IF((COUNTIFS(A:A,A3286))&gt;1,"ID重复",""))</f>
        <v/>
      </c>
      <c r="D3286" s="17">
        <f>D3283</f>
        <v>2007</v>
      </c>
      <c r="E3286" s="132" t="str">
        <f>INDEX([1]道具配置表!$D:$D,MATCH(D3286,[1]道具配置表!$A:$A,0))</f>
        <v>大奖池招募券</v>
      </c>
      <c r="F3286" s="17">
        <f>F3283</f>
        <v>1</v>
      </c>
      <c r="G3286" s="17"/>
      <c r="H3286" s="17"/>
      <c r="I3286" s="17"/>
      <c r="J3286" s="17"/>
      <c r="K3286" s="17">
        <v>1</v>
      </c>
      <c r="L3286" s="17"/>
      <c r="M3286" s="17" t="b">
        <v>1</v>
      </c>
      <c r="N3286" s="17"/>
    </row>
    <row r="3287" spans="1:14" x14ac:dyDescent="0.25">
      <c r="A3287" s="17" t="s">
        <v>119</v>
      </c>
      <c r="B3287" s="17"/>
      <c r="C3287" s="21" t="str">
        <f>IF(A3287="","",IF((COUNTIFS(A:A,A3287))&gt;1,"ID重复",""))</f>
        <v/>
      </c>
      <c r="D3287" s="21">
        <f t="shared" ref="D3287:D3336" si="59">D3284</f>
        <v>7003</v>
      </c>
      <c r="E3287" s="132" t="str">
        <f>INDEX([1]道具配置表!$D:$D,MATCH(D3287,[1]道具配置表!$A:$A,0))</f>
        <v>1银币（立即使用，不进背包）</v>
      </c>
      <c r="F3287" s="17">
        <f>F3284</f>
        <v>300</v>
      </c>
      <c r="G3287" s="17"/>
      <c r="H3287" s="17"/>
      <c r="I3287" s="17"/>
      <c r="J3287" s="17"/>
      <c r="K3287" s="17">
        <v>1</v>
      </c>
      <c r="L3287" s="17"/>
      <c r="M3287" s="17" t="b">
        <v>1</v>
      </c>
      <c r="N3287" s="21"/>
    </row>
    <row r="3288" spans="1:14" x14ac:dyDescent="0.25">
      <c r="A3288" s="17" t="s">
        <v>119</v>
      </c>
      <c r="B3288" s="17"/>
      <c r="C3288" s="21" t="str">
        <f>IF(A3288="","",IF((COUNTIFS(A:A,A3288))&gt;1,"ID重复",""))</f>
        <v/>
      </c>
      <c r="D3288" s="21">
        <f t="shared" si="59"/>
        <v>6121</v>
      </c>
      <c r="E3288" s="132" t="str">
        <f>INDEX([1]道具配置表!$D:$D,MATCH(D3288,[1]道具配置表!$A:$A,0))</f>
        <v>5分钟建造加速</v>
      </c>
      <c r="F3288" s="17">
        <f>F3285+2</f>
        <v>12</v>
      </c>
      <c r="G3288" s="17"/>
      <c r="H3288" s="17"/>
      <c r="I3288" s="17"/>
      <c r="J3288" s="17"/>
      <c r="K3288" s="17">
        <v>1</v>
      </c>
      <c r="L3288" s="17"/>
      <c r="M3288" s="17" t="b">
        <v>1</v>
      </c>
      <c r="N3288" s="17"/>
    </row>
    <row r="3289" spans="1:14" x14ac:dyDescent="0.25">
      <c r="A3289" s="17">
        <f>A3286+1</f>
        <v>6624103</v>
      </c>
      <c r="B3289" s="17" t="s">
        <v>177</v>
      </c>
      <c r="C3289" s="21" t="str">
        <f>IF(A3289="","",IF((COUNTIFS(A:A,A3289))&gt;1,"ID重复",""))</f>
        <v/>
      </c>
      <c r="D3289" s="21">
        <f t="shared" si="59"/>
        <v>2007</v>
      </c>
      <c r="E3289" s="132" t="str">
        <f>INDEX([1]道具配置表!$D:$D,MATCH(D3289,[1]道具配置表!$A:$A,0))</f>
        <v>大奖池招募券</v>
      </c>
      <c r="F3289" s="21">
        <f t="shared" ref="F3289:F3290" si="60">F3286</f>
        <v>1</v>
      </c>
      <c r="G3289" s="17"/>
      <c r="H3289" s="17"/>
      <c r="I3289" s="17"/>
      <c r="J3289" s="17"/>
      <c r="K3289" s="17">
        <v>1</v>
      </c>
      <c r="L3289" s="17"/>
      <c r="M3289" s="17" t="b">
        <v>1</v>
      </c>
      <c r="N3289" s="21"/>
    </row>
    <row r="3290" spans="1:14" x14ac:dyDescent="0.25">
      <c r="A3290" s="17" t="s">
        <v>119</v>
      </c>
      <c r="B3290" s="17"/>
      <c r="C3290" s="21" t="str">
        <f>IF(A3290="","",IF((COUNTIFS(A:A,A3290))&gt;1,"ID重复",""))</f>
        <v/>
      </c>
      <c r="D3290" s="21">
        <f t="shared" si="59"/>
        <v>7003</v>
      </c>
      <c r="E3290" s="132" t="str">
        <f>INDEX([1]道具配置表!$D:$D,MATCH(D3290,[1]道具配置表!$A:$A,0))</f>
        <v>1银币（立即使用，不进背包）</v>
      </c>
      <c r="F3290" s="21">
        <f t="shared" si="60"/>
        <v>300</v>
      </c>
      <c r="G3290" s="17"/>
      <c r="H3290" s="17"/>
      <c r="I3290" s="17"/>
      <c r="J3290" s="17"/>
      <c r="K3290" s="17">
        <v>1</v>
      </c>
      <c r="L3290" s="17"/>
      <c r="M3290" s="17" t="b">
        <v>1</v>
      </c>
      <c r="N3290" s="21"/>
    </row>
    <row r="3291" spans="1:14" x14ac:dyDescent="0.25">
      <c r="A3291" s="17" t="s">
        <v>119</v>
      </c>
      <c r="B3291" s="17"/>
      <c r="C3291" s="21" t="str">
        <f>IF(A3291="","",IF((COUNTIFS(A:A,A3291))&gt;1,"ID重复",""))</f>
        <v/>
      </c>
      <c r="D3291" s="21">
        <f t="shared" si="59"/>
        <v>6121</v>
      </c>
      <c r="E3291" s="132" t="str">
        <f>INDEX([1]道具配置表!$D:$D,MATCH(D3291,[1]道具配置表!$A:$A,0))</f>
        <v>5分钟建造加速</v>
      </c>
      <c r="F3291" s="21">
        <f t="shared" ref="F3291" si="61">F3288+2</f>
        <v>14</v>
      </c>
      <c r="G3291" s="17"/>
      <c r="H3291" s="17"/>
      <c r="I3291" s="17"/>
      <c r="J3291" s="17"/>
      <c r="K3291" s="17">
        <v>1</v>
      </c>
      <c r="L3291" s="17"/>
      <c r="M3291" s="17" t="b">
        <v>1</v>
      </c>
      <c r="N3291" s="21"/>
    </row>
    <row r="3292" spans="1:14" x14ac:dyDescent="0.25">
      <c r="A3292" s="17">
        <f>A3289+1</f>
        <v>6624104</v>
      </c>
      <c r="B3292" s="17" t="s">
        <v>178</v>
      </c>
      <c r="C3292" s="21" t="str">
        <f>IF(A3292="","",IF((COUNTIFS(A:A,A3292))&gt;1,"ID重复",""))</f>
        <v/>
      </c>
      <c r="D3292" s="21">
        <f t="shared" si="59"/>
        <v>2007</v>
      </c>
      <c r="E3292" s="132" t="str">
        <f>INDEX([1]道具配置表!$D:$D,MATCH(D3292,[1]道具配置表!$A:$A,0))</f>
        <v>大奖池招募券</v>
      </c>
      <c r="F3292" s="21">
        <f t="shared" ref="F3292:F3293" si="62">F3289</f>
        <v>1</v>
      </c>
      <c r="G3292" s="17"/>
      <c r="H3292" s="17"/>
      <c r="I3292" s="17"/>
      <c r="J3292" s="17"/>
      <c r="K3292" s="17">
        <v>1</v>
      </c>
      <c r="L3292" s="17"/>
      <c r="M3292" s="17" t="b">
        <v>1</v>
      </c>
      <c r="N3292" s="21"/>
    </row>
    <row r="3293" spans="1:14" x14ac:dyDescent="0.25">
      <c r="A3293" s="17" t="s">
        <v>119</v>
      </c>
      <c r="B3293" s="17"/>
      <c r="C3293" s="21" t="str">
        <f>IF(A3293="","",IF((COUNTIFS(A:A,A3293))&gt;1,"ID重复",""))</f>
        <v/>
      </c>
      <c r="D3293" s="21">
        <f t="shared" si="59"/>
        <v>7003</v>
      </c>
      <c r="E3293" s="132" t="str">
        <f>INDEX([1]道具配置表!$D:$D,MATCH(D3293,[1]道具配置表!$A:$A,0))</f>
        <v>1银币（立即使用，不进背包）</v>
      </c>
      <c r="F3293" s="21">
        <f t="shared" si="62"/>
        <v>300</v>
      </c>
      <c r="G3293" s="17"/>
      <c r="H3293" s="17"/>
      <c r="I3293" s="17"/>
      <c r="J3293" s="17"/>
      <c r="K3293" s="17">
        <v>1</v>
      </c>
      <c r="L3293" s="17"/>
      <c r="M3293" s="17" t="b">
        <v>1</v>
      </c>
      <c r="N3293" s="21"/>
    </row>
    <row r="3294" spans="1:14" x14ac:dyDescent="0.25">
      <c r="A3294" s="17" t="s">
        <v>119</v>
      </c>
      <c r="B3294" s="17"/>
      <c r="C3294" s="21" t="str">
        <f>IF(A3294="","",IF((COUNTIFS(A:A,A3294))&gt;1,"ID重复",""))</f>
        <v/>
      </c>
      <c r="D3294" s="21">
        <f t="shared" si="59"/>
        <v>6121</v>
      </c>
      <c r="E3294" s="132" t="str">
        <f>INDEX([1]道具配置表!$D:$D,MATCH(D3294,[1]道具配置表!$A:$A,0))</f>
        <v>5分钟建造加速</v>
      </c>
      <c r="F3294" s="21">
        <f t="shared" ref="F3294" si="63">F3291+2</f>
        <v>16</v>
      </c>
      <c r="G3294" s="17"/>
      <c r="H3294" s="17"/>
      <c r="I3294" s="17"/>
      <c r="J3294" s="17"/>
      <c r="K3294" s="17">
        <v>1</v>
      </c>
      <c r="L3294" s="17"/>
      <c r="M3294" s="17" t="b">
        <v>1</v>
      </c>
      <c r="N3294" s="21"/>
    </row>
    <row r="3295" spans="1:14" x14ac:dyDescent="0.25">
      <c r="A3295" s="17">
        <f>A3292+1</f>
        <v>6624105</v>
      </c>
      <c r="B3295" s="17" t="s">
        <v>179</v>
      </c>
      <c r="C3295" s="21" t="str">
        <f>IF(A3295="","",IF((COUNTIFS(A:A,A3295))&gt;1,"ID重复",""))</f>
        <v/>
      </c>
      <c r="D3295" s="21">
        <f t="shared" si="59"/>
        <v>2007</v>
      </c>
      <c r="E3295" s="132" t="str">
        <f>INDEX([1]道具配置表!$D:$D,MATCH(D3295,[1]道具配置表!$A:$A,0))</f>
        <v>大奖池招募券</v>
      </c>
      <c r="F3295" s="21">
        <f t="shared" ref="F3295:F3296" si="64">F3292</f>
        <v>1</v>
      </c>
      <c r="G3295" s="17"/>
      <c r="H3295" s="17"/>
      <c r="I3295" s="17"/>
      <c r="J3295" s="17"/>
      <c r="K3295" s="17">
        <v>1</v>
      </c>
      <c r="L3295" s="17"/>
      <c r="M3295" s="17" t="b">
        <v>1</v>
      </c>
      <c r="N3295" s="21"/>
    </row>
    <row r="3296" spans="1:14" x14ac:dyDescent="0.25">
      <c r="A3296" s="17" t="s">
        <v>119</v>
      </c>
      <c r="B3296" s="17"/>
      <c r="C3296" s="21" t="str">
        <f>IF(A3296="","",IF((COUNTIFS(A:A,A3296))&gt;1,"ID重复",""))</f>
        <v/>
      </c>
      <c r="D3296" s="21">
        <f t="shared" si="59"/>
        <v>7003</v>
      </c>
      <c r="E3296" s="132" t="str">
        <f>INDEX([1]道具配置表!$D:$D,MATCH(D3296,[1]道具配置表!$A:$A,0))</f>
        <v>1银币（立即使用，不进背包）</v>
      </c>
      <c r="F3296" s="21">
        <f t="shared" si="64"/>
        <v>300</v>
      </c>
      <c r="G3296" s="17"/>
      <c r="H3296" s="17"/>
      <c r="I3296" s="17"/>
      <c r="J3296" s="17"/>
      <c r="K3296" s="17">
        <v>1</v>
      </c>
      <c r="L3296" s="17"/>
      <c r="M3296" s="17" t="b">
        <v>1</v>
      </c>
      <c r="N3296" s="21"/>
    </row>
    <row r="3297" spans="1:14" x14ac:dyDescent="0.25">
      <c r="A3297" s="17" t="s">
        <v>119</v>
      </c>
      <c r="B3297" s="17"/>
      <c r="C3297" s="21" t="str">
        <f>IF(A3297="","",IF((COUNTIFS(A:A,A3297))&gt;1,"ID重复",""))</f>
        <v/>
      </c>
      <c r="D3297" s="21">
        <f t="shared" si="59"/>
        <v>6121</v>
      </c>
      <c r="E3297" s="132" t="str">
        <f>INDEX([1]道具配置表!$D:$D,MATCH(D3297,[1]道具配置表!$A:$A,0))</f>
        <v>5分钟建造加速</v>
      </c>
      <c r="F3297" s="21">
        <f t="shared" ref="F3297" si="65">F3294+2</f>
        <v>18</v>
      </c>
      <c r="G3297" s="17"/>
      <c r="H3297" s="17"/>
      <c r="I3297" s="17"/>
      <c r="J3297" s="17"/>
      <c r="K3297" s="17">
        <v>1</v>
      </c>
      <c r="L3297" s="17"/>
      <c r="M3297" s="17" t="b">
        <v>1</v>
      </c>
      <c r="N3297" s="21"/>
    </row>
    <row r="3298" spans="1:14" x14ac:dyDescent="0.25">
      <c r="A3298" s="17">
        <f>A3295+1</f>
        <v>6624106</v>
      </c>
      <c r="B3298" s="17" t="s">
        <v>180</v>
      </c>
      <c r="C3298" s="21" t="str">
        <f>IF(A3298="","",IF((COUNTIFS(A:A,A3298))&gt;1,"ID重复",""))</f>
        <v/>
      </c>
      <c r="D3298" s="21">
        <f t="shared" si="59"/>
        <v>2007</v>
      </c>
      <c r="E3298" s="132" t="str">
        <f>INDEX([1]道具配置表!$D:$D,MATCH(D3298,[1]道具配置表!$A:$A,0))</f>
        <v>大奖池招募券</v>
      </c>
      <c r="F3298" s="21">
        <f t="shared" ref="F3298:F3299" si="66">F3295</f>
        <v>1</v>
      </c>
      <c r="G3298" s="17"/>
      <c r="H3298" s="17"/>
      <c r="I3298" s="17"/>
      <c r="J3298" s="17"/>
      <c r="K3298" s="17">
        <v>1</v>
      </c>
      <c r="L3298" s="17"/>
      <c r="M3298" s="17" t="b">
        <v>1</v>
      </c>
      <c r="N3298" s="21"/>
    </row>
    <row r="3299" spans="1:14" x14ac:dyDescent="0.25">
      <c r="A3299" s="17" t="s">
        <v>119</v>
      </c>
      <c r="B3299" s="17"/>
      <c r="C3299" s="21" t="str">
        <f>IF(A3299="","",IF((COUNTIFS(A:A,A3299))&gt;1,"ID重复",""))</f>
        <v/>
      </c>
      <c r="D3299" s="21">
        <f t="shared" si="59"/>
        <v>7003</v>
      </c>
      <c r="E3299" s="132" t="str">
        <f>INDEX([1]道具配置表!$D:$D,MATCH(D3299,[1]道具配置表!$A:$A,0))</f>
        <v>1银币（立即使用，不进背包）</v>
      </c>
      <c r="F3299" s="21">
        <f t="shared" si="66"/>
        <v>300</v>
      </c>
      <c r="G3299" s="17"/>
      <c r="H3299" s="17"/>
      <c r="I3299" s="17"/>
      <c r="J3299" s="17"/>
      <c r="K3299" s="17">
        <v>1</v>
      </c>
      <c r="L3299" s="17"/>
      <c r="M3299" s="17" t="b">
        <v>1</v>
      </c>
      <c r="N3299" s="21"/>
    </row>
    <row r="3300" spans="1:14" x14ac:dyDescent="0.25">
      <c r="A3300" s="17" t="s">
        <v>119</v>
      </c>
      <c r="B3300" s="17"/>
      <c r="C3300" s="21" t="str">
        <f>IF(A3300="","",IF((COUNTIFS(A:A,A3300))&gt;1,"ID重复",""))</f>
        <v/>
      </c>
      <c r="D3300" s="21">
        <f t="shared" si="59"/>
        <v>6121</v>
      </c>
      <c r="E3300" s="132" t="str">
        <f>INDEX([1]道具配置表!$D:$D,MATCH(D3300,[1]道具配置表!$A:$A,0))</f>
        <v>5分钟建造加速</v>
      </c>
      <c r="F3300" s="21">
        <f t="shared" ref="F3300" si="67">F3297+2</f>
        <v>20</v>
      </c>
      <c r="G3300" s="17"/>
      <c r="H3300" s="17"/>
      <c r="I3300" s="17"/>
      <c r="J3300" s="17"/>
      <c r="K3300" s="17">
        <v>1</v>
      </c>
      <c r="L3300" s="17"/>
      <c r="M3300" s="17" t="b">
        <v>1</v>
      </c>
      <c r="N3300" s="21"/>
    </row>
    <row r="3301" spans="1:14" x14ac:dyDescent="0.25">
      <c r="A3301" s="17">
        <f>A3298+1</f>
        <v>6624107</v>
      </c>
      <c r="B3301" s="17" t="s">
        <v>181</v>
      </c>
      <c r="C3301" s="21" t="str">
        <f>IF(A3301="","",IF((COUNTIFS(A:A,A3301))&gt;1,"ID重复",""))</f>
        <v/>
      </c>
      <c r="D3301" s="21">
        <f t="shared" si="59"/>
        <v>2007</v>
      </c>
      <c r="E3301" s="132" t="str">
        <f>INDEX([1]道具配置表!$D:$D,MATCH(D3301,[1]道具配置表!$A:$A,0))</f>
        <v>大奖池招募券</v>
      </c>
      <c r="F3301" s="21">
        <f t="shared" ref="F3301:F3302" si="68">F3298</f>
        <v>1</v>
      </c>
      <c r="G3301" s="17"/>
      <c r="H3301" s="17"/>
      <c r="I3301" s="17"/>
      <c r="J3301" s="17"/>
      <c r="K3301" s="17">
        <v>1</v>
      </c>
      <c r="L3301" s="17"/>
      <c r="M3301" s="17" t="b">
        <v>1</v>
      </c>
      <c r="N3301" s="21"/>
    </row>
    <row r="3302" spans="1:14" x14ac:dyDescent="0.25">
      <c r="A3302" s="17" t="s">
        <v>119</v>
      </c>
      <c r="B3302" s="17"/>
      <c r="C3302" s="21" t="str">
        <f>IF(A3302="","",IF((COUNTIFS(A:A,A3302))&gt;1,"ID重复",""))</f>
        <v/>
      </c>
      <c r="D3302" s="21">
        <f t="shared" si="59"/>
        <v>7003</v>
      </c>
      <c r="E3302" s="132" t="str">
        <f>INDEX([1]道具配置表!$D:$D,MATCH(D3302,[1]道具配置表!$A:$A,0))</f>
        <v>1银币（立即使用，不进背包）</v>
      </c>
      <c r="F3302" s="21">
        <f t="shared" si="68"/>
        <v>300</v>
      </c>
      <c r="G3302" s="17"/>
      <c r="H3302" s="17"/>
      <c r="I3302" s="17"/>
      <c r="J3302" s="17"/>
      <c r="K3302" s="17">
        <v>1</v>
      </c>
      <c r="L3302" s="17"/>
      <c r="M3302" s="17" t="b">
        <v>1</v>
      </c>
      <c r="N3302" s="21"/>
    </row>
    <row r="3303" spans="1:14" x14ac:dyDescent="0.25">
      <c r="A3303" s="17" t="s">
        <v>119</v>
      </c>
      <c r="B3303" s="17"/>
      <c r="C3303" s="21" t="str">
        <f>IF(A3303="","",IF((COUNTIFS(A:A,A3303))&gt;1,"ID重复",""))</f>
        <v/>
      </c>
      <c r="D3303" s="21">
        <f t="shared" si="59"/>
        <v>6121</v>
      </c>
      <c r="E3303" s="132" t="str">
        <f>INDEX([1]道具配置表!$D:$D,MATCH(D3303,[1]道具配置表!$A:$A,0))</f>
        <v>5分钟建造加速</v>
      </c>
      <c r="F3303" s="21">
        <f t="shared" ref="F3303" si="69">F3300+2</f>
        <v>22</v>
      </c>
      <c r="G3303" s="17"/>
      <c r="H3303" s="17"/>
      <c r="I3303" s="17"/>
      <c r="J3303" s="17"/>
      <c r="K3303" s="17">
        <v>1</v>
      </c>
      <c r="L3303" s="17"/>
      <c r="M3303" s="17" t="b">
        <v>1</v>
      </c>
      <c r="N3303" s="21"/>
    </row>
    <row r="3304" spans="1:14" x14ac:dyDescent="0.25">
      <c r="A3304" s="17">
        <f>A3301+1</f>
        <v>6624108</v>
      </c>
      <c r="B3304" s="17" t="s">
        <v>182</v>
      </c>
      <c r="C3304" s="21" t="str">
        <f>IF(A3304="","",IF((COUNTIFS(A:A,A3304))&gt;1,"ID重复",""))</f>
        <v/>
      </c>
      <c r="D3304" s="21">
        <f t="shared" si="59"/>
        <v>2007</v>
      </c>
      <c r="E3304" s="132" t="str">
        <f>INDEX([1]道具配置表!$D:$D,MATCH(D3304,[1]道具配置表!$A:$A,0))</f>
        <v>大奖池招募券</v>
      </c>
      <c r="F3304" s="21">
        <f t="shared" ref="F3304:F3305" si="70">F3301</f>
        <v>1</v>
      </c>
      <c r="G3304" s="17"/>
      <c r="H3304" s="17"/>
      <c r="I3304" s="17"/>
      <c r="J3304" s="17"/>
      <c r="K3304" s="17">
        <v>1</v>
      </c>
      <c r="L3304" s="17"/>
      <c r="M3304" s="17" t="b">
        <v>1</v>
      </c>
      <c r="N3304" s="21"/>
    </row>
    <row r="3305" spans="1:14" x14ac:dyDescent="0.25">
      <c r="A3305" s="17" t="s">
        <v>119</v>
      </c>
      <c r="B3305" s="17"/>
      <c r="C3305" s="21" t="str">
        <f>IF(A3305="","",IF((COUNTIFS(A:A,A3305))&gt;1,"ID重复",""))</f>
        <v/>
      </c>
      <c r="D3305" s="21">
        <f t="shared" si="59"/>
        <v>7003</v>
      </c>
      <c r="E3305" s="132" t="str">
        <f>INDEX([1]道具配置表!$D:$D,MATCH(D3305,[1]道具配置表!$A:$A,0))</f>
        <v>1银币（立即使用，不进背包）</v>
      </c>
      <c r="F3305" s="21">
        <f t="shared" si="70"/>
        <v>300</v>
      </c>
      <c r="G3305" s="17"/>
      <c r="H3305" s="17"/>
      <c r="I3305" s="17"/>
      <c r="J3305" s="17"/>
      <c r="K3305" s="17">
        <v>1</v>
      </c>
      <c r="L3305" s="17"/>
      <c r="M3305" s="17" t="b">
        <v>1</v>
      </c>
      <c r="N3305" s="21"/>
    </row>
    <row r="3306" spans="1:14" x14ac:dyDescent="0.25">
      <c r="A3306" s="17" t="s">
        <v>119</v>
      </c>
      <c r="B3306" s="17"/>
      <c r="C3306" s="21" t="str">
        <f>IF(A3306="","",IF((COUNTIFS(A:A,A3306))&gt;1,"ID重复",""))</f>
        <v/>
      </c>
      <c r="D3306" s="21">
        <f t="shared" si="59"/>
        <v>6121</v>
      </c>
      <c r="E3306" s="132" t="str">
        <f>INDEX([1]道具配置表!$D:$D,MATCH(D3306,[1]道具配置表!$A:$A,0))</f>
        <v>5分钟建造加速</v>
      </c>
      <c r="F3306" s="21">
        <f t="shared" ref="F3306" si="71">F3303+2</f>
        <v>24</v>
      </c>
      <c r="G3306" s="17"/>
      <c r="H3306" s="17"/>
      <c r="I3306" s="17"/>
      <c r="J3306" s="17"/>
      <c r="K3306" s="17">
        <v>1</v>
      </c>
      <c r="L3306" s="17"/>
      <c r="M3306" s="17" t="b">
        <v>1</v>
      </c>
      <c r="N3306" s="21"/>
    </row>
    <row r="3307" spans="1:14" x14ac:dyDescent="0.25">
      <c r="A3307" s="17">
        <f>A3304+1</f>
        <v>6624109</v>
      </c>
      <c r="B3307" s="17" t="s">
        <v>183</v>
      </c>
      <c r="C3307" s="21" t="str">
        <f>IF(A3307="","",IF((COUNTIFS(A:A,A3307))&gt;1,"ID重复",""))</f>
        <v/>
      </c>
      <c r="D3307" s="21">
        <f t="shared" si="59"/>
        <v>2007</v>
      </c>
      <c r="E3307" s="132" t="str">
        <f>INDEX([1]道具配置表!$D:$D,MATCH(D3307,[1]道具配置表!$A:$A,0))</f>
        <v>大奖池招募券</v>
      </c>
      <c r="F3307" s="21">
        <f t="shared" ref="F3307:F3308" si="72">F3304</f>
        <v>1</v>
      </c>
      <c r="G3307" s="17"/>
      <c r="H3307" s="17"/>
      <c r="I3307" s="17"/>
      <c r="J3307" s="17"/>
      <c r="K3307" s="17">
        <v>1</v>
      </c>
      <c r="L3307" s="17"/>
      <c r="M3307" s="17" t="b">
        <v>1</v>
      </c>
      <c r="N3307" s="21"/>
    </row>
    <row r="3308" spans="1:14" x14ac:dyDescent="0.25">
      <c r="A3308" s="17" t="s">
        <v>119</v>
      </c>
      <c r="B3308" s="17"/>
      <c r="C3308" s="21" t="str">
        <f>IF(A3308="","",IF((COUNTIFS(A:A,A3308))&gt;1,"ID重复",""))</f>
        <v/>
      </c>
      <c r="D3308" s="21">
        <f t="shared" si="59"/>
        <v>7003</v>
      </c>
      <c r="E3308" s="132" t="str">
        <f>INDEX([1]道具配置表!$D:$D,MATCH(D3308,[1]道具配置表!$A:$A,0))</f>
        <v>1银币（立即使用，不进背包）</v>
      </c>
      <c r="F3308" s="21">
        <f t="shared" si="72"/>
        <v>300</v>
      </c>
      <c r="G3308" s="17"/>
      <c r="H3308" s="17"/>
      <c r="I3308" s="17"/>
      <c r="J3308" s="17"/>
      <c r="K3308" s="17">
        <v>1</v>
      </c>
      <c r="L3308" s="17"/>
      <c r="M3308" s="17" t="b">
        <v>1</v>
      </c>
      <c r="N3308" s="21"/>
    </row>
    <row r="3309" spans="1:14" x14ac:dyDescent="0.25">
      <c r="A3309" s="17" t="s">
        <v>119</v>
      </c>
      <c r="B3309" s="17"/>
      <c r="C3309" s="21" t="str">
        <f>IF(A3309="","",IF((COUNTIFS(A:A,A3309))&gt;1,"ID重复",""))</f>
        <v/>
      </c>
      <c r="D3309" s="21">
        <f t="shared" si="59"/>
        <v>6121</v>
      </c>
      <c r="E3309" s="132" t="str">
        <f>INDEX([1]道具配置表!$D:$D,MATCH(D3309,[1]道具配置表!$A:$A,0))</f>
        <v>5分钟建造加速</v>
      </c>
      <c r="F3309" s="21">
        <f t="shared" ref="F3309" si="73">F3306+2</f>
        <v>26</v>
      </c>
      <c r="G3309" s="17"/>
      <c r="H3309" s="17"/>
      <c r="I3309" s="17"/>
      <c r="J3309" s="17"/>
      <c r="K3309" s="17">
        <v>1</v>
      </c>
      <c r="L3309" s="17"/>
      <c r="M3309" s="17" t="b">
        <v>1</v>
      </c>
      <c r="N3309" s="21"/>
    </row>
    <row r="3310" spans="1:14" x14ac:dyDescent="0.25">
      <c r="A3310" s="17">
        <f>A3307+1</f>
        <v>6624110</v>
      </c>
      <c r="B3310" s="17" t="s">
        <v>184</v>
      </c>
      <c r="C3310" s="21" t="str">
        <f>IF(A3310="","",IF((COUNTIFS(A:A,A3310))&gt;1,"ID重复",""))</f>
        <v/>
      </c>
      <c r="D3310" s="21">
        <f t="shared" si="59"/>
        <v>2007</v>
      </c>
      <c r="E3310" s="132" t="str">
        <f>INDEX([1]道具配置表!$D:$D,MATCH(D3310,[1]道具配置表!$A:$A,0))</f>
        <v>大奖池招募券</v>
      </c>
      <c r="F3310" s="21">
        <f t="shared" ref="F3310:F3311" si="74">F3307</f>
        <v>1</v>
      </c>
      <c r="G3310" s="17"/>
      <c r="H3310" s="17"/>
      <c r="I3310" s="17"/>
      <c r="J3310" s="17"/>
      <c r="K3310" s="17">
        <v>1</v>
      </c>
      <c r="L3310" s="17"/>
      <c r="M3310" s="17" t="b">
        <v>1</v>
      </c>
      <c r="N3310" s="21"/>
    </row>
    <row r="3311" spans="1:14" x14ac:dyDescent="0.25">
      <c r="A3311" s="17" t="s">
        <v>119</v>
      </c>
      <c r="B3311" s="17"/>
      <c r="C3311" s="21" t="str">
        <f>IF(A3311="","",IF((COUNTIFS(A:A,A3311))&gt;1,"ID重复",""))</f>
        <v/>
      </c>
      <c r="D3311" s="21">
        <f t="shared" si="59"/>
        <v>7003</v>
      </c>
      <c r="E3311" s="132" t="str">
        <f>INDEX([1]道具配置表!$D:$D,MATCH(D3311,[1]道具配置表!$A:$A,0))</f>
        <v>1银币（立即使用，不进背包）</v>
      </c>
      <c r="F3311" s="21">
        <f t="shared" si="74"/>
        <v>300</v>
      </c>
      <c r="G3311" s="17"/>
      <c r="H3311" s="17"/>
      <c r="I3311" s="17"/>
      <c r="J3311" s="17"/>
      <c r="K3311" s="17">
        <v>1</v>
      </c>
      <c r="L3311" s="17"/>
      <c r="M3311" s="17" t="b">
        <v>1</v>
      </c>
      <c r="N3311" s="21"/>
    </row>
    <row r="3312" spans="1:14" x14ac:dyDescent="0.25">
      <c r="A3312" s="17" t="s">
        <v>119</v>
      </c>
      <c r="B3312" s="17"/>
      <c r="C3312" s="21" t="str">
        <f>IF(A3312="","",IF((COUNTIFS(A:A,A3312))&gt;1,"ID重复",""))</f>
        <v/>
      </c>
      <c r="D3312" s="21">
        <f t="shared" si="59"/>
        <v>6121</v>
      </c>
      <c r="E3312" s="132" t="str">
        <f>INDEX([1]道具配置表!$D:$D,MATCH(D3312,[1]道具配置表!$A:$A,0))</f>
        <v>5分钟建造加速</v>
      </c>
      <c r="F3312" s="21">
        <f t="shared" ref="F3312" si="75">F3309+2</f>
        <v>28</v>
      </c>
      <c r="G3312" s="17"/>
      <c r="H3312" s="17"/>
      <c r="I3312" s="17"/>
      <c r="J3312" s="17"/>
      <c r="K3312" s="17">
        <v>1</v>
      </c>
      <c r="L3312" s="17"/>
      <c r="M3312" s="17" t="b">
        <v>1</v>
      </c>
      <c r="N3312" s="21"/>
    </row>
    <row r="3313" spans="1:14" x14ac:dyDescent="0.25">
      <c r="A3313" s="21">
        <f>A3310+1</f>
        <v>6624111</v>
      </c>
      <c r="B3313" s="21" t="s">
        <v>206</v>
      </c>
      <c r="C3313" s="21" t="str">
        <f>IF(A3313="","",IF((COUNTIFS(A:A,A3313))&gt;1,"ID重复",""))</f>
        <v/>
      </c>
      <c r="D3313" s="21">
        <f t="shared" si="59"/>
        <v>2007</v>
      </c>
      <c r="E3313" s="132" t="str">
        <f>INDEX([1]道具配置表!$D:$D,MATCH(D3313,[1]道具配置表!$A:$A,0))</f>
        <v>大奖池招募券</v>
      </c>
      <c r="F3313" s="21">
        <f t="shared" ref="F3313:F3335" si="76">F3310</f>
        <v>1</v>
      </c>
      <c r="G3313" s="21"/>
      <c r="H3313" s="21"/>
      <c r="I3313" s="21"/>
      <c r="J3313" s="21"/>
      <c r="K3313" s="21">
        <v>1</v>
      </c>
      <c r="L3313" s="21"/>
      <c r="M3313" s="21" t="b">
        <v>1</v>
      </c>
      <c r="N3313" s="21"/>
    </row>
    <row r="3314" spans="1:14" x14ac:dyDescent="0.25">
      <c r="A3314" s="21" t="s">
        <v>119</v>
      </c>
      <c r="B3314" s="21"/>
      <c r="C3314" s="21" t="str">
        <f>IF(A3314="","",IF((COUNTIFS(A:A,A3314))&gt;1,"ID重复",""))</f>
        <v/>
      </c>
      <c r="D3314" s="21">
        <f t="shared" si="59"/>
        <v>7003</v>
      </c>
      <c r="E3314" s="132" t="str">
        <f>INDEX([1]道具配置表!$D:$D,MATCH(D3314,[1]道具配置表!$A:$A,0))</f>
        <v>1银币（立即使用，不进背包）</v>
      </c>
      <c r="F3314" s="21">
        <f t="shared" si="76"/>
        <v>300</v>
      </c>
      <c r="G3314" s="21"/>
      <c r="H3314" s="21"/>
      <c r="I3314" s="21"/>
      <c r="J3314" s="21"/>
      <c r="K3314" s="21">
        <v>1</v>
      </c>
      <c r="L3314" s="21"/>
      <c r="M3314" s="21" t="b">
        <v>1</v>
      </c>
      <c r="N3314" s="21"/>
    </row>
    <row r="3315" spans="1:14" x14ac:dyDescent="0.25">
      <c r="A3315" s="21" t="s">
        <v>119</v>
      </c>
      <c r="B3315" s="21"/>
      <c r="C3315" s="21" t="str">
        <f>IF(A3315="","",IF((COUNTIFS(A:A,A3315))&gt;1,"ID重复",""))</f>
        <v/>
      </c>
      <c r="D3315" s="21">
        <f t="shared" si="59"/>
        <v>6121</v>
      </c>
      <c r="E3315" s="132" t="str">
        <f>INDEX([1]道具配置表!$D:$D,MATCH(D3315,[1]道具配置表!$A:$A,0))</f>
        <v>5分钟建造加速</v>
      </c>
      <c r="F3315" s="21">
        <f>F3312+4</f>
        <v>32</v>
      </c>
      <c r="G3315" s="21"/>
      <c r="H3315" s="21"/>
      <c r="I3315" s="21"/>
      <c r="J3315" s="21"/>
      <c r="K3315" s="21">
        <v>1</v>
      </c>
      <c r="L3315" s="21"/>
      <c r="M3315" s="21" t="b">
        <v>1</v>
      </c>
      <c r="N3315" s="21"/>
    </row>
    <row r="3316" spans="1:14" x14ac:dyDescent="0.25">
      <c r="A3316" s="21">
        <f>A3313+1</f>
        <v>6624112</v>
      </c>
      <c r="B3316" s="21" t="s">
        <v>207</v>
      </c>
      <c r="C3316" s="21" t="str">
        <f>IF(A3316="","",IF((COUNTIFS(A:A,A3316))&gt;1,"ID重复",""))</f>
        <v/>
      </c>
      <c r="D3316" s="21">
        <f t="shared" si="59"/>
        <v>2007</v>
      </c>
      <c r="E3316" s="132" t="str">
        <f>INDEX([1]道具配置表!$D:$D,MATCH(D3316,[1]道具配置表!$A:$A,0))</f>
        <v>大奖池招募券</v>
      </c>
      <c r="F3316" s="21">
        <f t="shared" si="76"/>
        <v>1</v>
      </c>
      <c r="G3316" s="21"/>
      <c r="H3316" s="21"/>
      <c r="I3316" s="21"/>
      <c r="J3316" s="21"/>
      <c r="K3316" s="21">
        <v>1</v>
      </c>
      <c r="L3316" s="21"/>
      <c r="M3316" s="21" t="b">
        <v>1</v>
      </c>
      <c r="N3316" s="21"/>
    </row>
    <row r="3317" spans="1:14" x14ac:dyDescent="0.25">
      <c r="A3317" s="21" t="s">
        <v>119</v>
      </c>
      <c r="B3317" s="21"/>
      <c r="C3317" s="21" t="str">
        <f>IF(A3317="","",IF((COUNTIFS(A:A,A3317))&gt;1,"ID重复",""))</f>
        <v/>
      </c>
      <c r="D3317" s="21">
        <f t="shared" si="59"/>
        <v>7003</v>
      </c>
      <c r="E3317" s="132" t="str">
        <f>INDEX([1]道具配置表!$D:$D,MATCH(D3317,[1]道具配置表!$A:$A,0))</f>
        <v>1银币（立即使用，不进背包）</v>
      </c>
      <c r="F3317" s="21">
        <f t="shared" si="76"/>
        <v>300</v>
      </c>
      <c r="G3317" s="21"/>
      <c r="H3317" s="21"/>
      <c r="I3317" s="21"/>
      <c r="J3317" s="21"/>
      <c r="K3317" s="21">
        <v>1</v>
      </c>
      <c r="L3317" s="21"/>
      <c r="M3317" s="21" t="b">
        <v>1</v>
      </c>
      <c r="N3317" s="21"/>
    </row>
    <row r="3318" spans="1:14" x14ac:dyDescent="0.25">
      <c r="A3318" s="21" t="s">
        <v>119</v>
      </c>
      <c r="B3318" s="21"/>
      <c r="C3318" s="21" t="str">
        <f>IF(A3318="","",IF((COUNTIFS(A:A,A3318))&gt;1,"ID重复",""))</f>
        <v/>
      </c>
      <c r="D3318" s="21">
        <f t="shared" si="59"/>
        <v>6121</v>
      </c>
      <c r="E3318" s="132" t="str">
        <f>INDEX([1]道具配置表!$D:$D,MATCH(D3318,[1]道具配置表!$A:$A,0))</f>
        <v>5分钟建造加速</v>
      </c>
      <c r="F3318" s="21">
        <f t="shared" ref="F3318" si="77">F3315+4</f>
        <v>36</v>
      </c>
      <c r="G3318" s="21"/>
      <c r="H3318" s="21"/>
      <c r="I3318" s="21"/>
      <c r="J3318" s="21"/>
      <c r="K3318" s="21">
        <v>1</v>
      </c>
      <c r="L3318" s="21"/>
      <c r="M3318" s="21" t="b">
        <v>1</v>
      </c>
      <c r="N3318" s="21"/>
    </row>
    <row r="3319" spans="1:14" x14ac:dyDescent="0.25">
      <c r="A3319" s="21">
        <f>A3316+1</f>
        <v>6624113</v>
      </c>
      <c r="B3319" s="21" t="s">
        <v>208</v>
      </c>
      <c r="C3319" s="21" t="str">
        <f>IF(A3319="","",IF((COUNTIFS(A:A,A3319))&gt;1,"ID重复",""))</f>
        <v/>
      </c>
      <c r="D3319" s="21">
        <f t="shared" si="59"/>
        <v>2007</v>
      </c>
      <c r="E3319" s="132" t="str">
        <f>INDEX([1]道具配置表!$D:$D,MATCH(D3319,[1]道具配置表!$A:$A,0))</f>
        <v>大奖池招募券</v>
      </c>
      <c r="F3319" s="21">
        <f t="shared" si="76"/>
        <v>1</v>
      </c>
      <c r="G3319" s="21"/>
      <c r="H3319" s="21"/>
      <c r="I3319" s="21"/>
      <c r="J3319" s="21"/>
      <c r="K3319" s="21">
        <v>1</v>
      </c>
      <c r="L3319" s="21"/>
      <c r="M3319" s="21" t="b">
        <v>1</v>
      </c>
      <c r="N3319" s="21"/>
    </row>
    <row r="3320" spans="1:14" x14ac:dyDescent="0.25">
      <c r="A3320" s="21" t="s">
        <v>119</v>
      </c>
      <c r="B3320" s="21"/>
      <c r="C3320" s="21" t="str">
        <f>IF(A3320="","",IF((COUNTIFS(A:A,A3320))&gt;1,"ID重复",""))</f>
        <v/>
      </c>
      <c r="D3320" s="21">
        <f t="shared" si="59"/>
        <v>7003</v>
      </c>
      <c r="E3320" s="132" t="str">
        <f>INDEX([1]道具配置表!$D:$D,MATCH(D3320,[1]道具配置表!$A:$A,0))</f>
        <v>1银币（立即使用，不进背包）</v>
      </c>
      <c r="F3320" s="21">
        <f t="shared" si="76"/>
        <v>300</v>
      </c>
      <c r="G3320" s="21"/>
      <c r="H3320" s="21"/>
      <c r="I3320" s="21"/>
      <c r="J3320" s="21"/>
      <c r="K3320" s="21">
        <v>1</v>
      </c>
      <c r="L3320" s="21"/>
      <c r="M3320" s="21" t="b">
        <v>1</v>
      </c>
      <c r="N3320" s="21"/>
    </row>
    <row r="3321" spans="1:14" x14ac:dyDescent="0.25">
      <c r="A3321" s="21" t="s">
        <v>119</v>
      </c>
      <c r="B3321" s="21"/>
      <c r="C3321" s="21" t="str">
        <f>IF(A3321="","",IF((COUNTIFS(A:A,A3321))&gt;1,"ID重复",""))</f>
        <v/>
      </c>
      <c r="D3321" s="21">
        <f t="shared" si="59"/>
        <v>6121</v>
      </c>
      <c r="E3321" s="132" t="str">
        <f>INDEX([1]道具配置表!$D:$D,MATCH(D3321,[1]道具配置表!$A:$A,0))</f>
        <v>5分钟建造加速</v>
      </c>
      <c r="F3321" s="21">
        <f t="shared" ref="F3321" si="78">F3318+4</f>
        <v>40</v>
      </c>
      <c r="G3321" s="21"/>
      <c r="H3321" s="21"/>
      <c r="I3321" s="21"/>
      <c r="J3321" s="21"/>
      <c r="K3321" s="21">
        <v>1</v>
      </c>
      <c r="L3321" s="21"/>
      <c r="M3321" s="21" t="b">
        <v>1</v>
      </c>
      <c r="N3321" s="21"/>
    </row>
    <row r="3322" spans="1:14" x14ac:dyDescent="0.25">
      <c r="A3322" s="21">
        <f>A3319+1</f>
        <v>6624114</v>
      </c>
      <c r="B3322" s="21" t="s">
        <v>209</v>
      </c>
      <c r="C3322" s="21" t="str">
        <f>IF(A3322="","",IF((COUNTIFS(A:A,A3322))&gt;1,"ID重复",""))</f>
        <v/>
      </c>
      <c r="D3322" s="21">
        <f t="shared" si="59"/>
        <v>2007</v>
      </c>
      <c r="E3322" s="132" t="str">
        <f>INDEX([1]道具配置表!$D:$D,MATCH(D3322,[1]道具配置表!$A:$A,0))</f>
        <v>大奖池招募券</v>
      </c>
      <c r="F3322" s="21">
        <f t="shared" si="76"/>
        <v>1</v>
      </c>
      <c r="G3322" s="21"/>
      <c r="H3322" s="21"/>
      <c r="I3322" s="21"/>
      <c r="J3322" s="21"/>
      <c r="K3322" s="21">
        <v>1</v>
      </c>
      <c r="L3322" s="21"/>
      <c r="M3322" s="21" t="b">
        <v>1</v>
      </c>
      <c r="N3322" s="21"/>
    </row>
    <row r="3323" spans="1:14" x14ac:dyDescent="0.25">
      <c r="A3323" s="21" t="s">
        <v>119</v>
      </c>
      <c r="B3323" s="21"/>
      <c r="C3323" s="21" t="str">
        <f>IF(A3323="","",IF((COUNTIFS(A:A,A3323))&gt;1,"ID重复",""))</f>
        <v/>
      </c>
      <c r="D3323" s="21">
        <f t="shared" si="59"/>
        <v>7003</v>
      </c>
      <c r="E3323" s="132" t="str">
        <f>INDEX([1]道具配置表!$D:$D,MATCH(D3323,[1]道具配置表!$A:$A,0))</f>
        <v>1银币（立即使用，不进背包）</v>
      </c>
      <c r="F3323" s="21">
        <f t="shared" si="76"/>
        <v>300</v>
      </c>
      <c r="G3323" s="21"/>
      <c r="H3323" s="21"/>
      <c r="I3323" s="21"/>
      <c r="J3323" s="21"/>
      <c r="K3323" s="21">
        <v>1</v>
      </c>
      <c r="L3323" s="21"/>
      <c r="M3323" s="21" t="b">
        <v>1</v>
      </c>
      <c r="N3323" s="21"/>
    </row>
    <row r="3324" spans="1:14" x14ac:dyDescent="0.25">
      <c r="A3324" s="21" t="s">
        <v>119</v>
      </c>
      <c r="B3324" s="21"/>
      <c r="C3324" s="21" t="str">
        <f>IF(A3324="","",IF((COUNTIFS(A:A,A3324))&gt;1,"ID重复",""))</f>
        <v/>
      </c>
      <c r="D3324" s="21">
        <f t="shared" si="59"/>
        <v>6121</v>
      </c>
      <c r="E3324" s="132" t="str">
        <f>INDEX([1]道具配置表!$D:$D,MATCH(D3324,[1]道具配置表!$A:$A,0))</f>
        <v>5分钟建造加速</v>
      </c>
      <c r="F3324" s="21">
        <f t="shared" ref="F3324" si="79">F3321+4</f>
        <v>44</v>
      </c>
      <c r="G3324" s="21"/>
      <c r="H3324" s="21"/>
      <c r="I3324" s="21"/>
      <c r="J3324" s="21"/>
      <c r="K3324" s="21">
        <v>1</v>
      </c>
      <c r="L3324" s="21"/>
      <c r="M3324" s="21" t="b">
        <v>1</v>
      </c>
      <c r="N3324" s="21"/>
    </row>
    <row r="3325" spans="1:14" x14ac:dyDescent="0.25">
      <c r="A3325" s="21">
        <f>A3322+1</f>
        <v>6624115</v>
      </c>
      <c r="B3325" s="21" t="s">
        <v>210</v>
      </c>
      <c r="C3325" s="21" t="str">
        <f>IF(A3325="","",IF((COUNTIFS(A:A,A3325))&gt;1,"ID重复",""))</f>
        <v/>
      </c>
      <c r="D3325" s="21">
        <f t="shared" si="59"/>
        <v>2007</v>
      </c>
      <c r="E3325" s="132" t="str">
        <f>INDEX([1]道具配置表!$D:$D,MATCH(D3325,[1]道具配置表!$A:$A,0))</f>
        <v>大奖池招募券</v>
      </c>
      <c r="F3325" s="21">
        <f t="shared" si="76"/>
        <v>1</v>
      </c>
      <c r="G3325" s="21"/>
      <c r="H3325" s="21"/>
      <c r="I3325" s="21"/>
      <c r="J3325" s="21"/>
      <c r="K3325" s="21">
        <v>1</v>
      </c>
      <c r="L3325" s="21"/>
      <c r="M3325" s="21" t="b">
        <v>1</v>
      </c>
      <c r="N3325" s="21"/>
    </row>
    <row r="3326" spans="1:14" x14ac:dyDescent="0.25">
      <c r="A3326" s="21" t="s">
        <v>119</v>
      </c>
      <c r="B3326" s="21"/>
      <c r="C3326" s="21" t="str">
        <f>IF(A3326="","",IF((COUNTIFS(A:A,A3326))&gt;1,"ID重复",""))</f>
        <v/>
      </c>
      <c r="D3326" s="21">
        <f t="shared" si="59"/>
        <v>7003</v>
      </c>
      <c r="E3326" s="132" t="str">
        <f>INDEX([1]道具配置表!$D:$D,MATCH(D3326,[1]道具配置表!$A:$A,0))</f>
        <v>1银币（立即使用，不进背包）</v>
      </c>
      <c r="F3326" s="21">
        <f t="shared" si="76"/>
        <v>300</v>
      </c>
      <c r="G3326" s="21"/>
      <c r="H3326" s="21"/>
      <c r="I3326" s="21"/>
      <c r="J3326" s="21"/>
      <c r="K3326" s="21">
        <v>1</v>
      </c>
      <c r="L3326" s="21"/>
      <c r="M3326" s="21" t="b">
        <v>1</v>
      </c>
      <c r="N3326" s="21"/>
    </row>
    <row r="3327" spans="1:14" x14ac:dyDescent="0.25">
      <c r="A3327" s="21" t="s">
        <v>119</v>
      </c>
      <c r="B3327" s="21"/>
      <c r="C3327" s="21" t="str">
        <f>IF(A3327="","",IF((COUNTIFS(A:A,A3327))&gt;1,"ID重复",""))</f>
        <v/>
      </c>
      <c r="D3327" s="21">
        <f t="shared" si="59"/>
        <v>6121</v>
      </c>
      <c r="E3327" s="132" t="str">
        <f>INDEX([1]道具配置表!$D:$D,MATCH(D3327,[1]道具配置表!$A:$A,0))</f>
        <v>5分钟建造加速</v>
      </c>
      <c r="F3327" s="21">
        <f t="shared" ref="F3327" si="80">F3324+4</f>
        <v>48</v>
      </c>
      <c r="G3327" s="21"/>
      <c r="H3327" s="21"/>
      <c r="I3327" s="21"/>
      <c r="J3327" s="21"/>
      <c r="K3327" s="21">
        <v>1</v>
      </c>
      <c r="L3327" s="21"/>
      <c r="M3327" s="21" t="b">
        <v>1</v>
      </c>
      <c r="N3327" s="21"/>
    </row>
    <row r="3328" spans="1:14" x14ac:dyDescent="0.25">
      <c r="A3328" s="21">
        <f>A3325+1</f>
        <v>6624116</v>
      </c>
      <c r="B3328" s="21" t="s">
        <v>211</v>
      </c>
      <c r="C3328" s="21" t="str">
        <f>IF(A3328="","",IF((COUNTIFS(A:A,A3328))&gt;1,"ID重复",""))</f>
        <v/>
      </c>
      <c r="D3328" s="21">
        <f t="shared" si="59"/>
        <v>2007</v>
      </c>
      <c r="E3328" s="132" t="str">
        <f>INDEX([1]道具配置表!$D:$D,MATCH(D3328,[1]道具配置表!$A:$A,0))</f>
        <v>大奖池招募券</v>
      </c>
      <c r="F3328" s="21">
        <f t="shared" si="76"/>
        <v>1</v>
      </c>
      <c r="G3328" s="21"/>
      <c r="H3328" s="21"/>
      <c r="I3328" s="21"/>
      <c r="J3328" s="21"/>
      <c r="K3328" s="21">
        <v>1</v>
      </c>
      <c r="L3328" s="21"/>
      <c r="M3328" s="21" t="b">
        <v>1</v>
      </c>
      <c r="N3328" s="21"/>
    </row>
    <row r="3329" spans="1:14" x14ac:dyDescent="0.25">
      <c r="A3329" s="21" t="s">
        <v>119</v>
      </c>
      <c r="B3329" s="21"/>
      <c r="C3329" s="21" t="str">
        <f>IF(A3329="","",IF((COUNTIFS(A:A,A3329))&gt;1,"ID重复",""))</f>
        <v/>
      </c>
      <c r="D3329" s="21">
        <f t="shared" si="59"/>
        <v>7003</v>
      </c>
      <c r="E3329" s="132" t="str">
        <f>INDEX([1]道具配置表!$D:$D,MATCH(D3329,[1]道具配置表!$A:$A,0))</f>
        <v>1银币（立即使用，不进背包）</v>
      </c>
      <c r="F3329" s="21">
        <f t="shared" si="76"/>
        <v>300</v>
      </c>
      <c r="G3329" s="21"/>
      <c r="H3329" s="21"/>
      <c r="I3329" s="21"/>
      <c r="J3329" s="21"/>
      <c r="K3329" s="21">
        <v>1</v>
      </c>
      <c r="L3329" s="21"/>
      <c r="M3329" s="21" t="b">
        <v>1</v>
      </c>
      <c r="N3329" s="21"/>
    </row>
    <row r="3330" spans="1:14" x14ac:dyDescent="0.25">
      <c r="A3330" s="21" t="s">
        <v>119</v>
      </c>
      <c r="B3330" s="21"/>
      <c r="C3330" s="21" t="str">
        <f>IF(A3330="","",IF((COUNTIFS(A:A,A3330))&gt;1,"ID重复",""))</f>
        <v/>
      </c>
      <c r="D3330" s="21">
        <f t="shared" si="59"/>
        <v>6121</v>
      </c>
      <c r="E3330" s="132" t="str">
        <f>INDEX([1]道具配置表!$D:$D,MATCH(D3330,[1]道具配置表!$A:$A,0))</f>
        <v>5分钟建造加速</v>
      </c>
      <c r="F3330" s="21">
        <f t="shared" ref="F3330" si="81">F3327+4</f>
        <v>52</v>
      </c>
      <c r="G3330" s="21"/>
      <c r="H3330" s="21"/>
      <c r="I3330" s="21"/>
      <c r="J3330" s="21"/>
      <c r="K3330" s="21">
        <v>1</v>
      </c>
      <c r="L3330" s="21"/>
      <c r="M3330" s="21" t="b">
        <v>1</v>
      </c>
      <c r="N3330" s="21"/>
    </row>
    <row r="3331" spans="1:14" x14ac:dyDescent="0.25">
      <c r="A3331" s="21">
        <f>A3328+1</f>
        <v>6624117</v>
      </c>
      <c r="B3331" s="21" t="s">
        <v>212</v>
      </c>
      <c r="C3331" s="21" t="str">
        <f>IF(A3331="","",IF((COUNTIFS(A:A,A3331))&gt;1,"ID重复",""))</f>
        <v/>
      </c>
      <c r="D3331" s="21">
        <f t="shared" si="59"/>
        <v>2007</v>
      </c>
      <c r="E3331" s="132" t="str">
        <f>INDEX([1]道具配置表!$D:$D,MATCH(D3331,[1]道具配置表!$A:$A,0))</f>
        <v>大奖池招募券</v>
      </c>
      <c r="F3331" s="21">
        <f t="shared" si="76"/>
        <v>1</v>
      </c>
      <c r="G3331" s="21"/>
      <c r="H3331" s="21"/>
      <c r="I3331" s="21"/>
      <c r="J3331" s="21"/>
      <c r="K3331" s="21">
        <v>1</v>
      </c>
      <c r="L3331" s="21"/>
      <c r="M3331" s="21" t="b">
        <v>1</v>
      </c>
      <c r="N3331" s="21"/>
    </row>
    <row r="3332" spans="1:14" x14ac:dyDescent="0.25">
      <c r="A3332" s="21" t="s">
        <v>119</v>
      </c>
      <c r="B3332" s="21"/>
      <c r="C3332" s="21" t="str">
        <f>IF(A3332="","",IF((COUNTIFS(A:A,A3332))&gt;1,"ID重复",""))</f>
        <v/>
      </c>
      <c r="D3332" s="21">
        <f t="shared" si="59"/>
        <v>7003</v>
      </c>
      <c r="E3332" s="132" t="str">
        <f>INDEX([1]道具配置表!$D:$D,MATCH(D3332,[1]道具配置表!$A:$A,0))</f>
        <v>1银币（立即使用，不进背包）</v>
      </c>
      <c r="F3332" s="21">
        <f t="shared" si="76"/>
        <v>300</v>
      </c>
      <c r="G3332" s="21"/>
      <c r="H3332" s="21"/>
      <c r="I3332" s="21"/>
      <c r="J3332" s="21"/>
      <c r="K3332" s="21">
        <v>1</v>
      </c>
      <c r="L3332" s="21"/>
      <c r="M3332" s="21" t="b">
        <v>1</v>
      </c>
      <c r="N3332" s="21"/>
    </row>
    <row r="3333" spans="1:14" x14ac:dyDescent="0.25">
      <c r="A3333" s="21" t="s">
        <v>119</v>
      </c>
      <c r="B3333" s="21"/>
      <c r="C3333" s="21" t="str">
        <f>IF(A3333="","",IF((COUNTIFS(A:A,A3333))&gt;1,"ID重复",""))</f>
        <v/>
      </c>
      <c r="D3333" s="21">
        <f t="shared" si="59"/>
        <v>6121</v>
      </c>
      <c r="E3333" s="132" t="str">
        <f>INDEX([1]道具配置表!$D:$D,MATCH(D3333,[1]道具配置表!$A:$A,0))</f>
        <v>5分钟建造加速</v>
      </c>
      <c r="F3333" s="21">
        <f t="shared" ref="F3333" si="82">F3330+4</f>
        <v>56</v>
      </c>
      <c r="G3333" s="21"/>
      <c r="H3333" s="21"/>
      <c r="I3333" s="21"/>
      <c r="J3333" s="21"/>
      <c r="K3333" s="21">
        <v>1</v>
      </c>
      <c r="L3333" s="21"/>
      <c r="M3333" s="21" t="b">
        <v>1</v>
      </c>
      <c r="N3333" s="21"/>
    </row>
    <row r="3334" spans="1:14" x14ac:dyDescent="0.25">
      <c r="A3334" s="21">
        <f>A3331+1</f>
        <v>6624118</v>
      </c>
      <c r="B3334" s="21" t="s">
        <v>213</v>
      </c>
      <c r="C3334" s="21" t="str">
        <f>IF(A3334="","",IF((COUNTIFS(A:A,A3334))&gt;1,"ID重复",""))</f>
        <v/>
      </c>
      <c r="D3334" s="21">
        <f t="shared" si="59"/>
        <v>2007</v>
      </c>
      <c r="E3334" s="132" t="str">
        <f>INDEX([1]道具配置表!$D:$D,MATCH(D3334,[1]道具配置表!$A:$A,0))</f>
        <v>大奖池招募券</v>
      </c>
      <c r="F3334" s="21">
        <f t="shared" si="76"/>
        <v>1</v>
      </c>
      <c r="G3334" s="21"/>
      <c r="H3334" s="21"/>
      <c r="I3334" s="21"/>
      <c r="J3334" s="21"/>
      <c r="K3334" s="21">
        <v>1</v>
      </c>
      <c r="L3334" s="21"/>
      <c r="M3334" s="21" t="b">
        <v>1</v>
      </c>
      <c r="N3334" s="21"/>
    </row>
    <row r="3335" spans="1:14" x14ac:dyDescent="0.25">
      <c r="A3335" s="21" t="s">
        <v>119</v>
      </c>
      <c r="B3335" s="21"/>
      <c r="C3335" s="21" t="str">
        <f>IF(A3335="","",IF((COUNTIFS(A:A,A3335))&gt;1,"ID重复",""))</f>
        <v/>
      </c>
      <c r="D3335" s="21">
        <f t="shared" si="59"/>
        <v>7003</v>
      </c>
      <c r="E3335" s="132" t="str">
        <f>INDEX([1]道具配置表!$D:$D,MATCH(D3335,[1]道具配置表!$A:$A,0))</f>
        <v>1银币（立即使用，不进背包）</v>
      </c>
      <c r="F3335" s="21">
        <f t="shared" si="76"/>
        <v>300</v>
      </c>
      <c r="G3335" s="21"/>
      <c r="H3335" s="21"/>
      <c r="I3335" s="21"/>
      <c r="J3335" s="21"/>
      <c r="K3335" s="21">
        <v>1</v>
      </c>
      <c r="L3335" s="21"/>
      <c r="M3335" s="21" t="b">
        <v>1</v>
      </c>
      <c r="N3335" s="21"/>
    </row>
    <row r="3336" spans="1:14" x14ac:dyDescent="0.25">
      <c r="A3336" s="21" t="s">
        <v>119</v>
      </c>
      <c r="B3336" s="21"/>
      <c r="C3336" s="21" t="str">
        <f>IF(A3336="","",IF((COUNTIFS(A:A,A3336))&gt;1,"ID重复",""))</f>
        <v/>
      </c>
      <c r="D3336" s="21">
        <f t="shared" si="59"/>
        <v>6121</v>
      </c>
      <c r="E3336" s="132" t="str">
        <f>INDEX([1]道具配置表!$D:$D,MATCH(D3336,[1]道具配置表!$A:$A,0))</f>
        <v>5分钟建造加速</v>
      </c>
      <c r="F3336" s="21">
        <f t="shared" ref="F3336" si="83">F3333+4</f>
        <v>60</v>
      </c>
      <c r="G3336" s="21"/>
      <c r="H3336" s="21"/>
      <c r="I3336" s="21"/>
      <c r="J3336" s="21"/>
      <c r="K3336" s="21">
        <v>1</v>
      </c>
      <c r="L3336" s="21"/>
      <c r="M3336" s="21" t="b">
        <v>1</v>
      </c>
      <c r="N3336" s="21"/>
    </row>
    <row r="3337" spans="1:14" x14ac:dyDescent="0.25">
      <c r="A3337" s="17">
        <v>6624201</v>
      </c>
      <c r="B3337" s="17" t="s">
        <v>185</v>
      </c>
      <c r="C3337" s="21" t="str">
        <f>IF(A3337="","",IF((COUNTIFS(A:A,A3337))&gt;1,"ID重复",""))</f>
        <v/>
      </c>
      <c r="D3337" s="17">
        <v>502</v>
      </c>
      <c r="E3337" s="132" t="str">
        <f>INDEX([1]道具配置表!$D:$D,MATCH(D3337,[1]道具配置表!$A:$A,0))</f>
        <v>1万资源自选宝箱</v>
      </c>
      <c r="F3337" s="17">
        <v>5</v>
      </c>
      <c r="G3337" s="17"/>
      <c r="H3337" s="17"/>
      <c r="I3337" s="17"/>
      <c r="J3337" s="17"/>
      <c r="K3337" s="17">
        <v>1</v>
      </c>
      <c r="L3337" s="17"/>
      <c r="M3337" s="21" t="b">
        <v>1</v>
      </c>
      <c r="N3337" s="17"/>
    </row>
    <row r="3338" spans="1:14" x14ac:dyDescent="0.25">
      <c r="A3338" s="17" t="s">
        <v>119</v>
      </c>
      <c r="B3338" s="17"/>
      <c r="C3338" s="21" t="str">
        <f>IF(A3338="","",IF((COUNTIFS(A:A,A3338))&gt;1,"ID重复",""))</f>
        <v/>
      </c>
      <c r="D3338" s="17">
        <v>7003</v>
      </c>
      <c r="E3338" s="132" t="str">
        <f>INDEX([1]道具配置表!$D:$D,MATCH(D3338,[1]道具配置表!$A:$A,0))</f>
        <v>1银币（立即使用，不进背包）</v>
      </c>
      <c r="F3338" s="17">
        <v>100</v>
      </c>
      <c r="G3338" s="17"/>
      <c r="H3338" s="17"/>
      <c r="I3338" s="17"/>
      <c r="J3338" s="17"/>
      <c r="K3338" s="17">
        <v>1</v>
      </c>
      <c r="L3338" s="17"/>
      <c r="M3338" s="21" t="b">
        <v>1</v>
      </c>
      <c r="N3338" s="52"/>
    </row>
    <row r="3339" spans="1:14" x14ac:dyDescent="0.25">
      <c r="A3339" s="21" t="s">
        <v>119</v>
      </c>
      <c r="B3339" s="21"/>
      <c r="C3339" s="21" t="str">
        <f>IF(A3339="","",IF((COUNTIFS(A:A,A3339))&gt;1,"ID重复",""))</f>
        <v/>
      </c>
      <c r="D3339" s="21">
        <v>6141</v>
      </c>
      <c r="E3339" s="132" t="str">
        <f>INDEX([1]道具配置表!$D:$D,MATCH(D3339,[1]道具配置表!$A:$A,0))</f>
        <v>5分钟科技加速</v>
      </c>
      <c r="F3339" s="21">
        <v>10</v>
      </c>
      <c r="G3339" s="21"/>
      <c r="H3339" s="21"/>
      <c r="I3339" s="21"/>
      <c r="J3339" s="21"/>
      <c r="K3339" s="21">
        <v>1</v>
      </c>
      <c r="L3339" s="21"/>
      <c r="M3339" s="21" t="b">
        <v>1</v>
      </c>
      <c r="N3339" s="17"/>
    </row>
    <row r="3340" spans="1:14" x14ac:dyDescent="0.25">
      <c r="A3340" s="17">
        <f>A3337+1</f>
        <v>6624202</v>
      </c>
      <c r="B3340" s="17" t="s">
        <v>186</v>
      </c>
      <c r="C3340" s="21" t="str">
        <f>IF(A3340="","",IF((COUNTIFS(A:A,A3340))&gt;1,"ID重复",""))</f>
        <v/>
      </c>
      <c r="D3340" s="17">
        <f>D3337</f>
        <v>502</v>
      </c>
      <c r="E3340" s="132" t="str">
        <f>INDEX([1]道具配置表!$D:$D,MATCH(D3340,[1]道具配置表!$A:$A,0))</f>
        <v>1万资源自选宝箱</v>
      </c>
      <c r="F3340" s="17">
        <f>F3337+5</f>
        <v>10</v>
      </c>
      <c r="G3340" s="17"/>
      <c r="H3340" s="17"/>
      <c r="I3340" s="17"/>
      <c r="J3340" s="17"/>
      <c r="K3340" s="21">
        <v>1</v>
      </c>
      <c r="L3340" s="17"/>
      <c r="M3340" s="21" t="b">
        <v>1</v>
      </c>
      <c r="N3340" s="52"/>
    </row>
    <row r="3341" spans="1:14" x14ac:dyDescent="0.25">
      <c r="A3341" s="17" t="s">
        <v>119</v>
      </c>
      <c r="B3341" s="17"/>
      <c r="C3341" s="21" t="str">
        <f>IF(A3341="","",IF((COUNTIFS(A:A,A3341))&gt;1,"ID重复",""))</f>
        <v/>
      </c>
      <c r="D3341" s="21">
        <f t="shared" ref="D3341:D3401" si="84">D3338</f>
        <v>7003</v>
      </c>
      <c r="E3341" s="132" t="str">
        <f>INDEX([1]道具配置表!$D:$D,MATCH(D3341,[1]道具配置表!$A:$A,0))</f>
        <v>1银币（立即使用，不进背包）</v>
      </c>
      <c r="F3341" s="17">
        <f>F3338</f>
        <v>100</v>
      </c>
      <c r="G3341" s="17"/>
      <c r="H3341" s="17"/>
      <c r="I3341" s="17"/>
      <c r="J3341" s="17"/>
      <c r="K3341" s="21">
        <v>1</v>
      </c>
      <c r="L3341" s="17"/>
      <c r="M3341" s="21" t="b">
        <v>1</v>
      </c>
      <c r="N3341" s="17"/>
    </row>
    <row r="3342" spans="1:14" x14ac:dyDescent="0.25">
      <c r="A3342" s="21"/>
      <c r="B3342" s="21"/>
      <c r="C3342" s="21"/>
      <c r="D3342" s="21">
        <f t="shared" si="84"/>
        <v>6141</v>
      </c>
      <c r="E3342" s="132" t="str">
        <f>INDEX([1]道具配置表!$D:$D,MATCH(D3342,[1]道具配置表!$A:$A,0))</f>
        <v>5分钟科技加速</v>
      </c>
      <c r="F3342" s="21">
        <f>F3339+2</f>
        <v>12</v>
      </c>
      <c r="G3342" s="21"/>
      <c r="H3342" s="21"/>
      <c r="I3342" s="21"/>
      <c r="J3342" s="21"/>
      <c r="K3342" s="21">
        <v>1</v>
      </c>
      <c r="L3342" s="21"/>
      <c r="M3342" s="21" t="b">
        <v>1</v>
      </c>
    </row>
    <row r="3343" spans="1:14" x14ac:dyDescent="0.25">
      <c r="A3343" s="21">
        <f>A3340+1</f>
        <v>6624203</v>
      </c>
      <c r="B3343" s="21" t="s">
        <v>187</v>
      </c>
      <c r="C3343" s="21" t="s">
        <v>119</v>
      </c>
      <c r="D3343" s="21">
        <f>D3340</f>
        <v>502</v>
      </c>
      <c r="E3343" s="132" t="str">
        <f>INDEX([1]道具配置表!$D:$D,MATCH(D3343,[1]道具配置表!$A:$A,0))</f>
        <v>1万资源自选宝箱</v>
      </c>
      <c r="F3343" s="21">
        <f>F3340+5</f>
        <v>15</v>
      </c>
      <c r="G3343" s="21"/>
      <c r="H3343" s="21"/>
      <c r="I3343" s="21"/>
      <c r="J3343" s="21"/>
      <c r="K3343" s="21">
        <v>1</v>
      </c>
      <c r="L3343" s="21"/>
      <c r="M3343" s="21" t="b">
        <v>1</v>
      </c>
    </row>
    <row r="3344" spans="1:14" x14ac:dyDescent="0.25">
      <c r="A3344" s="21" t="s">
        <v>119</v>
      </c>
      <c r="B3344" s="21"/>
      <c r="C3344" s="21" t="s">
        <v>119</v>
      </c>
      <c r="D3344" s="21">
        <f t="shared" si="84"/>
        <v>7003</v>
      </c>
      <c r="E3344" s="132" t="str">
        <f>INDEX([1]道具配置表!$D:$D,MATCH(D3344,[1]道具配置表!$A:$A,0))</f>
        <v>1银币（立即使用，不进背包）</v>
      </c>
      <c r="F3344" s="21">
        <f>F3341</f>
        <v>100</v>
      </c>
      <c r="G3344" s="21"/>
      <c r="H3344" s="21"/>
      <c r="I3344" s="21"/>
      <c r="J3344" s="21"/>
      <c r="K3344" s="21">
        <v>1</v>
      </c>
      <c r="L3344" s="21"/>
      <c r="M3344" s="21" t="b">
        <v>1</v>
      </c>
    </row>
    <row r="3345" spans="1:13" x14ac:dyDescent="0.25">
      <c r="A3345" s="21"/>
      <c r="B3345" s="21"/>
      <c r="C3345" s="21"/>
      <c r="D3345" s="21">
        <f t="shared" si="84"/>
        <v>6141</v>
      </c>
      <c r="E3345" s="132" t="str">
        <f>INDEX([1]道具配置表!$D:$D,MATCH(D3345,[1]道具配置表!$A:$A,0))</f>
        <v>5分钟科技加速</v>
      </c>
      <c r="F3345" s="21">
        <f>F3342+2</f>
        <v>14</v>
      </c>
      <c r="G3345" s="21"/>
      <c r="H3345" s="21"/>
      <c r="I3345" s="21"/>
      <c r="J3345" s="21"/>
      <c r="K3345" s="21">
        <v>1</v>
      </c>
      <c r="L3345" s="21"/>
      <c r="M3345" s="21" t="b">
        <v>1</v>
      </c>
    </row>
    <row r="3346" spans="1:13" x14ac:dyDescent="0.25">
      <c r="A3346" s="21">
        <f>A3343+1</f>
        <v>6624204</v>
      </c>
      <c r="B3346" s="21" t="s">
        <v>188</v>
      </c>
      <c r="C3346" s="21" t="s">
        <v>119</v>
      </c>
      <c r="D3346" s="21">
        <f>D3343</f>
        <v>502</v>
      </c>
      <c r="E3346" s="132" t="str">
        <f>INDEX([1]道具配置表!$D:$D,MATCH(D3346,[1]道具配置表!$A:$A,0))</f>
        <v>1万资源自选宝箱</v>
      </c>
      <c r="F3346" s="21">
        <f>F3343+5</f>
        <v>20</v>
      </c>
      <c r="G3346" s="21"/>
      <c r="H3346" s="21"/>
      <c r="I3346" s="21"/>
      <c r="J3346" s="21"/>
      <c r="K3346" s="21">
        <v>1</v>
      </c>
      <c r="L3346" s="21"/>
      <c r="M3346" s="21" t="b">
        <v>1</v>
      </c>
    </row>
    <row r="3347" spans="1:13" x14ac:dyDescent="0.25">
      <c r="A3347" s="21" t="s">
        <v>119</v>
      </c>
      <c r="B3347" s="21"/>
      <c r="C3347" s="21" t="s">
        <v>119</v>
      </c>
      <c r="D3347" s="21">
        <f t="shared" si="84"/>
        <v>7003</v>
      </c>
      <c r="E3347" s="132" t="str">
        <f>INDEX([1]道具配置表!$D:$D,MATCH(D3347,[1]道具配置表!$A:$A,0))</f>
        <v>1银币（立即使用，不进背包）</v>
      </c>
      <c r="F3347" s="21">
        <f>F3344</f>
        <v>100</v>
      </c>
      <c r="G3347" s="21"/>
      <c r="H3347" s="21"/>
      <c r="I3347" s="21"/>
      <c r="J3347" s="21"/>
      <c r="K3347" s="21">
        <v>1</v>
      </c>
      <c r="L3347" s="21"/>
      <c r="M3347" s="21" t="b">
        <v>1</v>
      </c>
    </row>
    <row r="3348" spans="1:13" x14ac:dyDescent="0.25">
      <c r="A3348" s="21"/>
      <c r="B3348" s="21"/>
      <c r="C3348" s="21"/>
      <c r="D3348" s="21">
        <f t="shared" si="84"/>
        <v>6141</v>
      </c>
      <c r="E3348" s="132" t="str">
        <f>INDEX([1]道具配置表!$D:$D,MATCH(D3348,[1]道具配置表!$A:$A,0))</f>
        <v>5分钟科技加速</v>
      </c>
      <c r="F3348" s="21">
        <f>F3345+2</f>
        <v>16</v>
      </c>
      <c r="G3348" s="21"/>
      <c r="H3348" s="21"/>
      <c r="I3348" s="21"/>
      <c r="J3348" s="21"/>
      <c r="K3348" s="21">
        <v>1</v>
      </c>
      <c r="L3348" s="21"/>
      <c r="M3348" s="21" t="b">
        <v>1</v>
      </c>
    </row>
    <row r="3349" spans="1:13" x14ac:dyDescent="0.25">
      <c r="A3349" s="21">
        <f>A3346+1</f>
        <v>6624205</v>
      </c>
      <c r="B3349" s="21" t="s">
        <v>189</v>
      </c>
      <c r="C3349" s="21" t="s">
        <v>119</v>
      </c>
      <c r="D3349" s="21">
        <f>D3346</f>
        <v>502</v>
      </c>
      <c r="E3349" s="132" t="str">
        <f>INDEX([1]道具配置表!$D:$D,MATCH(D3349,[1]道具配置表!$A:$A,0))</f>
        <v>1万资源自选宝箱</v>
      </c>
      <c r="F3349" s="21">
        <f>F3346+5</f>
        <v>25</v>
      </c>
      <c r="G3349" s="21"/>
      <c r="H3349" s="21"/>
      <c r="I3349" s="21"/>
      <c r="J3349" s="21"/>
      <c r="K3349" s="21">
        <v>1</v>
      </c>
      <c r="L3349" s="21"/>
      <c r="M3349" s="21" t="b">
        <v>1</v>
      </c>
    </row>
    <row r="3350" spans="1:13" x14ac:dyDescent="0.25">
      <c r="A3350" s="21" t="s">
        <v>119</v>
      </c>
      <c r="B3350" s="21"/>
      <c r="C3350" s="21" t="s">
        <v>119</v>
      </c>
      <c r="D3350" s="21">
        <f t="shared" si="84"/>
        <v>7003</v>
      </c>
      <c r="E3350" s="132" t="str">
        <f>INDEX([1]道具配置表!$D:$D,MATCH(D3350,[1]道具配置表!$A:$A,0))</f>
        <v>1银币（立即使用，不进背包）</v>
      </c>
      <c r="F3350" s="21">
        <f>F3347</f>
        <v>100</v>
      </c>
      <c r="G3350" s="21"/>
      <c r="H3350" s="21"/>
      <c r="I3350" s="21"/>
      <c r="J3350" s="21"/>
      <c r="K3350" s="21">
        <v>1</v>
      </c>
      <c r="L3350" s="21"/>
      <c r="M3350" s="21" t="b">
        <v>1</v>
      </c>
    </row>
    <row r="3351" spans="1:13" x14ac:dyDescent="0.25">
      <c r="A3351" s="21"/>
      <c r="B3351" s="21"/>
      <c r="C3351" s="21"/>
      <c r="D3351" s="21">
        <f t="shared" si="84"/>
        <v>6141</v>
      </c>
      <c r="E3351" s="132" t="str">
        <f>INDEX([1]道具配置表!$D:$D,MATCH(D3351,[1]道具配置表!$A:$A,0))</f>
        <v>5分钟科技加速</v>
      </c>
      <c r="F3351" s="21">
        <f>F3348+2</f>
        <v>18</v>
      </c>
      <c r="G3351" s="21"/>
      <c r="H3351" s="21"/>
      <c r="I3351" s="21"/>
      <c r="J3351" s="21"/>
      <c r="K3351" s="21">
        <v>1</v>
      </c>
      <c r="L3351" s="21"/>
      <c r="M3351" s="21" t="b">
        <v>1</v>
      </c>
    </row>
    <row r="3352" spans="1:13" x14ac:dyDescent="0.25">
      <c r="A3352" s="21">
        <f>A3349+1</f>
        <v>6624206</v>
      </c>
      <c r="B3352" s="21" t="s">
        <v>190</v>
      </c>
      <c r="C3352" s="21" t="s">
        <v>119</v>
      </c>
      <c r="D3352" s="21">
        <f>D3349</f>
        <v>502</v>
      </c>
      <c r="E3352" s="132" t="str">
        <f>INDEX([1]道具配置表!$D:$D,MATCH(D3352,[1]道具配置表!$A:$A,0))</f>
        <v>1万资源自选宝箱</v>
      </c>
      <c r="F3352" s="21">
        <f>F3349+5</f>
        <v>30</v>
      </c>
      <c r="G3352" s="21"/>
      <c r="H3352" s="21"/>
      <c r="I3352" s="21"/>
      <c r="J3352" s="21"/>
      <c r="K3352" s="21">
        <v>1</v>
      </c>
      <c r="L3352" s="21"/>
      <c r="M3352" s="21" t="b">
        <v>1</v>
      </c>
    </row>
    <row r="3353" spans="1:13" x14ac:dyDescent="0.25">
      <c r="A3353" s="21" t="s">
        <v>119</v>
      </c>
      <c r="B3353" s="21"/>
      <c r="C3353" s="21" t="s">
        <v>119</v>
      </c>
      <c r="D3353" s="21">
        <f t="shared" si="84"/>
        <v>7003</v>
      </c>
      <c r="E3353" s="132" t="str">
        <f>INDEX([1]道具配置表!$D:$D,MATCH(D3353,[1]道具配置表!$A:$A,0))</f>
        <v>1银币（立即使用，不进背包）</v>
      </c>
      <c r="F3353" s="21">
        <f>F3350</f>
        <v>100</v>
      </c>
      <c r="G3353" s="21"/>
      <c r="H3353" s="21"/>
      <c r="I3353" s="21"/>
      <c r="J3353" s="21"/>
      <c r="K3353" s="21">
        <v>1</v>
      </c>
      <c r="L3353" s="21"/>
      <c r="M3353" s="21" t="b">
        <v>1</v>
      </c>
    </row>
    <row r="3354" spans="1:13" x14ac:dyDescent="0.25">
      <c r="A3354" s="21"/>
      <c r="B3354" s="21"/>
      <c r="C3354" s="21"/>
      <c r="D3354" s="21">
        <f t="shared" si="84"/>
        <v>6141</v>
      </c>
      <c r="E3354" s="132" t="str">
        <f>INDEX([1]道具配置表!$D:$D,MATCH(D3354,[1]道具配置表!$A:$A,0))</f>
        <v>5分钟科技加速</v>
      </c>
      <c r="F3354" s="21">
        <f>F3351+2</f>
        <v>20</v>
      </c>
      <c r="G3354" s="21"/>
      <c r="H3354" s="21"/>
      <c r="I3354" s="21"/>
      <c r="J3354" s="21"/>
      <c r="K3354" s="21">
        <v>1</v>
      </c>
      <c r="L3354" s="21"/>
      <c r="M3354" s="21" t="b">
        <v>1</v>
      </c>
    </row>
    <row r="3355" spans="1:13" x14ac:dyDescent="0.25">
      <c r="A3355" s="21">
        <f>A3352+1</f>
        <v>6624207</v>
      </c>
      <c r="B3355" s="21" t="s">
        <v>191</v>
      </c>
      <c r="C3355" s="21" t="s">
        <v>119</v>
      </c>
      <c r="D3355" s="21">
        <f>D3352</f>
        <v>502</v>
      </c>
      <c r="E3355" s="132" t="str">
        <f>INDEX([1]道具配置表!$D:$D,MATCH(D3355,[1]道具配置表!$A:$A,0))</f>
        <v>1万资源自选宝箱</v>
      </c>
      <c r="F3355" s="21">
        <f>F3352+5</f>
        <v>35</v>
      </c>
      <c r="G3355" s="21"/>
      <c r="H3355" s="21"/>
      <c r="I3355" s="21"/>
      <c r="J3355" s="21"/>
      <c r="K3355" s="21">
        <v>1</v>
      </c>
      <c r="L3355" s="21"/>
      <c r="M3355" s="21" t="b">
        <v>1</v>
      </c>
    </row>
    <row r="3356" spans="1:13" x14ac:dyDescent="0.25">
      <c r="A3356" s="21" t="s">
        <v>119</v>
      </c>
      <c r="B3356" s="21"/>
      <c r="C3356" s="21" t="s">
        <v>119</v>
      </c>
      <c r="D3356" s="21">
        <f t="shared" si="84"/>
        <v>7003</v>
      </c>
      <c r="E3356" s="132" t="str">
        <f>INDEX([1]道具配置表!$D:$D,MATCH(D3356,[1]道具配置表!$A:$A,0))</f>
        <v>1银币（立即使用，不进背包）</v>
      </c>
      <c r="F3356" s="21">
        <f>F3353</f>
        <v>100</v>
      </c>
      <c r="G3356" s="21"/>
      <c r="H3356" s="21"/>
      <c r="I3356" s="21"/>
      <c r="J3356" s="21"/>
      <c r="K3356" s="21">
        <v>1</v>
      </c>
      <c r="L3356" s="21"/>
      <c r="M3356" s="21" t="b">
        <v>1</v>
      </c>
    </row>
    <row r="3357" spans="1:13" x14ac:dyDescent="0.25">
      <c r="A3357" s="21"/>
      <c r="B3357" s="21"/>
      <c r="C3357" s="21"/>
      <c r="D3357" s="21">
        <f t="shared" si="84"/>
        <v>6141</v>
      </c>
      <c r="E3357" s="132" t="str">
        <f>INDEX([1]道具配置表!$D:$D,MATCH(D3357,[1]道具配置表!$A:$A,0))</f>
        <v>5分钟科技加速</v>
      </c>
      <c r="F3357" s="21">
        <f>F3354+2</f>
        <v>22</v>
      </c>
      <c r="G3357" s="21"/>
      <c r="H3357" s="21"/>
      <c r="I3357" s="21"/>
      <c r="J3357" s="21"/>
      <c r="K3357" s="21">
        <v>1</v>
      </c>
      <c r="L3357" s="21"/>
      <c r="M3357" s="21" t="b">
        <v>1</v>
      </c>
    </row>
    <row r="3358" spans="1:13" x14ac:dyDescent="0.25">
      <c r="A3358" s="21">
        <f>A3355+1</f>
        <v>6624208</v>
      </c>
      <c r="B3358" s="21" t="s">
        <v>192</v>
      </c>
      <c r="C3358" s="21" t="s">
        <v>119</v>
      </c>
      <c r="D3358" s="21">
        <f>D3355</f>
        <v>502</v>
      </c>
      <c r="E3358" s="132" t="str">
        <f>INDEX([1]道具配置表!$D:$D,MATCH(D3358,[1]道具配置表!$A:$A,0))</f>
        <v>1万资源自选宝箱</v>
      </c>
      <c r="F3358" s="21">
        <f>F3355+5</f>
        <v>40</v>
      </c>
      <c r="G3358" s="21"/>
      <c r="H3358" s="21"/>
      <c r="I3358" s="21"/>
      <c r="J3358" s="21"/>
      <c r="K3358" s="21">
        <v>1</v>
      </c>
      <c r="L3358" s="21"/>
      <c r="M3358" s="21" t="b">
        <v>1</v>
      </c>
    </row>
    <row r="3359" spans="1:13" x14ac:dyDescent="0.25">
      <c r="A3359" s="21" t="s">
        <v>119</v>
      </c>
      <c r="B3359" s="21"/>
      <c r="C3359" s="21" t="s">
        <v>119</v>
      </c>
      <c r="D3359" s="21">
        <f t="shared" si="84"/>
        <v>7003</v>
      </c>
      <c r="E3359" s="132" t="str">
        <f>INDEX([1]道具配置表!$D:$D,MATCH(D3359,[1]道具配置表!$A:$A,0))</f>
        <v>1银币（立即使用，不进背包）</v>
      </c>
      <c r="F3359" s="21">
        <f>F3356</f>
        <v>100</v>
      </c>
      <c r="G3359" s="21"/>
      <c r="H3359" s="21"/>
      <c r="I3359" s="21"/>
      <c r="J3359" s="21"/>
      <c r="K3359" s="21">
        <v>1</v>
      </c>
      <c r="L3359" s="21"/>
      <c r="M3359" s="21" t="b">
        <v>1</v>
      </c>
    </row>
    <row r="3360" spans="1:13" x14ac:dyDescent="0.25">
      <c r="A3360" s="21"/>
      <c r="B3360" s="21"/>
      <c r="C3360" s="21"/>
      <c r="D3360" s="21">
        <f t="shared" si="84"/>
        <v>6141</v>
      </c>
      <c r="E3360" s="132" t="str">
        <f>INDEX([1]道具配置表!$D:$D,MATCH(D3360,[1]道具配置表!$A:$A,0))</f>
        <v>5分钟科技加速</v>
      </c>
      <c r="F3360" s="21">
        <f>F3357+2</f>
        <v>24</v>
      </c>
      <c r="G3360" s="21"/>
      <c r="H3360" s="21"/>
      <c r="I3360" s="21"/>
      <c r="J3360" s="21"/>
      <c r="K3360" s="21">
        <v>1</v>
      </c>
      <c r="L3360" s="21"/>
      <c r="M3360" s="21" t="b">
        <v>1</v>
      </c>
    </row>
    <row r="3361" spans="1:13" x14ac:dyDescent="0.25">
      <c r="A3361" s="21">
        <f>A3358+1</f>
        <v>6624209</v>
      </c>
      <c r="B3361" s="21" t="s">
        <v>193</v>
      </c>
      <c r="C3361" s="21" t="s">
        <v>119</v>
      </c>
      <c r="D3361" s="21">
        <f>D3358</f>
        <v>502</v>
      </c>
      <c r="E3361" s="132" t="str">
        <f>INDEX([1]道具配置表!$D:$D,MATCH(D3361,[1]道具配置表!$A:$A,0))</f>
        <v>1万资源自选宝箱</v>
      </c>
      <c r="F3361" s="21">
        <f>F3358+5</f>
        <v>45</v>
      </c>
      <c r="G3361" s="21"/>
      <c r="H3361" s="21"/>
      <c r="I3361" s="21"/>
      <c r="J3361" s="21"/>
      <c r="K3361" s="21">
        <v>1</v>
      </c>
      <c r="L3361" s="21"/>
      <c r="M3361" s="21" t="b">
        <v>1</v>
      </c>
    </row>
    <row r="3362" spans="1:13" x14ac:dyDescent="0.25">
      <c r="A3362" s="21" t="s">
        <v>119</v>
      </c>
      <c r="B3362" s="21"/>
      <c r="C3362" s="21" t="s">
        <v>119</v>
      </c>
      <c r="D3362" s="21">
        <f t="shared" si="84"/>
        <v>7003</v>
      </c>
      <c r="E3362" s="132" t="str">
        <f>INDEX([1]道具配置表!$D:$D,MATCH(D3362,[1]道具配置表!$A:$A,0))</f>
        <v>1银币（立即使用，不进背包）</v>
      </c>
      <c r="F3362" s="21">
        <f>F3359</f>
        <v>100</v>
      </c>
      <c r="G3362" s="21"/>
      <c r="H3362" s="21"/>
      <c r="I3362" s="21"/>
      <c r="J3362" s="21"/>
      <c r="K3362" s="21">
        <v>1</v>
      </c>
      <c r="L3362" s="21"/>
      <c r="M3362" s="21" t="b">
        <v>1</v>
      </c>
    </row>
    <row r="3363" spans="1:13" x14ac:dyDescent="0.25">
      <c r="A3363" s="21"/>
      <c r="B3363" s="21"/>
      <c r="C3363" s="21"/>
      <c r="D3363" s="21">
        <f t="shared" si="84"/>
        <v>6141</v>
      </c>
      <c r="E3363" s="132" t="str">
        <f>INDEX([1]道具配置表!$D:$D,MATCH(D3363,[1]道具配置表!$A:$A,0))</f>
        <v>5分钟科技加速</v>
      </c>
      <c r="F3363" s="21">
        <f>F3360+2</f>
        <v>26</v>
      </c>
      <c r="G3363" s="21"/>
      <c r="H3363" s="21"/>
      <c r="I3363" s="21"/>
      <c r="J3363" s="21"/>
      <c r="K3363" s="21">
        <v>1</v>
      </c>
      <c r="L3363" s="21"/>
      <c r="M3363" s="21" t="b">
        <v>1</v>
      </c>
    </row>
    <row r="3364" spans="1:13" x14ac:dyDescent="0.25">
      <c r="A3364" s="21">
        <f>A3361+1</f>
        <v>6624210</v>
      </c>
      <c r="B3364" s="21" t="s">
        <v>194</v>
      </c>
      <c r="C3364" s="21" t="s">
        <v>119</v>
      </c>
      <c r="D3364" s="21">
        <f>D3361</f>
        <v>502</v>
      </c>
      <c r="E3364" s="132" t="str">
        <f>INDEX([1]道具配置表!$D:$D,MATCH(D3364,[1]道具配置表!$A:$A,0))</f>
        <v>1万资源自选宝箱</v>
      </c>
      <c r="F3364" s="21">
        <f>F3361+5</f>
        <v>50</v>
      </c>
      <c r="G3364" s="21"/>
      <c r="H3364" s="21"/>
      <c r="I3364" s="21"/>
      <c r="J3364" s="21"/>
      <c r="K3364" s="21">
        <v>1</v>
      </c>
      <c r="L3364" s="21"/>
      <c r="M3364" s="21" t="b">
        <v>1</v>
      </c>
    </row>
    <row r="3365" spans="1:13" x14ac:dyDescent="0.25">
      <c r="A3365" s="21" t="s">
        <v>119</v>
      </c>
      <c r="B3365" s="21"/>
      <c r="C3365" s="21" t="s">
        <v>119</v>
      </c>
      <c r="D3365" s="21">
        <f t="shared" si="84"/>
        <v>7003</v>
      </c>
      <c r="E3365" s="132" t="str">
        <f>INDEX([1]道具配置表!$D:$D,MATCH(D3365,[1]道具配置表!$A:$A,0))</f>
        <v>1银币（立即使用，不进背包）</v>
      </c>
      <c r="F3365" s="21">
        <f>F3362</f>
        <v>100</v>
      </c>
      <c r="G3365" s="21"/>
      <c r="H3365" s="21"/>
      <c r="I3365" s="21"/>
      <c r="J3365" s="21"/>
      <c r="K3365" s="21">
        <v>1</v>
      </c>
      <c r="L3365" s="21"/>
      <c r="M3365" s="21" t="b">
        <v>1</v>
      </c>
    </row>
    <row r="3366" spans="1:13" x14ac:dyDescent="0.25">
      <c r="A3366" s="21"/>
      <c r="B3366" s="21"/>
      <c r="C3366" s="21"/>
      <c r="D3366" s="21">
        <f t="shared" si="84"/>
        <v>6141</v>
      </c>
      <c r="E3366" s="132" t="str">
        <f>INDEX([1]道具配置表!$D:$D,MATCH(D3366,[1]道具配置表!$A:$A,0))</f>
        <v>5分钟科技加速</v>
      </c>
      <c r="F3366" s="21">
        <f>F3363+2</f>
        <v>28</v>
      </c>
      <c r="G3366" s="21"/>
      <c r="H3366" s="21"/>
      <c r="I3366" s="21"/>
      <c r="J3366" s="21"/>
      <c r="K3366" s="21">
        <v>1</v>
      </c>
      <c r="L3366" s="21"/>
      <c r="M3366" s="21" t="b">
        <v>1</v>
      </c>
    </row>
    <row r="3367" spans="1:13" x14ac:dyDescent="0.25">
      <c r="A3367" s="21">
        <f>A3364+1</f>
        <v>6624211</v>
      </c>
      <c r="B3367" s="21" t="s">
        <v>214</v>
      </c>
      <c r="C3367" s="21" t="s">
        <v>119</v>
      </c>
      <c r="D3367" s="21">
        <f>D3364</f>
        <v>502</v>
      </c>
      <c r="E3367" s="132" t="str">
        <f>INDEX([1]道具配置表!$D:$D,MATCH(D3367,[1]道具配置表!$A:$A,0))</f>
        <v>1万资源自选宝箱</v>
      </c>
      <c r="F3367" s="21">
        <f>F3364+10</f>
        <v>60</v>
      </c>
      <c r="G3367" s="21"/>
      <c r="H3367" s="21"/>
      <c r="I3367" s="21"/>
      <c r="J3367" s="21"/>
      <c r="K3367" s="21">
        <v>1</v>
      </c>
      <c r="L3367" s="21"/>
      <c r="M3367" s="21" t="b">
        <v>1</v>
      </c>
    </row>
    <row r="3368" spans="1:13" x14ac:dyDescent="0.25">
      <c r="A3368" s="21" t="s">
        <v>119</v>
      </c>
      <c r="B3368" s="21"/>
      <c r="C3368" s="21" t="s">
        <v>119</v>
      </c>
      <c r="D3368" s="21">
        <f t="shared" si="84"/>
        <v>7003</v>
      </c>
      <c r="E3368" s="132" t="str">
        <f>INDEX([1]道具配置表!$D:$D,MATCH(D3368,[1]道具配置表!$A:$A,0))</f>
        <v>1银币（立即使用，不进背包）</v>
      </c>
      <c r="F3368" s="21">
        <f>F3365</f>
        <v>100</v>
      </c>
      <c r="G3368" s="21"/>
      <c r="H3368" s="21"/>
      <c r="I3368" s="21"/>
      <c r="J3368" s="21"/>
      <c r="K3368" s="21">
        <v>1</v>
      </c>
      <c r="L3368" s="21"/>
      <c r="M3368" s="21" t="b">
        <v>1</v>
      </c>
    </row>
    <row r="3369" spans="1:13" x14ac:dyDescent="0.25">
      <c r="A3369" s="21"/>
      <c r="B3369" s="21"/>
      <c r="C3369" s="21"/>
      <c r="D3369" s="21">
        <f t="shared" si="84"/>
        <v>6141</v>
      </c>
      <c r="E3369" s="132" t="str">
        <f>INDEX([1]道具配置表!$D:$D,MATCH(D3369,[1]道具配置表!$A:$A,0))</f>
        <v>5分钟科技加速</v>
      </c>
      <c r="F3369" s="21">
        <f>F3366+4</f>
        <v>32</v>
      </c>
      <c r="G3369" s="21"/>
      <c r="H3369" s="21"/>
      <c r="I3369" s="21"/>
      <c r="J3369" s="21"/>
      <c r="K3369" s="21">
        <v>1</v>
      </c>
      <c r="L3369" s="21"/>
      <c r="M3369" s="21" t="b">
        <v>1</v>
      </c>
    </row>
    <row r="3370" spans="1:13" x14ac:dyDescent="0.25">
      <c r="A3370" s="21">
        <f>A3367+1</f>
        <v>6624212</v>
      </c>
      <c r="B3370" s="21" t="s">
        <v>215</v>
      </c>
      <c r="C3370" s="21" t="s">
        <v>119</v>
      </c>
      <c r="D3370" s="21">
        <f>D3367</f>
        <v>502</v>
      </c>
      <c r="E3370" s="132" t="str">
        <f>INDEX([1]道具配置表!$D:$D,MATCH(D3370,[1]道具配置表!$A:$A,0))</f>
        <v>1万资源自选宝箱</v>
      </c>
      <c r="F3370" s="21">
        <f t="shared" ref="F3370" si="85">F3367+10</f>
        <v>70</v>
      </c>
      <c r="G3370" s="21"/>
      <c r="H3370" s="21"/>
      <c r="I3370" s="21"/>
      <c r="J3370" s="21"/>
      <c r="K3370" s="21">
        <v>1</v>
      </c>
      <c r="L3370" s="21"/>
      <c r="M3370" s="21" t="b">
        <v>1</v>
      </c>
    </row>
    <row r="3371" spans="1:13" x14ac:dyDescent="0.25">
      <c r="A3371" s="21" t="s">
        <v>119</v>
      </c>
      <c r="B3371" s="21"/>
      <c r="C3371" s="21" t="s">
        <v>119</v>
      </c>
      <c r="D3371" s="21">
        <f t="shared" si="84"/>
        <v>7003</v>
      </c>
      <c r="E3371" s="132" t="str">
        <f>INDEX([1]道具配置表!$D:$D,MATCH(D3371,[1]道具配置表!$A:$A,0))</f>
        <v>1银币（立即使用，不进背包）</v>
      </c>
      <c r="F3371" s="21">
        <f t="shared" ref="F3371" si="86">F3368</f>
        <v>100</v>
      </c>
      <c r="G3371" s="21"/>
      <c r="H3371" s="21"/>
      <c r="I3371" s="21"/>
      <c r="J3371" s="21"/>
      <c r="K3371" s="21">
        <v>1</v>
      </c>
      <c r="L3371" s="21"/>
      <c r="M3371" s="21" t="b">
        <v>1</v>
      </c>
    </row>
    <row r="3372" spans="1:13" x14ac:dyDescent="0.25">
      <c r="A3372" s="21"/>
      <c r="B3372" s="21"/>
      <c r="C3372" s="21"/>
      <c r="D3372" s="21">
        <f t="shared" si="84"/>
        <v>6141</v>
      </c>
      <c r="E3372" s="132" t="str">
        <f>INDEX([1]道具配置表!$D:$D,MATCH(D3372,[1]道具配置表!$A:$A,0))</f>
        <v>5分钟科技加速</v>
      </c>
      <c r="F3372" s="21">
        <f t="shared" ref="F3372" si="87">F3369+4</f>
        <v>36</v>
      </c>
      <c r="G3372" s="21"/>
      <c r="H3372" s="21"/>
      <c r="I3372" s="21"/>
      <c r="J3372" s="21"/>
      <c r="K3372" s="21">
        <v>1</v>
      </c>
      <c r="L3372" s="21"/>
      <c r="M3372" s="21" t="b">
        <v>1</v>
      </c>
    </row>
    <row r="3373" spans="1:13" x14ac:dyDescent="0.25">
      <c r="A3373" s="21">
        <f>A3370+1</f>
        <v>6624213</v>
      </c>
      <c r="B3373" s="21" t="s">
        <v>216</v>
      </c>
      <c r="C3373" s="21" t="s">
        <v>119</v>
      </c>
      <c r="D3373" s="21">
        <f>D3370</f>
        <v>502</v>
      </c>
      <c r="E3373" s="132" t="str">
        <f>INDEX([1]道具配置表!$D:$D,MATCH(D3373,[1]道具配置表!$A:$A,0))</f>
        <v>1万资源自选宝箱</v>
      </c>
      <c r="F3373" s="21">
        <f t="shared" ref="F3373" si="88">F3370+10</f>
        <v>80</v>
      </c>
      <c r="G3373" s="21"/>
      <c r="H3373" s="21"/>
      <c r="I3373" s="21"/>
      <c r="J3373" s="21"/>
      <c r="K3373" s="21">
        <v>1</v>
      </c>
      <c r="L3373" s="21"/>
      <c r="M3373" s="21" t="b">
        <v>1</v>
      </c>
    </row>
    <row r="3374" spans="1:13" x14ac:dyDescent="0.25">
      <c r="A3374" s="21" t="s">
        <v>119</v>
      </c>
      <c r="B3374" s="21"/>
      <c r="C3374" s="21" t="s">
        <v>119</v>
      </c>
      <c r="D3374" s="21">
        <f t="shared" si="84"/>
        <v>7003</v>
      </c>
      <c r="E3374" s="132" t="str">
        <f>INDEX([1]道具配置表!$D:$D,MATCH(D3374,[1]道具配置表!$A:$A,0))</f>
        <v>1银币（立即使用，不进背包）</v>
      </c>
      <c r="F3374" s="21">
        <f t="shared" ref="F3374" si="89">F3371</f>
        <v>100</v>
      </c>
      <c r="G3374" s="21"/>
      <c r="H3374" s="21"/>
      <c r="I3374" s="21"/>
      <c r="J3374" s="21"/>
      <c r="K3374" s="21">
        <v>1</v>
      </c>
      <c r="L3374" s="21"/>
      <c r="M3374" s="21" t="b">
        <v>1</v>
      </c>
    </row>
    <row r="3375" spans="1:13" x14ac:dyDescent="0.25">
      <c r="A3375" s="21"/>
      <c r="B3375" s="21"/>
      <c r="C3375" s="21"/>
      <c r="D3375" s="21">
        <f t="shared" si="84"/>
        <v>6141</v>
      </c>
      <c r="E3375" s="132" t="str">
        <f>INDEX([1]道具配置表!$D:$D,MATCH(D3375,[1]道具配置表!$A:$A,0))</f>
        <v>5分钟科技加速</v>
      </c>
      <c r="F3375" s="21">
        <f t="shared" ref="F3375" si="90">F3372+4</f>
        <v>40</v>
      </c>
      <c r="G3375" s="21"/>
      <c r="H3375" s="21"/>
      <c r="I3375" s="21"/>
      <c r="J3375" s="21"/>
      <c r="K3375" s="21">
        <v>1</v>
      </c>
      <c r="L3375" s="21"/>
      <c r="M3375" s="21" t="b">
        <v>1</v>
      </c>
    </row>
    <row r="3376" spans="1:13" x14ac:dyDescent="0.25">
      <c r="A3376" s="21">
        <f>A3373+1</f>
        <v>6624214</v>
      </c>
      <c r="B3376" s="21" t="s">
        <v>217</v>
      </c>
      <c r="C3376" s="21" t="s">
        <v>119</v>
      </c>
      <c r="D3376" s="21">
        <f>D3373</f>
        <v>502</v>
      </c>
      <c r="E3376" s="132" t="str">
        <f>INDEX([1]道具配置表!$D:$D,MATCH(D3376,[1]道具配置表!$A:$A,0))</f>
        <v>1万资源自选宝箱</v>
      </c>
      <c r="F3376" s="21">
        <f t="shared" ref="F3376" si="91">F3373+10</f>
        <v>90</v>
      </c>
      <c r="G3376" s="21"/>
      <c r="H3376" s="21"/>
      <c r="I3376" s="21"/>
      <c r="J3376" s="21"/>
      <c r="K3376" s="21">
        <v>1</v>
      </c>
      <c r="L3376" s="21"/>
      <c r="M3376" s="21" t="b">
        <v>1</v>
      </c>
    </row>
    <row r="3377" spans="1:14" x14ac:dyDescent="0.25">
      <c r="A3377" s="21" t="s">
        <v>119</v>
      </c>
      <c r="B3377" s="21"/>
      <c r="C3377" s="21" t="s">
        <v>119</v>
      </c>
      <c r="D3377" s="21">
        <f t="shared" si="84"/>
        <v>7003</v>
      </c>
      <c r="E3377" s="132" t="str">
        <f>INDEX([1]道具配置表!$D:$D,MATCH(D3377,[1]道具配置表!$A:$A,0))</f>
        <v>1银币（立即使用，不进背包）</v>
      </c>
      <c r="F3377" s="21">
        <f t="shared" ref="F3377" si="92">F3374</f>
        <v>100</v>
      </c>
      <c r="G3377" s="21"/>
      <c r="H3377" s="21"/>
      <c r="I3377" s="21"/>
      <c r="J3377" s="21"/>
      <c r="K3377" s="21">
        <v>1</v>
      </c>
      <c r="L3377" s="21"/>
      <c r="M3377" s="21" t="b">
        <v>1</v>
      </c>
    </row>
    <row r="3378" spans="1:14" x14ac:dyDescent="0.25">
      <c r="A3378" s="21"/>
      <c r="B3378" s="21"/>
      <c r="C3378" s="21"/>
      <c r="D3378" s="21">
        <f t="shared" si="84"/>
        <v>6141</v>
      </c>
      <c r="E3378" s="132" t="str">
        <f>INDEX([1]道具配置表!$D:$D,MATCH(D3378,[1]道具配置表!$A:$A,0))</f>
        <v>5分钟科技加速</v>
      </c>
      <c r="F3378" s="21">
        <f t="shared" ref="F3378" si="93">F3375+4</f>
        <v>44</v>
      </c>
      <c r="G3378" s="21"/>
      <c r="H3378" s="21"/>
      <c r="I3378" s="21"/>
      <c r="J3378" s="21"/>
      <c r="K3378" s="21">
        <v>1</v>
      </c>
      <c r="L3378" s="21"/>
      <c r="M3378" s="21" t="b">
        <v>1</v>
      </c>
    </row>
    <row r="3379" spans="1:14" x14ac:dyDescent="0.25">
      <c r="A3379" s="21">
        <f>A3376+1</f>
        <v>6624215</v>
      </c>
      <c r="B3379" s="21" t="s">
        <v>218</v>
      </c>
      <c r="C3379" s="21" t="s">
        <v>119</v>
      </c>
      <c r="D3379" s="21">
        <f>D3376</f>
        <v>502</v>
      </c>
      <c r="E3379" s="132" t="str">
        <f>INDEX([1]道具配置表!$D:$D,MATCH(D3379,[1]道具配置表!$A:$A,0))</f>
        <v>1万资源自选宝箱</v>
      </c>
      <c r="F3379" s="21">
        <f t="shared" ref="F3379" si="94">F3376+10</f>
        <v>100</v>
      </c>
      <c r="G3379" s="21"/>
      <c r="H3379" s="21"/>
      <c r="I3379" s="21"/>
      <c r="J3379" s="21"/>
      <c r="K3379" s="21">
        <v>1</v>
      </c>
      <c r="L3379" s="21"/>
      <c r="M3379" s="21" t="b">
        <v>1</v>
      </c>
    </row>
    <row r="3380" spans="1:14" x14ac:dyDescent="0.25">
      <c r="A3380" s="21" t="s">
        <v>119</v>
      </c>
      <c r="B3380" s="21"/>
      <c r="C3380" s="21" t="s">
        <v>119</v>
      </c>
      <c r="D3380" s="21">
        <f t="shared" si="84"/>
        <v>7003</v>
      </c>
      <c r="E3380" s="132" t="str">
        <f>INDEX([1]道具配置表!$D:$D,MATCH(D3380,[1]道具配置表!$A:$A,0))</f>
        <v>1银币（立即使用，不进背包）</v>
      </c>
      <c r="F3380" s="21">
        <f t="shared" ref="F3380" si="95">F3377</f>
        <v>100</v>
      </c>
      <c r="G3380" s="21"/>
      <c r="H3380" s="21"/>
      <c r="I3380" s="21"/>
      <c r="J3380" s="21"/>
      <c r="K3380" s="21">
        <v>1</v>
      </c>
      <c r="L3380" s="21"/>
      <c r="M3380" s="21" t="b">
        <v>1</v>
      </c>
    </row>
    <row r="3381" spans="1:14" x14ac:dyDescent="0.25">
      <c r="A3381" s="21"/>
      <c r="B3381" s="21"/>
      <c r="C3381" s="21"/>
      <c r="D3381" s="21">
        <f t="shared" si="84"/>
        <v>6141</v>
      </c>
      <c r="E3381" s="132" t="str">
        <f>INDEX([1]道具配置表!$D:$D,MATCH(D3381,[1]道具配置表!$A:$A,0))</f>
        <v>5分钟科技加速</v>
      </c>
      <c r="F3381" s="21">
        <f t="shared" ref="F3381" si="96">F3378+4</f>
        <v>48</v>
      </c>
      <c r="G3381" s="21"/>
      <c r="H3381" s="21"/>
      <c r="I3381" s="21"/>
      <c r="J3381" s="21"/>
      <c r="K3381" s="21">
        <v>1</v>
      </c>
      <c r="L3381" s="21"/>
      <c r="M3381" s="21" t="b">
        <v>1</v>
      </c>
    </row>
    <row r="3382" spans="1:14" x14ac:dyDescent="0.25">
      <c r="A3382" s="21">
        <f>A3379+1</f>
        <v>6624216</v>
      </c>
      <c r="B3382" s="21" t="s">
        <v>219</v>
      </c>
      <c r="C3382" s="21" t="s">
        <v>119</v>
      </c>
      <c r="D3382" s="21">
        <f>D3379</f>
        <v>502</v>
      </c>
      <c r="E3382" s="132" t="str">
        <f>INDEX([1]道具配置表!$D:$D,MATCH(D3382,[1]道具配置表!$A:$A,0))</f>
        <v>1万资源自选宝箱</v>
      </c>
      <c r="F3382" s="21">
        <f t="shared" ref="F3382" si="97">F3379+10</f>
        <v>110</v>
      </c>
      <c r="G3382" s="21"/>
      <c r="H3382" s="21"/>
      <c r="I3382" s="21"/>
      <c r="J3382" s="21"/>
      <c r="K3382" s="21">
        <v>1</v>
      </c>
      <c r="L3382" s="21"/>
      <c r="M3382" s="21" t="b">
        <v>1</v>
      </c>
    </row>
    <row r="3383" spans="1:14" x14ac:dyDescent="0.25">
      <c r="A3383" s="21" t="s">
        <v>119</v>
      </c>
      <c r="B3383" s="21"/>
      <c r="C3383" s="21" t="s">
        <v>119</v>
      </c>
      <c r="D3383" s="21">
        <f t="shared" si="84"/>
        <v>7003</v>
      </c>
      <c r="E3383" s="132" t="str">
        <f>INDEX([1]道具配置表!$D:$D,MATCH(D3383,[1]道具配置表!$A:$A,0))</f>
        <v>1银币（立即使用，不进背包）</v>
      </c>
      <c r="F3383" s="21">
        <f t="shared" ref="F3383" si="98">F3380</f>
        <v>100</v>
      </c>
      <c r="G3383" s="21"/>
      <c r="H3383" s="21"/>
      <c r="I3383" s="21"/>
      <c r="J3383" s="21"/>
      <c r="K3383" s="21">
        <v>1</v>
      </c>
      <c r="L3383" s="21"/>
      <c r="M3383" s="21" t="b">
        <v>1</v>
      </c>
    </row>
    <row r="3384" spans="1:14" x14ac:dyDescent="0.25">
      <c r="A3384" s="21"/>
      <c r="B3384" s="21"/>
      <c r="C3384" s="21"/>
      <c r="D3384" s="21">
        <f t="shared" si="84"/>
        <v>6141</v>
      </c>
      <c r="E3384" s="132" t="str">
        <f>INDEX([1]道具配置表!$D:$D,MATCH(D3384,[1]道具配置表!$A:$A,0))</f>
        <v>5分钟科技加速</v>
      </c>
      <c r="F3384" s="21">
        <f t="shared" ref="F3384" si="99">F3381+4</f>
        <v>52</v>
      </c>
      <c r="G3384" s="21"/>
      <c r="H3384" s="21"/>
      <c r="I3384" s="21"/>
      <c r="J3384" s="21"/>
      <c r="K3384" s="21">
        <v>1</v>
      </c>
      <c r="L3384" s="21"/>
      <c r="M3384" s="21" t="b">
        <v>1</v>
      </c>
    </row>
    <row r="3385" spans="1:14" x14ac:dyDescent="0.25">
      <c r="A3385" s="21">
        <f>A3382+1</f>
        <v>6624217</v>
      </c>
      <c r="B3385" s="21" t="s">
        <v>220</v>
      </c>
      <c r="C3385" s="21" t="s">
        <v>119</v>
      </c>
      <c r="D3385" s="21">
        <f>D3382</f>
        <v>502</v>
      </c>
      <c r="E3385" s="132" t="str">
        <f>INDEX([1]道具配置表!$D:$D,MATCH(D3385,[1]道具配置表!$A:$A,0))</f>
        <v>1万资源自选宝箱</v>
      </c>
      <c r="F3385" s="21">
        <f t="shared" ref="F3385" si="100">F3382+10</f>
        <v>120</v>
      </c>
      <c r="G3385" s="21"/>
      <c r="H3385" s="21"/>
      <c r="I3385" s="21"/>
      <c r="J3385" s="21"/>
      <c r="K3385" s="21">
        <v>1</v>
      </c>
      <c r="L3385" s="21"/>
      <c r="M3385" s="21" t="b">
        <v>1</v>
      </c>
    </row>
    <row r="3386" spans="1:14" x14ac:dyDescent="0.25">
      <c r="A3386" s="21" t="s">
        <v>119</v>
      </c>
      <c r="B3386" s="21"/>
      <c r="C3386" s="21" t="s">
        <v>119</v>
      </c>
      <c r="D3386" s="21">
        <f t="shared" si="84"/>
        <v>7003</v>
      </c>
      <c r="E3386" s="132" t="str">
        <f>INDEX([1]道具配置表!$D:$D,MATCH(D3386,[1]道具配置表!$A:$A,0))</f>
        <v>1银币（立即使用，不进背包）</v>
      </c>
      <c r="F3386" s="21">
        <f t="shared" ref="F3386" si="101">F3383</f>
        <v>100</v>
      </c>
      <c r="G3386" s="21"/>
      <c r="H3386" s="21"/>
      <c r="I3386" s="21"/>
      <c r="J3386" s="21"/>
      <c r="K3386" s="21">
        <v>1</v>
      </c>
      <c r="L3386" s="21"/>
      <c r="M3386" s="21" t="b">
        <v>1</v>
      </c>
    </row>
    <row r="3387" spans="1:14" x14ac:dyDescent="0.25">
      <c r="A3387" s="21"/>
      <c r="B3387" s="21"/>
      <c r="C3387" s="21"/>
      <c r="D3387" s="21">
        <f t="shared" si="84"/>
        <v>6141</v>
      </c>
      <c r="E3387" s="132" t="str">
        <f>INDEX([1]道具配置表!$D:$D,MATCH(D3387,[1]道具配置表!$A:$A,0))</f>
        <v>5分钟科技加速</v>
      </c>
      <c r="F3387" s="21">
        <f t="shared" ref="F3387" si="102">F3384+4</f>
        <v>56</v>
      </c>
      <c r="G3387" s="21"/>
      <c r="H3387" s="21"/>
      <c r="I3387" s="21"/>
      <c r="J3387" s="21"/>
      <c r="K3387" s="21">
        <v>1</v>
      </c>
      <c r="L3387" s="21"/>
      <c r="M3387" s="21" t="b">
        <v>1</v>
      </c>
      <c r="N3387" s="50"/>
    </row>
    <row r="3388" spans="1:14" x14ac:dyDescent="0.25">
      <c r="A3388" s="21">
        <f>A3385+1</f>
        <v>6624218</v>
      </c>
      <c r="B3388" s="21" t="s">
        <v>221</v>
      </c>
      <c r="C3388" s="21" t="s">
        <v>119</v>
      </c>
      <c r="D3388" s="21">
        <f>D3385</f>
        <v>502</v>
      </c>
      <c r="E3388" s="132" t="str">
        <f>INDEX([1]道具配置表!$D:$D,MATCH(D3388,[1]道具配置表!$A:$A,0))</f>
        <v>1万资源自选宝箱</v>
      </c>
      <c r="F3388" s="21">
        <f t="shared" ref="F3388" si="103">F3385+10</f>
        <v>130</v>
      </c>
      <c r="G3388" s="21"/>
      <c r="H3388" s="21"/>
      <c r="I3388" s="21"/>
      <c r="J3388" s="21"/>
      <c r="K3388" s="21">
        <v>1</v>
      </c>
      <c r="L3388" s="21"/>
      <c r="M3388" s="21" t="b">
        <v>1</v>
      </c>
      <c r="N3388" s="50"/>
    </row>
    <row r="3389" spans="1:14" x14ac:dyDescent="0.25">
      <c r="A3389" s="51" t="s">
        <v>119</v>
      </c>
      <c r="B3389" s="21"/>
      <c r="C3389" s="21" t="s">
        <v>119</v>
      </c>
      <c r="D3389" s="21">
        <f t="shared" si="84"/>
        <v>7003</v>
      </c>
      <c r="E3389" s="132" t="str">
        <f>INDEX([1]道具配置表!$D:$D,MATCH(D3389,[1]道具配置表!$A:$A,0))</f>
        <v>1银币（立即使用，不进背包）</v>
      </c>
      <c r="F3389" s="21">
        <f t="shared" ref="F3389" si="104">F3386</f>
        <v>100</v>
      </c>
      <c r="G3389" s="21"/>
      <c r="H3389" s="21"/>
      <c r="I3389" s="21"/>
      <c r="J3389" s="21"/>
      <c r="K3389" s="21">
        <v>1</v>
      </c>
      <c r="L3389" s="21"/>
      <c r="M3389" s="21" t="b">
        <v>1</v>
      </c>
      <c r="N3389" s="50"/>
    </row>
    <row r="3390" spans="1:14" x14ac:dyDescent="0.25">
      <c r="A3390" s="51"/>
      <c r="B3390" s="21"/>
      <c r="C3390" s="21"/>
      <c r="D3390" s="21">
        <f t="shared" si="84"/>
        <v>6141</v>
      </c>
      <c r="E3390" s="132" t="str">
        <f>INDEX([1]道具配置表!$D:$D,MATCH(D3390,[1]道具配置表!$A:$A,0))</f>
        <v>5分钟科技加速</v>
      </c>
      <c r="F3390" s="21">
        <f t="shared" ref="F3390" si="105">F3387+4</f>
        <v>60</v>
      </c>
      <c r="G3390" s="21"/>
      <c r="H3390" s="21"/>
      <c r="I3390" s="21"/>
      <c r="J3390" s="21"/>
      <c r="K3390" s="21">
        <v>1</v>
      </c>
      <c r="L3390" s="21"/>
      <c r="M3390" s="21" t="b">
        <v>1</v>
      </c>
      <c r="N3390" s="50"/>
    </row>
    <row r="3391" spans="1:14" x14ac:dyDescent="0.25">
      <c r="A3391" s="51">
        <f t="shared" ref="A3391" si="106">A3388+1</f>
        <v>6624219</v>
      </c>
      <c r="B3391" s="51" t="s">
        <v>670</v>
      </c>
      <c r="C3391" s="51"/>
      <c r="D3391" s="51">
        <f>D3388</f>
        <v>502</v>
      </c>
      <c r="E3391" s="132" t="str">
        <f>INDEX([1]道具配置表!$D:$D,MATCH(D3391,[1]道具配置表!$A:$A,0))</f>
        <v>1万资源自选宝箱</v>
      </c>
      <c r="F3391" s="51">
        <v>20</v>
      </c>
      <c r="G3391" s="51"/>
      <c r="H3391" s="51"/>
      <c r="I3391" s="51"/>
      <c r="J3391" s="51"/>
      <c r="K3391" s="51">
        <v>1</v>
      </c>
      <c r="L3391" s="51"/>
      <c r="M3391" s="51" t="b">
        <v>1</v>
      </c>
      <c r="N3391" s="50"/>
    </row>
    <row r="3392" spans="1:14" x14ac:dyDescent="0.25">
      <c r="A3392" s="51" t="s">
        <v>119</v>
      </c>
      <c r="B3392" s="51"/>
      <c r="C3392" s="51"/>
      <c r="D3392" s="51">
        <f t="shared" si="84"/>
        <v>7003</v>
      </c>
      <c r="E3392" s="132" t="str">
        <f>INDEX([1]道具配置表!$D:$D,MATCH(D3392,[1]道具配置表!$A:$A,0))</f>
        <v>1银币（立即使用，不进背包）</v>
      </c>
      <c r="F3392" s="51">
        <v>1000</v>
      </c>
      <c r="G3392" s="51"/>
      <c r="H3392" s="51"/>
      <c r="I3392" s="51"/>
      <c r="J3392" s="51"/>
      <c r="K3392" s="51">
        <v>1</v>
      </c>
      <c r="L3392" s="51"/>
      <c r="M3392" s="51" t="b">
        <v>1</v>
      </c>
      <c r="N3392" s="50"/>
    </row>
    <row r="3393" spans="1:14" x14ac:dyDescent="0.25">
      <c r="A3393" s="51"/>
      <c r="B3393" s="51"/>
      <c r="C3393" s="51"/>
      <c r="D3393" s="51">
        <v>6101</v>
      </c>
      <c r="E3393" s="132" t="str">
        <f>INDEX([1]道具配置表!$D:$D,MATCH(D3393,[1]道具配置表!$A:$A,0))</f>
        <v>5分钟通用加速</v>
      </c>
      <c r="F3393" s="51">
        <v>20</v>
      </c>
      <c r="G3393" s="51"/>
      <c r="H3393" s="51"/>
      <c r="I3393" s="51"/>
      <c r="J3393" s="51"/>
      <c r="K3393" s="51">
        <v>1</v>
      </c>
      <c r="L3393" s="51"/>
      <c r="M3393" s="51" t="b">
        <v>1</v>
      </c>
      <c r="N3393" s="50"/>
    </row>
    <row r="3394" spans="1:14" x14ac:dyDescent="0.25">
      <c r="A3394" s="51">
        <f t="shared" ref="A3394" si="107">A3391+1</f>
        <v>6624220</v>
      </c>
      <c r="B3394" s="51" t="s">
        <v>671</v>
      </c>
      <c r="C3394" s="51"/>
      <c r="D3394" s="51">
        <f>D3391</f>
        <v>502</v>
      </c>
      <c r="E3394" s="132" t="str">
        <f>INDEX([1]道具配置表!$D:$D,MATCH(D3394,[1]道具配置表!$A:$A,0))</f>
        <v>1万资源自选宝箱</v>
      </c>
      <c r="F3394" s="51">
        <v>30</v>
      </c>
      <c r="G3394" s="51"/>
      <c r="H3394" s="51"/>
      <c r="I3394" s="51"/>
      <c r="J3394" s="51"/>
      <c r="K3394" s="51">
        <v>1</v>
      </c>
      <c r="L3394" s="51"/>
      <c r="M3394" s="51" t="b">
        <v>1</v>
      </c>
      <c r="N3394" s="50"/>
    </row>
    <row r="3395" spans="1:14" x14ac:dyDescent="0.25">
      <c r="A3395" s="51" t="s">
        <v>119</v>
      </c>
      <c r="B3395" s="51"/>
      <c r="C3395" s="51"/>
      <c r="D3395" s="51">
        <f t="shared" si="84"/>
        <v>7003</v>
      </c>
      <c r="E3395" s="132" t="str">
        <f>INDEX([1]道具配置表!$D:$D,MATCH(D3395,[1]道具配置表!$A:$A,0))</f>
        <v>1银币（立即使用，不进背包）</v>
      </c>
      <c r="F3395" s="54">
        <v>1200</v>
      </c>
      <c r="G3395" s="51"/>
      <c r="H3395" s="51"/>
      <c r="I3395" s="51"/>
      <c r="J3395" s="51"/>
      <c r="K3395" s="51">
        <v>1</v>
      </c>
      <c r="L3395" s="51"/>
      <c r="M3395" s="51" t="b">
        <v>1</v>
      </c>
      <c r="N3395" s="50"/>
    </row>
    <row r="3396" spans="1:14" x14ac:dyDescent="0.25">
      <c r="A3396" s="51"/>
      <c r="B3396" s="51"/>
      <c r="C3396" s="51"/>
      <c r="D3396" s="51">
        <v>6101</v>
      </c>
      <c r="E3396" s="132" t="str">
        <f>INDEX([1]道具配置表!$D:$D,MATCH(D3396,[1]道具配置表!$A:$A,0))</f>
        <v>5分钟通用加速</v>
      </c>
      <c r="F3396" s="51">
        <v>30</v>
      </c>
      <c r="G3396" s="51"/>
      <c r="H3396" s="51"/>
      <c r="I3396" s="51"/>
      <c r="J3396" s="51"/>
      <c r="K3396" s="51">
        <v>1</v>
      </c>
      <c r="L3396" s="51"/>
      <c r="M3396" s="51" t="b">
        <v>1</v>
      </c>
      <c r="N3396" s="50"/>
    </row>
    <row r="3397" spans="1:14" x14ac:dyDescent="0.25">
      <c r="A3397" s="51">
        <f t="shared" ref="A3397" si="108">A3394+1</f>
        <v>6624221</v>
      </c>
      <c r="B3397" s="51" t="s">
        <v>672</v>
      </c>
      <c r="C3397" s="51"/>
      <c r="D3397" s="51">
        <f>D3394</f>
        <v>502</v>
      </c>
      <c r="E3397" s="132" t="str">
        <f>INDEX([1]道具配置表!$D:$D,MATCH(D3397,[1]道具配置表!$A:$A,0))</f>
        <v>1万资源自选宝箱</v>
      </c>
      <c r="F3397" s="51">
        <v>40</v>
      </c>
      <c r="G3397" s="51"/>
      <c r="H3397" s="51"/>
      <c r="I3397" s="51"/>
      <c r="J3397" s="51"/>
      <c r="K3397" s="51">
        <v>1</v>
      </c>
      <c r="L3397" s="51"/>
      <c r="M3397" s="51" t="b">
        <v>1</v>
      </c>
      <c r="N3397" s="50"/>
    </row>
    <row r="3398" spans="1:14" x14ac:dyDescent="0.25">
      <c r="A3398" s="51" t="s">
        <v>119</v>
      </c>
      <c r="B3398" s="51"/>
      <c r="C3398" s="51"/>
      <c r="D3398" s="51">
        <f t="shared" si="84"/>
        <v>7003</v>
      </c>
      <c r="E3398" s="132" t="str">
        <f>INDEX([1]道具配置表!$D:$D,MATCH(D3398,[1]道具配置表!$A:$A,0))</f>
        <v>1银币（立即使用，不进背包）</v>
      </c>
      <c r="F3398" s="54">
        <v>1500</v>
      </c>
      <c r="G3398" s="51"/>
      <c r="H3398" s="51"/>
      <c r="I3398" s="51"/>
      <c r="J3398" s="51"/>
      <c r="K3398" s="51">
        <v>1</v>
      </c>
      <c r="L3398" s="51"/>
      <c r="M3398" s="51" t="b">
        <v>1</v>
      </c>
      <c r="N3398" s="50"/>
    </row>
    <row r="3399" spans="1:14" x14ac:dyDescent="0.25">
      <c r="A3399" s="51"/>
      <c r="B3399" s="51"/>
      <c r="C3399" s="51"/>
      <c r="D3399" s="51">
        <v>6101</v>
      </c>
      <c r="E3399" s="132" t="str">
        <f>INDEX([1]道具配置表!$D:$D,MATCH(D3399,[1]道具配置表!$A:$A,0))</f>
        <v>5分钟通用加速</v>
      </c>
      <c r="F3399" s="51">
        <v>40</v>
      </c>
      <c r="G3399" s="51"/>
      <c r="H3399" s="51"/>
      <c r="I3399" s="51"/>
      <c r="J3399" s="51"/>
      <c r="K3399" s="51">
        <v>1</v>
      </c>
      <c r="L3399" s="51"/>
      <c r="M3399" s="51" t="b">
        <v>1</v>
      </c>
      <c r="N3399" s="50"/>
    </row>
    <row r="3400" spans="1:14" x14ac:dyDescent="0.25">
      <c r="A3400" s="51">
        <f t="shared" ref="A3400" si="109">A3397+1</f>
        <v>6624222</v>
      </c>
      <c r="B3400" s="51" t="s">
        <v>673</v>
      </c>
      <c r="C3400" s="51"/>
      <c r="D3400" s="51">
        <f>D3397</f>
        <v>502</v>
      </c>
      <c r="E3400" s="132" t="str">
        <f>INDEX([1]道具配置表!$D:$D,MATCH(D3400,[1]道具配置表!$A:$A,0))</f>
        <v>1万资源自选宝箱</v>
      </c>
      <c r="F3400" s="51">
        <v>50</v>
      </c>
      <c r="G3400" s="51"/>
      <c r="H3400" s="51"/>
      <c r="I3400" s="51"/>
      <c r="J3400" s="51"/>
      <c r="K3400" s="51">
        <v>1</v>
      </c>
      <c r="L3400" s="51"/>
      <c r="M3400" s="51" t="b">
        <v>1</v>
      </c>
      <c r="N3400" s="50"/>
    </row>
    <row r="3401" spans="1:14" x14ac:dyDescent="0.25">
      <c r="A3401" s="51"/>
      <c r="B3401" s="51"/>
      <c r="C3401" s="51"/>
      <c r="D3401" s="51">
        <f t="shared" si="84"/>
        <v>7003</v>
      </c>
      <c r="E3401" s="132" t="str">
        <f>INDEX([1]道具配置表!$D:$D,MATCH(D3401,[1]道具配置表!$A:$A,0))</f>
        <v>1银币（立即使用，不进背包）</v>
      </c>
      <c r="F3401" s="54">
        <v>2000</v>
      </c>
      <c r="G3401" s="51"/>
      <c r="H3401" s="51"/>
      <c r="I3401" s="51"/>
      <c r="J3401" s="51"/>
      <c r="K3401" s="51">
        <v>1</v>
      </c>
      <c r="L3401" s="51"/>
      <c r="M3401" s="51" t="b">
        <v>1</v>
      </c>
      <c r="N3401" s="50"/>
    </row>
    <row r="3402" spans="1:14" x14ac:dyDescent="0.25">
      <c r="A3402" s="51"/>
      <c r="B3402" s="51"/>
      <c r="C3402" s="51"/>
      <c r="D3402" s="51">
        <v>6101</v>
      </c>
      <c r="E3402" s="132" t="str">
        <f>INDEX([1]道具配置表!$D:$D,MATCH(D3402,[1]道具配置表!$A:$A,0))</f>
        <v>5分钟通用加速</v>
      </c>
      <c r="F3402" s="51">
        <v>50</v>
      </c>
      <c r="G3402" s="51"/>
      <c r="H3402" s="51"/>
      <c r="I3402" s="51"/>
      <c r="J3402" s="51"/>
      <c r="K3402" s="51">
        <v>1</v>
      </c>
      <c r="L3402" s="51"/>
      <c r="M3402" s="51" t="b">
        <v>1</v>
      </c>
      <c r="N3402" s="50"/>
    </row>
    <row r="3403" spans="1:14" x14ac:dyDescent="0.25">
      <c r="A3403" s="17">
        <v>6624301</v>
      </c>
      <c r="B3403" s="17" t="s">
        <v>195</v>
      </c>
      <c r="C3403" s="17" t="s">
        <v>119</v>
      </c>
      <c r="D3403" s="17">
        <v>2007</v>
      </c>
      <c r="E3403" s="132" t="str">
        <f>INDEX([1]道具配置表!$D:$D,MATCH(D3403,[1]道具配置表!$A:$A,0))</f>
        <v>大奖池招募券</v>
      </c>
      <c r="F3403" s="17">
        <v>1</v>
      </c>
      <c r="G3403" s="17"/>
      <c r="H3403" s="17"/>
      <c r="I3403" s="17"/>
      <c r="J3403" s="17"/>
      <c r="K3403" s="17">
        <v>1</v>
      </c>
      <c r="L3403" s="17"/>
      <c r="M3403" s="17" t="b">
        <v>1</v>
      </c>
      <c r="N3403" s="50"/>
    </row>
    <row r="3404" spans="1:14" x14ac:dyDescent="0.25">
      <c r="A3404" s="21" t="s">
        <v>119</v>
      </c>
      <c r="B3404" s="21"/>
      <c r="C3404" s="21" t="s">
        <v>119</v>
      </c>
      <c r="D3404" s="21">
        <v>7003</v>
      </c>
      <c r="E3404" s="132" t="str">
        <f>INDEX([1]道具配置表!$D:$D,MATCH(D3404,[1]道具配置表!$A:$A,0))</f>
        <v>1银币（立即使用，不进背包）</v>
      </c>
      <c r="F3404" s="21">
        <v>100</v>
      </c>
      <c r="G3404" s="21"/>
      <c r="H3404" s="21"/>
      <c r="I3404" s="21"/>
      <c r="J3404" s="21"/>
      <c r="K3404" s="21">
        <v>1</v>
      </c>
      <c r="L3404" s="21"/>
      <c r="M3404" s="21" t="b">
        <v>1</v>
      </c>
      <c r="N3404" s="50"/>
    </row>
    <row r="3405" spans="1:14" x14ac:dyDescent="0.25">
      <c r="A3405" s="17" t="s">
        <v>119</v>
      </c>
      <c r="B3405" s="17"/>
      <c r="C3405" s="17" t="s">
        <v>119</v>
      </c>
      <c r="D3405" s="17">
        <v>6161</v>
      </c>
      <c r="E3405" s="132" t="str">
        <f>INDEX([1]道具配置表!$D:$D,MATCH(D3405,[1]道具配置表!$A:$A,0))</f>
        <v>5分钟训练加速</v>
      </c>
      <c r="F3405" s="17">
        <v>10</v>
      </c>
      <c r="G3405" s="17"/>
      <c r="H3405" s="17"/>
      <c r="I3405" s="17"/>
      <c r="J3405" s="17"/>
      <c r="K3405" s="17">
        <v>1</v>
      </c>
      <c r="L3405" s="17"/>
      <c r="M3405" s="17" t="b">
        <v>1</v>
      </c>
      <c r="N3405" s="50"/>
    </row>
    <row r="3406" spans="1:14" x14ac:dyDescent="0.25">
      <c r="A3406" s="17">
        <f>A3403+1</f>
        <v>6624302</v>
      </c>
      <c r="B3406" s="17" t="s">
        <v>196</v>
      </c>
      <c r="C3406" s="17" t="s">
        <v>119</v>
      </c>
      <c r="D3406" s="17">
        <f>D3403</f>
        <v>2007</v>
      </c>
      <c r="E3406" s="132" t="str">
        <f>INDEX([1]道具配置表!$D:$D,MATCH(D3406,[1]道具配置表!$A:$A,0))</f>
        <v>大奖池招募券</v>
      </c>
      <c r="F3406" s="17">
        <f>F3403</f>
        <v>1</v>
      </c>
      <c r="G3406" s="17"/>
      <c r="H3406" s="17"/>
      <c r="I3406" s="17"/>
      <c r="J3406" s="17"/>
      <c r="K3406" s="17">
        <v>1</v>
      </c>
      <c r="L3406" s="17"/>
      <c r="M3406" s="17" t="b">
        <v>1</v>
      </c>
      <c r="N3406" s="50"/>
    </row>
    <row r="3407" spans="1:14" x14ac:dyDescent="0.25">
      <c r="A3407" s="21" t="s">
        <v>119</v>
      </c>
      <c r="B3407" s="21"/>
      <c r="C3407" s="21" t="s">
        <v>119</v>
      </c>
      <c r="D3407" s="21">
        <f t="shared" ref="D3407:D3450" si="110">D3404</f>
        <v>7003</v>
      </c>
      <c r="E3407" s="132" t="str">
        <f>INDEX([1]道具配置表!$D:$D,MATCH(D3407,[1]道具配置表!$A:$A,0))</f>
        <v>1银币（立即使用，不进背包）</v>
      </c>
      <c r="F3407" s="21">
        <f>F3404</f>
        <v>100</v>
      </c>
      <c r="G3407" s="21"/>
      <c r="H3407" s="21"/>
      <c r="I3407" s="21"/>
      <c r="J3407" s="21"/>
      <c r="K3407" s="21">
        <v>1</v>
      </c>
      <c r="L3407" s="21"/>
      <c r="M3407" s="21" t="b">
        <v>1</v>
      </c>
      <c r="N3407" s="50"/>
    </row>
    <row r="3408" spans="1:14" x14ac:dyDescent="0.25">
      <c r="A3408" s="17" t="s">
        <v>119</v>
      </c>
      <c r="B3408" s="17"/>
      <c r="C3408" s="17" t="s">
        <v>119</v>
      </c>
      <c r="D3408" s="21">
        <f t="shared" si="110"/>
        <v>6161</v>
      </c>
      <c r="E3408" s="132" t="str">
        <f>INDEX([1]道具配置表!$D:$D,MATCH(D3408,[1]道具配置表!$A:$A,0))</f>
        <v>5分钟训练加速</v>
      </c>
      <c r="F3408" s="17">
        <f>F3405+2</f>
        <v>12</v>
      </c>
      <c r="G3408" s="17"/>
      <c r="H3408" s="17"/>
      <c r="I3408" s="17"/>
      <c r="J3408" s="17"/>
      <c r="K3408" s="17">
        <v>1</v>
      </c>
      <c r="L3408" s="17"/>
      <c r="M3408" s="17" t="b">
        <v>1</v>
      </c>
      <c r="N3408" s="50"/>
    </row>
    <row r="3409" spans="1:14" x14ac:dyDescent="0.25">
      <c r="A3409" s="21">
        <f>A3406+1</f>
        <v>6624303</v>
      </c>
      <c r="B3409" s="21" t="s">
        <v>197</v>
      </c>
      <c r="C3409" s="21" t="s">
        <v>119</v>
      </c>
      <c r="D3409" s="21">
        <f>D3406</f>
        <v>2007</v>
      </c>
      <c r="E3409" s="132" t="str">
        <f>INDEX([1]道具配置表!$D:$D,MATCH(D3409,[1]道具配置表!$A:$A,0))</f>
        <v>大奖池招募券</v>
      </c>
      <c r="F3409" s="21">
        <f>F3406</f>
        <v>1</v>
      </c>
      <c r="G3409" s="21"/>
      <c r="H3409" s="21"/>
      <c r="I3409" s="21"/>
      <c r="J3409" s="21"/>
      <c r="K3409" s="21">
        <v>1</v>
      </c>
      <c r="L3409" s="21"/>
      <c r="M3409" s="21" t="b">
        <v>1</v>
      </c>
      <c r="N3409" s="50"/>
    </row>
    <row r="3410" spans="1:14" x14ac:dyDescent="0.25">
      <c r="A3410" s="21" t="s">
        <v>119</v>
      </c>
      <c r="B3410" s="21"/>
      <c r="C3410" s="21" t="s">
        <v>119</v>
      </c>
      <c r="D3410" s="21">
        <f t="shared" si="110"/>
        <v>7003</v>
      </c>
      <c r="E3410" s="132" t="str">
        <f>INDEX([1]道具配置表!$D:$D,MATCH(D3410,[1]道具配置表!$A:$A,0))</f>
        <v>1银币（立即使用，不进背包）</v>
      </c>
      <c r="F3410" s="21">
        <f>F3407</f>
        <v>100</v>
      </c>
      <c r="G3410" s="21"/>
      <c r="H3410" s="21"/>
      <c r="I3410" s="21"/>
      <c r="J3410" s="21"/>
      <c r="K3410" s="21">
        <v>1</v>
      </c>
      <c r="L3410" s="21"/>
      <c r="M3410" s="21" t="b">
        <v>1</v>
      </c>
      <c r="N3410" s="50"/>
    </row>
    <row r="3411" spans="1:14" x14ac:dyDescent="0.25">
      <c r="A3411" s="21" t="s">
        <v>119</v>
      </c>
      <c r="B3411" s="21"/>
      <c r="C3411" s="21" t="s">
        <v>119</v>
      </c>
      <c r="D3411" s="21">
        <f t="shared" si="110"/>
        <v>6161</v>
      </c>
      <c r="E3411" s="132" t="str">
        <f>INDEX([1]道具配置表!$D:$D,MATCH(D3411,[1]道具配置表!$A:$A,0))</f>
        <v>5分钟训练加速</v>
      </c>
      <c r="F3411" s="21">
        <f>F3408+2</f>
        <v>14</v>
      </c>
      <c r="G3411" s="21"/>
      <c r="H3411" s="21"/>
      <c r="I3411" s="21"/>
      <c r="J3411" s="21"/>
      <c r="K3411" s="21">
        <v>1</v>
      </c>
      <c r="L3411" s="21"/>
      <c r="M3411" s="21" t="b">
        <v>1</v>
      </c>
      <c r="N3411" s="50"/>
    </row>
    <row r="3412" spans="1:14" x14ac:dyDescent="0.25">
      <c r="A3412" s="21">
        <f>A3409+1</f>
        <v>6624304</v>
      </c>
      <c r="B3412" s="21" t="s">
        <v>198</v>
      </c>
      <c r="C3412" s="21" t="s">
        <v>119</v>
      </c>
      <c r="D3412" s="21">
        <f>D3409</f>
        <v>2007</v>
      </c>
      <c r="E3412" s="132" t="str">
        <f>INDEX([1]道具配置表!$D:$D,MATCH(D3412,[1]道具配置表!$A:$A,0))</f>
        <v>大奖池招募券</v>
      </c>
      <c r="F3412" s="21">
        <f>F3409</f>
        <v>1</v>
      </c>
      <c r="G3412" s="21"/>
      <c r="H3412" s="21"/>
      <c r="I3412" s="21"/>
      <c r="J3412" s="21"/>
      <c r="K3412" s="21">
        <v>1</v>
      </c>
      <c r="L3412" s="21"/>
      <c r="M3412" s="21" t="b">
        <v>1</v>
      </c>
      <c r="N3412" s="50"/>
    </row>
    <row r="3413" spans="1:14" x14ac:dyDescent="0.25">
      <c r="A3413" s="21" t="s">
        <v>119</v>
      </c>
      <c r="B3413" s="21"/>
      <c r="C3413" s="21" t="s">
        <v>119</v>
      </c>
      <c r="D3413" s="21">
        <f t="shared" si="110"/>
        <v>7003</v>
      </c>
      <c r="E3413" s="132" t="str">
        <f>INDEX([1]道具配置表!$D:$D,MATCH(D3413,[1]道具配置表!$A:$A,0))</f>
        <v>1银币（立即使用，不进背包）</v>
      </c>
      <c r="F3413" s="21">
        <f>F3410</f>
        <v>100</v>
      </c>
      <c r="G3413" s="21"/>
      <c r="H3413" s="21"/>
      <c r="I3413" s="21"/>
      <c r="J3413" s="21"/>
      <c r="K3413" s="21">
        <v>1</v>
      </c>
      <c r="L3413" s="21"/>
      <c r="M3413" s="21" t="b">
        <v>1</v>
      </c>
      <c r="N3413" s="50"/>
    </row>
    <row r="3414" spans="1:14" x14ac:dyDescent="0.25">
      <c r="A3414" s="21" t="s">
        <v>119</v>
      </c>
      <c r="B3414" s="21"/>
      <c r="C3414" s="21" t="s">
        <v>119</v>
      </c>
      <c r="D3414" s="21">
        <f t="shared" si="110"/>
        <v>6161</v>
      </c>
      <c r="E3414" s="132" t="str">
        <f>INDEX([1]道具配置表!$D:$D,MATCH(D3414,[1]道具配置表!$A:$A,0))</f>
        <v>5分钟训练加速</v>
      </c>
      <c r="F3414" s="21">
        <f>F3411+2</f>
        <v>16</v>
      </c>
      <c r="G3414" s="21"/>
      <c r="H3414" s="21"/>
      <c r="I3414" s="21"/>
      <c r="J3414" s="21"/>
      <c r="K3414" s="21">
        <v>1</v>
      </c>
      <c r="L3414" s="21"/>
      <c r="M3414" s="21" t="b">
        <v>1</v>
      </c>
      <c r="N3414" s="50"/>
    </row>
    <row r="3415" spans="1:14" x14ac:dyDescent="0.25">
      <c r="A3415" s="21">
        <f>A3412+1</f>
        <v>6624305</v>
      </c>
      <c r="B3415" s="21" t="s">
        <v>199</v>
      </c>
      <c r="C3415" s="21" t="s">
        <v>119</v>
      </c>
      <c r="D3415" s="21">
        <f>D3412</f>
        <v>2007</v>
      </c>
      <c r="E3415" s="132" t="str">
        <f>INDEX([1]道具配置表!$D:$D,MATCH(D3415,[1]道具配置表!$A:$A,0))</f>
        <v>大奖池招募券</v>
      </c>
      <c r="F3415" s="21">
        <f>F3412</f>
        <v>1</v>
      </c>
      <c r="G3415" s="21"/>
      <c r="H3415" s="21"/>
      <c r="I3415" s="21"/>
      <c r="J3415" s="21"/>
      <c r="K3415" s="21">
        <v>1</v>
      </c>
      <c r="L3415" s="21"/>
      <c r="M3415" s="21" t="b">
        <v>1</v>
      </c>
      <c r="N3415" s="50"/>
    </row>
    <row r="3416" spans="1:14" x14ac:dyDescent="0.25">
      <c r="A3416" s="21" t="s">
        <v>119</v>
      </c>
      <c r="B3416" s="21"/>
      <c r="C3416" s="21" t="s">
        <v>119</v>
      </c>
      <c r="D3416" s="21">
        <f t="shared" si="110"/>
        <v>7003</v>
      </c>
      <c r="E3416" s="132" t="str">
        <f>INDEX([1]道具配置表!$D:$D,MATCH(D3416,[1]道具配置表!$A:$A,0))</f>
        <v>1银币（立即使用，不进背包）</v>
      </c>
      <c r="F3416" s="21">
        <f>F3413</f>
        <v>100</v>
      </c>
      <c r="G3416" s="21"/>
      <c r="H3416" s="21"/>
      <c r="I3416" s="21"/>
      <c r="J3416" s="21"/>
      <c r="K3416" s="21">
        <v>1</v>
      </c>
      <c r="L3416" s="21"/>
      <c r="M3416" s="21" t="b">
        <v>1</v>
      </c>
      <c r="N3416" s="50"/>
    </row>
    <row r="3417" spans="1:14" x14ac:dyDescent="0.25">
      <c r="A3417" s="21" t="s">
        <v>119</v>
      </c>
      <c r="B3417" s="21"/>
      <c r="C3417" s="21" t="s">
        <v>119</v>
      </c>
      <c r="D3417" s="21">
        <f t="shared" si="110"/>
        <v>6161</v>
      </c>
      <c r="E3417" s="132" t="str">
        <f>INDEX([1]道具配置表!$D:$D,MATCH(D3417,[1]道具配置表!$A:$A,0))</f>
        <v>5分钟训练加速</v>
      </c>
      <c r="F3417" s="21">
        <f>F3414+2</f>
        <v>18</v>
      </c>
      <c r="G3417" s="21"/>
      <c r="H3417" s="21"/>
      <c r="I3417" s="21"/>
      <c r="J3417" s="21"/>
      <c r="K3417" s="21">
        <v>1</v>
      </c>
      <c r="L3417" s="21"/>
      <c r="M3417" s="21" t="b">
        <v>1</v>
      </c>
      <c r="N3417" s="50"/>
    </row>
    <row r="3418" spans="1:14" x14ac:dyDescent="0.25">
      <c r="A3418" s="21">
        <f>A3415+1</f>
        <v>6624306</v>
      </c>
      <c r="B3418" s="21" t="s">
        <v>200</v>
      </c>
      <c r="C3418" s="21" t="s">
        <v>119</v>
      </c>
      <c r="D3418" s="21">
        <f>D3415</f>
        <v>2007</v>
      </c>
      <c r="E3418" s="132" t="str">
        <f>INDEX([1]道具配置表!$D:$D,MATCH(D3418,[1]道具配置表!$A:$A,0))</f>
        <v>大奖池招募券</v>
      </c>
      <c r="F3418" s="21">
        <f>F3415</f>
        <v>1</v>
      </c>
      <c r="G3418" s="21"/>
      <c r="H3418" s="21"/>
      <c r="I3418" s="21"/>
      <c r="J3418" s="21"/>
      <c r="K3418" s="21">
        <v>1</v>
      </c>
      <c r="L3418" s="21"/>
      <c r="M3418" s="21" t="b">
        <v>1</v>
      </c>
      <c r="N3418" s="50"/>
    </row>
    <row r="3419" spans="1:14" x14ac:dyDescent="0.25">
      <c r="A3419" s="21" t="s">
        <v>119</v>
      </c>
      <c r="B3419" s="21"/>
      <c r="C3419" s="21" t="s">
        <v>119</v>
      </c>
      <c r="D3419" s="21">
        <f t="shared" si="110"/>
        <v>7003</v>
      </c>
      <c r="E3419" s="132" t="str">
        <f>INDEX([1]道具配置表!$D:$D,MATCH(D3419,[1]道具配置表!$A:$A,0))</f>
        <v>1银币（立即使用，不进背包）</v>
      </c>
      <c r="F3419" s="21">
        <f>F3416</f>
        <v>100</v>
      </c>
      <c r="G3419" s="21"/>
      <c r="H3419" s="21"/>
      <c r="I3419" s="21"/>
      <c r="J3419" s="21"/>
      <c r="K3419" s="21">
        <v>1</v>
      </c>
      <c r="L3419" s="21"/>
      <c r="M3419" s="21" t="b">
        <v>1</v>
      </c>
      <c r="N3419" s="50"/>
    </row>
    <row r="3420" spans="1:14" x14ac:dyDescent="0.25">
      <c r="A3420" s="21" t="s">
        <v>119</v>
      </c>
      <c r="B3420" s="21"/>
      <c r="C3420" s="21" t="s">
        <v>119</v>
      </c>
      <c r="D3420" s="21">
        <f t="shared" si="110"/>
        <v>6161</v>
      </c>
      <c r="E3420" s="132" t="str">
        <f>INDEX([1]道具配置表!$D:$D,MATCH(D3420,[1]道具配置表!$A:$A,0))</f>
        <v>5分钟训练加速</v>
      </c>
      <c r="F3420" s="21">
        <f>F3417+2</f>
        <v>20</v>
      </c>
      <c r="G3420" s="21"/>
      <c r="H3420" s="21"/>
      <c r="I3420" s="21"/>
      <c r="J3420" s="21"/>
      <c r="K3420" s="21">
        <v>1</v>
      </c>
      <c r="L3420" s="21"/>
      <c r="M3420" s="21" t="b">
        <v>1</v>
      </c>
      <c r="N3420" s="50"/>
    </row>
    <row r="3421" spans="1:14" x14ac:dyDescent="0.25">
      <c r="A3421" s="21">
        <f>A3418+1</f>
        <v>6624307</v>
      </c>
      <c r="B3421" s="21" t="s">
        <v>201</v>
      </c>
      <c r="C3421" s="21" t="s">
        <v>119</v>
      </c>
      <c r="D3421" s="21">
        <f>D3418</f>
        <v>2007</v>
      </c>
      <c r="E3421" s="132" t="str">
        <f>INDEX([1]道具配置表!$D:$D,MATCH(D3421,[1]道具配置表!$A:$A,0))</f>
        <v>大奖池招募券</v>
      </c>
      <c r="F3421" s="21">
        <f>F3418</f>
        <v>1</v>
      </c>
      <c r="G3421" s="21"/>
      <c r="H3421" s="21"/>
      <c r="I3421" s="21"/>
      <c r="J3421" s="21"/>
      <c r="K3421" s="21">
        <v>1</v>
      </c>
      <c r="L3421" s="21"/>
      <c r="M3421" s="21" t="b">
        <v>1</v>
      </c>
      <c r="N3421" s="50"/>
    </row>
    <row r="3422" spans="1:14" x14ac:dyDescent="0.25">
      <c r="A3422" s="21" t="s">
        <v>119</v>
      </c>
      <c r="B3422" s="21"/>
      <c r="C3422" s="21" t="s">
        <v>119</v>
      </c>
      <c r="D3422" s="21">
        <f t="shared" si="110"/>
        <v>7003</v>
      </c>
      <c r="E3422" s="132" t="str">
        <f>INDEX([1]道具配置表!$D:$D,MATCH(D3422,[1]道具配置表!$A:$A,0))</f>
        <v>1银币（立即使用，不进背包）</v>
      </c>
      <c r="F3422" s="21">
        <f>F3419</f>
        <v>100</v>
      </c>
      <c r="G3422" s="21"/>
      <c r="H3422" s="21"/>
      <c r="I3422" s="21"/>
      <c r="J3422" s="21"/>
      <c r="K3422" s="21">
        <v>1</v>
      </c>
      <c r="L3422" s="21"/>
      <c r="M3422" s="21" t="b">
        <v>1</v>
      </c>
      <c r="N3422" s="50"/>
    </row>
    <row r="3423" spans="1:14" x14ac:dyDescent="0.25">
      <c r="A3423" s="21" t="s">
        <v>119</v>
      </c>
      <c r="B3423" s="21"/>
      <c r="C3423" s="21" t="s">
        <v>119</v>
      </c>
      <c r="D3423" s="21">
        <f t="shared" si="110"/>
        <v>6161</v>
      </c>
      <c r="E3423" s="132" t="str">
        <f>INDEX([1]道具配置表!$D:$D,MATCH(D3423,[1]道具配置表!$A:$A,0))</f>
        <v>5分钟训练加速</v>
      </c>
      <c r="F3423" s="21">
        <f>F3420+2</f>
        <v>22</v>
      </c>
      <c r="G3423" s="21"/>
      <c r="H3423" s="21"/>
      <c r="I3423" s="21"/>
      <c r="J3423" s="21"/>
      <c r="K3423" s="21">
        <v>1</v>
      </c>
      <c r="L3423" s="21"/>
      <c r="M3423" s="21" t="b">
        <v>1</v>
      </c>
      <c r="N3423" s="50"/>
    </row>
    <row r="3424" spans="1:14" x14ac:dyDescent="0.25">
      <c r="A3424" s="21">
        <f>A3421+1</f>
        <v>6624308</v>
      </c>
      <c r="B3424" s="21" t="s">
        <v>202</v>
      </c>
      <c r="C3424" s="21" t="s">
        <v>119</v>
      </c>
      <c r="D3424" s="21">
        <f>D3421</f>
        <v>2007</v>
      </c>
      <c r="E3424" s="132" t="str">
        <f>INDEX([1]道具配置表!$D:$D,MATCH(D3424,[1]道具配置表!$A:$A,0))</f>
        <v>大奖池招募券</v>
      </c>
      <c r="F3424" s="21">
        <f>F3421</f>
        <v>1</v>
      </c>
      <c r="G3424" s="21"/>
      <c r="H3424" s="21"/>
      <c r="I3424" s="21"/>
      <c r="J3424" s="21"/>
      <c r="K3424" s="21">
        <v>1</v>
      </c>
      <c r="L3424" s="21"/>
      <c r="M3424" s="21" t="b">
        <v>1</v>
      </c>
      <c r="N3424" s="50"/>
    </row>
    <row r="3425" spans="1:14" x14ac:dyDescent="0.25">
      <c r="A3425" s="21" t="s">
        <v>119</v>
      </c>
      <c r="B3425" s="21"/>
      <c r="C3425" s="21" t="s">
        <v>119</v>
      </c>
      <c r="D3425" s="21">
        <f t="shared" si="110"/>
        <v>7003</v>
      </c>
      <c r="E3425" s="132" t="str">
        <f>INDEX([1]道具配置表!$D:$D,MATCH(D3425,[1]道具配置表!$A:$A,0))</f>
        <v>1银币（立即使用，不进背包）</v>
      </c>
      <c r="F3425" s="21">
        <f>F3422</f>
        <v>100</v>
      </c>
      <c r="G3425" s="21"/>
      <c r="H3425" s="21"/>
      <c r="I3425" s="21"/>
      <c r="J3425" s="21"/>
      <c r="K3425" s="21">
        <v>1</v>
      </c>
      <c r="L3425" s="21"/>
      <c r="M3425" s="21" t="b">
        <v>1</v>
      </c>
      <c r="N3425" s="50"/>
    </row>
    <row r="3426" spans="1:14" x14ac:dyDescent="0.25">
      <c r="A3426" s="21" t="s">
        <v>119</v>
      </c>
      <c r="B3426" s="21"/>
      <c r="C3426" s="21" t="s">
        <v>119</v>
      </c>
      <c r="D3426" s="21">
        <f t="shared" si="110"/>
        <v>6161</v>
      </c>
      <c r="E3426" s="132" t="str">
        <f>INDEX([1]道具配置表!$D:$D,MATCH(D3426,[1]道具配置表!$A:$A,0))</f>
        <v>5分钟训练加速</v>
      </c>
      <c r="F3426" s="21">
        <f>F3423+2</f>
        <v>24</v>
      </c>
      <c r="G3426" s="21"/>
      <c r="H3426" s="21"/>
      <c r="I3426" s="21"/>
      <c r="J3426" s="21"/>
      <c r="K3426" s="21">
        <v>1</v>
      </c>
      <c r="L3426" s="21"/>
      <c r="M3426" s="21" t="b">
        <v>1</v>
      </c>
      <c r="N3426" s="50"/>
    </row>
    <row r="3427" spans="1:14" x14ac:dyDescent="0.25">
      <c r="A3427" s="21">
        <f>A3424+1</f>
        <v>6624309</v>
      </c>
      <c r="B3427" s="21" t="s">
        <v>203</v>
      </c>
      <c r="C3427" s="21" t="s">
        <v>119</v>
      </c>
      <c r="D3427" s="21">
        <f>D3424</f>
        <v>2007</v>
      </c>
      <c r="E3427" s="132" t="str">
        <f>INDEX([1]道具配置表!$D:$D,MATCH(D3427,[1]道具配置表!$A:$A,0))</f>
        <v>大奖池招募券</v>
      </c>
      <c r="F3427" s="21">
        <f>F3424</f>
        <v>1</v>
      </c>
      <c r="G3427" s="21"/>
      <c r="H3427" s="21"/>
      <c r="I3427" s="21"/>
      <c r="J3427" s="21"/>
      <c r="K3427" s="21">
        <v>1</v>
      </c>
      <c r="L3427" s="21"/>
      <c r="M3427" s="21" t="b">
        <v>1</v>
      </c>
      <c r="N3427" s="50"/>
    </row>
    <row r="3428" spans="1:14" x14ac:dyDescent="0.25">
      <c r="A3428" s="21" t="s">
        <v>119</v>
      </c>
      <c r="B3428" s="21"/>
      <c r="C3428" s="21" t="s">
        <v>119</v>
      </c>
      <c r="D3428" s="21">
        <f t="shared" si="110"/>
        <v>7003</v>
      </c>
      <c r="E3428" s="132" t="str">
        <f>INDEX([1]道具配置表!$D:$D,MATCH(D3428,[1]道具配置表!$A:$A,0))</f>
        <v>1银币（立即使用，不进背包）</v>
      </c>
      <c r="F3428" s="21">
        <f>F3425</f>
        <v>100</v>
      </c>
      <c r="G3428" s="21"/>
      <c r="H3428" s="21"/>
      <c r="I3428" s="21"/>
      <c r="J3428" s="21"/>
      <c r="K3428" s="21">
        <v>1</v>
      </c>
      <c r="L3428" s="21"/>
      <c r="M3428" s="21" t="b">
        <v>1</v>
      </c>
      <c r="N3428" s="50"/>
    </row>
    <row r="3429" spans="1:14" x14ac:dyDescent="0.25">
      <c r="A3429" s="21" t="s">
        <v>119</v>
      </c>
      <c r="B3429" s="21"/>
      <c r="C3429" s="21" t="s">
        <v>119</v>
      </c>
      <c r="D3429" s="21">
        <f t="shared" si="110"/>
        <v>6161</v>
      </c>
      <c r="E3429" s="132" t="str">
        <f>INDEX([1]道具配置表!$D:$D,MATCH(D3429,[1]道具配置表!$A:$A,0))</f>
        <v>5分钟训练加速</v>
      </c>
      <c r="F3429" s="21">
        <f>F3426+2</f>
        <v>26</v>
      </c>
      <c r="G3429" s="21"/>
      <c r="H3429" s="21"/>
      <c r="I3429" s="21"/>
      <c r="J3429" s="21"/>
      <c r="K3429" s="21">
        <v>1</v>
      </c>
      <c r="L3429" s="21"/>
      <c r="M3429" s="21" t="b">
        <v>1</v>
      </c>
      <c r="N3429" s="50"/>
    </row>
    <row r="3430" spans="1:14" x14ac:dyDescent="0.25">
      <c r="A3430" s="21">
        <f>A3427+1</f>
        <v>6624310</v>
      </c>
      <c r="B3430" s="21" t="s">
        <v>204</v>
      </c>
      <c r="C3430" s="21" t="s">
        <v>119</v>
      </c>
      <c r="D3430" s="21">
        <f>D3427</f>
        <v>2007</v>
      </c>
      <c r="E3430" s="132" t="str">
        <f>INDEX([1]道具配置表!$D:$D,MATCH(D3430,[1]道具配置表!$A:$A,0))</f>
        <v>大奖池招募券</v>
      </c>
      <c r="F3430" s="21">
        <f>F3427</f>
        <v>1</v>
      </c>
      <c r="G3430" s="21"/>
      <c r="H3430" s="21"/>
      <c r="I3430" s="21"/>
      <c r="J3430" s="21"/>
      <c r="K3430" s="21">
        <v>1</v>
      </c>
      <c r="L3430" s="21"/>
      <c r="M3430" s="21" t="b">
        <v>1</v>
      </c>
      <c r="N3430" s="50"/>
    </row>
    <row r="3431" spans="1:14" x14ac:dyDescent="0.25">
      <c r="A3431" s="21" t="s">
        <v>119</v>
      </c>
      <c r="B3431" s="21"/>
      <c r="C3431" s="21" t="s">
        <v>119</v>
      </c>
      <c r="D3431" s="21">
        <f t="shared" si="110"/>
        <v>7003</v>
      </c>
      <c r="E3431" s="132" t="str">
        <f>INDEX([1]道具配置表!$D:$D,MATCH(D3431,[1]道具配置表!$A:$A,0))</f>
        <v>1银币（立即使用，不进背包）</v>
      </c>
      <c r="F3431" s="21">
        <f>F3428</f>
        <v>100</v>
      </c>
      <c r="G3431" s="21"/>
      <c r="H3431" s="21"/>
      <c r="I3431" s="21"/>
      <c r="J3431" s="21"/>
      <c r="K3431" s="21">
        <v>1</v>
      </c>
      <c r="L3431" s="21"/>
      <c r="M3431" s="21" t="b">
        <v>1</v>
      </c>
      <c r="N3431" s="50"/>
    </row>
    <row r="3432" spans="1:14" x14ac:dyDescent="0.25">
      <c r="A3432" s="21" t="s">
        <v>119</v>
      </c>
      <c r="B3432" s="21"/>
      <c r="C3432" s="21" t="s">
        <v>119</v>
      </c>
      <c r="D3432" s="21">
        <f t="shared" si="110"/>
        <v>6161</v>
      </c>
      <c r="E3432" s="132" t="str">
        <f>INDEX([1]道具配置表!$D:$D,MATCH(D3432,[1]道具配置表!$A:$A,0))</f>
        <v>5分钟训练加速</v>
      </c>
      <c r="F3432" s="21">
        <f>F3429+2</f>
        <v>28</v>
      </c>
      <c r="G3432" s="21"/>
      <c r="H3432" s="21"/>
      <c r="I3432" s="21"/>
      <c r="J3432" s="21"/>
      <c r="K3432" s="21">
        <v>1</v>
      </c>
      <c r="L3432" s="21"/>
      <c r="M3432" s="21" t="b">
        <v>1</v>
      </c>
      <c r="N3432" s="50"/>
    </row>
    <row r="3433" spans="1:14" x14ac:dyDescent="0.25">
      <c r="A3433" s="21">
        <f>A3430+1</f>
        <v>6624311</v>
      </c>
      <c r="B3433" s="21" t="s">
        <v>222</v>
      </c>
      <c r="C3433" s="21" t="s">
        <v>119</v>
      </c>
      <c r="D3433" s="21">
        <f>D3430</f>
        <v>2007</v>
      </c>
      <c r="E3433" s="132" t="str">
        <f>INDEX([1]道具配置表!$D:$D,MATCH(D3433,[1]道具配置表!$A:$A,0))</f>
        <v>大奖池招募券</v>
      </c>
      <c r="F3433" s="21">
        <f>F3430</f>
        <v>1</v>
      </c>
      <c r="G3433" s="21"/>
      <c r="H3433" s="21"/>
      <c r="I3433" s="21"/>
      <c r="J3433" s="21"/>
      <c r="K3433" s="21">
        <v>1</v>
      </c>
      <c r="L3433" s="21"/>
      <c r="M3433" s="21" t="b">
        <v>1</v>
      </c>
      <c r="N3433" s="50"/>
    </row>
    <row r="3434" spans="1:14" x14ac:dyDescent="0.25">
      <c r="A3434" s="21" t="s">
        <v>119</v>
      </c>
      <c r="B3434" s="21"/>
      <c r="C3434" s="21" t="s">
        <v>119</v>
      </c>
      <c r="D3434" s="21">
        <f t="shared" si="110"/>
        <v>7003</v>
      </c>
      <c r="E3434" s="132" t="str">
        <f>INDEX([1]道具配置表!$D:$D,MATCH(D3434,[1]道具配置表!$A:$A,0))</f>
        <v>1银币（立即使用，不进背包）</v>
      </c>
      <c r="F3434" s="21">
        <f>F3431</f>
        <v>100</v>
      </c>
      <c r="G3434" s="21"/>
      <c r="H3434" s="21"/>
      <c r="I3434" s="21"/>
      <c r="J3434" s="21"/>
      <c r="K3434" s="21">
        <v>1</v>
      </c>
      <c r="L3434" s="21"/>
      <c r="M3434" s="21" t="b">
        <v>1</v>
      </c>
      <c r="N3434" s="50"/>
    </row>
    <row r="3435" spans="1:14" x14ac:dyDescent="0.25">
      <c r="A3435" s="21" t="s">
        <v>119</v>
      </c>
      <c r="B3435" s="21"/>
      <c r="C3435" s="21" t="s">
        <v>119</v>
      </c>
      <c r="D3435" s="21">
        <f t="shared" si="110"/>
        <v>6161</v>
      </c>
      <c r="E3435" s="132" t="str">
        <f>INDEX([1]道具配置表!$D:$D,MATCH(D3435,[1]道具配置表!$A:$A,0))</f>
        <v>5分钟训练加速</v>
      </c>
      <c r="F3435" s="21">
        <f>F3432+4</f>
        <v>32</v>
      </c>
      <c r="G3435" s="21"/>
      <c r="H3435" s="21"/>
      <c r="I3435" s="21"/>
      <c r="J3435" s="21"/>
      <c r="K3435" s="21">
        <v>1</v>
      </c>
      <c r="L3435" s="21"/>
      <c r="M3435" s="21" t="b">
        <v>1</v>
      </c>
      <c r="N3435" s="50"/>
    </row>
    <row r="3436" spans="1:14" x14ac:dyDescent="0.25">
      <c r="A3436" s="21">
        <f>A3433+1</f>
        <v>6624312</v>
      </c>
      <c r="B3436" s="21" t="s">
        <v>223</v>
      </c>
      <c r="C3436" s="21" t="s">
        <v>119</v>
      </c>
      <c r="D3436" s="21">
        <f>D3433</f>
        <v>2007</v>
      </c>
      <c r="E3436" s="132" t="str">
        <f>INDEX([1]道具配置表!$D:$D,MATCH(D3436,[1]道具配置表!$A:$A,0))</f>
        <v>大奖池招募券</v>
      </c>
      <c r="F3436" s="21">
        <f t="shared" ref="F3436:F3437" si="111">F3433</f>
        <v>1</v>
      </c>
      <c r="G3436" s="21"/>
      <c r="H3436" s="21"/>
      <c r="I3436" s="21"/>
      <c r="J3436" s="21"/>
      <c r="K3436" s="21">
        <v>1</v>
      </c>
      <c r="L3436" s="21"/>
      <c r="M3436" s="21" t="b">
        <v>1</v>
      </c>
      <c r="N3436" s="50"/>
    </row>
    <row r="3437" spans="1:14" x14ac:dyDescent="0.25">
      <c r="A3437" s="21" t="s">
        <v>119</v>
      </c>
      <c r="B3437" s="21"/>
      <c r="C3437" s="21" t="s">
        <v>119</v>
      </c>
      <c r="D3437" s="21">
        <f t="shared" si="110"/>
        <v>7003</v>
      </c>
      <c r="E3437" s="132" t="str">
        <f>INDEX([1]道具配置表!$D:$D,MATCH(D3437,[1]道具配置表!$A:$A,0))</f>
        <v>1银币（立即使用，不进背包）</v>
      </c>
      <c r="F3437" s="21">
        <f t="shared" si="111"/>
        <v>100</v>
      </c>
      <c r="G3437" s="21"/>
      <c r="H3437" s="21"/>
      <c r="I3437" s="21"/>
      <c r="J3437" s="21"/>
      <c r="K3437" s="21">
        <v>1</v>
      </c>
      <c r="L3437" s="21"/>
      <c r="M3437" s="21" t="b">
        <v>1</v>
      </c>
      <c r="N3437" s="50"/>
    </row>
    <row r="3438" spans="1:14" x14ac:dyDescent="0.25">
      <c r="A3438" s="21" t="s">
        <v>119</v>
      </c>
      <c r="B3438" s="21"/>
      <c r="C3438" s="21" t="s">
        <v>119</v>
      </c>
      <c r="D3438" s="21">
        <f t="shared" si="110"/>
        <v>6161</v>
      </c>
      <c r="E3438" s="132" t="str">
        <f>INDEX([1]道具配置表!$D:$D,MATCH(D3438,[1]道具配置表!$A:$A,0))</f>
        <v>5分钟训练加速</v>
      </c>
      <c r="F3438" s="21">
        <f t="shared" ref="F3438" si="112">F3435+4</f>
        <v>36</v>
      </c>
      <c r="G3438" s="21"/>
      <c r="H3438" s="21"/>
      <c r="I3438" s="21"/>
      <c r="J3438" s="21"/>
      <c r="K3438" s="21">
        <v>1</v>
      </c>
      <c r="L3438" s="21"/>
      <c r="M3438" s="21" t="b">
        <v>1</v>
      </c>
      <c r="N3438" s="50"/>
    </row>
    <row r="3439" spans="1:14" x14ac:dyDescent="0.25">
      <c r="A3439" s="21">
        <f>A3436+1</f>
        <v>6624313</v>
      </c>
      <c r="B3439" s="21" t="s">
        <v>224</v>
      </c>
      <c r="C3439" s="21" t="s">
        <v>119</v>
      </c>
      <c r="D3439" s="21">
        <f>D3436</f>
        <v>2007</v>
      </c>
      <c r="E3439" s="132" t="str">
        <f>INDEX([1]道具配置表!$D:$D,MATCH(D3439,[1]道具配置表!$A:$A,0))</f>
        <v>大奖池招募券</v>
      </c>
      <c r="F3439" s="21">
        <f t="shared" ref="F3439:F3440" si="113">F3436</f>
        <v>1</v>
      </c>
      <c r="G3439" s="21"/>
      <c r="H3439" s="21"/>
      <c r="I3439" s="21"/>
      <c r="J3439" s="21"/>
      <c r="K3439" s="21">
        <v>1</v>
      </c>
      <c r="L3439" s="21"/>
      <c r="M3439" s="21" t="b">
        <v>1</v>
      </c>
      <c r="N3439" s="50"/>
    </row>
    <row r="3440" spans="1:14" x14ac:dyDescent="0.25">
      <c r="A3440" s="21" t="s">
        <v>119</v>
      </c>
      <c r="B3440" s="21"/>
      <c r="C3440" s="21" t="s">
        <v>119</v>
      </c>
      <c r="D3440" s="21">
        <f t="shared" si="110"/>
        <v>7003</v>
      </c>
      <c r="E3440" s="132" t="str">
        <f>INDEX([1]道具配置表!$D:$D,MATCH(D3440,[1]道具配置表!$A:$A,0))</f>
        <v>1银币（立即使用，不进背包）</v>
      </c>
      <c r="F3440" s="21">
        <f t="shared" si="113"/>
        <v>100</v>
      </c>
      <c r="G3440" s="21"/>
      <c r="H3440" s="21"/>
      <c r="I3440" s="21"/>
      <c r="J3440" s="21"/>
      <c r="K3440" s="21">
        <v>1</v>
      </c>
      <c r="L3440" s="21"/>
      <c r="M3440" s="21" t="b">
        <v>1</v>
      </c>
      <c r="N3440" s="50"/>
    </row>
    <row r="3441" spans="1:14" x14ac:dyDescent="0.25">
      <c r="A3441" s="21" t="s">
        <v>119</v>
      </c>
      <c r="B3441" s="21"/>
      <c r="C3441" s="21" t="s">
        <v>119</v>
      </c>
      <c r="D3441" s="21">
        <f t="shared" si="110"/>
        <v>6161</v>
      </c>
      <c r="E3441" s="132" t="str">
        <f>INDEX([1]道具配置表!$D:$D,MATCH(D3441,[1]道具配置表!$A:$A,0))</f>
        <v>5分钟训练加速</v>
      </c>
      <c r="F3441" s="21">
        <f t="shared" ref="F3441" si="114">F3438+4</f>
        <v>40</v>
      </c>
      <c r="G3441" s="21"/>
      <c r="H3441" s="21"/>
      <c r="I3441" s="21"/>
      <c r="J3441" s="21"/>
      <c r="K3441" s="21">
        <v>1</v>
      </c>
      <c r="L3441" s="21"/>
      <c r="M3441" s="21" t="b">
        <v>1</v>
      </c>
      <c r="N3441" s="50"/>
    </row>
    <row r="3442" spans="1:14" x14ac:dyDescent="0.25">
      <c r="A3442" s="21">
        <f>A3439+1</f>
        <v>6624314</v>
      </c>
      <c r="B3442" s="21" t="s">
        <v>225</v>
      </c>
      <c r="C3442" s="21" t="s">
        <v>119</v>
      </c>
      <c r="D3442" s="21">
        <f>D3439</f>
        <v>2007</v>
      </c>
      <c r="E3442" s="132" t="str">
        <f>INDEX([1]道具配置表!$D:$D,MATCH(D3442,[1]道具配置表!$A:$A,0))</f>
        <v>大奖池招募券</v>
      </c>
      <c r="F3442" s="21">
        <f t="shared" ref="F3442:F3443" si="115">F3439</f>
        <v>1</v>
      </c>
      <c r="G3442" s="21"/>
      <c r="H3442" s="21"/>
      <c r="I3442" s="21"/>
      <c r="J3442" s="21"/>
      <c r="K3442" s="21">
        <v>1</v>
      </c>
      <c r="L3442" s="21"/>
      <c r="M3442" s="21" t="b">
        <v>1</v>
      </c>
      <c r="N3442" s="50"/>
    </row>
    <row r="3443" spans="1:14" x14ac:dyDescent="0.25">
      <c r="A3443" s="21" t="s">
        <v>119</v>
      </c>
      <c r="B3443" s="21"/>
      <c r="C3443" s="21" t="s">
        <v>119</v>
      </c>
      <c r="D3443" s="21">
        <f t="shared" si="110"/>
        <v>7003</v>
      </c>
      <c r="E3443" s="132" t="str">
        <f>INDEX([1]道具配置表!$D:$D,MATCH(D3443,[1]道具配置表!$A:$A,0))</f>
        <v>1银币（立即使用，不进背包）</v>
      </c>
      <c r="F3443" s="21">
        <f t="shared" si="115"/>
        <v>100</v>
      </c>
      <c r="G3443" s="21"/>
      <c r="H3443" s="21"/>
      <c r="I3443" s="21"/>
      <c r="J3443" s="21"/>
      <c r="K3443" s="21">
        <v>1</v>
      </c>
      <c r="L3443" s="21"/>
      <c r="M3443" s="21" t="b">
        <v>1</v>
      </c>
      <c r="N3443" s="50"/>
    </row>
    <row r="3444" spans="1:14" x14ac:dyDescent="0.25">
      <c r="A3444" s="21" t="s">
        <v>119</v>
      </c>
      <c r="B3444" s="21"/>
      <c r="C3444" s="21" t="s">
        <v>119</v>
      </c>
      <c r="D3444" s="21">
        <f t="shared" si="110"/>
        <v>6161</v>
      </c>
      <c r="E3444" s="132" t="str">
        <f>INDEX([1]道具配置表!$D:$D,MATCH(D3444,[1]道具配置表!$A:$A,0))</f>
        <v>5分钟训练加速</v>
      </c>
      <c r="F3444" s="21">
        <f t="shared" ref="F3444" si="116">F3441+4</f>
        <v>44</v>
      </c>
      <c r="G3444" s="21"/>
      <c r="H3444" s="21"/>
      <c r="I3444" s="21"/>
      <c r="J3444" s="21"/>
      <c r="K3444" s="21">
        <v>1</v>
      </c>
      <c r="L3444" s="21"/>
      <c r="M3444" s="21" t="b">
        <v>1</v>
      </c>
      <c r="N3444" s="50"/>
    </row>
    <row r="3445" spans="1:14" x14ac:dyDescent="0.25">
      <c r="A3445" s="21">
        <f>A3442+1</f>
        <v>6624315</v>
      </c>
      <c r="B3445" s="21" t="s">
        <v>226</v>
      </c>
      <c r="C3445" s="21" t="s">
        <v>119</v>
      </c>
      <c r="D3445" s="21">
        <f>D3442</f>
        <v>2007</v>
      </c>
      <c r="E3445" s="132" t="str">
        <f>INDEX([1]道具配置表!$D:$D,MATCH(D3445,[1]道具配置表!$A:$A,0))</f>
        <v>大奖池招募券</v>
      </c>
      <c r="F3445" s="21">
        <f t="shared" ref="F3445:F3446" si="117">F3442</f>
        <v>1</v>
      </c>
      <c r="G3445" s="21"/>
      <c r="H3445" s="21"/>
      <c r="I3445" s="21"/>
      <c r="J3445" s="21"/>
      <c r="K3445" s="21">
        <v>1</v>
      </c>
      <c r="L3445" s="21"/>
      <c r="M3445" s="21" t="b">
        <v>1</v>
      </c>
      <c r="N3445" s="50"/>
    </row>
    <row r="3446" spans="1:14" x14ac:dyDescent="0.25">
      <c r="A3446" s="21" t="s">
        <v>119</v>
      </c>
      <c r="B3446" s="21"/>
      <c r="C3446" s="21" t="s">
        <v>119</v>
      </c>
      <c r="D3446" s="21">
        <f t="shared" si="110"/>
        <v>7003</v>
      </c>
      <c r="E3446" s="132" t="str">
        <f>INDEX([1]道具配置表!$D:$D,MATCH(D3446,[1]道具配置表!$A:$A,0))</f>
        <v>1银币（立即使用，不进背包）</v>
      </c>
      <c r="F3446" s="21">
        <f t="shared" si="117"/>
        <v>100</v>
      </c>
      <c r="G3446" s="21"/>
      <c r="H3446" s="21"/>
      <c r="I3446" s="21"/>
      <c r="J3446" s="21"/>
      <c r="K3446" s="21">
        <v>1</v>
      </c>
      <c r="L3446" s="21"/>
      <c r="M3446" s="21" t="b">
        <v>1</v>
      </c>
      <c r="N3446" s="50"/>
    </row>
    <row r="3447" spans="1:14" x14ac:dyDescent="0.25">
      <c r="A3447" s="21" t="s">
        <v>119</v>
      </c>
      <c r="B3447" s="21"/>
      <c r="C3447" s="21" t="s">
        <v>119</v>
      </c>
      <c r="D3447" s="21">
        <f t="shared" si="110"/>
        <v>6161</v>
      </c>
      <c r="E3447" s="132" t="str">
        <f>INDEX([1]道具配置表!$D:$D,MATCH(D3447,[1]道具配置表!$A:$A,0))</f>
        <v>5分钟训练加速</v>
      </c>
      <c r="F3447" s="21">
        <f t="shared" ref="F3447" si="118">F3444+4</f>
        <v>48</v>
      </c>
      <c r="G3447" s="21"/>
      <c r="H3447" s="21"/>
      <c r="I3447" s="21"/>
      <c r="J3447" s="21"/>
      <c r="K3447" s="21">
        <v>1</v>
      </c>
      <c r="L3447" s="21"/>
      <c r="M3447" s="21" t="b">
        <v>1</v>
      </c>
      <c r="N3447" s="50"/>
    </row>
    <row r="3448" spans="1:14" x14ac:dyDescent="0.25">
      <c r="A3448" s="21">
        <f t="shared" ref="A3448" si="119">A3445+1</f>
        <v>6624316</v>
      </c>
      <c r="B3448" s="21" t="s">
        <v>227</v>
      </c>
      <c r="C3448" s="21" t="s">
        <v>119</v>
      </c>
      <c r="D3448" s="21">
        <f>D3445</f>
        <v>2007</v>
      </c>
      <c r="E3448" s="132" t="str">
        <f>INDEX([1]道具配置表!$D:$D,MATCH(D3448,[1]道具配置表!$A:$A,0))</f>
        <v>大奖池招募券</v>
      </c>
      <c r="F3448" s="21">
        <f t="shared" ref="F3448:F3449" si="120">F3445</f>
        <v>1</v>
      </c>
      <c r="G3448" s="21"/>
      <c r="H3448" s="21"/>
      <c r="I3448" s="21"/>
      <c r="J3448" s="21"/>
      <c r="K3448" s="21">
        <v>1</v>
      </c>
      <c r="L3448" s="21"/>
      <c r="M3448" s="21" t="b">
        <v>1</v>
      </c>
      <c r="N3448" s="50"/>
    </row>
    <row r="3449" spans="1:14" x14ac:dyDescent="0.25">
      <c r="A3449" s="21" t="s">
        <v>119</v>
      </c>
      <c r="B3449" s="21"/>
      <c r="C3449" s="21" t="s">
        <v>119</v>
      </c>
      <c r="D3449" s="21">
        <f t="shared" si="110"/>
        <v>7003</v>
      </c>
      <c r="E3449" s="132" t="str">
        <f>INDEX([1]道具配置表!$D:$D,MATCH(D3449,[1]道具配置表!$A:$A,0))</f>
        <v>1银币（立即使用，不进背包）</v>
      </c>
      <c r="F3449" s="21">
        <f t="shared" si="120"/>
        <v>100</v>
      </c>
      <c r="G3449" s="21"/>
      <c r="H3449" s="21"/>
      <c r="I3449" s="21"/>
      <c r="J3449" s="21"/>
      <c r="K3449" s="21">
        <v>1</v>
      </c>
      <c r="L3449" s="21"/>
      <c r="M3449" s="21" t="b">
        <v>1</v>
      </c>
      <c r="N3449" s="50"/>
    </row>
    <row r="3450" spans="1:14" x14ac:dyDescent="0.25">
      <c r="A3450" s="21" t="s">
        <v>119</v>
      </c>
      <c r="B3450" s="21"/>
      <c r="C3450" s="21" t="s">
        <v>119</v>
      </c>
      <c r="D3450" s="21">
        <f t="shared" si="110"/>
        <v>6161</v>
      </c>
      <c r="E3450" s="132" t="str">
        <f>INDEX([1]道具配置表!$D:$D,MATCH(D3450,[1]道具配置表!$A:$A,0))</f>
        <v>5分钟训练加速</v>
      </c>
      <c r="F3450" s="21">
        <f t="shared" ref="F3450" si="121">F3447+4</f>
        <v>52</v>
      </c>
      <c r="G3450" s="21"/>
      <c r="H3450" s="21"/>
      <c r="I3450" s="21"/>
      <c r="J3450" s="21"/>
      <c r="K3450" s="21">
        <v>1</v>
      </c>
      <c r="L3450" s="21"/>
      <c r="M3450" s="21" t="b">
        <v>1</v>
      </c>
      <c r="N3450" s="50"/>
    </row>
    <row r="3451" spans="1:14" x14ac:dyDescent="0.25">
      <c r="A3451" s="21">
        <f t="shared" ref="A3451" si="122">A3448+1</f>
        <v>6624317</v>
      </c>
      <c r="B3451" s="21" t="s">
        <v>228</v>
      </c>
      <c r="C3451" s="21" t="s">
        <v>119</v>
      </c>
      <c r="D3451" s="21">
        <f t="shared" ref="D3451:D3456" si="123">D3445</f>
        <v>2007</v>
      </c>
      <c r="E3451" s="132" t="str">
        <f>INDEX([1]道具配置表!$D:$D,MATCH(D3451,[1]道具配置表!$A:$A,0))</f>
        <v>大奖池招募券</v>
      </c>
      <c r="F3451" s="21">
        <f t="shared" ref="F3451:F3452" si="124">F3448</f>
        <v>1</v>
      </c>
      <c r="G3451" s="21"/>
      <c r="H3451" s="21"/>
      <c r="I3451" s="21"/>
      <c r="J3451" s="21"/>
      <c r="K3451" s="21">
        <v>1</v>
      </c>
      <c r="L3451" s="21"/>
      <c r="M3451" s="21" t="b">
        <v>1</v>
      </c>
      <c r="N3451" s="50"/>
    </row>
    <row r="3452" spans="1:14" x14ac:dyDescent="0.25">
      <c r="A3452" s="21" t="s">
        <v>119</v>
      </c>
      <c r="B3452" s="21"/>
      <c r="C3452" s="21" t="s">
        <v>119</v>
      </c>
      <c r="D3452" s="21">
        <f t="shared" si="123"/>
        <v>7003</v>
      </c>
      <c r="E3452" s="132" t="str">
        <f>INDEX([1]道具配置表!$D:$D,MATCH(D3452,[1]道具配置表!$A:$A,0))</f>
        <v>1银币（立即使用，不进背包）</v>
      </c>
      <c r="F3452" s="21">
        <f t="shared" si="124"/>
        <v>100</v>
      </c>
      <c r="G3452" s="21"/>
      <c r="H3452" s="21"/>
      <c r="I3452" s="21"/>
      <c r="J3452" s="21"/>
      <c r="K3452" s="21">
        <v>1</v>
      </c>
      <c r="L3452" s="21"/>
      <c r="M3452" s="21" t="b">
        <v>1</v>
      </c>
      <c r="N3452" s="50"/>
    </row>
    <row r="3453" spans="1:14" x14ac:dyDescent="0.25">
      <c r="A3453" s="21" t="s">
        <v>119</v>
      </c>
      <c r="B3453" s="21"/>
      <c r="C3453" s="21" t="s">
        <v>119</v>
      </c>
      <c r="D3453" s="21">
        <f t="shared" si="123"/>
        <v>6161</v>
      </c>
      <c r="E3453" s="132" t="str">
        <f>INDEX([1]道具配置表!$D:$D,MATCH(D3453,[1]道具配置表!$A:$A,0))</f>
        <v>5分钟训练加速</v>
      </c>
      <c r="F3453" s="21">
        <f t="shared" ref="F3453" si="125">F3450+4</f>
        <v>56</v>
      </c>
      <c r="G3453" s="21"/>
      <c r="H3453" s="21"/>
      <c r="I3453" s="21"/>
      <c r="J3453" s="21"/>
      <c r="K3453" s="21">
        <v>1</v>
      </c>
      <c r="L3453" s="21"/>
      <c r="M3453" s="21" t="b">
        <v>1</v>
      </c>
      <c r="N3453" s="50"/>
    </row>
    <row r="3454" spans="1:14" x14ac:dyDescent="0.25">
      <c r="A3454" s="21">
        <f t="shared" ref="A3454" si="126">A3451+1</f>
        <v>6624318</v>
      </c>
      <c r="B3454" s="21" t="s">
        <v>229</v>
      </c>
      <c r="C3454" s="21" t="s">
        <v>119</v>
      </c>
      <c r="D3454" s="21">
        <f t="shared" si="123"/>
        <v>2007</v>
      </c>
      <c r="E3454" s="132" t="str">
        <f>INDEX([1]道具配置表!$D:$D,MATCH(D3454,[1]道具配置表!$A:$A,0))</f>
        <v>大奖池招募券</v>
      </c>
      <c r="F3454" s="21">
        <f t="shared" ref="F3454:F3455" si="127">F3451</f>
        <v>1</v>
      </c>
      <c r="G3454" s="21"/>
      <c r="H3454" s="21"/>
      <c r="I3454" s="21"/>
      <c r="J3454" s="21"/>
      <c r="K3454" s="21">
        <v>1</v>
      </c>
      <c r="L3454" s="21"/>
      <c r="M3454" s="21" t="b">
        <v>1</v>
      </c>
      <c r="N3454" s="50"/>
    </row>
    <row r="3455" spans="1:14" x14ac:dyDescent="0.25">
      <c r="A3455" s="21" t="s">
        <v>119</v>
      </c>
      <c r="B3455" s="21"/>
      <c r="C3455" s="21" t="s">
        <v>119</v>
      </c>
      <c r="D3455" s="21">
        <f t="shared" si="123"/>
        <v>7003</v>
      </c>
      <c r="E3455" s="132" t="str">
        <f>INDEX([1]道具配置表!$D:$D,MATCH(D3455,[1]道具配置表!$A:$A,0))</f>
        <v>1银币（立即使用，不进背包）</v>
      </c>
      <c r="F3455" s="21">
        <f t="shared" si="127"/>
        <v>100</v>
      </c>
      <c r="G3455" s="21"/>
      <c r="H3455" s="21"/>
      <c r="I3455" s="21"/>
      <c r="J3455" s="21"/>
      <c r="K3455" s="21">
        <v>1</v>
      </c>
      <c r="L3455" s="21"/>
      <c r="M3455" s="21" t="b">
        <v>1</v>
      </c>
      <c r="N3455" s="50"/>
    </row>
    <row r="3456" spans="1:14" x14ac:dyDescent="0.25">
      <c r="A3456" s="21" t="s">
        <v>119</v>
      </c>
      <c r="B3456" s="21"/>
      <c r="C3456" s="21" t="s">
        <v>119</v>
      </c>
      <c r="D3456" s="21">
        <f t="shared" si="123"/>
        <v>6161</v>
      </c>
      <c r="E3456" s="132" t="str">
        <f>INDEX([1]道具配置表!$D:$D,MATCH(D3456,[1]道具配置表!$A:$A,0))</f>
        <v>5分钟训练加速</v>
      </c>
      <c r="F3456" s="21">
        <f t="shared" ref="F3456" si="128">F3453+4</f>
        <v>60</v>
      </c>
      <c r="G3456" s="21"/>
      <c r="H3456" s="21"/>
      <c r="I3456" s="21"/>
      <c r="J3456" s="21"/>
      <c r="K3456" s="21">
        <v>1</v>
      </c>
      <c r="L3456" s="21"/>
      <c r="M3456" s="21" t="b">
        <v>1</v>
      </c>
      <c r="N3456" s="50"/>
    </row>
    <row r="3457" spans="1:13" x14ac:dyDescent="0.25">
      <c r="A3457" s="17">
        <v>6624401</v>
      </c>
      <c r="B3457" s="17" t="s">
        <v>230</v>
      </c>
      <c r="C3457" s="17" t="s">
        <v>119</v>
      </c>
      <c r="D3457" s="17">
        <v>2007</v>
      </c>
      <c r="E3457" s="132" t="str">
        <f>INDEX([1]道具配置表!$D:$D,MATCH(D3457,[1]道具配置表!$A:$A,0))</f>
        <v>大奖池招募券</v>
      </c>
      <c r="F3457" s="17">
        <v>10</v>
      </c>
      <c r="G3457" s="17"/>
      <c r="H3457" s="17"/>
      <c r="I3457" s="17"/>
      <c r="J3457" s="17"/>
      <c r="K3457" s="17">
        <v>1</v>
      </c>
      <c r="L3457" s="17"/>
      <c r="M3457" s="17" t="b">
        <v>1</v>
      </c>
    </row>
    <row r="3458" spans="1:13" x14ac:dyDescent="0.25">
      <c r="A3458" s="52"/>
      <c r="B3458" s="52"/>
      <c r="C3458" s="52"/>
      <c r="D3458" s="52">
        <v>6109</v>
      </c>
      <c r="E3458" s="132" t="str">
        <f>INDEX([1]道具配置表!$D:$D,MATCH(D3458,[1]道具配置表!$A:$A,0))</f>
        <v>12小时通用加速</v>
      </c>
      <c r="F3458" s="52">
        <v>2</v>
      </c>
      <c r="G3458" s="52"/>
      <c r="H3458" s="52"/>
      <c r="I3458" s="52"/>
      <c r="J3458" s="52"/>
      <c r="K3458" s="52">
        <v>1</v>
      </c>
      <c r="L3458" s="52"/>
      <c r="M3458" s="64" t="b">
        <v>1</v>
      </c>
    </row>
    <row r="3459" spans="1:13" x14ac:dyDescent="0.25">
      <c r="A3459" s="17">
        <v>6624402</v>
      </c>
      <c r="B3459" s="17" t="s">
        <v>231</v>
      </c>
      <c r="C3459" s="17" t="s">
        <v>119</v>
      </c>
      <c r="D3459" s="17">
        <v>2007</v>
      </c>
      <c r="E3459" s="132" t="str">
        <f>INDEX([1]道具配置表!$D:$D,MATCH(D3459,[1]道具配置表!$A:$A,0))</f>
        <v>大奖池招募券</v>
      </c>
      <c r="F3459" s="17">
        <v>10</v>
      </c>
      <c r="G3459" s="17"/>
      <c r="H3459" s="17"/>
      <c r="I3459" s="17"/>
      <c r="J3459" s="17"/>
      <c r="K3459" s="17">
        <v>1</v>
      </c>
      <c r="L3459" s="17"/>
      <c r="M3459" s="17" t="b">
        <v>1</v>
      </c>
    </row>
    <row r="3460" spans="1:13" x14ac:dyDescent="0.25">
      <c r="A3460" s="52"/>
      <c r="B3460" s="52"/>
      <c r="C3460" s="52"/>
      <c r="D3460" s="52">
        <v>6110</v>
      </c>
      <c r="E3460" s="132" t="str">
        <f>INDEX([1]道具配置表!$D:$D,MATCH(D3460,[1]道具配置表!$A:$A,0))</f>
        <v>15小时通用加速</v>
      </c>
      <c r="F3460" s="52">
        <v>2</v>
      </c>
      <c r="G3460" s="52"/>
      <c r="H3460" s="52"/>
      <c r="I3460" s="52"/>
      <c r="J3460" s="52"/>
      <c r="K3460" s="52">
        <v>1</v>
      </c>
      <c r="L3460" s="52"/>
      <c r="M3460" s="64" t="b">
        <v>1</v>
      </c>
    </row>
    <row r="3461" spans="1:13" x14ac:dyDescent="0.25">
      <c r="A3461" s="17">
        <v>6624403</v>
      </c>
      <c r="B3461" s="17" t="s">
        <v>232</v>
      </c>
      <c r="C3461" s="17" t="s">
        <v>119</v>
      </c>
      <c r="D3461" s="17">
        <v>7003</v>
      </c>
      <c r="E3461" s="132" t="str">
        <f>INDEX([1]道具配置表!$D:$D,MATCH(D3461,[1]道具配置表!$A:$A,0))</f>
        <v>1银币（立即使用，不进背包）</v>
      </c>
      <c r="F3461" s="52">
        <v>5000</v>
      </c>
      <c r="G3461" s="17"/>
      <c r="H3461" s="17"/>
      <c r="I3461" s="17"/>
      <c r="J3461" s="17"/>
      <c r="K3461" s="17">
        <v>1</v>
      </c>
      <c r="L3461" s="17"/>
      <c r="M3461" s="17" t="b">
        <v>1</v>
      </c>
    </row>
    <row r="3462" spans="1:13" x14ac:dyDescent="0.25">
      <c r="A3462" s="41">
        <v>6625001</v>
      </c>
      <c r="B3462" s="13" t="s">
        <v>634</v>
      </c>
      <c r="D3462" s="13">
        <v>6125</v>
      </c>
      <c r="E3462" s="132" t="str">
        <f>INDEX([1]道具配置表!$D:$D,MATCH(D3462,[1]道具配置表!$A:$A,0))</f>
        <v>60分钟建造加速</v>
      </c>
      <c r="F3462" s="13">
        <v>1</v>
      </c>
      <c r="K3462" s="13">
        <v>1</v>
      </c>
      <c r="M3462" s="41" t="b">
        <v>1</v>
      </c>
    </row>
    <row r="3463" spans="1:13" x14ac:dyDescent="0.25">
      <c r="D3463" s="13">
        <v>222</v>
      </c>
      <c r="E3463" s="132" t="str">
        <f>INDEX([1]道具配置表!$D:$D,MATCH(D3463,[1]道具配置表!$A:$A,0))</f>
        <v>1千食物</v>
      </c>
      <c r="F3463" s="13">
        <v>3</v>
      </c>
      <c r="K3463" s="13">
        <v>1</v>
      </c>
      <c r="M3463" s="41" t="b">
        <v>1</v>
      </c>
    </row>
    <row r="3464" spans="1:13" x14ac:dyDescent="0.25">
      <c r="D3464" s="13">
        <v>221</v>
      </c>
      <c r="E3464" s="132" t="str">
        <f>INDEX([1]道具配置表!$D:$D,MATCH(D3464,[1]道具配置表!$A:$A,0))</f>
        <v>1千木材</v>
      </c>
      <c r="F3464" s="13">
        <v>3</v>
      </c>
      <c r="K3464" s="13">
        <v>1</v>
      </c>
      <c r="M3464" s="41" t="b">
        <v>1</v>
      </c>
    </row>
    <row r="3465" spans="1:13" x14ac:dyDescent="0.25">
      <c r="D3465" s="13">
        <v>223</v>
      </c>
      <c r="E3465" s="132" t="str">
        <f>INDEX([1]道具配置表!$D:$D,MATCH(D3465,[1]道具配置表!$A:$A,0))</f>
        <v>1千石头</v>
      </c>
      <c r="F3465" s="13">
        <v>3</v>
      </c>
      <c r="K3465" s="13">
        <v>1</v>
      </c>
      <c r="M3465" s="41" t="b">
        <v>1</v>
      </c>
    </row>
    <row r="3466" spans="1:13" x14ac:dyDescent="0.25">
      <c r="D3466" s="13">
        <v>224</v>
      </c>
      <c r="E3466" s="132" t="str">
        <f>INDEX([1]道具配置表!$D:$D,MATCH(D3466,[1]道具配置表!$A:$A,0))</f>
        <v>1千黄金</v>
      </c>
      <c r="F3466" s="13">
        <v>3</v>
      </c>
      <c r="K3466" s="13">
        <v>1</v>
      </c>
      <c r="M3466" s="41" t="b">
        <v>1</v>
      </c>
    </row>
    <row r="3467" spans="1:13" x14ac:dyDescent="0.25">
      <c r="A3467" s="41">
        <v>6625002</v>
      </c>
      <c r="B3467" s="13" t="s">
        <v>635</v>
      </c>
      <c r="D3467" s="13">
        <v>2007</v>
      </c>
      <c r="E3467" s="132" t="str">
        <f>INDEX([1]道具配置表!$D:$D,MATCH(D3467,[1]道具配置表!$A:$A,0))</f>
        <v>大奖池招募券</v>
      </c>
      <c r="F3467" s="13">
        <v>1</v>
      </c>
      <c r="K3467" s="13">
        <v>1</v>
      </c>
      <c r="M3467" s="41" t="b">
        <v>1</v>
      </c>
    </row>
    <row r="3468" spans="1:13" x14ac:dyDescent="0.25">
      <c r="D3468" s="13">
        <v>222</v>
      </c>
      <c r="E3468" s="132" t="str">
        <f>INDEX([1]道具配置表!$D:$D,MATCH(D3468,[1]道具配置表!$A:$A,0))</f>
        <v>1千食物</v>
      </c>
      <c r="F3468" s="13">
        <v>3</v>
      </c>
      <c r="K3468" s="13">
        <v>1</v>
      </c>
      <c r="M3468" s="41" t="b">
        <v>1</v>
      </c>
    </row>
    <row r="3469" spans="1:13" x14ac:dyDescent="0.25">
      <c r="D3469" s="13">
        <v>221</v>
      </c>
      <c r="E3469" s="132" t="str">
        <f>INDEX([1]道具配置表!$D:$D,MATCH(D3469,[1]道具配置表!$A:$A,0))</f>
        <v>1千木材</v>
      </c>
      <c r="F3469" s="13">
        <v>3</v>
      </c>
      <c r="K3469" s="13">
        <v>1</v>
      </c>
      <c r="M3469" s="41" t="b">
        <v>1</v>
      </c>
    </row>
    <row r="3470" spans="1:13" x14ac:dyDescent="0.25">
      <c r="D3470" s="13">
        <v>223</v>
      </c>
      <c r="E3470" s="132" t="str">
        <f>INDEX([1]道具配置表!$D:$D,MATCH(D3470,[1]道具配置表!$A:$A,0))</f>
        <v>1千石头</v>
      </c>
      <c r="F3470" s="13">
        <v>3</v>
      </c>
      <c r="K3470" s="13">
        <v>1</v>
      </c>
      <c r="M3470" s="41" t="b">
        <v>1</v>
      </c>
    </row>
    <row r="3471" spans="1:13" x14ac:dyDescent="0.25">
      <c r="D3471" s="13">
        <v>224</v>
      </c>
      <c r="E3471" s="132" t="str">
        <f>INDEX([1]道具配置表!$D:$D,MATCH(D3471,[1]道具配置表!$A:$A,0))</f>
        <v>1千黄金</v>
      </c>
      <c r="F3471" s="13">
        <v>3</v>
      </c>
      <c r="K3471" s="13">
        <v>1</v>
      </c>
      <c r="M3471" s="41" t="b">
        <v>1</v>
      </c>
    </row>
    <row r="3472" spans="1:13" x14ac:dyDescent="0.25">
      <c r="A3472" s="42">
        <v>6625003</v>
      </c>
      <c r="B3472" s="13" t="s">
        <v>636</v>
      </c>
      <c r="D3472" s="13">
        <v>6165</v>
      </c>
      <c r="E3472" s="132" t="str">
        <f>INDEX([1]道具配置表!$D:$D,MATCH(D3472,[1]道具配置表!$A:$A,0))</f>
        <v>60分钟训练加速</v>
      </c>
      <c r="F3472" s="13">
        <v>1</v>
      </c>
      <c r="K3472" s="13">
        <v>1</v>
      </c>
      <c r="M3472" s="42" t="b">
        <v>1</v>
      </c>
    </row>
    <row r="3473" spans="1:13" x14ac:dyDescent="0.25">
      <c r="D3473" s="13">
        <v>222</v>
      </c>
      <c r="E3473" s="132" t="str">
        <f>INDEX([1]道具配置表!$D:$D,MATCH(D3473,[1]道具配置表!$A:$A,0))</f>
        <v>1千食物</v>
      </c>
      <c r="F3473" s="13">
        <v>3</v>
      </c>
      <c r="K3473" s="13">
        <v>1</v>
      </c>
      <c r="M3473" s="42" t="b">
        <v>1</v>
      </c>
    </row>
    <row r="3474" spans="1:13" x14ac:dyDescent="0.25">
      <c r="D3474" s="13">
        <v>221</v>
      </c>
      <c r="E3474" s="132" t="str">
        <f>INDEX([1]道具配置表!$D:$D,MATCH(D3474,[1]道具配置表!$A:$A,0))</f>
        <v>1千木材</v>
      </c>
      <c r="F3474" s="13">
        <v>3</v>
      </c>
      <c r="K3474" s="13">
        <v>1</v>
      </c>
      <c r="M3474" s="42" t="b">
        <v>1</v>
      </c>
    </row>
    <row r="3475" spans="1:13" x14ac:dyDescent="0.25">
      <c r="D3475" s="13">
        <v>223</v>
      </c>
      <c r="E3475" s="132" t="str">
        <f>INDEX([1]道具配置表!$D:$D,MATCH(D3475,[1]道具配置表!$A:$A,0))</f>
        <v>1千石头</v>
      </c>
      <c r="F3475" s="13">
        <v>3</v>
      </c>
      <c r="K3475" s="13">
        <v>1</v>
      </c>
      <c r="M3475" s="42" t="b">
        <v>1</v>
      </c>
    </row>
    <row r="3476" spans="1:13" x14ac:dyDescent="0.25">
      <c r="D3476" s="13">
        <v>224</v>
      </c>
      <c r="E3476" s="132" t="str">
        <f>INDEX([1]道具配置表!$D:$D,MATCH(D3476,[1]道具配置表!$A:$A,0))</f>
        <v>1千黄金</v>
      </c>
      <c r="F3476" s="13">
        <v>3</v>
      </c>
      <c r="K3476" s="13">
        <v>1</v>
      </c>
      <c r="M3476" s="42" t="b">
        <v>1</v>
      </c>
    </row>
    <row r="3477" spans="1:13" x14ac:dyDescent="0.25">
      <c r="A3477" s="93">
        <v>6625004</v>
      </c>
      <c r="B3477" s="13" t="s">
        <v>1427</v>
      </c>
      <c r="D3477" s="13">
        <v>7003</v>
      </c>
      <c r="E3477" s="132" t="str">
        <f>INDEX([1]道具配置表!$D:$D,MATCH(D3477,[1]道具配置表!$A:$A,0))</f>
        <v>1银币（立即使用，不进背包）</v>
      </c>
      <c r="F3477" s="13">
        <v>200</v>
      </c>
      <c r="K3477" s="13">
        <v>1</v>
      </c>
      <c r="M3477" s="93" t="b">
        <v>1</v>
      </c>
    </row>
    <row r="3478" spans="1:13" x14ac:dyDescent="0.25">
      <c r="D3478" s="13">
        <v>222</v>
      </c>
      <c r="E3478" s="132" t="str">
        <f>INDEX([1]道具配置表!$D:$D,MATCH(D3478,[1]道具配置表!$A:$A,0))</f>
        <v>1千食物</v>
      </c>
      <c r="F3478" s="13">
        <v>1</v>
      </c>
      <c r="K3478" s="13">
        <v>1</v>
      </c>
      <c r="M3478" s="93" t="b">
        <v>1</v>
      </c>
    </row>
    <row r="3479" spans="1:13" x14ac:dyDescent="0.25">
      <c r="D3479" s="13">
        <v>221</v>
      </c>
      <c r="E3479" s="132" t="str">
        <f>INDEX([1]道具配置表!$D:$D,MATCH(D3479,[1]道具配置表!$A:$A,0))</f>
        <v>1千木材</v>
      </c>
      <c r="F3479" s="13">
        <v>1</v>
      </c>
      <c r="K3479" s="13">
        <v>1</v>
      </c>
      <c r="M3479" s="93" t="b">
        <v>1</v>
      </c>
    </row>
    <row r="3480" spans="1:13" x14ac:dyDescent="0.25">
      <c r="D3480" s="13">
        <v>223</v>
      </c>
      <c r="E3480" s="132" t="str">
        <f>INDEX([1]道具配置表!$D:$D,MATCH(D3480,[1]道具配置表!$A:$A,0))</f>
        <v>1千石头</v>
      </c>
      <c r="F3480" s="13">
        <v>1</v>
      </c>
      <c r="K3480" s="13">
        <v>1</v>
      </c>
      <c r="M3480" s="93" t="b">
        <v>1</v>
      </c>
    </row>
    <row r="3481" spans="1:13" x14ac:dyDescent="0.25">
      <c r="D3481" s="13">
        <v>224</v>
      </c>
      <c r="E3481" s="132" t="str">
        <f>INDEX([1]道具配置表!$D:$D,MATCH(D3481,[1]道具配置表!$A:$A,0))</f>
        <v>1千黄金</v>
      </c>
      <c r="F3481" s="13">
        <v>1</v>
      </c>
      <c r="K3481" s="13">
        <v>1</v>
      </c>
      <c r="M3481" s="93" t="b">
        <v>1</v>
      </c>
    </row>
    <row r="3482" spans="1:13" x14ac:dyDescent="0.25">
      <c r="A3482" s="46">
        <v>6626001</v>
      </c>
      <c r="B3482" s="13" t="s">
        <v>637</v>
      </c>
      <c r="D3482" s="46">
        <v>7003</v>
      </c>
      <c r="E3482" s="132" t="str">
        <f>INDEX([1]道具配置表!$D:$D,MATCH(D3482,[1]道具配置表!$A:$A,0))</f>
        <v>1银币（立即使用，不进背包）</v>
      </c>
      <c r="F3482" s="13">
        <v>100</v>
      </c>
      <c r="K3482" s="13">
        <v>1</v>
      </c>
      <c r="M3482" s="46" t="b">
        <v>1</v>
      </c>
    </row>
    <row r="3483" spans="1:13" x14ac:dyDescent="0.25">
      <c r="A3483" s="47">
        <v>6627001</v>
      </c>
      <c r="B3483" s="13" t="s">
        <v>638</v>
      </c>
      <c r="D3483" s="13">
        <v>6128</v>
      </c>
      <c r="E3483" s="132" t="str">
        <f>INDEX([1]道具配置表!$D:$D,MATCH(D3483,[1]道具配置表!$A:$A,0))</f>
        <v>8小时建造加速</v>
      </c>
      <c r="F3483" s="13">
        <v>3</v>
      </c>
      <c r="K3483" s="13">
        <v>1</v>
      </c>
      <c r="M3483" s="47" t="b">
        <v>1</v>
      </c>
    </row>
    <row r="3484" spans="1:13" x14ac:dyDescent="0.25">
      <c r="D3484" s="13">
        <v>6148</v>
      </c>
      <c r="E3484" s="132" t="str">
        <f>INDEX([1]道具配置表!$D:$D,MATCH(D3484,[1]道具配置表!$A:$A,0))</f>
        <v>8小时科技加速</v>
      </c>
      <c r="F3484" s="13">
        <v>3</v>
      </c>
      <c r="K3484" s="13">
        <v>1</v>
      </c>
      <c r="M3484" s="47" t="b">
        <v>1</v>
      </c>
    </row>
    <row r="3485" spans="1:13" x14ac:dyDescent="0.25">
      <c r="D3485" s="13">
        <v>6168</v>
      </c>
      <c r="E3485" s="132" t="str">
        <f>INDEX([1]道具配置表!$D:$D,MATCH(D3485,[1]道具配置表!$A:$A,0))</f>
        <v>8小时训练加速</v>
      </c>
      <c r="F3485" s="13">
        <v>3</v>
      </c>
      <c r="K3485" s="13">
        <v>1</v>
      </c>
      <c r="M3485" s="47" t="b">
        <v>1</v>
      </c>
    </row>
    <row r="3486" spans="1:13" x14ac:dyDescent="0.25">
      <c r="D3486" s="13">
        <v>507</v>
      </c>
      <c r="E3486" s="132" t="str">
        <f>INDEX([1]道具配置表!$D:$D,MATCH(D3486,[1]道具配置表!$A:$A,0))</f>
        <v>100万资源自选宝箱</v>
      </c>
      <c r="F3486" s="13">
        <v>1</v>
      </c>
      <c r="K3486" s="13">
        <v>1</v>
      </c>
      <c r="M3486" s="47" t="b">
        <v>1</v>
      </c>
    </row>
    <row r="3487" spans="1:13" x14ac:dyDescent="0.25">
      <c r="A3487" s="47">
        <v>6627002</v>
      </c>
      <c r="B3487" s="13" t="s">
        <v>639</v>
      </c>
      <c r="D3487" s="13">
        <v>6128</v>
      </c>
      <c r="E3487" s="132" t="str">
        <f>INDEX([1]道具配置表!$D:$D,MATCH(D3487,[1]道具配置表!$A:$A,0))</f>
        <v>8小时建造加速</v>
      </c>
      <c r="F3487" s="13">
        <v>2</v>
      </c>
      <c r="K3487" s="13">
        <v>1</v>
      </c>
      <c r="M3487" s="47" t="b">
        <v>1</v>
      </c>
    </row>
    <row r="3488" spans="1:13" x14ac:dyDescent="0.25">
      <c r="D3488" s="13">
        <v>6148</v>
      </c>
      <c r="E3488" s="132" t="str">
        <f>INDEX([1]道具配置表!$D:$D,MATCH(D3488,[1]道具配置表!$A:$A,0))</f>
        <v>8小时科技加速</v>
      </c>
      <c r="F3488" s="13">
        <v>2</v>
      </c>
      <c r="K3488" s="13">
        <v>1</v>
      </c>
      <c r="M3488" s="47" t="b">
        <v>1</v>
      </c>
    </row>
    <row r="3489" spans="1:14" x14ac:dyDescent="0.25">
      <c r="D3489" s="13">
        <v>6168</v>
      </c>
      <c r="E3489" s="132" t="str">
        <f>INDEX([1]道具配置表!$D:$D,MATCH(D3489,[1]道具配置表!$A:$A,0))</f>
        <v>8小时训练加速</v>
      </c>
      <c r="F3489" s="13">
        <v>2</v>
      </c>
      <c r="K3489" s="13">
        <v>1</v>
      </c>
      <c r="M3489" s="47" t="b">
        <v>1</v>
      </c>
    </row>
    <row r="3490" spans="1:14" x14ac:dyDescent="0.25">
      <c r="D3490" s="13">
        <v>506</v>
      </c>
      <c r="E3490" s="132" t="str">
        <f>INDEX([1]道具配置表!$D:$D,MATCH(D3490,[1]道具配置表!$A:$A,0))</f>
        <v>50万资源自选宝箱</v>
      </c>
      <c r="F3490" s="13">
        <v>1</v>
      </c>
      <c r="K3490" s="13">
        <v>1</v>
      </c>
      <c r="M3490" s="47" t="b">
        <v>1</v>
      </c>
    </row>
    <row r="3491" spans="1:14" x14ac:dyDescent="0.25">
      <c r="A3491" s="47">
        <v>6627003</v>
      </c>
      <c r="B3491" s="13" t="s">
        <v>640</v>
      </c>
      <c r="D3491" s="13">
        <v>6128</v>
      </c>
      <c r="E3491" s="132" t="str">
        <f>INDEX([1]道具配置表!$D:$D,MATCH(D3491,[1]道具配置表!$A:$A,0))</f>
        <v>8小时建造加速</v>
      </c>
      <c r="F3491" s="13">
        <v>1</v>
      </c>
      <c r="K3491" s="13">
        <v>1</v>
      </c>
      <c r="M3491" s="47" t="b">
        <v>1</v>
      </c>
    </row>
    <row r="3492" spans="1:14" x14ac:dyDescent="0.25">
      <c r="D3492" s="13">
        <v>6148</v>
      </c>
      <c r="E3492" s="132" t="str">
        <f>INDEX([1]道具配置表!$D:$D,MATCH(D3492,[1]道具配置表!$A:$A,0))</f>
        <v>8小时科技加速</v>
      </c>
      <c r="F3492" s="13">
        <v>1</v>
      </c>
      <c r="K3492" s="13">
        <v>1</v>
      </c>
      <c r="M3492" s="47" t="b">
        <v>1</v>
      </c>
    </row>
    <row r="3493" spans="1:14" x14ac:dyDescent="0.25">
      <c r="D3493" s="13">
        <v>6168</v>
      </c>
      <c r="E3493" s="132" t="str">
        <f>INDEX([1]道具配置表!$D:$D,MATCH(D3493,[1]道具配置表!$A:$A,0))</f>
        <v>8小时训练加速</v>
      </c>
      <c r="F3493" s="13">
        <v>1</v>
      </c>
      <c r="K3493" s="13">
        <v>1</v>
      </c>
      <c r="M3493" s="47" t="b">
        <v>1</v>
      </c>
    </row>
    <row r="3494" spans="1:14" x14ac:dyDescent="0.25">
      <c r="D3494" s="13">
        <v>505</v>
      </c>
      <c r="E3494" s="132" t="str">
        <f>INDEX([1]道具配置表!$D:$D,MATCH(D3494,[1]道具配置表!$A:$A,0))</f>
        <v>20万资源自选宝箱</v>
      </c>
      <c r="F3494" s="13">
        <v>1</v>
      </c>
      <c r="K3494" s="13">
        <v>1</v>
      </c>
      <c r="M3494" s="47" t="b">
        <v>1</v>
      </c>
    </row>
    <row r="3495" spans="1:14" x14ac:dyDescent="0.25">
      <c r="A3495" s="47">
        <v>6628001</v>
      </c>
      <c r="B3495" s="13" t="s">
        <v>641</v>
      </c>
      <c r="D3495" s="13">
        <v>6127</v>
      </c>
      <c r="E3495" s="132" t="str">
        <f>INDEX([1]道具配置表!$D:$D,MATCH(D3495,[1]道具配置表!$A:$A,0))</f>
        <v>3小时建造加速</v>
      </c>
      <c r="F3495" s="13">
        <v>1</v>
      </c>
      <c r="K3495" s="13">
        <v>1</v>
      </c>
      <c r="M3495" s="47" t="b">
        <v>1</v>
      </c>
    </row>
    <row r="3496" spans="1:14" x14ac:dyDescent="0.25">
      <c r="D3496" s="13">
        <v>6147</v>
      </c>
      <c r="E3496" s="132" t="str">
        <f>INDEX([1]道具配置表!$D:$D,MATCH(D3496,[1]道具配置表!$A:$A,0))</f>
        <v>3小时科技加速</v>
      </c>
      <c r="F3496" s="13">
        <v>1</v>
      </c>
      <c r="K3496" s="13">
        <v>1</v>
      </c>
      <c r="M3496" s="47" t="b">
        <v>1</v>
      </c>
    </row>
    <row r="3497" spans="1:14" x14ac:dyDescent="0.25">
      <c r="D3497" s="13">
        <v>6167</v>
      </c>
      <c r="E3497" s="132" t="str">
        <f>INDEX([1]道具配置表!$D:$D,MATCH(D3497,[1]道具配置表!$A:$A,0))</f>
        <v>3小时训练加速</v>
      </c>
      <c r="F3497" s="13">
        <v>1</v>
      </c>
      <c r="K3497" s="13">
        <v>1</v>
      </c>
      <c r="M3497" s="47" t="b">
        <v>1</v>
      </c>
    </row>
    <row r="3498" spans="1:14" x14ac:dyDescent="0.25">
      <c r="A3498" s="47"/>
      <c r="D3498" s="13">
        <v>505</v>
      </c>
      <c r="E3498" s="132" t="str">
        <f>INDEX([1]道具配置表!$D:$D,MATCH(D3498,[1]道具配置表!$A:$A,0))</f>
        <v>20万资源自选宝箱</v>
      </c>
      <c r="F3498" s="13">
        <v>2</v>
      </c>
      <c r="K3498" s="13">
        <v>1</v>
      </c>
      <c r="M3498" s="47" t="b">
        <v>1</v>
      </c>
    </row>
    <row r="3499" spans="1:14" x14ac:dyDescent="0.25">
      <c r="A3499" s="47">
        <v>6628002</v>
      </c>
      <c r="B3499" s="13" t="s">
        <v>642</v>
      </c>
      <c r="D3499" s="13">
        <v>6126</v>
      </c>
      <c r="E3499" s="132" t="str">
        <f>INDEX([1]道具配置表!$D:$D,MATCH(D3499,[1]道具配置表!$A:$A,0))</f>
        <v>2小时建造加速</v>
      </c>
      <c r="F3499" s="13">
        <v>1</v>
      </c>
      <c r="K3499" s="13">
        <v>1</v>
      </c>
      <c r="M3499" s="47" t="b">
        <v>1</v>
      </c>
    </row>
    <row r="3500" spans="1:14" x14ac:dyDescent="0.25">
      <c r="D3500" s="13">
        <v>6146</v>
      </c>
      <c r="E3500" s="132" t="str">
        <f>INDEX([1]道具配置表!$D:$D,MATCH(D3500,[1]道具配置表!$A:$A,0))</f>
        <v>2小时科技加速</v>
      </c>
      <c r="F3500" s="13">
        <v>1</v>
      </c>
      <c r="K3500" s="13">
        <v>1</v>
      </c>
      <c r="M3500" s="47" t="b">
        <v>1</v>
      </c>
    </row>
    <row r="3501" spans="1:14" x14ac:dyDescent="0.25">
      <c r="D3501" s="13">
        <v>6166</v>
      </c>
      <c r="E3501" s="132" t="str">
        <f>INDEX([1]道具配置表!$D:$D,MATCH(D3501,[1]道具配置表!$A:$A,0))</f>
        <v>2小时训练加速</v>
      </c>
      <c r="F3501" s="13">
        <v>1</v>
      </c>
      <c r="K3501" s="13">
        <v>1</v>
      </c>
      <c r="M3501" s="47" t="b">
        <v>1</v>
      </c>
    </row>
    <row r="3502" spans="1:14" x14ac:dyDescent="0.25">
      <c r="D3502" s="13">
        <v>505</v>
      </c>
      <c r="E3502" s="132" t="str">
        <f>INDEX([1]道具配置表!$D:$D,MATCH(D3502,[1]道具配置表!$A:$A,0))</f>
        <v>20万资源自选宝箱</v>
      </c>
      <c r="F3502" s="13">
        <v>1</v>
      </c>
      <c r="K3502" s="13">
        <v>1</v>
      </c>
      <c r="M3502" s="47" t="b">
        <v>1</v>
      </c>
    </row>
    <row r="3503" spans="1:14" x14ac:dyDescent="0.25">
      <c r="A3503" s="49">
        <v>6629001</v>
      </c>
      <c r="B3503" s="13" t="s">
        <v>643</v>
      </c>
      <c r="D3503" s="13">
        <v>1036</v>
      </c>
      <c r="E3503" s="132" t="str">
        <f>INDEX([1]道具配置表!$D:$D,MATCH(D3503,[1]道具配置表!$A:$A,0))</f>
        <v>约瑟芬（完整英雄）</v>
      </c>
      <c r="F3503" s="13">
        <v>1</v>
      </c>
      <c r="M3503" s="49" t="b">
        <v>1</v>
      </c>
      <c r="N3503" s="13">
        <v>1</v>
      </c>
    </row>
    <row r="3504" spans="1:14" x14ac:dyDescent="0.25">
      <c r="D3504" s="13">
        <v>1001</v>
      </c>
      <c r="E3504" s="132" t="str">
        <f>INDEX([1]道具配置表!$D:$D,MATCH(D3504,[1]道具配置表!$A:$A,0))</f>
        <v>贞德（完整英雄）</v>
      </c>
      <c r="F3504" s="13">
        <v>1</v>
      </c>
      <c r="M3504" s="49" t="b">
        <v>1</v>
      </c>
    </row>
    <row r="3505" spans="1:14" x14ac:dyDescent="0.25">
      <c r="A3505" s="49">
        <v>6629002</v>
      </c>
      <c r="B3505" s="13" t="s">
        <v>643</v>
      </c>
      <c r="D3505" s="13">
        <v>1004</v>
      </c>
      <c r="E3505" s="132" t="str">
        <f>INDEX([1]道具配置表!$D:$D,MATCH(D3505,[1]道具配置表!$A:$A,0))</f>
        <v>克里奥帕特拉（完整英雄）</v>
      </c>
      <c r="F3505" s="13">
        <v>1</v>
      </c>
      <c r="M3505" s="49" t="b">
        <v>1</v>
      </c>
      <c r="N3505" s="13">
        <v>1</v>
      </c>
    </row>
    <row r="3506" spans="1:14" x14ac:dyDescent="0.25">
      <c r="D3506" s="13">
        <v>1020</v>
      </c>
      <c r="E3506" s="132" t="str">
        <f>INDEX([1]道具配置表!$D:$D,MATCH(D3506,[1]道具配置表!$A:$A,0))</f>
        <v>李舜臣（完整英雄）</v>
      </c>
      <c r="F3506" s="13">
        <v>1</v>
      </c>
      <c r="M3506" s="49" t="b">
        <v>1</v>
      </c>
    </row>
    <row r="3507" spans="1:14" x14ac:dyDescent="0.25">
      <c r="A3507" s="50">
        <v>6630001</v>
      </c>
      <c r="B3507" s="50" t="s">
        <v>656</v>
      </c>
      <c r="C3507" s="50" t="str">
        <f>IF(A3507="","",IF((COUNTIFS(A:A,A3507))&gt;1,"ID重复",""))</f>
        <v/>
      </c>
      <c r="D3507" s="50">
        <v>2007</v>
      </c>
      <c r="E3507" s="132" t="str">
        <f>INDEX([1]道具配置表!$D:$D,MATCH(D3507,[1]道具配置表!$A:$A,0))</f>
        <v>大奖池招募券</v>
      </c>
      <c r="F3507" s="50">
        <v>1</v>
      </c>
      <c r="G3507" s="50"/>
      <c r="H3507" s="50"/>
      <c r="I3507" s="50"/>
      <c r="J3507" s="50"/>
      <c r="K3507" s="50">
        <v>1</v>
      </c>
      <c r="L3507" s="50"/>
      <c r="M3507" s="50" t="b">
        <v>1</v>
      </c>
    </row>
    <row r="3508" spans="1:14" x14ac:dyDescent="0.25">
      <c r="A3508" s="50" t="s">
        <v>119</v>
      </c>
      <c r="B3508" s="50" t="s">
        <v>119</v>
      </c>
      <c r="C3508" s="50" t="str">
        <f>IF(A3508="","",IF((COUNTIFS(A:A,A3508))&gt;1,"ID重复",""))</f>
        <v/>
      </c>
      <c r="D3508" s="50">
        <v>9035</v>
      </c>
      <c r="E3508" s="132" t="str">
        <f>INDEX([1]道具配置表!$D:$D,MATCH(D3508,[1]道具配置表!$A:$A,0))</f>
        <v>最高等级剑士直接使用X1</v>
      </c>
      <c r="F3508" s="50">
        <v>700</v>
      </c>
      <c r="G3508" s="50"/>
      <c r="H3508" s="50"/>
      <c r="I3508" s="50"/>
      <c r="J3508" s="50"/>
      <c r="K3508" s="50">
        <v>1</v>
      </c>
      <c r="L3508" s="50"/>
      <c r="M3508" s="50" t="b">
        <v>1</v>
      </c>
    </row>
    <row r="3509" spans="1:14" x14ac:dyDescent="0.25">
      <c r="A3509" s="50" t="s">
        <v>119</v>
      </c>
      <c r="B3509" s="50" t="s">
        <v>119</v>
      </c>
      <c r="C3509" s="50" t="str">
        <f>IF(A3509="","",IF((COUNTIFS(A:A,A3509))&gt;1,"ID重复",""))</f>
        <v/>
      </c>
      <c r="D3509" s="50">
        <v>9036</v>
      </c>
      <c r="E3509" s="132" t="str">
        <f>INDEX([1]道具配置表!$D:$D,MATCH(D3509,[1]道具配置表!$A:$A,0))</f>
        <v>最高等级枪兵直接使用X1</v>
      </c>
      <c r="F3509" s="50">
        <v>700</v>
      </c>
      <c r="G3509" s="50"/>
      <c r="H3509" s="50"/>
      <c r="I3509" s="50"/>
      <c r="J3509" s="50"/>
      <c r="K3509" s="50">
        <v>1</v>
      </c>
      <c r="L3509" s="50"/>
      <c r="M3509" s="50" t="b">
        <v>1</v>
      </c>
    </row>
    <row r="3510" spans="1:14" x14ac:dyDescent="0.25">
      <c r="A3510" s="50" t="s">
        <v>119</v>
      </c>
      <c r="B3510" s="50" t="s">
        <v>119</v>
      </c>
      <c r="C3510" s="50" t="str">
        <f>IF(A3510="","",IF((COUNTIFS(A:A,A3510))&gt;1,"ID重复",""))</f>
        <v/>
      </c>
      <c r="D3510" s="50">
        <v>9037</v>
      </c>
      <c r="E3510" s="132" t="str">
        <f>INDEX([1]道具配置表!$D:$D,MATCH(D3510,[1]道具配置表!$A:$A,0))</f>
        <v>最高等级骑兵直接使用X1</v>
      </c>
      <c r="F3510" s="50">
        <v>700</v>
      </c>
      <c r="G3510" s="50"/>
      <c r="H3510" s="50"/>
      <c r="I3510" s="50"/>
      <c r="J3510" s="50"/>
      <c r="K3510" s="50">
        <v>1</v>
      </c>
      <c r="L3510" s="50"/>
      <c r="M3510" s="50" t="b">
        <v>1</v>
      </c>
    </row>
    <row r="3511" spans="1:14" x14ac:dyDescent="0.25">
      <c r="A3511" s="50" t="s">
        <v>119</v>
      </c>
      <c r="B3511" s="50" t="s">
        <v>119</v>
      </c>
      <c r="C3511" s="50" t="str">
        <f>IF(A3511="","",IF((COUNTIFS(A:A,A3511))&gt;1,"ID重复",""))</f>
        <v/>
      </c>
      <c r="D3511" s="50">
        <v>9038</v>
      </c>
      <c r="E3511" s="132" t="str">
        <f>INDEX([1]道具配置表!$D:$D,MATCH(D3511,[1]道具配置表!$A:$A,0))</f>
        <v>最高等级弓兵直接使用X1</v>
      </c>
      <c r="F3511" s="50">
        <v>700</v>
      </c>
      <c r="G3511" s="50"/>
      <c r="H3511" s="50"/>
      <c r="I3511" s="50"/>
      <c r="J3511" s="50"/>
      <c r="K3511" s="50">
        <v>1</v>
      </c>
      <c r="L3511" s="50"/>
      <c r="M3511" s="50" t="b">
        <v>1</v>
      </c>
    </row>
    <row r="3512" spans="1:14" x14ac:dyDescent="0.25">
      <c r="A3512" s="50">
        <v>6630002</v>
      </c>
      <c r="B3512" s="50" t="s">
        <v>657</v>
      </c>
      <c r="C3512" s="50" t="str">
        <f>IF(A3512="","",IF((COUNTIFS(A:A,A3512))&gt;1,"ID重复",""))</f>
        <v/>
      </c>
      <c r="D3512" s="50">
        <v>2007</v>
      </c>
      <c r="E3512" s="132" t="str">
        <f>INDEX([1]道具配置表!$D:$D,MATCH(D3512,[1]道具配置表!$A:$A,0))</f>
        <v>大奖池招募券</v>
      </c>
      <c r="F3512" s="50">
        <v>1</v>
      </c>
      <c r="G3512" s="50"/>
      <c r="H3512" s="50"/>
      <c r="I3512" s="50"/>
      <c r="J3512" s="50"/>
      <c r="K3512" s="50">
        <v>1</v>
      </c>
      <c r="L3512" s="50"/>
      <c r="M3512" s="50" t="b">
        <v>1</v>
      </c>
    </row>
    <row r="3513" spans="1:14" x14ac:dyDescent="0.25">
      <c r="A3513" s="50" t="s">
        <v>119</v>
      </c>
      <c r="B3513" s="50" t="s">
        <v>119</v>
      </c>
      <c r="C3513" s="50" t="str">
        <f>IF(A3513="","",IF((COUNTIFS(A:A,A3513))&gt;1,"ID重复",""))</f>
        <v/>
      </c>
      <c r="D3513" s="50">
        <v>9035</v>
      </c>
      <c r="E3513" s="132" t="str">
        <f>INDEX([1]道具配置表!$D:$D,MATCH(D3513,[1]道具配置表!$A:$A,0))</f>
        <v>最高等级剑士直接使用X1</v>
      </c>
      <c r="F3513" s="50">
        <v>800</v>
      </c>
      <c r="G3513" s="50"/>
      <c r="H3513" s="50"/>
      <c r="I3513" s="50"/>
      <c r="J3513" s="50"/>
      <c r="K3513" s="50">
        <v>1</v>
      </c>
      <c r="L3513" s="50"/>
      <c r="M3513" s="50" t="b">
        <v>1</v>
      </c>
    </row>
    <row r="3514" spans="1:14" x14ac:dyDescent="0.25">
      <c r="A3514" s="50" t="s">
        <v>119</v>
      </c>
      <c r="B3514" s="50" t="s">
        <v>119</v>
      </c>
      <c r="C3514" s="50" t="str">
        <f>IF(A3514="","",IF((COUNTIFS(A:A,A3514))&gt;1,"ID重复",""))</f>
        <v/>
      </c>
      <c r="D3514" s="50">
        <v>9036</v>
      </c>
      <c r="E3514" s="132" t="str">
        <f>INDEX([1]道具配置表!$D:$D,MATCH(D3514,[1]道具配置表!$A:$A,0))</f>
        <v>最高等级枪兵直接使用X1</v>
      </c>
      <c r="F3514" s="50">
        <v>800</v>
      </c>
      <c r="G3514" s="50"/>
      <c r="H3514" s="50"/>
      <c r="I3514" s="50"/>
      <c r="J3514" s="50"/>
      <c r="K3514" s="50">
        <v>1</v>
      </c>
      <c r="L3514" s="50"/>
      <c r="M3514" s="50" t="b">
        <v>1</v>
      </c>
    </row>
    <row r="3515" spans="1:14" x14ac:dyDescent="0.25">
      <c r="A3515" s="50" t="s">
        <v>119</v>
      </c>
      <c r="B3515" s="50" t="s">
        <v>119</v>
      </c>
      <c r="C3515" s="50" t="str">
        <f>IF(A3515="","",IF((COUNTIFS(A:A,A3515))&gt;1,"ID重复",""))</f>
        <v/>
      </c>
      <c r="D3515" s="50">
        <v>9037</v>
      </c>
      <c r="E3515" s="132" t="str">
        <f>INDEX([1]道具配置表!$D:$D,MATCH(D3515,[1]道具配置表!$A:$A,0))</f>
        <v>最高等级骑兵直接使用X1</v>
      </c>
      <c r="F3515" s="50">
        <v>800</v>
      </c>
      <c r="G3515" s="50"/>
      <c r="H3515" s="50"/>
      <c r="I3515" s="50"/>
      <c r="J3515" s="50"/>
      <c r="K3515" s="50">
        <v>1</v>
      </c>
      <c r="L3515" s="50"/>
      <c r="M3515" s="50" t="b">
        <v>1</v>
      </c>
    </row>
    <row r="3516" spans="1:14" x14ac:dyDescent="0.25">
      <c r="A3516" s="50" t="s">
        <v>119</v>
      </c>
      <c r="B3516" s="50" t="s">
        <v>119</v>
      </c>
      <c r="C3516" s="50" t="str">
        <f>IF(A3516="","",IF((COUNTIFS(A:A,A3516))&gt;1,"ID重复",""))</f>
        <v/>
      </c>
      <c r="D3516" s="50">
        <v>9038</v>
      </c>
      <c r="E3516" s="132" t="str">
        <f>INDEX([1]道具配置表!$D:$D,MATCH(D3516,[1]道具配置表!$A:$A,0))</f>
        <v>最高等级弓兵直接使用X1</v>
      </c>
      <c r="F3516" s="50">
        <v>800</v>
      </c>
      <c r="G3516" s="50"/>
      <c r="H3516" s="50"/>
      <c r="I3516" s="50"/>
      <c r="J3516" s="50"/>
      <c r="K3516" s="50">
        <v>1</v>
      </c>
      <c r="L3516" s="50"/>
      <c r="M3516" s="50" t="b">
        <v>1</v>
      </c>
    </row>
    <row r="3517" spans="1:14" x14ac:dyDescent="0.25">
      <c r="A3517" s="50">
        <v>6630003</v>
      </c>
      <c r="B3517" s="50" t="s">
        <v>658</v>
      </c>
      <c r="C3517" s="50" t="str">
        <f>IF(A3517="","",IF((COUNTIFS(A:A,A3517))&gt;1,"ID重复",""))</f>
        <v/>
      </c>
      <c r="D3517" s="50">
        <v>2007</v>
      </c>
      <c r="E3517" s="132" t="str">
        <f>INDEX([1]道具配置表!$D:$D,MATCH(D3517,[1]道具配置表!$A:$A,0))</f>
        <v>大奖池招募券</v>
      </c>
      <c r="F3517" s="50">
        <v>1</v>
      </c>
      <c r="G3517" s="50"/>
      <c r="H3517" s="50"/>
      <c r="I3517" s="50"/>
      <c r="J3517" s="50"/>
      <c r="K3517" s="50">
        <v>1</v>
      </c>
      <c r="L3517" s="50"/>
      <c r="M3517" s="50" t="b">
        <v>1</v>
      </c>
    </row>
    <row r="3518" spans="1:14" x14ac:dyDescent="0.25">
      <c r="A3518" s="50" t="s">
        <v>119</v>
      </c>
      <c r="B3518" s="50" t="s">
        <v>119</v>
      </c>
      <c r="C3518" s="50" t="str">
        <f>IF(A3518="","",IF((COUNTIFS(A:A,A3518))&gt;1,"ID重复",""))</f>
        <v/>
      </c>
      <c r="D3518" s="50">
        <v>9035</v>
      </c>
      <c r="E3518" s="132" t="str">
        <f>INDEX([1]道具配置表!$D:$D,MATCH(D3518,[1]道具配置表!$A:$A,0))</f>
        <v>最高等级剑士直接使用X1</v>
      </c>
      <c r="F3518" s="50">
        <v>900</v>
      </c>
      <c r="G3518" s="50"/>
      <c r="H3518" s="50"/>
      <c r="I3518" s="50"/>
      <c r="J3518" s="50"/>
      <c r="K3518" s="50">
        <v>1</v>
      </c>
      <c r="L3518" s="50"/>
      <c r="M3518" s="50" t="b">
        <v>1</v>
      </c>
    </row>
    <row r="3519" spans="1:14" x14ac:dyDescent="0.25">
      <c r="A3519" s="50" t="s">
        <v>119</v>
      </c>
      <c r="B3519" s="50" t="s">
        <v>119</v>
      </c>
      <c r="C3519" s="50" t="str">
        <f>IF(A3519="","",IF((COUNTIFS(A:A,A3519))&gt;1,"ID重复",""))</f>
        <v/>
      </c>
      <c r="D3519" s="50">
        <v>9036</v>
      </c>
      <c r="E3519" s="132" t="str">
        <f>INDEX([1]道具配置表!$D:$D,MATCH(D3519,[1]道具配置表!$A:$A,0))</f>
        <v>最高等级枪兵直接使用X1</v>
      </c>
      <c r="F3519" s="50">
        <v>900</v>
      </c>
      <c r="G3519" s="50"/>
      <c r="H3519" s="50"/>
      <c r="I3519" s="50"/>
      <c r="J3519" s="50"/>
      <c r="K3519" s="50">
        <v>1</v>
      </c>
      <c r="L3519" s="50"/>
      <c r="M3519" s="50" t="b">
        <v>1</v>
      </c>
    </row>
    <row r="3520" spans="1:14" x14ac:dyDescent="0.25">
      <c r="A3520" s="50" t="s">
        <v>119</v>
      </c>
      <c r="B3520" s="50" t="s">
        <v>119</v>
      </c>
      <c r="C3520" s="50" t="str">
        <f>IF(A3520="","",IF((COUNTIFS(A:A,A3520))&gt;1,"ID重复",""))</f>
        <v/>
      </c>
      <c r="D3520" s="50">
        <v>9037</v>
      </c>
      <c r="E3520" s="132" t="str">
        <f>INDEX([1]道具配置表!$D:$D,MATCH(D3520,[1]道具配置表!$A:$A,0))</f>
        <v>最高等级骑兵直接使用X1</v>
      </c>
      <c r="F3520" s="50">
        <v>900</v>
      </c>
      <c r="G3520" s="50"/>
      <c r="H3520" s="50"/>
      <c r="I3520" s="50"/>
      <c r="J3520" s="50"/>
      <c r="K3520" s="50">
        <v>1</v>
      </c>
      <c r="L3520" s="50"/>
      <c r="M3520" s="50" t="b">
        <v>1</v>
      </c>
    </row>
    <row r="3521" spans="1:13" x14ac:dyDescent="0.25">
      <c r="A3521" s="50" t="s">
        <v>119</v>
      </c>
      <c r="B3521" s="50" t="s">
        <v>119</v>
      </c>
      <c r="C3521" s="50" t="str">
        <f>IF(A3521="","",IF((COUNTIFS(A:A,A3521))&gt;1,"ID重复",""))</f>
        <v/>
      </c>
      <c r="D3521" s="50">
        <v>9038</v>
      </c>
      <c r="E3521" s="132" t="str">
        <f>INDEX([1]道具配置表!$D:$D,MATCH(D3521,[1]道具配置表!$A:$A,0))</f>
        <v>最高等级弓兵直接使用X1</v>
      </c>
      <c r="F3521" s="50">
        <v>900</v>
      </c>
      <c r="G3521" s="50"/>
      <c r="H3521" s="50"/>
      <c r="I3521" s="50"/>
      <c r="J3521" s="50"/>
      <c r="K3521" s="50">
        <v>1</v>
      </c>
      <c r="L3521" s="50"/>
      <c r="M3521" s="50" t="b">
        <v>1</v>
      </c>
    </row>
    <row r="3522" spans="1:13" x14ac:dyDescent="0.25">
      <c r="A3522" s="50">
        <v>6630004</v>
      </c>
      <c r="B3522" s="50" t="s">
        <v>659</v>
      </c>
      <c r="C3522" s="50" t="str">
        <f>IF(A3522="","",IF((COUNTIFS(A:A,A3522))&gt;1,"ID重复",""))</f>
        <v/>
      </c>
      <c r="D3522" s="50">
        <v>2007</v>
      </c>
      <c r="E3522" s="132" t="str">
        <f>INDEX([1]道具配置表!$D:$D,MATCH(D3522,[1]道具配置表!$A:$A,0))</f>
        <v>大奖池招募券</v>
      </c>
      <c r="F3522" s="50">
        <v>1</v>
      </c>
      <c r="G3522" s="50"/>
      <c r="H3522" s="50"/>
      <c r="I3522" s="50"/>
      <c r="J3522" s="50"/>
      <c r="K3522" s="50">
        <v>1</v>
      </c>
      <c r="L3522" s="50"/>
      <c r="M3522" s="50" t="b">
        <v>1</v>
      </c>
    </row>
    <row r="3523" spans="1:13" x14ac:dyDescent="0.25">
      <c r="A3523" s="50" t="s">
        <v>119</v>
      </c>
      <c r="B3523" s="50" t="s">
        <v>119</v>
      </c>
      <c r="C3523" s="50" t="str">
        <f>IF(A3523="","",IF((COUNTIFS(A:A,A3523))&gt;1,"ID重复",""))</f>
        <v/>
      </c>
      <c r="D3523" s="50">
        <v>9035</v>
      </c>
      <c r="E3523" s="132" t="str">
        <f>INDEX([1]道具配置表!$D:$D,MATCH(D3523,[1]道具配置表!$A:$A,0))</f>
        <v>最高等级剑士直接使用X1</v>
      </c>
      <c r="F3523" s="50">
        <v>1000</v>
      </c>
      <c r="G3523" s="50"/>
      <c r="H3523" s="50"/>
      <c r="I3523" s="50"/>
      <c r="J3523" s="50"/>
      <c r="K3523" s="50">
        <v>1</v>
      </c>
      <c r="L3523" s="50"/>
      <c r="M3523" s="50" t="b">
        <v>1</v>
      </c>
    </row>
    <row r="3524" spans="1:13" x14ac:dyDescent="0.25">
      <c r="A3524" s="50" t="s">
        <v>119</v>
      </c>
      <c r="B3524" s="50" t="s">
        <v>119</v>
      </c>
      <c r="C3524" s="50" t="str">
        <f>IF(A3524="","",IF((COUNTIFS(A:A,A3524))&gt;1,"ID重复",""))</f>
        <v/>
      </c>
      <c r="D3524" s="50">
        <v>9036</v>
      </c>
      <c r="E3524" s="132" t="str">
        <f>INDEX([1]道具配置表!$D:$D,MATCH(D3524,[1]道具配置表!$A:$A,0))</f>
        <v>最高等级枪兵直接使用X1</v>
      </c>
      <c r="F3524" s="50">
        <v>1000</v>
      </c>
      <c r="G3524" s="50"/>
      <c r="H3524" s="50"/>
      <c r="I3524" s="50"/>
      <c r="J3524" s="50"/>
      <c r="K3524" s="50">
        <v>1</v>
      </c>
      <c r="L3524" s="50"/>
      <c r="M3524" s="50" t="b">
        <v>1</v>
      </c>
    </row>
    <row r="3525" spans="1:13" x14ac:dyDescent="0.25">
      <c r="A3525" s="50" t="s">
        <v>119</v>
      </c>
      <c r="B3525" s="50" t="s">
        <v>119</v>
      </c>
      <c r="C3525" s="50" t="str">
        <f>IF(A3525="","",IF((COUNTIFS(A:A,A3525))&gt;1,"ID重复",""))</f>
        <v/>
      </c>
      <c r="D3525" s="50">
        <v>9037</v>
      </c>
      <c r="E3525" s="132" t="str">
        <f>INDEX([1]道具配置表!$D:$D,MATCH(D3525,[1]道具配置表!$A:$A,0))</f>
        <v>最高等级骑兵直接使用X1</v>
      </c>
      <c r="F3525" s="50">
        <v>1000</v>
      </c>
      <c r="G3525" s="50"/>
      <c r="H3525" s="50"/>
      <c r="I3525" s="50"/>
      <c r="J3525" s="50"/>
      <c r="K3525" s="50">
        <v>1</v>
      </c>
      <c r="L3525" s="50"/>
      <c r="M3525" s="50" t="b">
        <v>1</v>
      </c>
    </row>
    <row r="3526" spans="1:13" x14ac:dyDescent="0.25">
      <c r="A3526" s="50" t="s">
        <v>119</v>
      </c>
      <c r="B3526" s="50" t="s">
        <v>119</v>
      </c>
      <c r="C3526" s="50" t="str">
        <f>IF(A3526="","",IF((COUNTIFS(A:A,A3526))&gt;1,"ID重复",""))</f>
        <v/>
      </c>
      <c r="D3526" s="50">
        <v>9038</v>
      </c>
      <c r="E3526" s="132" t="str">
        <f>INDEX([1]道具配置表!$D:$D,MATCH(D3526,[1]道具配置表!$A:$A,0))</f>
        <v>最高等级弓兵直接使用X1</v>
      </c>
      <c r="F3526" s="50">
        <v>1000</v>
      </c>
      <c r="G3526" s="50"/>
      <c r="H3526" s="50"/>
      <c r="I3526" s="50"/>
      <c r="J3526" s="50"/>
      <c r="K3526" s="50">
        <v>1</v>
      </c>
      <c r="L3526" s="50"/>
      <c r="M3526" s="50" t="b">
        <v>1</v>
      </c>
    </row>
    <row r="3527" spans="1:13" x14ac:dyDescent="0.25">
      <c r="A3527" s="50">
        <v>6630005</v>
      </c>
      <c r="B3527" s="50" t="s">
        <v>660</v>
      </c>
      <c r="C3527" s="50" t="str">
        <f>IF(A3527="","",IF((COUNTIFS(A:A,A3527))&gt;1,"ID重复",""))</f>
        <v/>
      </c>
      <c r="D3527" s="50">
        <v>2007</v>
      </c>
      <c r="E3527" s="132" t="str">
        <f>INDEX([1]道具配置表!$D:$D,MATCH(D3527,[1]道具配置表!$A:$A,0))</f>
        <v>大奖池招募券</v>
      </c>
      <c r="F3527" s="50">
        <v>1</v>
      </c>
      <c r="G3527" s="50"/>
      <c r="H3527" s="50"/>
      <c r="I3527" s="50"/>
      <c r="J3527" s="50"/>
      <c r="K3527" s="50">
        <v>1</v>
      </c>
      <c r="L3527" s="50"/>
      <c r="M3527" s="50" t="b">
        <v>1</v>
      </c>
    </row>
    <row r="3528" spans="1:13" x14ac:dyDescent="0.25">
      <c r="A3528" s="50" t="s">
        <v>119</v>
      </c>
      <c r="B3528" s="50" t="s">
        <v>119</v>
      </c>
      <c r="C3528" s="50" t="str">
        <f>IF(A3528="","",IF((COUNTIFS(A:A,A3528))&gt;1,"ID重复",""))</f>
        <v/>
      </c>
      <c r="D3528" s="50">
        <v>9035</v>
      </c>
      <c r="E3528" s="132" t="str">
        <f>INDEX([1]道具配置表!$D:$D,MATCH(D3528,[1]道具配置表!$A:$A,0))</f>
        <v>最高等级剑士直接使用X1</v>
      </c>
      <c r="F3528" s="50">
        <v>1100</v>
      </c>
      <c r="G3528" s="50"/>
      <c r="H3528" s="50"/>
      <c r="I3528" s="50"/>
      <c r="J3528" s="50"/>
      <c r="K3528" s="50">
        <v>1</v>
      </c>
      <c r="L3528" s="50"/>
      <c r="M3528" s="50" t="b">
        <v>1</v>
      </c>
    </row>
    <row r="3529" spans="1:13" x14ac:dyDescent="0.25">
      <c r="A3529" s="50" t="s">
        <v>119</v>
      </c>
      <c r="B3529" s="50" t="s">
        <v>119</v>
      </c>
      <c r="C3529" s="50" t="str">
        <f>IF(A3529="","",IF((COUNTIFS(A:A,A3529))&gt;1,"ID重复",""))</f>
        <v/>
      </c>
      <c r="D3529" s="50">
        <v>9036</v>
      </c>
      <c r="E3529" s="132" t="str">
        <f>INDEX([1]道具配置表!$D:$D,MATCH(D3529,[1]道具配置表!$A:$A,0))</f>
        <v>最高等级枪兵直接使用X1</v>
      </c>
      <c r="F3529" s="50">
        <v>1100</v>
      </c>
      <c r="G3529" s="50"/>
      <c r="H3529" s="50"/>
      <c r="I3529" s="50"/>
      <c r="J3529" s="50"/>
      <c r="K3529" s="50">
        <v>1</v>
      </c>
      <c r="L3529" s="50"/>
      <c r="M3529" s="50" t="b">
        <v>1</v>
      </c>
    </row>
    <row r="3530" spans="1:13" x14ac:dyDescent="0.25">
      <c r="A3530" s="50" t="s">
        <v>119</v>
      </c>
      <c r="B3530" s="50" t="s">
        <v>119</v>
      </c>
      <c r="C3530" s="50" t="str">
        <f>IF(A3530="","",IF((COUNTIFS(A:A,A3530))&gt;1,"ID重复",""))</f>
        <v/>
      </c>
      <c r="D3530" s="50">
        <v>9037</v>
      </c>
      <c r="E3530" s="132" t="str">
        <f>INDEX([1]道具配置表!$D:$D,MATCH(D3530,[1]道具配置表!$A:$A,0))</f>
        <v>最高等级骑兵直接使用X1</v>
      </c>
      <c r="F3530" s="50">
        <v>1100</v>
      </c>
      <c r="G3530" s="50"/>
      <c r="H3530" s="50"/>
      <c r="I3530" s="50"/>
      <c r="J3530" s="50"/>
      <c r="K3530" s="50">
        <v>1</v>
      </c>
      <c r="L3530" s="50"/>
      <c r="M3530" s="50" t="b">
        <v>1</v>
      </c>
    </row>
    <row r="3531" spans="1:13" x14ac:dyDescent="0.25">
      <c r="A3531" s="50" t="s">
        <v>119</v>
      </c>
      <c r="B3531" s="50" t="s">
        <v>119</v>
      </c>
      <c r="C3531" s="50" t="str">
        <f>IF(A3531="","",IF((COUNTIFS(A:A,A3531))&gt;1,"ID重复",""))</f>
        <v/>
      </c>
      <c r="D3531" s="50">
        <v>9038</v>
      </c>
      <c r="E3531" s="132" t="str">
        <f>INDEX([1]道具配置表!$D:$D,MATCH(D3531,[1]道具配置表!$A:$A,0))</f>
        <v>最高等级弓兵直接使用X1</v>
      </c>
      <c r="F3531" s="50">
        <v>1100</v>
      </c>
      <c r="G3531" s="50"/>
      <c r="H3531" s="50"/>
      <c r="I3531" s="50"/>
      <c r="J3531" s="50"/>
      <c r="K3531" s="50">
        <v>1</v>
      </c>
      <c r="L3531" s="50"/>
      <c r="M3531" s="50" t="b">
        <v>1</v>
      </c>
    </row>
    <row r="3532" spans="1:13" x14ac:dyDescent="0.25">
      <c r="A3532" s="50">
        <v>6630006</v>
      </c>
      <c r="B3532" s="50" t="s">
        <v>661</v>
      </c>
      <c r="C3532" s="50" t="str">
        <f>IF(A3532="","",IF((COUNTIFS(A:A,A3532))&gt;1,"ID重复",""))</f>
        <v/>
      </c>
      <c r="D3532" s="50">
        <v>2007</v>
      </c>
      <c r="E3532" s="132" t="str">
        <f>INDEX([1]道具配置表!$D:$D,MATCH(D3532,[1]道具配置表!$A:$A,0))</f>
        <v>大奖池招募券</v>
      </c>
      <c r="F3532" s="50">
        <v>1</v>
      </c>
      <c r="G3532" s="50"/>
      <c r="H3532" s="50"/>
      <c r="I3532" s="50"/>
      <c r="J3532" s="50"/>
      <c r="K3532" s="50">
        <v>1</v>
      </c>
      <c r="L3532" s="50"/>
      <c r="M3532" s="50" t="b">
        <v>1</v>
      </c>
    </row>
    <row r="3533" spans="1:13" x14ac:dyDescent="0.25">
      <c r="A3533" s="50" t="s">
        <v>119</v>
      </c>
      <c r="B3533" s="50" t="s">
        <v>119</v>
      </c>
      <c r="C3533" s="50" t="str">
        <f>IF(A3533="","",IF((COUNTIFS(A:A,A3533))&gt;1,"ID重复",""))</f>
        <v/>
      </c>
      <c r="D3533" s="50">
        <v>9035</v>
      </c>
      <c r="E3533" s="132" t="str">
        <f>INDEX([1]道具配置表!$D:$D,MATCH(D3533,[1]道具配置表!$A:$A,0))</f>
        <v>最高等级剑士直接使用X1</v>
      </c>
      <c r="F3533" s="50">
        <v>1200</v>
      </c>
      <c r="G3533" s="50"/>
      <c r="H3533" s="50"/>
      <c r="I3533" s="50"/>
      <c r="J3533" s="50"/>
      <c r="K3533" s="50">
        <v>1</v>
      </c>
      <c r="L3533" s="50"/>
      <c r="M3533" s="50" t="b">
        <v>1</v>
      </c>
    </row>
    <row r="3534" spans="1:13" x14ac:dyDescent="0.25">
      <c r="A3534" s="50" t="s">
        <v>119</v>
      </c>
      <c r="B3534" s="50" t="s">
        <v>119</v>
      </c>
      <c r="C3534" s="50" t="str">
        <f>IF(A3534="","",IF((COUNTIFS(A:A,A3534))&gt;1,"ID重复",""))</f>
        <v/>
      </c>
      <c r="D3534" s="50">
        <v>9036</v>
      </c>
      <c r="E3534" s="132" t="str">
        <f>INDEX([1]道具配置表!$D:$D,MATCH(D3534,[1]道具配置表!$A:$A,0))</f>
        <v>最高等级枪兵直接使用X1</v>
      </c>
      <c r="F3534" s="50">
        <v>1200</v>
      </c>
      <c r="G3534" s="50"/>
      <c r="H3534" s="50"/>
      <c r="I3534" s="50"/>
      <c r="J3534" s="50"/>
      <c r="K3534" s="50">
        <v>1</v>
      </c>
      <c r="L3534" s="50"/>
      <c r="M3534" s="50" t="b">
        <v>1</v>
      </c>
    </row>
    <row r="3535" spans="1:13" x14ac:dyDescent="0.25">
      <c r="A3535" s="50" t="s">
        <v>119</v>
      </c>
      <c r="B3535" s="50" t="s">
        <v>119</v>
      </c>
      <c r="C3535" s="50" t="str">
        <f>IF(A3535="","",IF((COUNTIFS(A:A,A3535))&gt;1,"ID重复",""))</f>
        <v/>
      </c>
      <c r="D3535" s="50">
        <v>9037</v>
      </c>
      <c r="E3535" s="132" t="str">
        <f>INDEX([1]道具配置表!$D:$D,MATCH(D3535,[1]道具配置表!$A:$A,0))</f>
        <v>最高等级骑兵直接使用X1</v>
      </c>
      <c r="F3535" s="50">
        <v>1200</v>
      </c>
      <c r="G3535" s="50"/>
      <c r="H3535" s="50"/>
      <c r="I3535" s="50"/>
      <c r="J3535" s="50"/>
      <c r="K3535" s="50">
        <v>1</v>
      </c>
      <c r="L3535" s="50"/>
      <c r="M3535" s="50" t="b">
        <v>1</v>
      </c>
    </row>
    <row r="3536" spans="1:13" x14ac:dyDescent="0.25">
      <c r="A3536" s="50" t="s">
        <v>119</v>
      </c>
      <c r="B3536" s="50" t="s">
        <v>119</v>
      </c>
      <c r="C3536" s="50" t="str">
        <f>IF(A3536="","",IF((COUNTIFS(A:A,A3536))&gt;1,"ID重复",""))</f>
        <v/>
      </c>
      <c r="D3536" s="50">
        <v>9038</v>
      </c>
      <c r="E3536" s="132" t="str">
        <f>INDEX([1]道具配置表!$D:$D,MATCH(D3536,[1]道具配置表!$A:$A,0))</f>
        <v>最高等级弓兵直接使用X1</v>
      </c>
      <c r="F3536" s="50">
        <v>1200</v>
      </c>
      <c r="G3536" s="50"/>
      <c r="H3536" s="50"/>
      <c r="I3536" s="50"/>
      <c r="J3536" s="50"/>
      <c r="K3536" s="50">
        <v>1</v>
      </c>
      <c r="L3536" s="50"/>
      <c r="M3536" s="50" t="b">
        <v>1</v>
      </c>
    </row>
    <row r="3537" spans="1:13" x14ac:dyDescent="0.25">
      <c r="A3537" s="50">
        <v>6630007</v>
      </c>
      <c r="B3537" s="50" t="s">
        <v>662</v>
      </c>
      <c r="C3537" s="50" t="str">
        <f>IF(A3537="","",IF((COUNTIFS(A:A,A3537))&gt;1,"ID重复",""))</f>
        <v/>
      </c>
      <c r="D3537" s="50">
        <v>2007</v>
      </c>
      <c r="E3537" s="132" t="str">
        <f>INDEX([1]道具配置表!$D:$D,MATCH(D3537,[1]道具配置表!$A:$A,0))</f>
        <v>大奖池招募券</v>
      </c>
      <c r="F3537" s="50">
        <v>1</v>
      </c>
      <c r="G3537" s="50"/>
      <c r="H3537" s="50"/>
      <c r="I3537" s="50"/>
      <c r="J3537" s="50"/>
      <c r="K3537" s="50">
        <v>1</v>
      </c>
      <c r="L3537" s="50"/>
      <c r="M3537" s="50" t="b">
        <v>1</v>
      </c>
    </row>
    <row r="3538" spans="1:13" x14ac:dyDescent="0.25">
      <c r="A3538" s="50" t="s">
        <v>119</v>
      </c>
      <c r="B3538" s="50" t="s">
        <v>119</v>
      </c>
      <c r="C3538" s="50" t="str">
        <f>IF(A3538="","",IF((COUNTIFS(A:A,A3538))&gt;1,"ID重复",""))</f>
        <v/>
      </c>
      <c r="D3538" s="50">
        <v>9035</v>
      </c>
      <c r="E3538" s="132" t="str">
        <f>INDEX([1]道具配置表!$D:$D,MATCH(D3538,[1]道具配置表!$A:$A,0))</f>
        <v>最高等级剑士直接使用X1</v>
      </c>
      <c r="F3538" s="50">
        <v>1400</v>
      </c>
      <c r="G3538" s="50"/>
      <c r="H3538" s="50"/>
      <c r="I3538" s="50"/>
      <c r="J3538" s="50"/>
      <c r="K3538" s="50">
        <v>1</v>
      </c>
      <c r="L3538" s="50"/>
      <c r="M3538" s="50" t="b">
        <v>1</v>
      </c>
    </row>
    <row r="3539" spans="1:13" x14ac:dyDescent="0.25">
      <c r="A3539" s="50" t="s">
        <v>119</v>
      </c>
      <c r="B3539" s="50" t="s">
        <v>119</v>
      </c>
      <c r="C3539" s="50" t="str">
        <f>IF(A3539="","",IF((COUNTIFS(A:A,A3539))&gt;1,"ID重复",""))</f>
        <v/>
      </c>
      <c r="D3539" s="50">
        <v>9036</v>
      </c>
      <c r="E3539" s="132" t="str">
        <f>INDEX([1]道具配置表!$D:$D,MATCH(D3539,[1]道具配置表!$A:$A,0))</f>
        <v>最高等级枪兵直接使用X1</v>
      </c>
      <c r="F3539" s="50">
        <v>1400</v>
      </c>
      <c r="G3539" s="50"/>
      <c r="H3539" s="50"/>
      <c r="I3539" s="50"/>
      <c r="J3539" s="50"/>
      <c r="K3539" s="50">
        <v>1</v>
      </c>
      <c r="L3539" s="50"/>
      <c r="M3539" s="50" t="b">
        <v>1</v>
      </c>
    </row>
    <row r="3540" spans="1:13" x14ac:dyDescent="0.25">
      <c r="A3540" s="50" t="s">
        <v>119</v>
      </c>
      <c r="B3540" s="50" t="s">
        <v>119</v>
      </c>
      <c r="C3540" s="50" t="str">
        <f>IF(A3540="","",IF((COUNTIFS(A:A,A3540))&gt;1,"ID重复",""))</f>
        <v/>
      </c>
      <c r="D3540" s="50">
        <v>9037</v>
      </c>
      <c r="E3540" s="132" t="str">
        <f>INDEX([1]道具配置表!$D:$D,MATCH(D3540,[1]道具配置表!$A:$A,0))</f>
        <v>最高等级骑兵直接使用X1</v>
      </c>
      <c r="F3540" s="50">
        <v>1400</v>
      </c>
      <c r="G3540" s="50"/>
      <c r="H3540" s="50"/>
      <c r="I3540" s="50"/>
      <c r="J3540" s="50"/>
      <c r="K3540" s="50">
        <v>1</v>
      </c>
      <c r="L3540" s="50"/>
      <c r="M3540" s="50" t="b">
        <v>1</v>
      </c>
    </row>
    <row r="3541" spans="1:13" x14ac:dyDescent="0.25">
      <c r="A3541" s="50" t="s">
        <v>119</v>
      </c>
      <c r="B3541" s="50" t="s">
        <v>119</v>
      </c>
      <c r="C3541" s="50" t="str">
        <f>IF(A3541="","",IF((COUNTIFS(A:A,A3541))&gt;1,"ID重复",""))</f>
        <v/>
      </c>
      <c r="D3541" s="50">
        <v>9038</v>
      </c>
      <c r="E3541" s="132" t="str">
        <f>INDEX([1]道具配置表!$D:$D,MATCH(D3541,[1]道具配置表!$A:$A,0))</f>
        <v>最高等级弓兵直接使用X1</v>
      </c>
      <c r="F3541" s="50">
        <v>1400</v>
      </c>
      <c r="G3541" s="50"/>
      <c r="H3541" s="50"/>
      <c r="I3541" s="50"/>
      <c r="J3541" s="50"/>
      <c r="K3541" s="50">
        <v>1</v>
      </c>
      <c r="L3541" s="50"/>
      <c r="M3541" s="50" t="b">
        <v>1</v>
      </c>
    </row>
    <row r="3542" spans="1:13" x14ac:dyDescent="0.25">
      <c r="A3542" s="50">
        <v>6630008</v>
      </c>
      <c r="B3542" s="50" t="s">
        <v>663</v>
      </c>
      <c r="C3542" s="50" t="str">
        <f>IF(A3542="","",IF((COUNTIFS(A:A,A3542))&gt;1,"ID重复",""))</f>
        <v/>
      </c>
      <c r="D3542" s="50">
        <v>2007</v>
      </c>
      <c r="E3542" s="132" t="str">
        <f>INDEX([1]道具配置表!$D:$D,MATCH(D3542,[1]道具配置表!$A:$A,0))</f>
        <v>大奖池招募券</v>
      </c>
      <c r="F3542" s="50">
        <v>1</v>
      </c>
      <c r="G3542" s="50"/>
      <c r="H3542" s="50"/>
      <c r="I3542" s="50"/>
      <c r="J3542" s="50"/>
      <c r="K3542" s="50">
        <v>1</v>
      </c>
      <c r="L3542" s="50"/>
      <c r="M3542" s="50" t="b">
        <v>1</v>
      </c>
    </row>
    <row r="3543" spans="1:13" x14ac:dyDescent="0.25">
      <c r="A3543" s="50" t="s">
        <v>119</v>
      </c>
      <c r="B3543" s="50" t="s">
        <v>119</v>
      </c>
      <c r="C3543" s="50" t="str">
        <f>IF(A3543="","",IF((COUNTIFS(A:A,A3543))&gt;1,"ID重复",""))</f>
        <v/>
      </c>
      <c r="D3543" s="50">
        <v>9035</v>
      </c>
      <c r="E3543" s="132" t="str">
        <f>INDEX([1]道具配置表!$D:$D,MATCH(D3543,[1]道具配置表!$A:$A,0))</f>
        <v>最高等级剑士直接使用X1</v>
      </c>
      <c r="F3543" s="50">
        <v>1600</v>
      </c>
      <c r="G3543" s="50"/>
      <c r="H3543" s="50"/>
      <c r="I3543" s="50"/>
      <c r="J3543" s="50"/>
      <c r="K3543" s="50">
        <v>1</v>
      </c>
      <c r="L3543" s="50"/>
      <c r="M3543" s="50" t="b">
        <v>1</v>
      </c>
    </row>
    <row r="3544" spans="1:13" x14ac:dyDescent="0.25">
      <c r="A3544" s="50" t="s">
        <v>119</v>
      </c>
      <c r="B3544" s="50" t="s">
        <v>119</v>
      </c>
      <c r="C3544" s="50" t="str">
        <f>IF(A3544="","",IF((COUNTIFS(A:A,A3544))&gt;1,"ID重复",""))</f>
        <v/>
      </c>
      <c r="D3544" s="50">
        <v>9036</v>
      </c>
      <c r="E3544" s="132" t="str">
        <f>INDEX([1]道具配置表!$D:$D,MATCH(D3544,[1]道具配置表!$A:$A,0))</f>
        <v>最高等级枪兵直接使用X1</v>
      </c>
      <c r="F3544" s="50">
        <v>1600</v>
      </c>
      <c r="G3544" s="50"/>
      <c r="H3544" s="50"/>
      <c r="I3544" s="50"/>
      <c r="J3544" s="50"/>
      <c r="K3544" s="50">
        <v>1</v>
      </c>
      <c r="L3544" s="50"/>
      <c r="M3544" s="50" t="b">
        <v>1</v>
      </c>
    </row>
    <row r="3545" spans="1:13" x14ac:dyDescent="0.25">
      <c r="A3545" s="50" t="s">
        <v>119</v>
      </c>
      <c r="B3545" s="50" t="s">
        <v>119</v>
      </c>
      <c r="C3545" s="50" t="str">
        <f>IF(A3545="","",IF((COUNTIFS(A:A,A3545))&gt;1,"ID重复",""))</f>
        <v/>
      </c>
      <c r="D3545" s="50">
        <v>9037</v>
      </c>
      <c r="E3545" s="132" t="str">
        <f>INDEX([1]道具配置表!$D:$D,MATCH(D3545,[1]道具配置表!$A:$A,0))</f>
        <v>最高等级骑兵直接使用X1</v>
      </c>
      <c r="F3545" s="50">
        <v>1600</v>
      </c>
      <c r="G3545" s="50"/>
      <c r="H3545" s="50"/>
      <c r="I3545" s="50"/>
      <c r="J3545" s="50"/>
      <c r="K3545" s="50">
        <v>1</v>
      </c>
      <c r="L3545" s="50"/>
      <c r="M3545" s="50" t="b">
        <v>1</v>
      </c>
    </row>
    <row r="3546" spans="1:13" x14ac:dyDescent="0.25">
      <c r="A3546" s="50" t="s">
        <v>119</v>
      </c>
      <c r="B3546" s="50" t="s">
        <v>119</v>
      </c>
      <c r="C3546" s="50" t="str">
        <f>IF(A3546="","",IF((COUNTIFS(A:A,A3546))&gt;1,"ID重复",""))</f>
        <v/>
      </c>
      <c r="D3546" s="50">
        <v>9038</v>
      </c>
      <c r="E3546" s="132" t="str">
        <f>INDEX([1]道具配置表!$D:$D,MATCH(D3546,[1]道具配置表!$A:$A,0))</f>
        <v>最高等级弓兵直接使用X1</v>
      </c>
      <c r="F3546" s="50">
        <v>1600</v>
      </c>
      <c r="G3546" s="50"/>
      <c r="H3546" s="50"/>
      <c r="I3546" s="50"/>
      <c r="J3546" s="50"/>
      <c r="K3546" s="50">
        <v>1</v>
      </c>
      <c r="L3546" s="50"/>
      <c r="M3546" s="50" t="b">
        <v>1</v>
      </c>
    </row>
    <row r="3547" spans="1:13" x14ac:dyDescent="0.25">
      <c r="A3547" s="50">
        <v>6630009</v>
      </c>
      <c r="B3547" s="50" t="s">
        <v>664</v>
      </c>
      <c r="C3547" s="50" t="str">
        <f>IF(A3547="","",IF((COUNTIFS(A:A,A3547))&gt;1,"ID重复",""))</f>
        <v/>
      </c>
      <c r="D3547" s="50">
        <v>2007</v>
      </c>
      <c r="E3547" s="132" t="str">
        <f>INDEX([1]道具配置表!$D:$D,MATCH(D3547,[1]道具配置表!$A:$A,0))</f>
        <v>大奖池招募券</v>
      </c>
      <c r="F3547" s="50">
        <v>2</v>
      </c>
      <c r="G3547" s="50"/>
      <c r="H3547" s="50"/>
      <c r="I3547" s="50"/>
      <c r="J3547" s="50"/>
      <c r="K3547" s="50">
        <v>1</v>
      </c>
      <c r="L3547" s="50"/>
      <c r="M3547" s="50" t="b">
        <v>1</v>
      </c>
    </row>
    <row r="3548" spans="1:13" x14ac:dyDescent="0.25">
      <c r="A3548" s="50" t="s">
        <v>119</v>
      </c>
      <c r="B3548" s="50" t="s">
        <v>119</v>
      </c>
      <c r="C3548" s="50" t="str">
        <f>IF(A3548="","",IF((COUNTIFS(A:A,A3548))&gt;1,"ID重复",""))</f>
        <v/>
      </c>
      <c r="D3548" s="50">
        <v>9035</v>
      </c>
      <c r="E3548" s="132" t="str">
        <f>INDEX([1]道具配置表!$D:$D,MATCH(D3548,[1]道具配置表!$A:$A,0))</f>
        <v>最高等级剑士直接使用X1</v>
      </c>
      <c r="F3548" s="50">
        <v>1800</v>
      </c>
      <c r="G3548" s="50"/>
      <c r="H3548" s="50"/>
      <c r="I3548" s="50"/>
      <c r="J3548" s="50"/>
      <c r="K3548" s="50">
        <v>1</v>
      </c>
      <c r="L3548" s="50"/>
      <c r="M3548" s="50" t="b">
        <v>1</v>
      </c>
    </row>
    <row r="3549" spans="1:13" x14ac:dyDescent="0.25">
      <c r="A3549" s="50" t="s">
        <v>119</v>
      </c>
      <c r="B3549" s="50" t="s">
        <v>119</v>
      </c>
      <c r="C3549" s="50" t="str">
        <f>IF(A3549="","",IF((COUNTIFS(A:A,A3549))&gt;1,"ID重复",""))</f>
        <v/>
      </c>
      <c r="D3549" s="50">
        <v>9036</v>
      </c>
      <c r="E3549" s="132" t="str">
        <f>INDEX([1]道具配置表!$D:$D,MATCH(D3549,[1]道具配置表!$A:$A,0))</f>
        <v>最高等级枪兵直接使用X1</v>
      </c>
      <c r="F3549" s="50">
        <v>1800</v>
      </c>
      <c r="G3549" s="50"/>
      <c r="H3549" s="50"/>
      <c r="I3549" s="50"/>
      <c r="J3549" s="50"/>
      <c r="K3549" s="50">
        <v>1</v>
      </c>
      <c r="L3549" s="50"/>
      <c r="M3549" s="50" t="b">
        <v>1</v>
      </c>
    </row>
    <row r="3550" spans="1:13" x14ac:dyDescent="0.25">
      <c r="A3550" s="50" t="s">
        <v>119</v>
      </c>
      <c r="B3550" s="50" t="s">
        <v>119</v>
      </c>
      <c r="C3550" s="50" t="str">
        <f>IF(A3550="","",IF((COUNTIFS(A:A,A3550))&gt;1,"ID重复",""))</f>
        <v/>
      </c>
      <c r="D3550" s="50">
        <v>9037</v>
      </c>
      <c r="E3550" s="132" t="str">
        <f>INDEX([1]道具配置表!$D:$D,MATCH(D3550,[1]道具配置表!$A:$A,0))</f>
        <v>最高等级骑兵直接使用X1</v>
      </c>
      <c r="F3550" s="50">
        <v>1800</v>
      </c>
      <c r="G3550" s="50"/>
      <c r="H3550" s="50"/>
      <c r="I3550" s="50"/>
      <c r="J3550" s="50"/>
      <c r="K3550" s="50">
        <v>1</v>
      </c>
      <c r="L3550" s="50"/>
      <c r="M3550" s="50" t="b">
        <v>1</v>
      </c>
    </row>
    <row r="3551" spans="1:13" x14ac:dyDescent="0.25">
      <c r="A3551" s="50" t="s">
        <v>119</v>
      </c>
      <c r="B3551" s="50" t="s">
        <v>119</v>
      </c>
      <c r="C3551" s="50" t="str">
        <f>IF(A3551="","",IF((COUNTIFS(A:A,A3551))&gt;1,"ID重复",""))</f>
        <v/>
      </c>
      <c r="D3551" s="50">
        <v>9038</v>
      </c>
      <c r="E3551" s="132" t="str">
        <f>INDEX([1]道具配置表!$D:$D,MATCH(D3551,[1]道具配置表!$A:$A,0))</f>
        <v>最高等级弓兵直接使用X1</v>
      </c>
      <c r="F3551" s="50">
        <v>1800</v>
      </c>
      <c r="G3551" s="50"/>
      <c r="H3551" s="50"/>
      <c r="I3551" s="50"/>
      <c r="J3551" s="50"/>
      <c r="K3551" s="50">
        <v>1</v>
      </c>
      <c r="L3551" s="50"/>
      <c r="M3551" s="50" t="b">
        <v>1</v>
      </c>
    </row>
    <row r="3552" spans="1:13" x14ac:dyDescent="0.25">
      <c r="A3552" s="50">
        <v>6630010</v>
      </c>
      <c r="B3552" s="50" t="s">
        <v>665</v>
      </c>
      <c r="C3552" s="50" t="str">
        <f>IF(A3552="","",IF((COUNTIFS(A:A,A3552))&gt;1,"ID重复",""))</f>
        <v/>
      </c>
      <c r="D3552" s="50">
        <v>2007</v>
      </c>
      <c r="E3552" s="132" t="str">
        <f>INDEX([1]道具配置表!$D:$D,MATCH(D3552,[1]道具配置表!$A:$A,0))</f>
        <v>大奖池招募券</v>
      </c>
      <c r="F3552" s="50">
        <v>2</v>
      </c>
      <c r="G3552" s="50"/>
      <c r="H3552" s="50"/>
      <c r="I3552" s="50"/>
      <c r="J3552" s="50"/>
      <c r="K3552" s="50">
        <v>1</v>
      </c>
      <c r="L3552" s="50"/>
      <c r="M3552" s="50" t="b">
        <v>1</v>
      </c>
    </row>
    <row r="3553" spans="1:13" x14ac:dyDescent="0.25">
      <c r="A3553" s="50" t="s">
        <v>119</v>
      </c>
      <c r="B3553" s="50" t="s">
        <v>119</v>
      </c>
      <c r="C3553" s="50" t="str">
        <f>IF(A3553="","",IF((COUNTIFS(A:A,A3553))&gt;1,"ID重复",""))</f>
        <v/>
      </c>
      <c r="D3553" s="50">
        <v>9035</v>
      </c>
      <c r="E3553" s="132" t="str">
        <f>INDEX([1]道具配置表!$D:$D,MATCH(D3553,[1]道具配置表!$A:$A,0))</f>
        <v>最高等级剑士直接使用X1</v>
      </c>
      <c r="F3553" s="50">
        <v>2000</v>
      </c>
      <c r="G3553" s="50"/>
      <c r="H3553" s="50"/>
      <c r="I3553" s="50"/>
      <c r="J3553" s="50"/>
      <c r="K3553" s="50">
        <v>1</v>
      </c>
      <c r="L3553" s="50"/>
      <c r="M3553" s="50" t="b">
        <v>1</v>
      </c>
    </row>
    <row r="3554" spans="1:13" x14ac:dyDescent="0.25">
      <c r="A3554" s="50" t="s">
        <v>119</v>
      </c>
      <c r="B3554" s="50" t="s">
        <v>119</v>
      </c>
      <c r="C3554" s="50" t="str">
        <f>IF(A3554="","",IF((COUNTIFS(A:A,A3554))&gt;1,"ID重复",""))</f>
        <v/>
      </c>
      <c r="D3554" s="50">
        <v>9036</v>
      </c>
      <c r="E3554" s="132" t="str">
        <f>INDEX([1]道具配置表!$D:$D,MATCH(D3554,[1]道具配置表!$A:$A,0))</f>
        <v>最高等级枪兵直接使用X1</v>
      </c>
      <c r="F3554" s="50">
        <v>2000</v>
      </c>
      <c r="G3554" s="50"/>
      <c r="H3554" s="50"/>
      <c r="I3554" s="50"/>
      <c r="J3554" s="50"/>
      <c r="K3554" s="50">
        <v>1</v>
      </c>
      <c r="L3554" s="50"/>
      <c r="M3554" s="50" t="b">
        <v>1</v>
      </c>
    </row>
    <row r="3555" spans="1:13" x14ac:dyDescent="0.25">
      <c r="A3555" s="50" t="s">
        <v>119</v>
      </c>
      <c r="B3555" s="50" t="s">
        <v>119</v>
      </c>
      <c r="C3555" s="50" t="str">
        <f>IF(A3555="","",IF((COUNTIFS(A:A,A3555))&gt;1,"ID重复",""))</f>
        <v/>
      </c>
      <c r="D3555" s="50">
        <v>9037</v>
      </c>
      <c r="E3555" s="132" t="str">
        <f>INDEX([1]道具配置表!$D:$D,MATCH(D3555,[1]道具配置表!$A:$A,0))</f>
        <v>最高等级骑兵直接使用X1</v>
      </c>
      <c r="F3555" s="50">
        <v>2000</v>
      </c>
      <c r="G3555" s="50"/>
      <c r="H3555" s="50"/>
      <c r="I3555" s="50"/>
      <c r="J3555" s="50"/>
      <c r="K3555" s="50">
        <v>1</v>
      </c>
      <c r="L3555" s="50"/>
      <c r="M3555" s="50" t="b">
        <v>1</v>
      </c>
    </row>
    <row r="3556" spans="1:13" x14ac:dyDescent="0.25">
      <c r="A3556" s="50" t="s">
        <v>119</v>
      </c>
      <c r="B3556" s="50" t="s">
        <v>119</v>
      </c>
      <c r="C3556" s="50" t="str">
        <f>IF(A3556="","",IF((COUNTIFS(A:A,A3556))&gt;1,"ID重复",""))</f>
        <v/>
      </c>
      <c r="D3556" s="50">
        <v>9038</v>
      </c>
      <c r="E3556" s="132" t="str">
        <f>INDEX([1]道具配置表!$D:$D,MATCH(D3556,[1]道具配置表!$A:$A,0))</f>
        <v>最高等级弓兵直接使用X1</v>
      </c>
      <c r="F3556" s="50">
        <v>2000</v>
      </c>
      <c r="G3556" s="50"/>
      <c r="H3556" s="50"/>
      <c r="I3556" s="50"/>
      <c r="J3556" s="50"/>
      <c r="K3556" s="50">
        <v>1</v>
      </c>
      <c r="L3556" s="50"/>
      <c r="M3556" s="50" t="b">
        <v>1</v>
      </c>
    </row>
    <row r="3557" spans="1:13" x14ac:dyDescent="0.25">
      <c r="A3557" s="50">
        <v>6630011</v>
      </c>
      <c r="B3557" s="50" t="s">
        <v>666</v>
      </c>
      <c r="C3557" s="50" t="str">
        <f>IF(A3557="","",IF((COUNTIFS(A:A,A3557))&gt;1,"ID重复",""))</f>
        <v/>
      </c>
      <c r="D3557" s="50">
        <v>2007</v>
      </c>
      <c r="E3557" s="132" t="str">
        <f>INDEX([1]道具配置表!$D:$D,MATCH(D3557,[1]道具配置表!$A:$A,0))</f>
        <v>大奖池招募券</v>
      </c>
      <c r="F3557" s="50">
        <v>2</v>
      </c>
      <c r="G3557" s="50"/>
      <c r="H3557" s="50"/>
      <c r="I3557" s="50"/>
      <c r="J3557" s="50"/>
      <c r="K3557" s="50">
        <v>1</v>
      </c>
      <c r="L3557" s="50"/>
      <c r="M3557" s="50" t="b">
        <v>1</v>
      </c>
    </row>
    <row r="3558" spans="1:13" x14ac:dyDescent="0.25">
      <c r="A3558" s="50" t="s">
        <v>119</v>
      </c>
      <c r="B3558" s="50" t="s">
        <v>119</v>
      </c>
      <c r="C3558" s="50" t="str">
        <f>IF(A3558="","",IF((COUNTIFS(A:A,A3558))&gt;1,"ID重复",""))</f>
        <v/>
      </c>
      <c r="D3558" s="50">
        <v>9035</v>
      </c>
      <c r="E3558" s="132" t="str">
        <f>INDEX([1]道具配置表!$D:$D,MATCH(D3558,[1]道具配置表!$A:$A,0))</f>
        <v>最高等级剑士直接使用X1</v>
      </c>
      <c r="F3558" s="50">
        <v>2200</v>
      </c>
      <c r="G3558" s="50"/>
      <c r="H3558" s="50"/>
      <c r="I3558" s="50"/>
      <c r="J3558" s="50"/>
      <c r="K3558" s="50">
        <v>1</v>
      </c>
      <c r="L3558" s="50"/>
      <c r="M3558" s="50" t="b">
        <v>1</v>
      </c>
    </row>
    <row r="3559" spans="1:13" x14ac:dyDescent="0.25">
      <c r="A3559" s="50" t="s">
        <v>119</v>
      </c>
      <c r="B3559" s="50" t="s">
        <v>119</v>
      </c>
      <c r="C3559" s="50" t="str">
        <f>IF(A3559="","",IF((COUNTIFS(A:A,A3559))&gt;1,"ID重复",""))</f>
        <v/>
      </c>
      <c r="D3559" s="50">
        <v>9036</v>
      </c>
      <c r="E3559" s="132" t="str">
        <f>INDEX([1]道具配置表!$D:$D,MATCH(D3559,[1]道具配置表!$A:$A,0))</f>
        <v>最高等级枪兵直接使用X1</v>
      </c>
      <c r="F3559" s="50">
        <v>2200</v>
      </c>
      <c r="G3559" s="50"/>
      <c r="H3559" s="50"/>
      <c r="I3559" s="50"/>
      <c r="J3559" s="50"/>
      <c r="K3559" s="50">
        <v>1</v>
      </c>
      <c r="L3559" s="50"/>
      <c r="M3559" s="50" t="b">
        <v>1</v>
      </c>
    </row>
    <row r="3560" spans="1:13" x14ac:dyDescent="0.25">
      <c r="A3560" s="50" t="s">
        <v>119</v>
      </c>
      <c r="B3560" s="50" t="s">
        <v>119</v>
      </c>
      <c r="C3560" s="50" t="str">
        <f>IF(A3560="","",IF((COUNTIFS(A:A,A3560))&gt;1,"ID重复",""))</f>
        <v/>
      </c>
      <c r="D3560" s="50">
        <v>9037</v>
      </c>
      <c r="E3560" s="132" t="str">
        <f>INDEX([1]道具配置表!$D:$D,MATCH(D3560,[1]道具配置表!$A:$A,0))</f>
        <v>最高等级骑兵直接使用X1</v>
      </c>
      <c r="F3560" s="50">
        <v>2200</v>
      </c>
      <c r="G3560" s="50"/>
      <c r="H3560" s="50"/>
      <c r="I3560" s="50"/>
      <c r="J3560" s="50"/>
      <c r="K3560" s="50">
        <v>1</v>
      </c>
      <c r="L3560" s="50"/>
      <c r="M3560" s="50" t="b">
        <v>1</v>
      </c>
    </row>
    <row r="3561" spans="1:13" x14ac:dyDescent="0.25">
      <c r="A3561" s="50" t="s">
        <v>119</v>
      </c>
      <c r="B3561" s="50" t="s">
        <v>119</v>
      </c>
      <c r="C3561" s="50" t="str">
        <f>IF(A3561="","",IF((COUNTIFS(A:A,A3561))&gt;1,"ID重复",""))</f>
        <v/>
      </c>
      <c r="D3561" s="50">
        <v>9038</v>
      </c>
      <c r="E3561" s="132" t="str">
        <f>INDEX([1]道具配置表!$D:$D,MATCH(D3561,[1]道具配置表!$A:$A,0))</f>
        <v>最高等级弓兵直接使用X1</v>
      </c>
      <c r="F3561" s="50">
        <v>2200</v>
      </c>
      <c r="G3561" s="50"/>
      <c r="H3561" s="50"/>
      <c r="I3561" s="50"/>
      <c r="J3561" s="50"/>
      <c r="K3561" s="50">
        <v>1</v>
      </c>
      <c r="L3561" s="50"/>
      <c r="M3561" s="50" t="b">
        <v>1</v>
      </c>
    </row>
    <row r="3562" spans="1:13" x14ac:dyDescent="0.25">
      <c r="A3562" s="50">
        <v>6630012</v>
      </c>
      <c r="B3562" s="50" t="s">
        <v>667</v>
      </c>
      <c r="C3562" s="50" t="str">
        <f>IF(A3562="","",IF((COUNTIFS(A:A,A3562))&gt;1,"ID重复",""))</f>
        <v/>
      </c>
      <c r="D3562" s="50">
        <v>2007</v>
      </c>
      <c r="E3562" s="132" t="str">
        <f>INDEX([1]道具配置表!$D:$D,MATCH(D3562,[1]道具配置表!$A:$A,0))</f>
        <v>大奖池招募券</v>
      </c>
      <c r="F3562" s="50">
        <v>2</v>
      </c>
      <c r="G3562" s="50"/>
      <c r="H3562" s="50"/>
      <c r="I3562" s="50"/>
      <c r="J3562" s="50"/>
      <c r="K3562" s="50">
        <v>1</v>
      </c>
      <c r="L3562" s="50"/>
      <c r="M3562" s="50" t="b">
        <v>1</v>
      </c>
    </row>
    <row r="3563" spans="1:13" x14ac:dyDescent="0.25">
      <c r="A3563" s="50" t="s">
        <v>119</v>
      </c>
      <c r="B3563" s="50" t="s">
        <v>119</v>
      </c>
      <c r="C3563" s="50" t="str">
        <f>IF(A3563="","",IF((COUNTIFS(A:A,A3563))&gt;1,"ID重复",""))</f>
        <v/>
      </c>
      <c r="D3563" s="50">
        <v>9035</v>
      </c>
      <c r="E3563" s="132" t="str">
        <f>INDEX([1]道具配置表!$D:$D,MATCH(D3563,[1]道具配置表!$A:$A,0))</f>
        <v>最高等级剑士直接使用X1</v>
      </c>
      <c r="F3563" s="50">
        <v>2400</v>
      </c>
      <c r="G3563" s="50"/>
      <c r="H3563" s="50"/>
      <c r="I3563" s="50"/>
      <c r="J3563" s="50"/>
      <c r="K3563" s="50">
        <v>1</v>
      </c>
      <c r="L3563" s="50"/>
      <c r="M3563" s="50" t="b">
        <v>1</v>
      </c>
    </row>
    <row r="3564" spans="1:13" x14ac:dyDescent="0.25">
      <c r="A3564" s="50" t="s">
        <v>119</v>
      </c>
      <c r="B3564" s="50" t="s">
        <v>119</v>
      </c>
      <c r="C3564" s="50" t="str">
        <f>IF(A3564="","",IF((COUNTIFS(A:A,A3564))&gt;1,"ID重复",""))</f>
        <v/>
      </c>
      <c r="D3564" s="50">
        <v>9036</v>
      </c>
      <c r="E3564" s="132" t="str">
        <f>INDEX([1]道具配置表!$D:$D,MATCH(D3564,[1]道具配置表!$A:$A,0))</f>
        <v>最高等级枪兵直接使用X1</v>
      </c>
      <c r="F3564" s="50">
        <v>2400</v>
      </c>
      <c r="G3564" s="50"/>
      <c r="H3564" s="50"/>
      <c r="I3564" s="50"/>
      <c r="J3564" s="50"/>
      <c r="K3564" s="50">
        <v>1</v>
      </c>
      <c r="L3564" s="50"/>
      <c r="M3564" s="50" t="b">
        <v>1</v>
      </c>
    </row>
    <row r="3565" spans="1:13" x14ac:dyDescent="0.25">
      <c r="A3565" s="50" t="s">
        <v>119</v>
      </c>
      <c r="B3565" s="50" t="s">
        <v>119</v>
      </c>
      <c r="C3565" s="50" t="str">
        <f>IF(A3565="","",IF((COUNTIFS(A:A,A3565))&gt;1,"ID重复",""))</f>
        <v/>
      </c>
      <c r="D3565" s="50">
        <v>9037</v>
      </c>
      <c r="E3565" s="132" t="str">
        <f>INDEX([1]道具配置表!$D:$D,MATCH(D3565,[1]道具配置表!$A:$A,0))</f>
        <v>最高等级骑兵直接使用X1</v>
      </c>
      <c r="F3565" s="50">
        <v>2400</v>
      </c>
      <c r="G3565" s="50"/>
      <c r="H3565" s="50"/>
      <c r="I3565" s="50"/>
      <c r="J3565" s="50"/>
      <c r="K3565" s="50">
        <v>1</v>
      </c>
      <c r="L3565" s="50"/>
      <c r="M3565" s="50" t="b">
        <v>1</v>
      </c>
    </row>
    <row r="3566" spans="1:13" x14ac:dyDescent="0.25">
      <c r="A3566" s="50" t="s">
        <v>119</v>
      </c>
      <c r="B3566" s="50" t="s">
        <v>119</v>
      </c>
      <c r="C3566" s="50" t="str">
        <f>IF(A3566="","",IF((COUNTIFS(A:A,A3566))&gt;1,"ID重复",""))</f>
        <v/>
      </c>
      <c r="D3566" s="50">
        <v>9038</v>
      </c>
      <c r="E3566" s="132" t="str">
        <f>INDEX([1]道具配置表!$D:$D,MATCH(D3566,[1]道具配置表!$A:$A,0))</f>
        <v>最高等级弓兵直接使用X1</v>
      </c>
      <c r="F3566" s="50">
        <v>2400</v>
      </c>
      <c r="G3566" s="50"/>
      <c r="H3566" s="50"/>
      <c r="I3566" s="50"/>
      <c r="J3566" s="50"/>
      <c r="K3566" s="50">
        <v>1</v>
      </c>
      <c r="L3566" s="50"/>
      <c r="M3566" s="50" t="b">
        <v>1</v>
      </c>
    </row>
    <row r="3567" spans="1:13" x14ac:dyDescent="0.25">
      <c r="A3567" s="50">
        <v>6630013</v>
      </c>
      <c r="B3567" s="50" t="s">
        <v>668</v>
      </c>
      <c r="C3567" s="50" t="str">
        <f>IF(A3567="","",IF((COUNTIFS(A:A,A3567))&gt;1,"ID重复",""))</f>
        <v/>
      </c>
      <c r="D3567" s="50">
        <v>2007</v>
      </c>
      <c r="E3567" s="132" t="str">
        <f>INDEX([1]道具配置表!$D:$D,MATCH(D3567,[1]道具配置表!$A:$A,0))</f>
        <v>大奖池招募券</v>
      </c>
      <c r="F3567" s="50">
        <v>2</v>
      </c>
      <c r="G3567" s="50"/>
      <c r="H3567" s="50"/>
      <c r="I3567" s="50"/>
      <c r="J3567" s="50"/>
      <c r="K3567" s="50">
        <v>1</v>
      </c>
      <c r="L3567" s="50"/>
      <c r="M3567" s="50" t="b">
        <v>1</v>
      </c>
    </row>
    <row r="3568" spans="1:13" x14ac:dyDescent="0.25">
      <c r="A3568" s="50" t="s">
        <v>119</v>
      </c>
      <c r="B3568" s="50" t="s">
        <v>119</v>
      </c>
      <c r="C3568" s="50" t="str">
        <f>IF(A3568="","",IF((COUNTIFS(A:A,A3568))&gt;1,"ID重复",""))</f>
        <v/>
      </c>
      <c r="D3568" s="50">
        <v>9035</v>
      </c>
      <c r="E3568" s="132" t="str">
        <f>INDEX([1]道具配置表!$D:$D,MATCH(D3568,[1]道具配置表!$A:$A,0))</f>
        <v>最高等级剑士直接使用X1</v>
      </c>
      <c r="F3568" s="50">
        <v>2600</v>
      </c>
      <c r="G3568" s="50"/>
      <c r="H3568" s="50"/>
      <c r="I3568" s="50"/>
      <c r="J3568" s="50"/>
      <c r="K3568" s="50">
        <v>1</v>
      </c>
      <c r="L3568" s="50"/>
      <c r="M3568" s="50" t="b">
        <v>1</v>
      </c>
    </row>
    <row r="3569" spans="1:13" x14ac:dyDescent="0.25">
      <c r="A3569" s="50" t="s">
        <v>119</v>
      </c>
      <c r="B3569" s="50" t="s">
        <v>119</v>
      </c>
      <c r="C3569" s="50" t="str">
        <f>IF(A3569="","",IF((COUNTIFS(A:A,A3569))&gt;1,"ID重复",""))</f>
        <v/>
      </c>
      <c r="D3569" s="50">
        <v>9036</v>
      </c>
      <c r="E3569" s="132" t="str">
        <f>INDEX([1]道具配置表!$D:$D,MATCH(D3569,[1]道具配置表!$A:$A,0))</f>
        <v>最高等级枪兵直接使用X1</v>
      </c>
      <c r="F3569" s="50">
        <v>2600</v>
      </c>
      <c r="G3569" s="50"/>
      <c r="H3569" s="50"/>
      <c r="I3569" s="50"/>
      <c r="J3569" s="50"/>
      <c r="K3569" s="50">
        <v>1</v>
      </c>
      <c r="L3569" s="50"/>
      <c r="M3569" s="50" t="b">
        <v>1</v>
      </c>
    </row>
    <row r="3570" spans="1:13" x14ac:dyDescent="0.25">
      <c r="A3570" s="50" t="s">
        <v>119</v>
      </c>
      <c r="B3570" s="50" t="s">
        <v>119</v>
      </c>
      <c r="C3570" s="50" t="str">
        <f>IF(A3570="","",IF((COUNTIFS(A:A,A3570))&gt;1,"ID重复",""))</f>
        <v/>
      </c>
      <c r="D3570" s="50">
        <v>9037</v>
      </c>
      <c r="E3570" s="132" t="str">
        <f>INDEX([1]道具配置表!$D:$D,MATCH(D3570,[1]道具配置表!$A:$A,0))</f>
        <v>最高等级骑兵直接使用X1</v>
      </c>
      <c r="F3570" s="50">
        <v>2600</v>
      </c>
      <c r="G3570" s="50"/>
      <c r="H3570" s="50"/>
      <c r="I3570" s="50"/>
      <c r="J3570" s="50"/>
      <c r="K3570" s="50">
        <v>1</v>
      </c>
      <c r="L3570" s="50"/>
      <c r="M3570" s="50" t="b">
        <v>1</v>
      </c>
    </row>
    <row r="3571" spans="1:13" x14ac:dyDescent="0.25">
      <c r="A3571" s="50" t="s">
        <v>119</v>
      </c>
      <c r="B3571" s="50" t="s">
        <v>119</v>
      </c>
      <c r="C3571" s="50" t="str">
        <f>IF(A3571="","",IF((COUNTIFS(A:A,A3571))&gt;1,"ID重复",""))</f>
        <v/>
      </c>
      <c r="D3571" s="50">
        <v>9038</v>
      </c>
      <c r="E3571" s="132" t="str">
        <f>INDEX([1]道具配置表!$D:$D,MATCH(D3571,[1]道具配置表!$A:$A,0))</f>
        <v>最高等级弓兵直接使用X1</v>
      </c>
      <c r="F3571" s="50">
        <v>2600</v>
      </c>
      <c r="G3571" s="50"/>
      <c r="H3571" s="50"/>
      <c r="I3571" s="50"/>
      <c r="J3571" s="50"/>
      <c r="K3571" s="50">
        <v>1</v>
      </c>
      <c r="L3571" s="50"/>
      <c r="M3571" s="50" t="b">
        <v>1</v>
      </c>
    </row>
    <row r="3572" spans="1:13" x14ac:dyDescent="0.25">
      <c r="A3572" s="50">
        <v>6630014</v>
      </c>
      <c r="B3572" s="50" t="s">
        <v>669</v>
      </c>
      <c r="C3572" s="50" t="str">
        <f>IF(A3572="","",IF((COUNTIFS(A:A,A3572))&gt;1,"ID重复",""))</f>
        <v/>
      </c>
      <c r="D3572" s="50">
        <v>2007</v>
      </c>
      <c r="E3572" s="132" t="str">
        <f>INDEX([1]道具配置表!$D:$D,MATCH(D3572,[1]道具配置表!$A:$A,0))</f>
        <v>大奖池招募券</v>
      </c>
      <c r="F3572" s="50">
        <v>2</v>
      </c>
      <c r="G3572" s="50"/>
      <c r="H3572" s="50"/>
      <c r="I3572" s="50"/>
      <c r="J3572" s="50"/>
      <c r="K3572" s="50">
        <v>1</v>
      </c>
      <c r="L3572" s="50"/>
      <c r="M3572" s="50" t="b">
        <v>1</v>
      </c>
    </row>
    <row r="3573" spans="1:13" x14ac:dyDescent="0.25">
      <c r="A3573" s="50" t="s">
        <v>119</v>
      </c>
      <c r="B3573" s="50" t="s">
        <v>119</v>
      </c>
      <c r="C3573" s="50" t="str">
        <f>IF(A3573="","",IF((COUNTIFS(A:A,A3573))&gt;1,"ID重复",""))</f>
        <v/>
      </c>
      <c r="D3573" s="50">
        <v>9035</v>
      </c>
      <c r="E3573" s="132" t="str">
        <f>INDEX([1]道具配置表!$D:$D,MATCH(D3573,[1]道具配置表!$A:$A,0))</f>
        <v>最高等级剑士直接使用X1</v>
      </c>
      <c r="F3573" s="50">
        <v>2800</v>
      </c>
      <c r="G3573" s="50"/>
      <c r="H3573" s="50"/>
      <c r="I3573" s="50"/>
      <c r="J3573" s="50"/>
      <c r="K3573" s="50">
        <v>1</v>
      </c>
      <c r="L3573" s="50"/>
      <c r="M3573" s="50" t="b">
        <v>1</v>
      </c>
    </row>
    <row r="3574" spans="1:13" x14ac:dyDescent="0.25">
      <c r="A3574" s="50" t="s">
        <v>119</v>
      </c>
      <c r="B3574" s="50" t="s">
        <v>119</v>
      </c>
      <c r="C3574" s="50" t="str">
        <f>IF(A3574="","",IF((COUNTIFS(A:A,A3574))&gt;1,"ID重复",""))</f>
        <v/>
      </c>
      <c r="D3574" s="50">
        <v>9036</v>
      </c>
      <c r="E3574" s="132" t="str">
        <f>INDEX([1]道具配置表!$D:$D,MATCH(D3574,[1]道具配置表!$A:$A,0))</f>
        <v>最高等级枪兵直接使用X1</v>
      </c>
      <c r="F3574" s="50">
        <v>2800</v>
      </c>
      <c r="G3574" s="50"/>
      <c r="H3574" s="50"/>
      <c r="I3574" s="50"/>
      <c r="J3574" s="50"/>
      <c r="K3574" s="50">
        <v>1</v>
      </c>
      <c r="L3574" s="50"/>
      <c r="M3574" s="50" t="b">
        <v>1</v>
      </c>
    </row>
    <row r="3575" spans="1:13" x14ac:dyDescent="0.25">
      <c r="A3575" s="50" t="s">
        <v>119</v>
      </c>
      <c r="B3575" s="50" t="s">
        <v>119</v>
      </c>
      <c r="C3575" s="50" t="str">
        <f>IF(A3575="","",IF((COUNTIFS(A:A,A3575))&gt;1,"ID重复",""))</f>
        <v/>
      </c>
      <c r="D3575" s="50">
        <v>9037</v>
      </c>
      <c r="E3575" s="132" t="str">
        <f>INDEX([1]道具配置表!$D:$D,MATCH(D3575,[1]道具配置表!$A:$A,0))</f>
        <v>最高等级骑兵直接使用X1</v>
      </c>
      <c r="F3575" s="50">
        <v>2800</v>
      </c>
      <c r="G3575" s="50"/>
      <c r="H3575" s="50"/>
      <c r="I3575" s="50"/>
      <c r="J3575" s="50"/>
      <c r="K3575" s="50">
        <v>1</v>
      </c>
      <c r="L3575" s="50"/>
      <c r="M3575" s="50" t="b">
        <v>1</v>
      </c>
    </row>
    <row r="3576" spans="1:13" x14ac:dyDescent="0.25">
      <c r="A3576" s="50" t="s">
        <v>119</v>
      </c>
      <c r="B3576" s="50" t="s">
        <v>119</v>
      </c>
      <c r="C3576" s="50" t="str">
        <f>IF(A3576="","",IF((COUNTIFS(A:A,A3576))&gt;1,"ID重复",""))</f>
        <v/>
      </c>
      <c r="D3576" s="50">
        <v>9038</v>
      </c>
      <c r="E3576" s="132" t="str">
        <f>INDEX([1]道具配置表!$D:$D,MATCH(D3576,[1]道具配置表!$A:$A,0))</f>
        <v>最高等级弓兵直接使用X1</v>
      </c>
      <c r="F3576" s="50">
        <v>2800</v>
      </c>
      <c r="G3576" s="50"/>
      <c r="H3576" s="50"/>
      <c r="I3576" s="50"/>
      <c r="J3576" s="50"/>
      <c r="K3576" s="50">
        <v>1</v>
      </c>
      <c r="L3576" s="50"/>
      <c r="M3576" s="50" t="b">
        <v>1</v>
      </c>
    </row>
    <row r="3577" spans="1:13" x14ac:dyDescent="0.25">
      <c r="A3577" s="13">
        <v>6631001</v>
      </c>
      <c r="B3577" s="13" t="s">
        <v>674</v>
      </c>
      <c r="D3577" s="13">
        <v>7227</v>
      </c>
      <c r="E3577" s="132" t="str">
        <f>INDEX([1]道具配置表!$D:$D,MATCH(D3577,[1]道具配置表!$A:$A,0))</f>
        <v>经验书*1000</v>
      </c>
      <c r="F3577" s="13">
        <v>100</v>
      </c>
      <c r="K3577" s="53">
        <v>1</v>
      </c>
      <c r="L3577" s="53"/>
      <c r="M3577" s="53" t="b">
        <v>1</v>
      </c>
    </row>
    <row r="3578" spans="1:13" x14ac:dyDescent="0.25">
      <c r="D3578" s="13">
        <v>232</v>
      </c>
      <c r="E3578" s="132" t="str">
        <f>INDEX([1]道具配置表!$D:$D,MATCH(D3578,[1]道具配置表!$A:$A,0))</f>
        <v>1万食物</v>
      </c>
      <c r="F3578" s="13">
        <v>2</v>
      </c>
      <c r="K3578" s="53">
        <v>1</v>
      </c>
      <c r="L3578" s="53"/>
      <c r="M3578" s="53" t="b">
        <v>1</v>
      </c>
    </row>
    <row r="3579" spans="1:13" x14ac:dyDescent="0.25">
      <c r="D3579" s="13">
        <v>231</v>
      </c>
      <c r="E3579" s="132" t="str">
        <f>INDEX([1]道具配置表!$D:$D,MATCH(D3579,[1]道具配置表!$A:$A,0))</f>
        <v>1万木材</v>
      </c>
      <c r="F3579" s="13">
        <v>2</v>
      </c>
      <c r="K3579" s="53">
        <v>1</v>
      </c>
      <c r="L3579" s="53"/>
      <c r="M3579" s="53" t="b">
        <v>1</v>
      </c>
    </row>
    <row r="3580" spans="1:13" x14ac:dyDescent="0.25">
      <c r="D3580" s="13">
        <v>233</v>
      </c>
      <c r="E3580" s="132" t="str">
        <f>INDEX([1]道具配置表!$D:$D,MATCH(D3580,[1]道具配置表!$A:$A,0))</f>
        <v>1万石头</v>
      </c>
      <c r="F3580" s="13">
        <v>2</v>
      </c>
      <c r="K3580" s="53">
        <v>1</v>
      </c>
      <c r="L3580" s="53"/>
      <c r="M3580" s="53" t="b">
        <v>1</v>
      </c>
    </row>
    <row r="3581" spans="1:13" x14ac:dyDescent="0.25">
      <c r="D3581" s="13">
        <v>234</v>
      </c>
      <c r="E3581" s="132" t="str">
        <f>INDEX([1]道具配置表!$D:$D,MATCH(D3581,[1]道具配置表!$A:$A,0))</f>
        <v>1万黄金</v>
      </c>
      <c r="F3581" s="13">
        <v>2</v>
      </c>
      <c r="K3581" s="53">
        <v>1</v>
      </c>
      <c r="L3581" s="53"/>
      <c r="M3581" s="53" t="b">
        <v>1</v>
      </c>
    </row>
    <row r="3582" spans="1:13" x14ac:dyDescent="0.25">
      <c r="A3582" s="13">
        <v>6631002</v>
      </c>
      <c r="B3582" s="13" t="s">
        <v>675</v>
      </c>
      <c r="D3582" s="13">
        <v>7227</v>
      </c>
      <c r="E3582" s="132" t="str">
        <f>INDEX([1]道具配置表!$D:$D,MATCH(D3582,[1]道具配置表!$A:$A,0))</f>
        <v>经验书*1000</v>
      </c>
      <c r="F3582" s="13">
        <v>120</v>
      </c>
      <c r="K3582" s="53">
        <v>1</v>
      </c>
      <c r="L3582" s="53"/>
      <c r="M3582" s="53" t="b">
        <v>1</v>
      </c>
    </row>
    <row r="3583" spans="1:13" x14ac:dyDescent="0.25">
      <c r="D3583" s="13">
        <v>232</v>
      </c>
      <c r="E3583" s="132" t="str">
        <f>INDEX([1]道具配置表!$D:$D,MATCH(D3583,[1]道具配置表!$A:$A,0))</f>
        <v>1万食物</v>
      </c>
      <c r="F3583" s="13">
        <v>4</v>
      </c>
      <c r="K3583" s="53">
        <v>1</v>
      </c>
      <c r="L3583" s="53"/>
      <c r="M3583" s="53" t="b">
        <v>1</v>
      </c>
    </row>
    <row r="3584" spans="1:13" x14ac:dyDescent="0.25">
      <c r="D3584" s="13">
        <v>231</v>
      </c>
      <c r="E3584" s="132" t="str">
        <f>INDEX([1]道具配置表!$D:$D,MATCH(D3584,[1]道具配置表!$A:$A,0))</f>
        <v>1万木材</v>
      </c>
      <c r="F3584" s="13">
        <v>4</v>
      </c>
      <c r="K3584" s="53">
        <v>1</v>
      </c>
      <c r="L3584" s="53"/>
      <c r="M3584" s="53" t="b">
        <v>1</v>
      </c>
    </row>
    <row r="3585" spans="1:13" x14ac:dyDescent="0.25">
      <c r="D3585" s="13">
        <v>233</v>
      </c>
      <c r="E3585" s="132" t="str">
        <f>INDEX([1]道具配置表!$D:$D,MATCH(D3585,[1]道具配置表!$A:$A,0))</f>
        <v>1万石头</v>
      </c>
      <c r="F3585" s="13">
        <v>4</v>
      </c>
      <c r="K3585" s="53">
        <v>1</v>
      </c>
      <c r="L3585" s="53"/>
      <c r="M3585" s="53" t="b">
        <v>1</v>
      </c>
    </row>
    <row r="3586" spans="1:13" x14ac:dyDescent="0.25">
      <c r="D3586" s="13">
        <v>234</v>
      </c>
      <c r="E3586" s="132" t="str">
        <f>INDEX([1]道具配置表!$D:$D,MATCH(D3586,[1]道具配置表!$A:$A,0))</f>
        <v>1万黄金</v>
      </c>
      <c r="F3586" s="13">
        <v>4</v>
      </c>
      <c r="K3586" s="53">
        <v>1</v>
      </c>
      <c r="L3586" s="53"/>
      <c r="M3586" s="53" t="b">
        <v>1</v>
      </c>
    </row>
    <row r="3587" spans="1:13" x14ac:dyDescent="0.25">
      <c r="A3587" s="13">
        <v>6631003</v>
      </c>
      <c r="B3587" s="13" t="s">
        <v>676</v>
      </c>
      <c r="D3587" s="13">
        <v>7227</v>
      </c>
      <c r="E3587" s="132" t="str">
        <f>INDEX([1]道具配置表!$D:$D,MATCH(D3587,[1]道具配置表!$A:$A,0))</f>
        <v>经验书*1000</v>
      </c>
      <c r="F3587" s="13">
        <v>140</v>
      </c>
      <c r="K3587" s="53">
        <v>1</v>
      </c>
      <c r="L3587" s="53"/>
      <c r="M3587" s="53" t="b">
        <v>1</v>
      </c>
    </row>
    <row r="3588" spans="1:13" x14ac:dyDescent="0.25">
      <c r="D3588" s="13">
        <v>232</v>
      </c>
      <c r="E3588" s="132" t="str">
        <f>INDEX([1]道具配置表!$D:$D,MATCH(D3588,[1]道具配置表!$A:$A,0))</f>
        <v>1万食物</v>
      </c>
      <c r="F3588" s="13">
        <v>6</v>
      </c>
      <c r="K3588" s="53">
        <v>1</v>
      </c>
      <c r="L3588" s="53"/>
      <c r="M3588" s="53" t="b">
        <v>1</v>
      </c>
    </row>
    <row r="3589" spans="1:13" x14ac:dyDescent="0.25">
      <c r="D3589" s="13">
        <v>231</v>
      </c>
      <c r="E3589" s="132" t="str">
        <f>INDEX([1]道具配置表!$D:$D,MATCH(D3589,[1]道具配置表!$A:$A,0))</f>
        <v>1万木材</v>
      </c>
      <c r="F3589" s="13">
        <v>6</v>
      </c>
      <c r="K3589" s="53">
        <v>1</v>
      </c>
      <c r="L3589" s="53"/>
      <c r="M3589" s="53" t="b">
        <v>1</v>
      </c>
    </row>
    <row r="3590" spans="1:13" x14ac:dyDescent="0.25">
      <c r="D3590" s="13">
        <v>233</v>
      </c>
      <c r="E3590" s="132" t="str">
        <f>INDEX([1]道具配置表!$D:$D,MATCH(D3590,[1]道具配置表!$A:$A,0))</f>
        <v>1万石头</v>
      </c>
      <c r="F3590" s="13">
        <v>6</v>
      </c>
      <c r="K3590" s="53">
        <v>1</v>
      </c>
      <c r="L3590" s="53"/>
      <c r="M3590" s="53" t="b">
        <v>1</v>
      </c>
    </row>
    <row r="3591" spans="1:13" x14ac:dyDescent="0.25">
      <c r="D3591" s="13">
        <v>234</v>
      </c>
      <c r="E3591" s="132" t="str">
        <f>INDEX([1]道具配置表!$D:$D,MATCH(D3591,[1]道具配置表!$A:$A,0))</f>
        <v>1万黄金</v>
      </c>
      <c r="F3591" s="13">
        <v>6</v>
      </c>
      <c r="K3591" s="53">
        <v>1</v>
      </c>
      <c r="L3591" s="53"/>
      <c r="M3591" s="53" t="b">
        <v>1</v>
      </c>
    </row>
    <row r="3592" spans="1:13" x14ac:dyDescent="0.25">
      <c r="A3592" s="13">
        <v>6631004</v>
      </c>
      <c r="B3592" s="13" t="s">
        <v>677</v>
      </c>
      <c r="D3592" s="13">
        <v>7227</v>
      </c>
      <c r="E3592" s="132" t="str">
        <f>INDEX([1]道具配置表!$D:$D,MATCH(D3592,[1]道具配置表!$A:$A,0))</f>
        <v>经验书*1000</v>
      </c>
      <c r="F3592" s="13">
        <v>150</v>
      </c>
      <c r="K3592" s="53">
        <v>1</v>
      </c>
      <c r="L3592" s="53"/>
      <c r="M3592" s="53" t="b">
        <v>1</v>
      </c>
    </row>
    <row r="3593" spans="1:13" x14ac:dyDescent="0.25">
      <c r="D3593" s="13">
        <v>232</v>
      </c>
      <c r="E3593" s="132" t="str">
        <f>INDEX([1]道具配置表!$D:$D,MATCH(D3593,[1]道具配置表!$A:$A,0))</f>
        <v>1万食物</v>
      </c>
      <c r="F3593" s="13">
        <v>7</v>
      </c>
      <c r="K3593" s="53">
        <v>1</v>
      </c>
      <c r="L3593" s="53"/>
      <c r="M3593" s="53" t="b">
        <v>1</v>
      </c>
    </row>
    <row r="3594" spans="1:13" x14ac:dyDescent="0.25">
      <c r="D3594" s="13">
        <v>231</v>
      </c>
      <c r="E3594" s="132" t="str">
        <f>INDEX([1]道具配置表!$D:$D,MATCH(D3594,[1]道具配置表!$A:$A,0))</f>
        <v>1万木材</v>
      </c>
      <c r="F3594" s="13">
        <v>7</v>
      </c>
      <c r="K3594" s="53">
        <v>1</v>
      </c>
      <c r="L3594" s="53"/>
      <c r="M3594" s="53" t="b">
        <v>1</v>
      </c>
    </row>
    <row r="3595" spans="1:13" x14ac:dyDescent="0.25">
      <c r="D3595" s="13">
        <v>233</v>
      </c>
      <c r="E3595" s="132" t="str">
        <f>INDEX([1]道具配置表!$D:$D,MATCH(D3595,[1]道具配置表!$A:$A,0))</f>
        <v>1万石头</v>
      </c>
      <c r="F3595" s="13">
        <v>7</v>
      </c>
      <c r="K3595" s="53">
        <v>1</v>
      </c>
      <c r="L3595" s="53"/>
      <c r="M3595" s="53" t="b">
        <v>1</v>
      </c>
    </row>
    <row r="3596" spans="1:13" x14ac:dyDescent="0.25">
      <c r="D3596" s="13">
        <v>234</v>
      </c>
      <c r="E3596" s="132" t="str">
        <f>INDEX([1]道具配置表!$D:$D,MATCH(D3596,[1]道具配置表!$A:$A,0))</f>
        <v>1万黄金</v>
      </c>
      <c r="F3596" s="13">
        <v>7</v>
      </c>
      <c r="K3596" s="53">
        <v>1</v>
      </c>
      <c r="L3596" s="53"/>
      <c r="M3596" s="53" t="b">
        <v>1</v>
      </c>
    </row>
    <row r="3597" spans="1:13" x14ac:dyDescent="0.25">
      <c r="A3597" s="13">
        <v>6631005</v>
      </c>
      <c r="B3597" s="13" t="s">
        <v>678</v>
      </c>
      <c r="D3597" s="13">
        <v>7227</v>
      </c>
      <c r="E3597" s="132" t="str">
        <f>INDEX([1]道具配置表!$D:$D,MATCH(D3597,[1]道具配置表!$A:$A,0))</f>
        <v>经验书*1000</v>
      </c>
      <c r="F3597" s="13">
        <v>180</v>
      </c>
      <c r="K3597" s="53">
        <v>1</v>
      </c>
      <c r="L3597" s="53"/>
      <c r="M3597" s="53" t="b">
        <v>1</v>
      </c>
    </row>
    <row r="3598" spans="1:13" x14ac:dyDescent="0.25">
      <c r="D3598" s="13">
        <v>232</v>
      </c>
      <c r="E3598" s="132" t="str">
        <f>INDEX([1]道具配置表!$D:$D,MATCH(D3598,[1]道具配置表!$A:$A,0))</f>
        <v>1万食物</v>
      </c>
      <c r="F3598" s="13">
        <v>9</v>
      </c>
      <c r="K3598" s="53">
        <v>1</v>
      </c>
      <c r="L3598" s="53"/>
      <c r="M3598" s="53" t="b">
        <v>1</v>
      </c>
    </row>
    <row r="3599" spans="1:13" x14ac:dyDescent="0.25">
      <c r="D3599" s="13">
        <v>231</v>
      </c>
      <c r="E3599" s="132" t="str">
        <f>INDEX([1]道具配置表!$D:$D,MATCH(D3599,[1]道具配置表!$A:$A,0))</f>
        <v>1万木材</v>
      </c>
      <c r="F3599" s="13">
        <v>9</v>
      </c>
      <c r="K3599" s="53">
        <v>1</v>
      </c>
      <c r="L3599" s="53"/>
      <c r="M3599" s="53" t="b">
        <v>1</v>
      </c>
    </row>
    <row r="3600" spans="1:13" x14ac:dyDescent="0.25">
      <c r="D3600" s="13">
        <v>233</v>
      </c>
      <c r="E3600" s="132" t="str">
        <f>INDEX([1]道具配置表!$D:$D,MATCH(D3600,[1]道具配置表!$A:$A,0))</f>
        <v>1万石头</v>
      </c>
      <c r="F3600" s="13">
        <v>9</v>
      </c>
      <c r="K3600" s="53">
        <v>1</v>
      </c>
      <c r="L3600" s="53"/>
      <c r="M3600" s="53" t="b">
        <v>1</v>
      </c>
    </row>
    <row r="3601" spans="1:13" x14ac:dyDescent="0.25">
      <c r="D3601" s="13">
        <v>234</v>
      </c>
      <c r="E3601" s="132" t="str">
        <f>INDEX([1]道具配置表!$D:$D,MATCH(D3601,[1]道具配置表!$A:$A,0))</f>
        <v>1万黄金</v>
      </c>
      <c r="F3601" s="13">
        <v>9</v>
      </c>
      <c r="K3601" s="53">
        <v>1</v>
      </c>
      <c r="L3601" s="53"/>
      <c r="M3601" s="53" t="b">
        <v>1</v>
      </c>
    </row>
    <row r="3602" spans="1:13" x14ac:dyDescent="0.25">
      <c r="A3602" s="13">
        <v>6631006</v>
      </c>
      <c r="B3602" s="13" t="s">
        <v>679</v>
      </c>
      <c r="D3602" s="13">
        <v>7227</v>
      </c>
      <c r="E3602" s="132" t="str">
        <f>INDEX([1]道具配置表!$D:$D,MATCH(D3602,[1]道具配置表!$A:$A,0))</f>
        <v>经验书*1000</v>
      </c>
      <c r="F3602" s="13">
        <v>210</v>
      </c>
      <c r="K3602" s="53">
        <v>1</v>
      </c>
      <c r="L3602" s="53"/>
      <c r="M3602" s="53" t="b">
        <v>1</v>
      </c>
    </row>
    <row r="3603" spans="1:13" x14ac:dyDescent="0.25">
      <c r="D3603" s="13">
        <v>232</v>
      </c>
      <c r="E3603" s="132" t="str">
        <f>INDEX([1]道具配置表!$D:$D,MATCH(D3603,[1]道具配置表!$A:$A,0))</f>
        <v>1万食物</v>
      </c>
      <c r="F3603" s="13">
        <v>12</v>
      </c>
      <c r="K3603" s="53">
        <v>1</v>
      </c>
      <c r="L3603" s="53"/>
      <c r="M3603" s="53" t="b">
        <v>1</v>
      </c>
    </row>
    <row r="3604" spans="1:13" x14ac:dyDescent="0.25">
      <c r="D3604" s="13">
        <v>231</v>
      </c>
      <c r="E3604" s="132" t="str">
        <f>INDEX([1]道具配置表!$D:$D,MATCH(D3604,[1]道具配置表!$A:$A,0))</f>
        <v>1万木材</v>
      </c>
      <c r="F3604" s="13">
        <v>12</v>
      </c>
      <c r="K3604" s="53">
        <v>1</v>
      </c>
      <c r="L3604" s="53"/>
      <c r="M3604" s="53" t="b">
        <v>1</v>
      </c>
    </row>
    <row r="3605" spans="1:13" x14ac:dyDescent="0.25">
      <c r="D3605" s="13">
        <v>233</v>
      </c>
      <c r="E3605" s="132" t="str">
        <f>INDEX([1]道具配置表!$D:$D,MATCH(D3605,[1]道具配置表!$A:$A,0))</f>
        <v>1万石头</v>
      </c>
      <c r="F3605" s="13">
        <v>12</v>
      </c>
      <c r="K3605" s="53">
        <v>1</v>
      </c>
      <c r="L3605" s="53"/>
      <c r="M3605" s="53" t="b">
        <v>1</v>
      </c>
    </row>
    <row r="3606" spans="1:13" x14ac:dyDescent="0.25">
      <c r="D3606" s="13">
        <v>234</v>
      </c>
      <c r="E3606" s="132" t="str">
        <f>INDEX([1]道具配置表!$D:$D,MATCH(D3606,[1]道具配置表!$A:$A,0))</f>
        <v>1万黄金</v>
      </c>
      <c r="F3606" s="13">
        <v>12</v>
      </c>
      <c r="K3606" s="53">
        <v>1</v>
      </c>
      <c r="L3606" s="53"/>
      <c r="M3606" s="53" t="b">
        <v>1</v>
      </c>
    </row>
    <row r="3607" spans="1:13" x14ac:dyDescent="0.25">
      <c r="A3607" s="13">
        <v>6631101</v>
      </c>
      <c r="B3607" s="13" t="s">
        <v>680</v>
      </c>
      <c r="D3607" s="13">
        <v>7225</v>
      </c>
      <c r="E3607" s="132" t="str">
        <f>INDEX([1]道具配置表!$D:$D,MATCH(D3607,[1]道具配置表!$A:$A,0))</f>
        <v>经验书*100</v>
      </c>
      <c r="F3607" s="13">
        <v>20</v>
      </c>
      <c r="K3607" s="53">
        <v>1</v>
      </c>
      <c r="L3607" s="53"/>
      <c r="M3607" s="53" t="b">
        <v>1</v>
      </c>
    </row>
    <row r="3608" spans="1:13" x14ac:dyDescent="0.25">
      <c r="D3608" s="13">
        <v>232</v>
      </c>
      <c r="E3608" s="132" t="str">
        <f>INDEX([1]道具配置表!$D:$D,MATCH(D3608,[1]道具配置表!$A:$A,0))</f>
        <v>1万食物</v>
      </c>
      <c r="F3608" s="13">
        <v>1</v>
      </c>
      <c r="K3608" s="53">
        <v>1</v>
      </c>
      <c r="L3608" s="53"/>
      <c r="M3608" s="53" t="b">
        <v>1</v>
      </c>
    </row>
    <row r="3609" spans="1:13" x14ac:dyDescent="0.25">
      <c r="D3609" s="13">
        <v>231</v>
      </c>
      <c r="E3609" s="132" t="str">
        <f>INDEX([1]道具配置表!$D:$D,MATCH(D3609,[1]道具配置表!$A:$A,0))</f>
        <v>1万木材</v>
      </c>
      <c r="F3609" s="13">
        <v>1</v>
      </c>
      <c r="K3609" s="53">
        <v>1</v>
      </c>
      <c r="L3609" s="53"/>
      <c r="M3609" s="53" t="b">
        <v>1</v>
      </c>
    </row>
    <row r="3610" spans="1:13" x14ac:dyDescent="0.25">
      <c r="D3610" s="13">
        <v>233</v>
      </c>
      <c r="E3610" s="132" t="str">
        <f>INDEX([1]道具配置表!$D:$D,MATCH(D3610,[1]道具配置表!$A:$A,0))</f>
        <v>1万石头</v>
      </c>
      <c r="F3610" s="13">
        <v>1</v>
      </c>
      <c r="K3610" s="53">
        <v>1</v>
      </c>
      <c r="L3610" s="53"/>
      <c r="M3610" s="53" t="b">
        <v>1</v>
      </c>
    </row>
    <row r="3611" spans="1:13" x14ac:dyDescent="0.25">
      <c r="D3611" s="13">
        <v>234</v>
      </c>
      <c r="E3611" s="132" t="str">
        <f>INDEX([1]道具配置表!$D:$D,MATCH(D3611,[1]道具配置表!$A:$A,0))</f>
        <v>1万黄金</v>
      </c>
      <c r="F3611" s="13">
        <v>1</v>
      </c>
      <c r="K3611" s="53">
        <v>1</v>
      </c>
      <c r="L3611" s="53"/>
      <c r="M3611" s="53" t="b">
        <v>1</v>
      </c>
    </row>
    <row r="3612" spans="1:13" x14ac:dyDescent="0.25">
      <c r="A3612" s="13">
        <v>6631102</v>
      </c>
      <c r="B3612" s="13" t="s">
        <v>681</v>
      </c>
      <c r="D3612" s="13">
        <v>7225</v>
      </c>
      <c r="E3612" s="132" t="str">
        <f>INDEX([1]道具配置表!$D:$D,MATCH(D3612,[1]道具配置表!$A:$A,0))</f>
        <v>经验书*100</v>
      </c>
      <c r="F3612" s="13">
        <v>24</v>
      </c>
      <c r="K3612" s="53">
        <v>1</v>
      </c>
      <c r="L3612" s="53"/>
      <c r="M3612" s="53" t="b">
        <v>1</v>
      </c>
    </row>
    <row r="3613" spans="1:13" x14ac:dyDescent="0.25">
      <c r="D3613" s="13">
        <v>232</v>
      </c>
      <c r="E3613" s="132" t="str">
        <f>INDEX([1]道具配置表!$D:$D,MATCH(D3613,[1]道具配置表!$A:$A,0))</f>
        <v>1万食物</v>
      </c>
      <c r="F3613" s="13">
        <v>2</v>
      </c>
      <c r="K3613" s="53">
        <v>1</v>
      </c>
      <c r="L3613" s="53"/>
      <c r="M3613" s="53" t="b">
        <v>1</v>
      </c>
    </row>
    <row r="3614" spans="1:13" x14ac:dyDescent="0.25">
      <c r="D3614" s="13">
        <v>231</v>
      </c>
      <c r="E3614" s="132" t="str">
        <f>INDEX([1]道具配置表!$D:$D,MATCH(D3614,[1]道具配置表!$A:$A,0))</f>
        <v>1万木材</v>
      </c>
      <c r="F3614" s="13">
        <v>2</v>
      </c>
      <c r="K3614" s="53">
        <v>1</v>
      </c>
      <c r="L3614" s="53"/>
      <c r="M3614" s="53" t="b">
        <v>1</v>
      </c>
    </row>
    <row r="3615" spans="1:13" x14ac:dyDescent="0.25">
      <c r="D3615" s="13">
        <v>233</v>
      </c>
      <c r="E3615" s="132" t="str">
        <f>INDEX([1]道具配置表!$D:$D,MATCH(D3615,[1]道具配置表!$A:$A,0))</f>
        <v>1万石头</v>
      </c>
      <c r="F3615" s="13">
        <v>2</v>
      </c>
      <c r="K3615" s="53">
        <v>1</v>
      </c>
      <c r="L3615" s="53"/>
      <c r="M3615" s="53" t="b">
        <v>1</v>
      </c>
    </row>
    <row r="3616" spans="1:13" x14ac:dyDescent="0.25">
      <c r="D3616" s="13">
        <v>234</v>
      </c>
      <c r="E3616" s="132" t="str">
        <f>INDEX([1]道具配置表!$D:$D,MATCH(D3616,[1]道具配置表!$A:$A,0))</f>
        <v>1万黄金</v>
      </c>
      <c r="F3616" s="13">
        <v>2</v>
      </c>
      <c r="K3616" s="53">
        <v>1</v>
      </c>
      <c r="L3616" s="53"/>
      <c r="M3616" s="53" t="b">
        <v>1</v>
      </c>
    </row>
    <row r="3617" spans="1:13" x14ac:dyDescent="0.25">
      <c r="A3617" s="13">
        <v>6631103</v>
      </c>
      <c r="B3617" s="13" t="s">
        <v>682</v>
      </c>
      <c r="D3617" s="13">
        <v>7225</v>
      </c>
      <c r="E3617" s="132" t="str">
        <f>INDEX([1]道具配置表!$D:$D,MATCH(D3617,[1]道具配置表!$A:$A,0))</f>
        <v>经验书*100</v>
      </c>
      <c r="F3617" s="13">
        <v>28</v>
      </c>
      <c r="K3617" s="53">
        <v>1</v>
      </c>
      <c r="L3617" s="53"/>
      <c r="M3617" s="53" t="b">
        <v>1</v>
      </c>
    </row>
    <row r="3618" spans="1:13" x14ac:dyDescent="0.25">
      <c r="D3618" s="13">
        <v>232</v>
      </c>
      <c r="E3618" s="132" t="str">
        <f>INDEX([1]道具配置表!$D:$D,MATCH(D3618,[1]道具配置表!$A:$A,0))</f>
        <v>1万食物</v>
      </c>
      <c r="F3618" s="13">
        <v>3</v>
      </c>
      <c r="K3618" s="53">
        <v>1</v>
      </c>
      <c r="L3618" s="53"/>
      <c r="M3618" s="53" t="b">
        <v>1</v>
      </c>
    </row>
    <row r="3619" spans="1:13" x14ac:dyDescent="0.25">
      <c r="D3619" s="13">
        <v>231</v>
      </c>
      <c r="E3619" s="132" t="str">
        <f>INDEX([1]道具配置表!$D:$D,MATCH(D3619,[1]道具配置表!$A:$A,0))</f>
        <v>1万木材</v>
      </c>
      <c r="F3619" s="13">
        <v>3</v>
      </c>
      <c r="K3619" s="53">
        <v>1</v>
      </c>
      <c r="L3619" s="53"/>
      <c r="M3619" s="53" t="b">
        <v>1</v>
      </c>
    </row>
    <row r="3620" spans="1:13" x14ac:dyDescent="0.25">
      <c r="D3620" s="13">
        <v>233</v>
      </c>
      <c r="E3620" s="132" t="str">
        <f>INDEX([1]道具配置表!$D:$D,MATCH(D3620,[1]道具配置表!$A:$A,0))</f>
        <v>1万石头</v>
      </c>
      <c r="F3620" s="13">
        <v>3</v>
      </c>
      <c r="K3620" s="53">
        <v>1</v>
      </c>
      <c r="L3620" s="53"/>
      <c r="M3620" s="53" t="b">
        <v>1</v>
      </c>
    </row>
    <row r="3621" spans="1:13" x14ac:dyDescent="0.25">
      <c r="D3621" s="13">
        <v>234</v>
      </c>
      <c r="E3621" s="132" t="str">
        <f>INDEX([1]道具配置表!$D:$D,MATCH(D3621,[1]道具配置表!$A:$A,0))</f>
        <v>1万黄金</v>
      </c>
      <c r="F3621" s="13">
        <v>3</v>
      </c>
      <c r="K3621" s="53">
        <v>1</v>
      </c>
      <c r="L3621" s="53"/>
      <c r="M3621" s="53" t="b">
        <v>1</v>
      </c>
    </row>
    <row r="3622" spans="1:13" x14ac:dyDescent="0.25">
      <c r="A3622" s="13">
        <v>6631104</v>
      </c>
      <c r="B3622" s="13" t="s">
        <v>683</v>
      </c>
      <c r="D3622" s="13">
        <v>7225</v>
      </c>
      <c r="E3622" s="132" t="str">
        <f>INDEX([1]道具配置表!$D:$D,MATCH(D3622,[1]道具配置表!$A:$A,0))</f>
        <v>经验书*100</v>
      </c>
      <c r="F3622" s="13">
        <v>30</v>
      </c>
      <c r="K3622" s="53">
        <v>1</v>
      </c>
      <c r="L3622" s="53"/>
      <c r="M3622" s="53" t="b">
        <v>1</v>
      </c>
    </row>
    <row r="3623" spans="1:13" x14ac:dyDescent="0.25">
      <c r="D3623" s="13">
        <v>232</v>
      </c>
      <c r="E3623" s="132" t="str">
        <f>INDEX([1]道具配置表!$D:$D,MATCH(D3623,[1]道具配置表!$A:$A,0))</f>
        <v>1万食物</v>
      </c>
      <c r="F3623" s="13">
        <v>4</v>
      </c>
      <c r="K3623" s="53">
        <v>1</v>
      </c>
      <c r="L3623" s="53"/>
      <c r="M3623" s="53" t="b">
        <v>1</v>
      </c>
    </row>
    <row r="3624" spans="1:13" x14ac:dyDescent="0.25">
      <c r="D3624" s="13">
        <v>231</v>
      </c>
      <c r="E3624" s="132" t="str">
        <f>INDEX([1]道具配置表!$D:$D,MATCH(D3624,[1]道具配置表!$A:$A,0))</f>
        <v>1万木材</v>
      </c>
      <c r="F3624" s="13">
        <v>4</v>
      </c>
      <c r="K3624" s="53">
        <v>1</v>
      </c>
      <c r="L3624" s="53"/>
      <c r="M3624" s="53" t="b">
        <v>1</v>
      </c>
    </row>
    <row r="3625" spans="1:13" x14ac:dyDescent="0.25">
      <c r="D3625" s="13">
        <v>233</v>
      </c>
      <c r="E3625" s="132" t="str">
        <f>INDEX([1]道具配置表!$D:$D,MATCH(D3625,[1]道具配置表!$A:$A,0))</f>
        <v>1万石头</v>
      </c>
      <c r="F3625" s="13">
        <v>4</v>
      </c>
      <c r="K3625" s="53">
        <v>1</v>
      </c>
      <c r="L3625" s="53"/>
      <c r="M3625" s="53" t="b">
        <v>1</v>
      </c>
    </row>
    <row r="3626" spans="1:13" x14ac:dyDescent="0.25">
      <c r="D3626" s="13">
        <v>234</v>
      </c>
      <c r="E3626" s="132" t="str">
        <f>INDEX([1]道具配置表!$D:$D,MATCH(D3626,[1]道具配置表!$A:$A,0))</f>
        <v>1万黄金</v>
      </c>
      <c r="F3626" s="13">
        <v>4</v>
      </c>
      <c r="K3626" s="53">
        <v>1</v>
      </c>
      <c r="L3626" s="53"/>
      <c r="M3626" s="53" t="b">
        <v>1</v>
      </c>
    </row>
    <row r="3627" spans="1:13" x14ac:dyDescent="0.25">
      <c r="A3627" s="13">
        <v>6631105</v>
      </c>
      <c r="B3627" s="13" t="s">
        <v>684</v>
      </c>
      <c r="D3627" s="13">
        <v>7225</v>
      </c>
      <c r="E3627" s="132" t="str">
        <f>INDEX([1]道具配置表!$D:$D,MATCH(D3627,[1]道具配置表!$A:$A,0))</f>
        <v>经验书*100</v>
      </c>
      <c r="F3627" s="13">
        <v>36</v>
      </c>
      <c r="K3627" s="53">
        <v>1</v>
      </c>
      <c r="L3627" s="53"/>
      <c r="M3627" s="53" t="b">
        <v>1</v>
      </c>
    </row>
    <row r="3628" spans="1:13" x14ac:dyDescent="0.25">
      <c r="D3628" s="13">
        <v>232</v>
      </c>
      <c r="E3628" s="132" t="str">
        <f>INDEX([1]道具配置表!$D:$D,MATCH(D3628,[1]道具配置表!$A:$A,0))</f>
        <v>1万食物</v>
      </c>
      <c r="F3628" s="13">
        <v>5</v>
      </c>
      <c r="K3628" s="53">
        <v>1</v>
      </c>
      <c r="L3628" s="53"/>
      <c r="M3628" s="53" t="b">
        <v>1</v>
      </c>
    </row>
    <row r="3629" spans="1:13" x14ac:dyDescent="0.25">
      <c r="D3629" s="13">
        <v>231</v>
      </c>
      <c r="E3629" s="132" t="str">
        <f>INDEX([1]道具配置表!$D:$D,MATCH(D3629,[1]道具配置表!$A:$A,0))</f>
        <v>1万木材</v>
      </c>
      <c r="F3629" s="13">
        <v>5</v>
      </c>
      <c r="K3629" s="53">
        <v>1</v>
      </c>
      <c r="L3629" s="53"/>
      <c r="M3629" s="53" t="b">
        <v>1</v>
      </c>
    </row>
    <row r="3630" spans="1:13" x14ac:dyDescent="0.25">
      <c r="D3630" s="13">
        <v>233</v>
      </c>
      <c r="E3630" s="132" t="str">
        <f>INDEX([1]道具配置表!$D:$D,MATCH(D3630,[1]道具配置表!$A:$A,0))</f>
        <v>1万石头</v>
      </c>
      <c r="F3630" s="13">
        <v>5</v>
      </c>
      <c r="K3630" s="53">
        <v>1</v>
      </c>
      <c r="L3630" s="53"/>
      <c r="M3630" s="53" t="b">
        <v>1</v>
      </c>
    </row>
    <row r="3631" spans="1:13" x14ac:dyDescent="0.25">
      <c r="D3631" s="13">
        <v>234</v>
      </c>
      <c r="E3631" s="132" t="str">
        <f>INDEX([1]道具配置表!$D:$D,MATCH(D3631,[1]道具配置表!$A:$A,0))</f>
        <v>1万黄金</v>
      </c>
      <c r="F3631" s="13">
        <v>5</v>
      </c>
      <c r="K3631" s="53">
        <v>1</v>
      </c>
      <c r="L3631" s="53"/>
      <c r="M3631" s="53" t="b">
        <v>1</v>
      </c>
    </row>
    <row r="3632" spans="1:13" x14ac:dyDescent="0.25">
      <c r="A3632" s="13">
        <v>6631106</v>
      </c>
      <c r="B3632" s="13" t="s">
        <v>685</v>
      </c>
      <c r="D3632" s="13">
        <v>7225</v>
      </c>
      <c r="E3632" s="132" t="str">
        <f>INDEX([1]道具配置表!$D:$D,MATCH(D3632,[1]道具配置表!$A:$A,0))</f>
        <v>经验书*100</v>
      </c>
      <c r="F3632" s="13">
        <v>42</v>
      </c>
      <c r="K3632" s="53">
        <v>1</v>
      </c>
      <c r="L3632" s="53"/>
      <c r="M3632" s="53" t="b">
        <v>1</v>
      </c>
    </row>
    <row r="3633" spans="1:13" x14ac:dyDescent="0.25">
      <c r="D3633" s="13">
        <v>232</v>
      </c>
      <c r="E3633" s="132" t="str">
        <f>INDEX([1]道具配置表!$D:$D,MATCH(D3633,[1]道具配置表!$A:$A,0))</f>
        <v>1万食物</v>
      </c>
      <c r="F3633" s="13">
        <v>6</v>
      </c>
      <c r="K3633" s="53">
        <v>1</v>
      </c>
      <c r="L3633" s="53"/>
      <c r="M3633" s="53" t="b">
        <v>1</v>
      </c>
    </row>
    <row r="3634" spans="1:13" x14ac:dyDescent="0.25">
      <c r="D3634" s="13">
        <v>231</v>
      </c>
      <c r="E3634" s="132" t="str">
        <f>INDEX([1]道具配置表!$D:$D,MATCH(D3634,[1]道具配置表!$A:$A,0))</f>
        <v>1万木材</v>
      </c>
      <c r="F3634" s="13">
        <v>6</v>
      </c>
      <c r="K3634" s="53">
        <v>1</v>
      </c>
      <c r="L3634" s="53"/>
      <c r="M3634" s="53" t="b">
        <v>1</v>
      </c>
    </row>
    <row r="3635" spans="1:13" x14ac:dyDescent="0.25">
      <c r="D3635" s="13">
        <v>233</v>
      </c>
      <c r="E3635" s="132" t="str">
        <f>INDEX([1]道具配置表!$D:$D,MATCH(D3635,[1]道具配置表!$A:$A,0))</f>
        <v>1万石头</v>
      </c>
      <c r="F3635" s="13">
        <v>6</v>
      </c>
      <c r="K3635" s="53">
        <v>1</v>
      </c>
      <c r="L3635" s="53"/>
      <c r="M3635" s="53" t="b">
        <v>1</v>
      </c>
    </row>
    <row r="3636" spans="1:13" x14ac:dyDescent="0.25">
      <c r="D3636" s="13">
        <v>234</v>
      </c>
      <c r="E3636" s="132" t="str">
        <f>INDEX([1]道具配置表!$D:$D,MATCH(D3636,[1]道具配置表!$A:$A,0))</f>
        <v>1万黄金</v>
      </c>
      <c r="F3636" s="13">
        <v>6</v>
      </c>
      <c r="K3636" s="53">
        <v>1</v>
      </c>
      <c r="L3636" s="53"/>
      <c r="M3636" s="53" t="b">
        <v>1</v>
      </c>
    </row>
    <row r="3637" spans="1:13" x14ac:dyDescent="0.25">
      <c r="A3637" s="13">
        <v>6632101</v>
      </c>
      <c r="B3637" s="13" t="s">
        <v>786</v>
      </c>
      <c r="D3637" s="13">
        <v>20000</v>
      </c>
      <c r="E3637" s="132" t="str">
        <f>INDEX([1]道具配置表!$D:$D,MATCH(D3637,[1]道具配置表!$A:$A,0))</f>
        <v>技能点1</v>
      </c>
      <c r="F3637" s="13">
        <v>200</v>
      </c>
      <c r="K3637" s="53">
        <v>1</v>
      </c>
      <c r="L3637" s="53"/>
      <c r="M3637" s="53" t="b">
        <v>1</v>
      </c>
    </row>
    <row r="3638" spans="1:13" x14ac:dyDescent="0.25">
      <c r="B3638" s="13" t="s">
        <v>119</v>
      </c>
      <c r="D3638" s="13">
        <v>6141</v>
      </c>
      <c r="E3638" s="132" t="str">
        <f>INDEX([1]道具配置表!$D:$D,MATCH(D3638,[1]道具配置表!$A:$A,0))</f>
        <v>5分钟科技加速</v>
      </c>
      <c r="F3638" s="13">
        <v>12</v>
      </c>
      <c r="K3638" s="53">
        <v>1</v>
      </c>
      <c r="L3638" s="53"/>
      <c r="M3638" s="53" t="b">
        <v>1</v>
      </c>
    </row>
    <row r="3639" spans="1:13" x14ac:dyDescent="0.25">
      <c r="B3639" s="13" t="s">
        <v>119</v>
      </c>
      <c r="D3639" s="13">
        <v>6161</v>
      </c>
      <c r="E3639" s="132" t="str">
        <f>INDEX([1]道具配置表!$D:$D,MATCH(D3639,[1]道具配置表!$A:$A,0))</f>
        <v>5分钟训练加速</v>
      </c>
      <c r="F3639" s="13">
        <v>6</v>
      </c>
      <c r="K3639" s="53">
        <v>1</v>
      </c>
      <c r="L3639" s="53"/>
      <c r="M3639" s="53" t="b">
        <v>1</v>
      </c>
    </row>
    <row r="3640" spans="1:13" x14ac:dyDescent="0.25">
      <c r="B3640" s="13" t="s">
        <v>119</v>
      </c>
      <c r="D3640" s="13">
        <v>6181</v>
      </c>
      <c r="E3640" s="132" t="str">
        <f>INDEX([1]道具配置表!$D:$D,MATCH(D3640,[1]道具配置表!$A:$A,0))</f>
        <v>5分钟治疗加速</v>
      </c>
      <c r="F3640" s="13">
        <v>6</v>
      </c>
      <c r="K3640" s="53">
        <v>1</v>
      </c>
      <c r="L3640" s="53"/>
      <c r="M3640" s="53" t="b">
        <v>1</v>
      </c>
    </row>
    <row r="3641" spans="1:13" x14ac:dyDescent="0.25">
      <c r="A3641" s="13">
        <v>6632102</v>
      </c>
      <c r="B3641" s="13" t="s">
        <v>787</v>
      </c>
      <c r="D3641" s="13">
        <v>20000</v>
      </c>
      <c r="E3641" s="132" t="str">
        <f>INDEX([1]道具配置表!$D:$D,MATCH(D3641,[1]道具配置表!$A:$A,0))</f>
        <v>技能点1</v>
      </c>
      <c r="F3641" s="13">
        <v>600</v>
      </c>
      <c r="K3641" s="53">
        <v>1</v>
      </c>
      <c r="L3641" s="53"/>
      <c r="M3641" s="53" t="b">
        <v>1</v>
      </c>
    </row>
    <row r="3642" spans="1:13" x14ac:dyDescent="0.25">
      <c r="B3642" s="13" t="s">
        <v>119</v>
      </c>
      <c r="D3642" s="13">
        <v>6141</v>
      </c>
      <c r="E3642" s="132" t="str">
        <f>INDEX([1]道具配置表!$D:$D,MATCH(D3642,[1]道具配置表!$A:$A,0))</f>
        <v>5分钟科技加速</v>
      </c>
      <c r="F3642" s="13">
        <v>18</v>
      </c>
      <c r="K3642" s="53">
        <v>1</v>
      </c>
      <c r="L3642" s="53"/>
      <c r="M3642" s="53" t="b">
        <v>1</v>
      </c>
    </row>
    <row r="3643" spans="1:13" x14ac:dyDescent="0.25">
      <c r="B3643" s="13" t="s">
        <v>119</v>
      </c>
      <c r="D3643" s="13">
        <v>6161</v>
      </c>
      <c r="E3643" s="132" t="str">
        <f>INDEX([1]道具配置表!$D:$D,MATCH(D3643,[1]道具配置表!$A:$A,0))</f>
        <v>5分钟训练加速</v>
      </c>
      <c r="F3643" s="13">
        <v>9</v>
      </c>
      <c r="K3643" s="53">
        <v>1</v>
      </c>
      <c r="L3643" s="53"/>
      <c r="M3643" s="53" t="b">
        <v>1</v>
      </c>
    </row>
    <row r="3644" spans="1:13" x14ac:dyDescent="0.25">
      <c r="B3644" s="13" t="s">
        <v>119</v>
      </c>
      <c r="D3644" s="13">
        <v>6181</v>
      </c>
      <c r="E3644" s="132" t="str">
        <f>INDEX([1]道具配置表!$D:$D,MATCH(D3644,[1]道具配置表!$A:$A,0))</f>
        <v>5分钟治疗加速</v>
      </c>
      <c r="F3644" s="13">
        <v>9</v>
      </c>
      <c r="K3644" s="53">
        <v>1</v>
      </c>
      <c r="L3644" s="53"/>
      <c r="M3644" s="53" t="b">
        <v>1</v>
      </c>
    </row>
    <row r="3645" spans="1:13" x14ac:dyDescent="0.25">
      <c r="A3645" s="13">
        <v>6632103</v>
      </c>
      <c r="B3645" s="13" t="s">
        <v>788</v>
      </c>
      <c r="D3645" s="13">
        <v>20000</v>
      </c>
      <c r="E3645" s="132" t="str">
        <f>INDEX([1]道具配置表!$D:$D,MATCH(D3645,[1]道具配置表!$A:$A,0))</f>
        <v>技能点1</v>
      </c>
      <c r="F3645" s="13">
        <v>700</v>
      </c>
      <c r="K3645" s="53">
        <v>1</v>
      </c>
      <c r="L3645" s="53"/>
      <c r="M3645" s="53" t="b">
        <v>1</v>
      </c>
    </row>
    <row r="3646" spans="1:13" x14ac:dyDescent="0.25">
      <c r="B3646" s="13" t="s">
        <v>119</v>
      </c>
      <c r="D3646" s="13">
        <v>6141</v>
      </c>
      <c r="E3646" s="132" t="str">
        <f>INDEX([1]道具配置表!$D:$D,MATCH(D3646,[1]道具配置表!$A:$A,0))</f>
        <v>5分钟科技加速</v>
      </c>
      <c r="F3646" s="13">
        <v>24</v>
      </c>
      <c r="K3646" s="53">
        <v>1</v>
      </c>
      <c r="L3646" s="53"/>
      <c r="M3646" s="53" t="b">
        <v>1</v>
      </c>
    </row>
    <row r="3647" spans="1:13" x14ac:dyDescent="0.25">
      <c r="B3647" s="13" t="s">
        <v>119</v>
      </c>
      <c r="D3647" s="13">
        <v>6161</v>
      </c>
      <c r="E3647" s="132" t="str">
        <f>INDEX([1]道具配置表!$D:$D,MATCH(D3647,[1]道具配置表!$A:$A,0))</f>
        <v>5分钟训练加速</v>
      </c>
      <c r="F3647" s="13">
        <v>12</v>
      </c>
      <c r="K3647" s="53">
        <v>1</v>
      </c>
      <c r="L3647" s="53"/>
      <c r="M3647" s="53" t="b">
        <v>1</v>
      </c>
    </row>
    <row r="3648" spans="1:13" x14ac:dyDescent="0.25">
      <c r="B3648" s="13" t="s">
        <v>119</v>
      </c>
      <c r="D3648" s="13">
        <v>6181</v>
      </c>
      <c r="E3648" s="132" t="str">
        <f>INDEX([1]道具配置表!$D:$D,MATCH(D3648,[1]道具配置表!$A:$A,0))</f>
        <v>5分钟治疗加速</v>
      </c>
      <c r="F3648" s="13">
        <v>12</v>
      </c>
      <c r="K3648" s="53">
        <v>1</v>
      </c>
      <c r="L3648" s="53"/>
      <c r="M3648" s="53" t="b">
        <v>1</v>
      </c>
    </row>
    <row r="3649" spans="1:13" x14ac:dyDescent="0.25">
      <c r="A3649" s="13">
        <v>6632104</v>
      </c>
      <c r="B3649" s="13" t="s">
        <v>789</v>
      </c>
      <c r="D3649" s="13">
        <v>20000</v>
      </c>
      <c r="E3649" s="132" t="str">
        <f>INDEX([1]道具配置表!$D:$D,MATCH(D3649,[1]道具配置表!$A:$A,0))</f>
        <v>技能点1</v>
      </c>
      <c r="F3649" s="13">
        <v>800</v>
      </c>
      <c r="K3649" s="53">
        <v>1</v>
      </c>
      <c r="L3649" s="53"/>
      <c r="M3649" s="53" t="b">
        <v>1</v>
      </c>
    </row>
    <row r="3650" spans="1:13" x14ac:dyDescent="0.25">
      <c r="B3650" s="13" t="s">
        <v>119</v>
      </c>
      <c r="D3650" s="13">
        <v>6141</v>
      </c>
      <c r="E3650" s="132" t="str">
        <f>INDEX([1]道具配置表!$D:$D,MATCH(D3650,[1]道具配置表!$A:$A,0))</f>
        <v>5分钟科技加速</v>
      </c>
      <c r="F3650" s="13">
        <v>30</v>
      </c>
      <c r="K3650" s="53">
        <v>1</v>
      </c>
      <c r="L3650" s="53"/>
      <c r="M3650" s="53" t="b">
        <v>1</v>
      </c>
    </row>
    <row r="3651" spans="1:13" x14ac:dyDescent="0.25">
      <c r="B3651" s="13" t="s">
        <v>119</v>
      </c>
      <c r="D3651" s="13">
        <v>6161</v>
      </c>
      <c r="E3651" s="132" t="str">
        <f>INDEX([1]道具配置表!$D:$D,MATCH(D3651,[1]道具配置表!$A:$A,0))</f>
        <v>5分钟训练加速</v>
      </c>
      <c r="F3651" s="13">
        <v>15</v>
      </c>
      <c r="K3651" s="53">
        <v>1</v>
      </c>
      <c r="L3651" s="53"/>
      <c r="M3651" s="53" t="b">
        <v>1</v>
      </c>
    </row>
    <row r="3652" spans="1:13" x14ac:dyDescent="0.25">
      <c r="B3652" s="13" t="s">
        <v>119</v>
      </c>
      <c r="D3652" s="13">
        <v>6181</v>
      </c>
      <c r="E3652" s="132" t="str">
        <f>INDEX([1]道具配置表!$D:$D,MATCH(D3652,[1]道具配置表!$A:$A,0))</f>
        <v>5分钟治疗加速</v>
      </c>
      <c r="F3652" s="13">
        <v>15</v>
      </c>
      <c r="K3652" s="53">
        <v>1</v>
      </c>
      <c r="L3652" s="53"/>
      <c r="M3652" s="53" t="b">
        <v>1</v>
      </c>
    </row>
    <row r="3653" spans="1:13" x14ac:dyDescent="0.25">
      <c r="A3653" s="13">
        <v>6632105</v>
      </c>
      <c r="B3653" s="13" t="s">
        <v>790</v>
      </c>
      <c r="D3653" s="13">
        <v>20000</v>
      </c>
      <c r="E3653" s="132" t="str">
        <f>INDEX([1]道具配置表!$D:$D,MATCH(D3653,[1]道具配置表!$A:$A,0))</f>
        <v>技能点1</v>
      </c>
      <c r="F3653" s="13">
        <v>900</v>
      </c>
      <c r="K3653" s="53">
        <v>1</v>
      </c>
      <c r="L3653" s="53"/>
      <c r="M3653" s="53" t="b">
        <v>1</v>
      </c>
    </row>
    <row r="3654" spans="1:13" x14ac:dyDescent="0.25">
      <c r="B3654" s="13" t="s">
        <v>119</v>
      </c>
      <c r="D3654" s="13">
        <v>6141</v>
      </c>
      <c r="E3654" s="132" t="str">
        <f>INDEX([1]道具配置表!$D:$D,MATCH(D3654,[1]道具配置表!$A:$A,0))</f>
        <v>5分钟科技加速</v>
      </c>
      <c r="F3654" s="13">
        <v>36</v>
      </c>
      <c r="K3654" s="53">
        <v>1</v>
      </c>
      <c r="L3654" s="53"/>
      <c r="M3654" s="53" t="b">
        <v>1</v>
      </c>
    </row>
    <row r="3655" spans="1:13" x14ac:dyDescent="0.25">
      <c r="B3655" s="13" t="s">
        <v>119</v>
      </c>
      <c r="D3655" s="13">
        <v>6161</v>
      </c>
      <c r="E3655" s="132" t="str">
        <f>INDEX([1]道具配置表!$D:$D,MATCH(D3655,[1]道具配置表!$A:$A,0))</f>
        <v>5分钟训练加速</v>
      </c>
      <c r="F3655" s="13">
        <v>18</v>
      </c>
      <c r="K3655" s="53">
        <v>1</v>
      </c>
      <c r="L3655" s="53"/>
      <c r="M3655" s="53" t="b">
        <v>1</v>
      </c>
    </row>
    <row r="3656" spans="1:13" x14ac:dyDescent="0.25">
      <c r="B3656" s="13" t="s">
        <v>119</v>
      </c>
      <c r="D3656" s="13">
        <v>6181</v>
      </c>
      <c r="E3656" s="132" t="str">
        <f>INDEX([1]道具配置表!$D:$D,MATCH(D3656,[1]道具配置表!$A:$A,0))</f>
        <v>5分钟治疗加速</v>
      </c>
      <c r="F3656" s="13">
        <v>18</v>
      </c>
      <c r="K3656" s="53">
        <v>1</v>
      </c>
      <c r="L3656" s="53"/>
      <c r="M3656" s="53" t="b">
        <v>1</v>
      </c>
    </row>
    <row r="3657" spans="1:13" x14ac:dyDescent="0.25">
      <c r="A3657" s="13">
        <v>6632106</v>
      </c>
      <c r="B3657" s="13" t="s">
        <v>791</v>
      </c>
      <c r="D3657" s="13">
        <v>20000</v>
      </c>
      <c r="E3657" s="132" t="str">
        <f>INDEX([1]道具配置表!$D:$D,MATCH(D3657,[1]道具配置表!$A:$A,0))</f>
        <v>技能点1</v>
      </c>
      <c r="F3657" s="13">
        <v>1000</v>
      </c>
      <c r="K3657" s="53">
        <v>1</v>
      </c>
      <c r="L3657" s="53"/>
      <c r="M3657" s="53" t="b">
        <v>1</v>
      </c>
    </row>
    <row r="3658" spans="1:13" x14ac:dyDescent="0.25">
      <c r="B3658" s="13" t="s">
        <v>119</v>
      </c>
      <c r="D3658" s="13">
        <v>6141</v>
      </c>
      <c r="E3658" s="132" t="str">
        <f>INDEX([1]道具配置表!$D:$D,MATCH(D3658,[1]道具配置表!$A:$A,0))</f>
        <v>5分钟科技加速</v>
      </c>
      <c r="F3658" s="13">
        <v>41</v>
      </c>
      <c r="K3658" s="53">
        <v>1</v>
      </c>
      <c r="L3658" s="53"/>
      <c r="M3658" s="53" t="b">
        <v>1</v>
      </c>
    </row>
    <row r="3659" spans="1:13" x14ac:dyDescent="0.25">
      <c r="B3659" s="13" t="s">
        <v>119</v>
      </c>
      <c r="D3659" s="13">
        <v>6161</v>
      </c>
      <c r="E3659" s="132" t="str">
        <f>INDEX([1]道具配置表!$D:$D,MATCH(D3659,[1]道具配置表!$A:$A,0))</f>
        <v>5分钟训练加速</v>
      </c>
      <c r="F3659" s="13">
        <v>21</v>
      </c>
      <c r="K3659" s="53">
        <v>1</v>
      </c>
      <c r="L3659" s="53"/>
      <c r="M3659" s="53" t="b">
        <v>1</v>
      </c>
    </row>
    <row r="3660" spans="1:13" x14ac:dyDescent="0.25">
      <c r="B3660" s="13" t="s">
        <v>119</v>
      </c>
      <c r="D3660" s="13">
        <v>6181</v>
      </c>
      <c r="E3660" s="132" t="str">
        <f>INDEX([1]道具配置表!$D:$D,MATCH(D3660,[1]道具配置表!$A:$A,0))</f>
        <v>5分钟治疗加速</v>
      </c>
      <c r="F3660" s="13">
        <v>21</v>
      </c>
      <c r="K3660" s="53">
        <v>1</v>
      </c>
      <c r="L3660" s="53"/>
      <c r="M3660" s="53" t="b">
        <v>1</v>
      </c>
    </row>
    <row r="3661" spans="1:13" x14ac:dyDescent="0.25">
      <c r="A3661" s="13">
        <v>6632107</v>
      </c>
      <c r="B3661" s="13" t="s">
        <v>792</v>
      </c>
      <c r="D3661" s="13">
        <v>20000</v>
      </c>
      <c r="E3661" s="132" t="str">
        <f>INDEX([1]道具配置表!$D:$D,MATCH(D3661,[1]道具配置表!$A:$A,0))</f>
        <v>技能点1</v>
      </c>
      <c r="F3661" s="13">
        <v>1200</v>
      </c>
      <c r="K3661" s="53">
        <v>1</v>
      </c>
      <c r="L3661" s="53"/>
      <c r="M3661" s="53" t="b">
        <v>1</v>
      </c>
    </row>
    <row r="3662" spans="1:13" x14ac:dyDescent="0.25">
      <c r="B3662" s="13" t="s">
        <v>119</v>
      </c>
      <c r="D3662" s="13">
        <v>6141</v>
      </c>
      <c r="E3662" s="132" t="str">
        <f>INDEX([1]道具配置表!$D:$D,MATCH(D3662,[1]道具配置表!$A:$A,0))</f>
        <v>5分钟科技加速</v>
      </c>
      <c r="F3662" s="13">
        <v>46</v>
      </c>
      <c r="K3662" s="53">
        <v>1</v>
      </c>
      <c r="L3662" s="53"/>
      <c r="M3662" s="53" t="b">
        <v>1</v>
      </c>
    </row>
    <row r="3663" spans="1:13" x14ac:dyDescent="0.25">
      <c r="B3663" s="13" t="s">
        <v>119</v>
      </c>
      <c r="D3663" s="13">
        <v>6161</v>
      </c>
      <c r="E3663" s="132" t="str">
        <f>INDEX([1]道具配置表!$D:$D,MATCH(D3663,[1]道具配置表!$A:$A,0))</f>
        <v>5分钟训练加速</v>
      </c>
      <c r="F3663" s="13">
        <v>23</v>
      </c>
      <c r="K3663" s="53">
        <v>1</v>
      </c>
      <c r="L3663" s="53"/>
      <c r="M3663" s="53" t="b">
        <v>1</v>
      </c>
    </row>
    <row r="3664" spans="1:13" x14ac:dyDescent="0.25">
      <c r="B3664" s="13" t="s">
        <v>119</v>
      </c>
      <c r="D3664" s="13">
        <v>6181</v>
      </c>
      <c r="E3664" s="132" t="str">
        <f>INDEX([1]道具配置表!$D:$D,MATCH(D3664,[1]道具配置表!$A:$A,0))</f>
        <v>5分钟治疗加速</v>
      </c>
      <c r="F3664" s="13">
        <v>23</v>
      </c>
      <c r="K3664" s="53">
        <v>1</v>
      </c>
      <c r="L3664" s="53"/>
      <c r="M3664" s="53" t="b">
        <v>1</v>
      </c>
    </row>
    <row r="3665" spans="1:13" x14ac:dyDescent="0.25">
      <c r="A3665" s="13">
        <v>6632108</v>
      </c>
      <c r="B3665" s="13" t="s">
        <v>793</v>
      </c>
      <c r="D3665" s="13">
        <v>20000</v>
      </c>
      <c r="E3665" s="132" t="str">
        <f>INDEX([1]道具配置表!$D:$D,MATCH(D3665,[1]道具配置表!$A:$A,0))</f>
        <v>技能点1</v>
      </c>
      <c r="F3665" s="13">
        <v>1400</v>
      </c>
      <c r="K3665" s="53">
        <v>1</v>
      </c>
      <c r="L3665" s="53"/>
      <c r="M3665" s="53" t="b">
        <v>1</v>
      </c>
    </row>
    <row r="3666" spans="1:13" x14ac:dyDescent="0.25">
      <c r="B3666" s="13" t="s">
        <v>119</v>
      </c>
      <c r="D3666" s="13">
        <v>6141</v>
      </c>
      <c r="E3666" s="132" t="str">
        <f>INDEX([1]道具配置表!$D:$D,MATCH(D3666,[1]道具配置表!$A:$A,0))</f>
        <v>5分钟科技加速</v>
      </c>
      <c r="F3666" s="13">
        <v>51</v>
      </c>
      <c r="K3666" s="53">
        <v>1</v>
      </c>
      <c r="L3666" s="53"/>
      <c r="M3666" s="53" t="b">
        <v>1</v>
      </c>
    </row>
    <row r="3667" spans="1:13" x14ac:dyDescent="0.25">
      <c r="B3667" s="13" t="s">
        <v>119</v>
      </c>
      <c r="D3667" s="13">
        <v>6161</v>
      </c>
      <c r="E3667" s="132" t="str">
        <f>INDEX([1]道具配置表!$D:$D,MATCH(D3667,[1]道具配置表!$A:$A,0))</f>
        <v>5分钟训练加速</v>
      </c>
      <c r="F3667" s="13">
        <v>26</v>
      </c>
      <c r="K3667" s="53">
        <v>1</v>
      </c>
      <c r="L3667" s="53"/>
      <c r="M3667" s="53" t="b">
        <v>1</v>
      </c>
    </row>
    <row r="3668" spans="1:13" x14ac:dyDescent="0.25">
      <c r="B3668" s="13" t="s">
        <v>119</v>
      </c>
      <c r="D3668" s="13">
        <v>6181</v>
      </c>
      <c r="E3668" s="132" t="str">
        <f>INDEX([1]道具配置表!$D:$D,MATCH(D3668,[1]道具配置表!$A:$A,0))</f>
        <v>5分钟治疗加速</v>
      </c>
      <c r="F3668" s="13">
        <v>26</v>
      </c>
      <c r="K3668" s="53">
        <v>1</v>
      </c>
      <c r="L3668" s="53"/>
      <c r="M3668" s="53" t="b">
        <v>1</v>
      </c>
    </row>
    <row r="3669" spans="1:13" x14ac:dyDescent="0.25">
      <c r="A3669" s="13">
        <v>6632109</v>
      </c>
      <c r="B3669" s="13" t="s">
        <v>794</v>
      </c>
      <c r="D3669" s="13">
        <v>20000</v>
      </c>
      <c r="E3669" s="132" t="str">
        <f>INDEX([1]道具配置表!$D:$D,MATCH(D3669,[1]道具配置表!$A:$A,0))</f>
        <v>技能点1</v>
      </c>
      <c r="F3669" s="13">
        <v>1600</v>
      </c>
      <c r="K3669" s="53">
        <v>1</v>
      </c>
      <c r="L3669" s="53"/>
      <c r="M3669" s="53" t="b">
        <v>1</v>
      </c>
    </row>
    <row r="3670" spans="1:13" x14ac:dyDescent="0.25">
      <c r="B3670" s="13" t="s">
        <v>119</v>
      </c>
      <c r="D3670" s="13">
        <v>6141</v>
      </c>
      <c r="E3670" s="132" t="str">
        <f>INDEX([1]道具配置表!$D:$D,MATCH(D3670,[1]道具配置表!$A:$A,0))</f>
        <v>5分钟科技加速</v>
      </c>
      <c r="F3670" s="13">
        <v>55</v>
      </c>
      <c r="K3670" s="53">
        <v>1</v>
      </c>
      <c r="L3670" s="53"/>
      <c r="M3670" s="53" t="b">
        <v>1</v>
      </c>
    </row>
    <row r="3671" spans="1:13" x14ac:dyDescent="0.25">
      <c r="B3671" s="13" t="s">
        <v>119</v>
      </c>
      <c r="D3671" s="13">
        <v>6161</v>
      </c>
      <c r="E3671" s="132" t="str">
        <f>INDEX([1]道具配置表!$D:$D,MATCH(D3671,[1]道具配置表!$A:$A,0))</f>
        <v>5分钟训练加速</v>
      </c>
      <c r="F3671" s="13">
        <v>28</v>
      </c>
      <c r="K3671" s="53">
        <v>1</v>
      </c>
      <c r="L3671" s="53"/>
      <c r="M3671" s="53" t="b">
        <v>1</v>
      </c>
    </row>
    <row r="3672" spans="1:13" x14ac:dyDescent="0.25">
      <c r="B3672" s="13" t="s">
        <v>119</v>
      </c>
      <c r="D3672" s="13">
        <v>6181</v>
      </c>
      <c r="E3672" s="132" t="str">
        <f>INDEX([1]道具配置表!$D:$D,MATCH(D3672,[1]道具配置表!$A:$A,0))</f>
        <v>5分钟治疗加速</v>
      </c>
      <c r="F3672" s="13">
        <v>28</v>
      </c>
      <c r="K3672" s="53">
        <v>1</v>
      </c>
      <c r="L3672" s="53"/>
      <c r="M3672" s="53" t="b">
        <v>1</v>
      </c>
    </row>
    <row r="3673" spans="1:13" x14ac:dyDescent="0.25">
      <c r="A3673" s="13">
        <v>6632110</v>
      </c>
      <c r="B3673" s="13" t="s">
        <v>795</v>
      </c>
      <c r="D3673" s="13">
        <v>20000</v>
      </c>
      <c r="E3673" s="132" t="str">
        <f>INDEX([1]道具配置表!$D:$D,MATCH(D3673,[1]道具配置表!$A:$A,0))</f>
        <v>技能点1</v>
      </c>
      <c r="F3673" s="13">
        <v>1800</v>
      </c>
      <c r="K3673" s="53">
        <v>1</v>
      </c>
      <c r="L3673" s="53"/>
      <c r="M3673" s="53" t="b">
        <v>1</v>
      </c>
    </row>
    <row r="3674" spans="1:13" x14ac:dyDescent="0.25">
      <c r="B3674" s="13" t="s">
        <v>119</v>
      </c>
      <c r="D3674" s="13">
        <v>6141</v>
      </c>
      <c r="E3674" s="132" t="str">
        <f>INDEX([1]道具配置表!$D:$D,MATCH(D3674,[1]道具配置表!$A:$A,0))</f>
        <v>5分钟科技加速</v>
      </c>
      <c r="F3674" s="13">
        <v>59</v>
      </c>
      <c r="K3674" s="53">
        <v>1</v>
      </c>
      <c r="L3674" s="53"/>
      <c r="M3674" s="53" t="b">
        <v>1</v>
      </c>
    </row>
    <row r="3675" spans="1:13" x14ac:dyDescent="0.25">
      <c r="B3675" s="13" t="s">
        <v>119</v>
      </c>
      <c r="D3675" s="13">
        <v>6161</v>
      </c>
      <c r="E3675" s="132" t="str">
        <f>INDEX([1]道具配置表!$D:$D,MATCH(D3675,[1]道具配置表!$A:$A,0))</f>
        <v>5分钟训练加速</v>
      </c>
      <c r="F3675" s="13">
        <v>30</v>
      </c>
      <c r="K3675" s="53">
        <v>1</v>
      </c>
      <c r="L3675" s="53"/>
      <c r="M3675" s="53" t="b">
        <v>1</v>
      </c>
    </row>
    <row r="3676" spans="1:13" x14ac:dyDescent="0.25">
      <c r="B3676" s="13" t="s">
        <v>119</v>
      </c>
      <c r="D3676" s="13">
        <v>6181</v>
      </c>
      <c r="E3676" s="132" t="str">
        <f>INDEX([1]道具配置表!$D:$D,MATCH(D3676,[1]道具配置表!$A:$A,0))</f>
        <v>5分钟治疗加速</v>
      </c>
      <c r="F3676" s="13">
        <v>30</v>
      </c>
      <c r="K3676" s="53">
        <v>1</v>
      </c>
      <c r="L3676" s="53"/>
      <c r="M3676" s="53" t="b">
        <v>1</v>
      </c>
    </row>
    <row r="3677" spans="1:13" x14ac:dyDescent="0.25">
      <c r="A3677" s="13">
        <v>6632111</v>
      </c>
      <c r="B3677" s="13" t="s">
        <v>796</v>
      </c>
      <c r="D3677" s="13">
        <v>20000</v>
      </c>
      <c r="E3677" s="132" t="str">
        <f>INDEX([1]道具配置表!$D:$D,MATCH(D3677,[1]道具配置表!$A:$A,0))</f>
        <v>技能点1</v>
      </c>
      <c r="F3677" s="13">
        <v>2000</v>
      </c>
      <c r="K3677" s="53">
        <v>1</v>
      </c>
      <c r="L3677" s="53"/>
      <c r="M3677" s="53" t="b">
        <v>1</v>
      </c>
    </row>
    <row r="3678" spans="1:13" x14ac:dyDescent="0.25">
      <c r="B3678" s="13" t="s">
        <v>119</v>
      </c>
      <c r="D3678" s="13">
        <v>6141</v>
      </c>
      <c r="E3678" s="132" t="str">
        <f>INDEX([1]道具配置表!$D:$D,MATCH(D3678,[1]道具配置表!$A:$A,0))</f>
        <v>5分钟科技加速</v>
      </c>
      <c r="F3678" s="13">
        <v>62</v>
      </c>
      <c r="K3678" s="53">
        <v>1</v>
      </c>
      <c r="L3678" s="53"/>
      <c r="M3678" s="53" t="b">
        <v>1</v>
      </c>
    </row>
    <row r="3679" spans="1:13" x14ac:dyDescent="0.25">
      <c r="B3679" s="13" t="s">
        <v>119</v>
      </c>
      <c r="D3679" s="13">
        <v>6161</v>
      </c>
      <c r="E3679" s="132" t="str">
        <f>INDEX([1]道具配置表!$D:$D,MATCH(D3679,[1]道具配置表!$A:$A,0))</f>
        <v>5分钟训练加速</v>
      </c>
      <c r="F3679" s="13">
        <v>31</v>
      </c>
      <c r="K3679" s="53">
        <v>1</v>
      </c>
      <c r="L3679" s="53"/>
      <c r="M3679" s="53" t="b">
        <v>1</v>
      </c>
    </row>
    <row r="3680" spans="1:13" x14ac:dyDescent="0.25">
      <c r="B3680" s="13" t="s">
        <v>119</v>
      </c>
      <c r="D3680" s="13">
        <v>6181</v>
      </c>
      <c r="E3680" s="132" t="str">
        <f>INDEX([1]道具配置表!$D:$D,MATCH(D3680,[1]道具配置表!$A:$A,0))</f>
        <v>5分钟治疗加速</v>
      </c>
      <c r="F3680" s="13">
        <v>31</v>
      </c>
      <c r="K3680" s="53">
        <v>1</v>
      </c>
      <c r="L3680" s="53"/>
      <c r="M3680" s="53" t="b">
        <v>1</v>
      </c>
    </row>
    <row r="3681" spans="1:13" x14ac:dyDescent="0.25">
      <c r="A3681" s="13">
        <v>6632201</v>
      </c>
      <c r="B3681" s="13" t="s">
        <v>797</v>
      </c>
      <c r="D3681" s="13">
        <v>20000</v>
      </c>
      <c r="E3681" s="132" t="str">
        <f>INDEX([1]道具配置表!$D:$D,MATCH(D3681,[1]道具配置表!$A:$A,0))</f>
        <v>技能点1</v>
      </c>
      <c r="F3681" s="13">
        <v>240</v>
      </c>
      <c r="K3681" s="53">
        <v>1</v>
      </c>
      <c r="L3681" s="53"/>
      <c r="M3681" s="53" t="b">
        <v>1</v>
      </c>
    </row>
    <row r="3682" spans="1:13" x14ac:dyDescent="0.25">
      <c r="B3682" s="13" t="s">
        <v>119</v>
      </c>
      <c r="D3682" s="13">
        <v>6141</v>
      </c>
      <c r="E3682" s="132" t="str">
        <f>INDEX([1]道具配置表!$D:$D,MATCH(D3682,[1]道具配置表!$A:$A,0))</f>
        <v>5分钟科技加速</v>
      </c>
      <c r="F3682" s="13">
        <v>28</v>
      </c>
      <c r="K3682" s="53">
        <v>1</v>
      </c>
      <c r="L3682" s="53"/>
      <c r="M3682" s="53" t="b">
        <v>1</v>
      </c>
    </row>
    <row r="3683" spans="1:13" x14ac:dyDescent="0.25">
      <c r="B3683" s="13" t="s">
        <v>119</v>
      </c>
      <c r="D3683" s="13">
        <v>6161</v>
      </c>
      <c r="E3683" s="132" t="str">
        <f>INDEX([1]道具配置表!$D:$D,MATCH(D3683,[1]道具配置表!$A:$A,0))</f>
        <v>5分钟训练加速</v>
      </c>
      <c r="F3683" s="13">
        <v>14</v>
      </c>
      <c r="K3683" s="53">
        <v>1</v>
      </c>
      <c r="L3683" s="53"/>
      <c r="M3683" s="53" t="b">
        <v>1</v>
      </c>
    </row>
    <row r="3684" spans="1:13" x14ac:dyDescent="0.25">
      <c r="B3684" s="13" t="s">
        <v>119</v>
      </c>
      <c r="D3684" s="13">
        <v>6181</v>
      </c>
      <c r="E3684" s="132" t="str">
        <f>INDEX([1]道具配置表!$D:$D,MATCH(D3684,[1]道具配置表!$A:$A,0))</f>
        <v>5分钟治疗加速</v>
      </c>
      <c r="F3684" s="13">
        <v>14</v>
      </c>
      <c r="K3684" s="53">
        <v>1</v>
      </c>
      <c r="L3684" s="53"/>
      <c r="M3684" s="53" t="b">
        <v>1</v>
      </c>
    </row>
    <row r="3685" spans="1:13" x14ac:dyDescent="0.25">
      <c r="A3685" s="13">
        <v>6632202</v>
      </c>
      <c r="B3685" s="13" t="s">
        <v>798</v>
      </c>
      <c r="D3685" s="13">
        <v>20000</v>
      </c>
      <c r="E3685" s="132" t="str">
        <f>INDEX([1]道具配置表!$D:$D,MATCH(D3685,[1]道具配置表!$A:$A,0))</f>
        <v>技能点1</v>
      </c>
      <c r="F3685" s="13">
        <v>720</v>
      </c>
      <c r="K3685" s="53">
        <v>1</v>
      </c>
      <c r="L3685" s="53"/>
      <c r="M3685" s="53" t="b">
        <v>1</v>
      </c>
    </row>
    <row r="3686" spans="1:13" x14ac:dyDescent="0.25">
      <c r="B3686" s="13" t="s">
        <v>119</v>
      </c>
      <c r="D3686" s="13">
        <v>6141</v>
      </c>
      <c r="E3686" s="132" t="str">
        <f>INDEX([1]道具配置表!$D:$D,MATCH(D3686,[1]道具配置表!$A:$A,0))</f>
        <v>5分钟科技加速</v>
      </c>
      <c r="F3686" s="13">
        <v>34</v>
      </c>
      <c r="K3686" s="53">
        <v>1</v>
      </c>
      <c r="L3686" s="53"/>
      <c r="M3686" s="53" t="b">
        <v>1</v>
      </c>
    </row>
    <row r="3687" spans="1:13" x14ac:dyDescent="0.25">
      <c r="B3687" s="13" t="s">
        <v>119</v>
      </c>
      <c r="D3687" s="13">
        <v>6161</v>
      </c>
      <c r="E3687" s="132" t="str">
        <f>INDEX([1]道具配置表!$D:$D,MATCH(D3687,[1]道具配置表!$A:$A,0))</f>
        <v>5分钟训练加速</v>
      </c>
      <c r="F3687" s="13">
        <v>17</v>
      </c>
      <c r="K3687" s="53">
        <v>1</v>
      </c>
      <c r="L3687" s="53"/>
      <c r="M3687" s="53" t="b">
        <v>1</v>
      </c>
    </row>
    <row r="3688" spans="1:13" x14ac:dyDescent="0.25">
      <c r="B3688" s="13" t="s">
        <v>119</v>
      </c>
      <c r="D3688" s="13">
        <v>6181</v>
      </c>
      <c r="E3688" s="132" t="str">
        <f>INDEX([1]道具配置表!$D:$D,MATCH(D3688,[1]道具配置表!$A:$A,0))</f>
        <v>5分钟治疗加速</v>
      </c>
      <c r="F3688" s="13">
        <v>17</v>
      </c>
      <c r="K3688" s="53">
        <v>1</v>
      </c>
      <c r="L3688" s="53"/>
      <c r="M3688" s="53" t="b">
        <v>1</v>
      </c>
    </row>
    <row r="3689" spans="1:13" x14ac:dyDescent="0.25">
      <c r="A3689" s="13">
        <v>6632203</v>
      </c>
      <c r="B3689" s="13" t="s">
        <v>799</v>
      </c>
      <c r="D3689" s="13">
        <v>20000</v>
      </c>
      <c r="E3689" s="132" t="str">
        <f>INDEX([1]道具配置表!$D:$D,MATCH(D3689,[1]道具配置表!$A:$A,0))</f>
        <v>技能点1</v>
      </c>
      <c r="F3689" s="13">
        <v>840</v>
      </c>
      <c r="K3689" s="53">
        <v>1</v>
      </c>
      <c r="L3689" s="53"/>
      <c r="M3689" s="53" t="b">
        <v>1</v>
      </c>
    </row>
    <row r="3690" spans="1:13" x14ac:dyDescent="0.25">
      <c r="B3690" s="13" t="s">
        <v>119</v>
      </c>
      <c r="D3690" s="13">
        <v>6141</v>
      </c>
      <c r="E3690" s="132" t="str">
        <f>INDEX([1]道具配置表!$D:$D,MATCH(D3690,[1]道具配置表!$A:$A,0))</f>
        <v>5分钟科技加速</v>
      </c>
      <c r="F3690" s="13">
        <v>40</v>
      </c>
      <c r="K3690" s="53">
        <v>1</v>
      </c>
      <c r="L3690" s="53"/>
      <c r="M3690" s="53" t="b">
        <v>1</v>
      </c>
    </row>
    <row r="3691" spans="1:13" x14ac:dyDescent="0.25">
      <c r="B3691" s="13" t="s">
        <v>119</v>
      </c>
      <c r="D3691" s="13">
        <v>6161</v>
      </c>
      <c r="E3691" s="132" t="str">
        <f>INDEX([1]道具配置表!$D:$D,MATCH(D3691,[1]道具配置表!$A:$A,0))</f>
        <v>5分钟训练加速</v>
      </c>
      <c r="F3691" s="13">
        <v>20</v>
      </c>
      <c r="K3691" s="53">
        <v>1</v>
      </c>
      <c r="L3691" s="53"/>
      <c r="M3691" s="53" t="b">
        <v>1</v>
      </c>
    </row>
    <row r="3692" spans="1:13" x14ac:dyDescent="0.25">
      <c r="B3692" s="13" t="s">
        <v>119</v>
      </c>
      <c r="D3692" s="13">
        <v>6181</v>
      </c>
      <c r="E3692" s="132" t="str">
        <f>INDEX([1]道具配置表!$D:$D,MATCH(D3692,[1]道具配置表!$A:$A,0))</f>
        <v>5分钟治疗加速</v>
      </c>
      <c r="F3692" s="13">
        <v>20</v>
      </c>
      <c r="K3692" s="53">
        <v>1</v>
      </c>
      <c r="L3692" s="53"/>
      <c r="M3692" s="53" t="b">
        <v>1</v>
      </c>
    </row>
    <row r="3693" spans="1:13" x14ac:dyDescent="0.25">
      <c r="A3693" s="13">
        <v>6632204</v>
      </c>
      <c r="B3693" s="13" t="s">
        <v>800</v>
      </c>
      <c r="D3693" s="13">
        <v>20000</v>
      </c>
      <c r="E3693" s="132" t="str">
        <f>INDEX([1]道具配置表!$D:$D,MATCH(D3693,[1]道具配置表!$A:$A,0))</f>
        <v>技能点1</v>
      </c>
      <c r="F3693" s="13">
        <v>960</v>
      </c>
      <c r="K3693" s="53">
        <v>1</v>
      </c>
      <c r="L3693" s="53"/>
      <c r="M3693" s="53" t="b">
        <v>1</v>
      </c>
    </row>
    <row r="3694" spans="1:13" x14ac:dyDescent="0.25">
      <c r="B3694" s="13" t="s">
        <v>119</v>
      </c>
      <c r="D3694" s="13">
        <v>6141</v>
      </c>
      <c r="E3694" s="132" t="str">
        <f>INDEX([1]道具配置表!$D:$D,MATCH(D3694,[1]道具配置表!$A:$A,0))</f>
        <v>5分钟科技加速</v>
      </c>
      <c r="F3694" s="13">
        <v>46</v>
      </c>
      <c r="K3694" s="53">
        <v>1</v>
      </c>
      <c r="L3694" s="53"/>
      <c r="M3694" s="53" t="b">
        <v>1</v>
      </c>
    </row>
    <row r="3695" spans="1:13" x14ac:dyDescent="0.25">
      <c r="B3695" s="13" t="s">
        <v>119</v>
      </c>
      <c r="D3695" s="13">
        <v>6161</v>
      </c>
      <c r="E3695" s="132" t="str">
        <f>INDEX([1]道具配置表!$D:$D,MATCH(D3695,[1]道具配置表!$A:$A,0))</f>
        <v>5分钟训练加速</v>
      </c>
      <c r="F3695" s="13">
        <v>23</v>
      </c>
      <c r="K3695" s="53">
        <v>1</v>
      </c>
      <c r="L3695" s="53"/>
      <c r="M3695" s="53" t="b">
        <v>1</v>
      </c>
    </row>
    <row r="3696" spans="1:13" x14ac:dyDescent="0.25">
      <c r="B3696" s="13" t="s">
        <v>119</v>
      </c>
      <c r="D3696" s="13">
        <v>6181</v>
      </c>
      <c r="E3696" s="132" t="str">
        <f>INDEX([1]道具配置表!$D:$D,MATCH(D3696,[1]道具配置表!$A:$A,0))</f>
        <v>5分钟治疗加速</v>
      </c>
      <c r="F3696" s="13">
        <v>23</v>
      </c>
      <c r="K3696" s="53">
        <v>1</v>
      </c>
      <c r="L3696" s="53"/>
      <c r="M3696" s="53" t="b">
        <v>1</v>
      </c>
    </row>
    <row r="3697" spans="1:13" x14ac:dyDescent="0.25">
      <c r="A3697" s="13">
        <v>6632205</v>
      </c>
      <c r="B3697" s="13" t="s">
        <v>801</v>
      </c>
      <c r="D3697" s="13">
        <v>20000</v>
      </c>
      <c r="E3697" s="132" t="str">
        <f>INDEX([1]道具配置表!$D:$D,MATCH(D3697,[1]道具配置表!$A:$A,0))</f>
        <v>技能点1</v>
      </c>
      <c r="F3697" s="13">
        <v>1080</v>
      </c>
      <c r="K3697" s="53">
        <v>1</v>
      </c>
      <c r="L3697" s="53"/>
      <c r="M3697" s="53" t="b">
        <v>1</v>
      </c>
    </row>
    <row r="3698" spans="1:13" x14ac:dyDescent="0.25">
      <c r="B3698" s="13" t="s">
        <v>119</v>
      </c>
      <c r="D3698" s="13">
        <v>6141</v>
      </c>
      <c r="E3698" s="132" t="str">
        <f>INDEX([1]道具配置表!$D:$D,MATCH(D3698,[1]道具配置表!$A:$A,0))</f>
        <v>5分钟科技加速</v>
      </c>
      <c r="F3698" s="13">
        <v>52</v>
      </c>
      <c r="K3698" s="53">
        <v>1</v>
      </c>
      <c r="L3698" s="53"/>
      <c r="M3698" s="53" t="b">
        <v>1</v>
      </c>
    </row>
    <row r="3699" spans="1:13" x14ac:dyDescent="0.25">
      <c r="B3699" s="13" t="s">
        <v>119</v>
      </c>
      <c r="D3699" s="13">
        <v>6161</v>
      </c>
      <c r="E3699" s="132" t="str">
        <f>INDEX([1]道具配置表!$D:$D,MATCH(D3699,[1]道具配置表!$A:$A,0))</f>
        <v>5分钟训练加速</v>
      </c>
      <c r="F3699" s="13">
        <v>26</v>
      </c>
      <c r="K3699" s="53">
        <v>1</v>
      </c>
      <c r="L3699" s="53"/>
      <c r="M3699" s="53" t="b">
        <v>1</v>
      </c>
    </row>
    <row r="3700" spans="1:13" x14ac:dyDescent="0.25">
      <c r="B3700" s="13" t="s">
        <v>119</v>
      </c>
      <c r="D3700" s="13">
        <v>6181</v>
      </c>
      <c r="E3700" s="132" t="str">
        <f>INDEX([1]道具配置表!$D:$D,MATCH(D3700,[1]道具配置表!$A:$A,0))</f>
        <v>5分钟治疗加速</v>
      </c>
      <c r="F3700" s="13">
        <v>26</v>
      </c>
      <c r="K3700" s="53">
        <v>1</v>
      </c>
      <c r="L3700" s="53"/>
      <c r="M3700" s="53" t="b">
        <v>1</v>
      </c>
    </row>
    <row r="3701" spans="1:13" x14ac:dyDescent="0.25">
      <c r="A3701" s="13">
        <v>6632206</v>
      </c>
      <c r="B3701" s="13" t="s">
        <v>802</v>
      </c>
      <c r="D3701" s="13">
        <v>20000</v>
      </c>
      <c r="E3701" s="132" t="str">
        <f>INDEX([1]道具配置表!$D:$D,MATCH(D3701,[1]道具配置表!$A:$A,0))</f>
        <v>技能点1</v>
      </c>
      <c r="F3701" s="13">
        <v>1200</v>
      </c>
      <c r="K3701" s="53">
        <v>1</v>
      </c>
      <c r="L3701" s="53"/>
      <c r="M3701" s="53" t="b">
        <v>1</v>
      </c>
    </row>
    <row r="3702" spans="1:13" x14ac:dyDescent="0.25">
      <c r="B3702" s="13" t="s">
        <v>119</v>
      </c>
      <c r="D3702" s="13">
        <v>6141</v>
      </c>
      <c r="E3702" s="132" t="str">
        <f>INDEX([1]道具配置表!$D:$D,MATCH(D3702,[1]道具配置表!$A:$A,0))</f>
        <v>5分钟科技加速</v>
      </c>
      <c r="F3702" s="13">
        <v>57</v>
      </c>
      <c r="K3702" s="53">
        <v>1</v>
      </c>
      <c r="L3702" s="53"/>
      <c r="M3702" s="53" t="b">
        <v>1</v>
      </c>
    </row>
    <row r="3703" spans="1:13" x14ac:dyDescent="0.25">
      <c r="B3703" s="13" t="s">
        <v>119</v>
      </c>
      <c r="D3703" s="13">
        <v>6161</v>
      </c>
      <c r="E3703" s="132" t="str">
        <f>INDEX([1]道具配置表!$D:$D,MATCH(D3703,[1]道具配置表!$A:$A,0))</f>
        <v>5分钟训练加速</v>
      </c>
      <c r="F3703" s="13">
        <v>29</v>
      </c>
      <c r="K3703" s="53">
        <v>1</v>
      </c>
      <c r="L3703" s="53"/>
      <c r="M3703" s="53" t="b">
        <v>1</v>
      </c>
    </row>
    <row r="3704" spans="1:13" x14ac:dyDescent="0.25">
      <c r="B3704" s="13" t="s">
        <v>119</v>
      </c>
      <c r="D3704" s="13">
        <v>6181</v>
      </c>
      <c r="E3704" s="132" t="str">
        <f>INDEX([1]道具配置表!$D:$D,MATCH(D3704,[1]道具配置表!$A:$A,0))</f>
        <v>5分钟治疗加速</v>
      </c>
      <c r="F3704" s="13">
        <v>29</v>
      </c>
      <c r="K3704" s="53">
        <v>1</v>
      </c>
      <c r="L3704" s="53"/>
      <c r="M3704" s="53" t="b">
        <v>1</v>
      </c>
    </row>
    <row r="3705" spans="1:13" x14ac:dyDescent="0.25">
      <c r="A3705" s="13">
        <v>6632207</v>
      </c>
      <c r="B3705" s="13" t="s">
        <v>803</v>
      </c>
      <c r="D3705" s="13">
        <v>20000</v>
      </c>
      <c r="E3705" s="132" t="str">
        <f>INDEX([1]道具配置表!$D:$D,MATCH(D3705,[1]道具配置表!$A:$A,0))</f>
        <v>技能点1</v>
      </c>
      <c r="F3705" s="13">
        <v>1440</v>
      </c>
      <c r="K3705" s="53">
        <v>1</v>
      </c>
      <c r="L3705" s="53"/>
      <c r="M3705" s="53" t="b">
        <v>1</v>
      </c>
    </row>
    <row r="3706" spans="1:13" x14ac:dyDescent="0.25">
      <c r="B3706" s="13" t="s">
        <v>119</v>
      </c>
      <c r="D3706" s="13">
        <v>6141</v>
      </c>
      <c r="E3706" s="132" t="str">
        <f>INDEX([1]道具配置表!$D:$D,MATCH(D3706,[1]道具配置表!$A:$A,0))</f>
        <v>5分钟科技加速</v>
      </c>
      <c r="F3706" s="13">
        <v>62</v>
      </c>
      <c r="K3706" s="53">
        <v>1</v>
      </c>
      <c r="L3706" s="53"/>
      <c r="M3706" s="53" t="b">
        <v>1</v>
      </c>
    </row>
    <row r="3707" spans="1:13" x14ac:dyDescent="0.25">
      <c r="B3707" s="13" t="s">
        <v>119</v>
      </c>
      <c r="D3707" s="13">
        <v>6161</v>
      </c>
      <c r="E3707" s="132" t="str">
        <f>INDEX([1]道具配置表!$D:$D,MATCH(D3707,[1]道具配置表!$A:$A,0))</f>
        <v>5分钟训练加速</v>
      </c>
      <c r="F3707" s="13">
        <v>31</v>
      </c>
      <c r="K3707" s="53">
        <v>1</v>
      </c>
      <c r="L3707" s="53"/>
      <c r="M3707" s="53" t="b">
        <v>1</v>
      </c>
    </row>
    <row r="3708" spans="1:13" x14ac:dyDescent="0.25">
      <c r="B3708" s="13" t="s">
        <v>119</v>
      </c>
      <c r="D3708" s="13">
        <v>6181</v>
      </c>
      <c r="E3708" s="132" t="str">
        <f>INDEX([1]道具配置表!$D:$D,MATCH(D3708,[1]道具配置表!$A:$A,0))</f>
        <v>5分钟治疗加速</v>
      </c>
      <c r="F3708" s="13">
        <v>31</v>
      </c>
      <c r="K3708" s="53">
        <v>1</v>
      </c>
      <c r="L3708" s="53"/>
      <c r="M3708" s="53" t="b">
        <v>1</v>
      </c>
    </row>
    <row r="3709" spans="1:13" x14ac:dyDescent="0.25">
      <c r="A3709" s="13">
        <v>6632208</v>
      </c>
      <c r="B3709" s="13" t="s">
        <v>804</v>
      </c>
      <c r="D3709" s="13">
        <v>20000</v>
      </c>
      <c r="E3709" s="132" t="str">
        <f>INDEX([1]道具配置表!$D:$D,MATCH(D3709,[1]道具配置表!$A:$A,0))</f>
        <v>技能点1</v>
      </c>
      <c r="F3709" s="13">
        <v>1680</v>
      </c>
      <c r="K3709" s="53">
        <v>1</v>
      </c>
      <c r="L3709" s="53"/>
      <c r="M3709" s="53" t="b">
        <v>1</v>
      </c>
    </row>
    <row r="3710" spans="1:13" x14ac:dyDescent="0.25">
      <c r="B3710" s="13" t="s">
        <v>119</v>
      </c>
      <c r="D3710" s="13">
        <v>6141</v>
      </c>
      <c r="E3710" s="132" t="str">
        <f>INDEX([1]道具配置表!$D:$D,MATCH(D3710,[1]道具配置表!$A:$A,0))</f>
        <v>5分钟科技加速</v>
      </c>
      <c r="F3710" s="13">
        <v>67</v>
      </c>
      <c r="K3710" s="53">
        <v>1</v>
      </c>
      <c r="L3710" s="53"/>
      <c r="M3710" s="53" t="b">
        <v>1</v>
      </c>
    </row>
    <row r="3711" spans="1:13" x14ac:dyDescent="0.25">
      <c r="B3711" s="13" t="s">
        <v>119</v>
      </c>
      <c r="D3711" s="13">
        <v>6161</v>
      </c>
      <c r="E3711" s="132" t="str">
        <f>INDEX([1]道具配置表!$D:$D,MATCH(D3711,[1]道具配置表!$A:$A,0))</f>
        <v>5分钟训练加速</v>
      </c>
      <c r="F3711" s="13">
        <v>34</v>
      </c>
      <c r="K3711" s="53">
        <v>1</v>
      </c>
      <c r="L3711" s="53"/>
      <c r="M3711" s="53" t="b">
        <v>1</v>
      </c>
    </row>
    <row r="3712" spans="1:13" x14ac:dyDescent="0.25">
      <c r="B3712" s="13" t="s">
        <v>119</v>
      </c>
      <c r="D3712" s="13">
        <v>6181</v>
      </c>
      <c r="E3712" s="132" t="str">
        <f>INDEX([1]道具配置表!$D:$D,MATCH(D3712,[1]道具配置表!$A:$A,0))</f>
        <v>5分钟治疗加速</v>
      </c>
      <c r="F3712" s="13">
        <v>34</v>
      </c>
      <c r="K3712" s="53">
        <v>1</v>
      </c>
      <c r="L3712" s="53"/>
      <c r="M3712" s="53" t="b">
        <v>1</v>
      </c>
    </row>
    <row r="3713" spans="1:13" x14ac:dyDescent="0.25">
      <c r="A3713" s="13">
        <v>6632209</v>
      </c>
      <c r="B3713" s="13" t="s">
        <v>805</v>
      </c>
      <c r="D3713" s="13">
        <v>20000</v>
      </c>
      <c r="E3713" s="132" t="str">
        <f>INDEX([1]道具配置表!$D:$D,MATCH(D3713,[1]道具配置表!$A:$A,0))</f>
        <v>技能点1</v>
      </c>
      <c r="F3713" s="13">
        <v>1920</v>
      </c>
      <c r="K3713" s="53">
        <v>1</v>
      </c>
      <c r="L3713" s="53"/>
      <c r="M3713" s="53" t="b">
        <v>1</v>
      </c>
    </row>
    <row r="3714" spans="1:13" x14ac:dyDescent="0.25">
      <c r="B3714" s="13" t="s">
        <v>119</v>
      </c>
      <c r="D3714" s="13">
        <v>6141</v>
      </c>
      <c r="E3714" s="132" t="str">
        <f>INDEX([1]道具配置表!$D:$D,MATCH(D3714,[1]道具配置表!$A:$A,0))</f>
        <v>5分钟科技加速</v>
      </c>
      <c r="F3714" s="13">
        <v>71</v>
      </c>
      <c r="K3714" s="53">
        <v>1</v>
      </c>
      <c r="L3714" s="53"/>
      <c r="M3714" s="53" t="b">
        <v>1</v>
      </c>
    </row>
    <row r="3715" spans="1:13" x14ac:dyDescent="0.25">
      <c r="B3715" s="13" t="s">
        <v>119</v>
      </c>
      <c r="D3715" s="13">
        <v>6161</v>
      </c>
      <c r="E3715" s="132" t="str">
        <f>INDEX([1]道具配置表!$D:$D,MATCH(D3715,[1]道具配置表!$A:$A,0))</f>
        <v>5分钟训练加速</v>
      </c>
      <c r="F3715" s="13">
        <v>36</v>
      </c>
      <c r="K3715" s="53">
        <v>1</v>
      </c>
      <c r="L3715" s="53"/>
      <c r="M3715" s="53" t="b">
        <v>1</v>
      </c>
    </row>
    <row r="3716" spans="1:13" x14ac:dyDescent="0.25">
      <c r="B3716" s="13" t="s">
        <v>119</v>
      </c>
      <c r="D3716" s="13">
        <v>6181</v>
      </c>
      <c r="E3716" s="132" t="str">
        <f>INDEX([1]道具配置表!$D:$D,MATCH(D3716,[1]道具配置表!$A:$A,0))</f>
        <v>5分钟治疗加速</v>
      </c>
      <c r="F3716" s="13">
        <v>36</v>
      </c>
      <c r="K3716" s="53">
        <v>1</v>
      </c>
      <c r="L3716" s="53"/>
      <c r="M3716" s="53" t="b">
        <v>1</v>
      </c>
    </row>
    <row r="3717" spans="1:13" x14ac:dyDescent="0.25">
      <c r="A3717" s="13">
        <v>6632210</v>
      </c>
      <c r="B3717" s="13" t="s">
        <v>806</v>
      </c>
      <c r="D3717" s="13">
        <v>20000</v>
      </c>
      <c r="E3717" s="132" t="str">
        <f>INDEX([1]道具配置表!$D:$D,MATCH(D3717,[1]道具配置表!$A:$A,0))</f>
        <v>技能点1</v>
      </c>
      <c r="F3717" s="13">
        <v>2160</v>
      </c>
      <c r="K3717" s="53">
        <v>1</v>
      </c>
      <c r="L3717" s="53"/>
      <c r="M3717" s="53" t="b">
        <v>1</v>
      </c>
    </row>
    <row r="3718" spans="1:13" x14ac:dyDescent="0.25">
      <c r="B3718" s="13" t="s">
        <v>119</v>
      </c>
      <c r="D3718" s="13">
        <v>6141</v>
      </c>
      <c r="E3718" s="132" t="str">
        <f>INDEX([1]道具配置表!$D:$D,MATCH(D3718,[1]道具配置表!$A:$A,0))</f>
        <v>5分钟科技加速</v>
      </c>
      <c r="F3718" s="13">
        <v>75</v>
      </c>
      <c r="K3718" s="53">
        <v>1</v>
      </c>
      <c r="L3718" s="53"/>
      <c r="M3718" s="53" t="b">
        <v>1</v>
      </c>
    </row>
    <row r="3719" spans="1:13" x14ac:dyDescent="0.25">
      <c r="B3719" s="13" t="s">
        <v>119</v>
      </c>
      <c r="D3719" s="13">
        <v>6161</v>
      </c>
      <c r="E3719" s="132" t="str">
        <f>INDEX([1]道具配置表!$D:$D,MATCH(D3719,[1]道具配置表!$A:$A,0))</f>
        <v>5分钟训练加速</v>
      </c>
      <c r="F3719" s="13">
        <v>38</v>
      </c>
      <c r="K3719" s="53">
        <v>1</v>
      </c>
      <c r="L3719" s="53"/>
      <c r="M3719" s="53" t="b">
        <v>1</v>
      </c>
    </row>
    <row r="3720" spans="1:13" x14ac:dyDescent="0.25">
      <c r="B3720" s="13" t="s">
        <v>119</v>
      </c>
      <c r="D3720" s="13">
        <v>6181</v>
      </c>
      <c r="E3720" s="132" t="str">
        <f>INDEX([1]道具配置表!$D:$D,MATCH(D3720,[1]道具配置表!$A:$A,0))</f>
        <v>5分钟治疗加速</v>
      </c>
      <c r="F3720" s="13">
        <v>38</v>
      </c>
      <c r="K3720" s="53">
        <v>1</v>
      </c>
      <c r="L3720" s="53"/>
      <c r="M3720" s="53" t="b">
        <v>1</v>
      </c>
    </row>
    <row r="3721" spans="1:13" x14ac:dyDescent="0.25">
      <c r="A3721" s="13">
        <v>6632211</v>
      </c>
      <c r="B3721" s="13" t="s">
        <v>807</v>
      </c>
      <c r="D3721" s="13">
        <v>20000</v>
      </c>
      <c r="E3721" s="132" t="str">
        <f>INDEX([1]道具配置表!$D:$D,MATCH(D3721,[1]道具配置表!$A:$A,0))</f>
        <v>技能点1</v>
      </c>
      <c r="F3721" s="13">
        <v>2400</v>
      </c>
      <c r="K3721" s="53">
        <v>1</v>
      </c>
      <c r="L3721" s="53"/>
      <c r="M3721" s="53" t="b">
        <v>1</v>
      </c>
    </row>
    <row r="3722" spans="1:13" x14ac:dyDescent="0.25">
      <c r="B3722" s="13" t="s">
        <v>119</v>
      </c>
      <c r="D3722" s="13">
        <v>6141</v>
      </c>
      <c r="E3722" s="132" t="str">
        <f>INDEX([1]道具配置表!$D:$D,MATCH(D3722,[1]道具配置表!$A:$A,0))</f>
        <v>5分钟科技加速</v>
      </c>
      <c r="F3722" s="13">
        <v>78</v>
      </c>
      <c r="K3722" s="53">
        <v>1</v>
      </c>
      <c r="L3722" s="53"/>
      <c r="M3722" s="53" t="b">
        <v>1</v>
      </c>
    </row>
    <row r="3723" spans="1:13" x14ac:dyDescent="0.25">
      <c r="B3723" s="13" t="s">
        <v>119</v>
      </c>
      <c r="D3723" s="13">
        <v>6161</v>
      </c>
      <c r="E3723" s="132" t="str">
        <f>INDEX([1]道具配置表!$D:$D,MATCH(D3723,[1]道具配置表!$A:$A,0))</f>
        <v>5分钟训练加速</v>
      </c>
      <c r="F3723" s="13">
        <v>39</v>
      </c>
      <c r="K3723" s="53">
        <v>1</v>
      </c>
      <c r="L3723" s="53"/>
      <c r="M3723" s="53" t="b">
        <v>1</v>
      </c>
    </row>
    <row r="3724" spans="1:13" x14ac:dyDescent="0.25">
      <c r="B3724" s="13" t="s">
        <v>119</v>
      </c>
      <c r="D3724" s="13">
        <v>6181</v>
      </c>
      <c r="E3724" s="132" t="str">
        <f>INDEX([1]道具配置表!$D:$D,MATCH(D3724,[1]道具配置表!$A:$A,0))</f>
        <v>5分钟治疗加速</v>
      </c>
      <c r="F3724" s="13">
        <v>39</v>
      </c>
      <c r="K3724" s="53">
        <v>1</v>
      </c>
      <c r="L3724" s="53"/>
      <c r="M3724" s="53" t="b">
        <v>1</v>
      </c>
    </row>
    <row r="3725" spans="1:13" x14ac:dyDescent="0.25">
      <c r="A3725" s="13">
        <v>6632301</v>
      </c>
      <c r="B3725" s="13" t="s">
        <v>808</v>
      </c>
      <c r="D3725" s="13">
        <v>20000</v>
      </c>
      <c r="E3725" s="132" t="str">
        <f>INDEX([1]道具配置表!$D:$D,MATCH(D3725,[1]道具配置表!$A:$A,0))</f>
        <v>技能点1</v>
      </c>
      <c r="F3725" s="13">
        <v>280</v>
      </c>
      <c r="K3725" s="53">
        <v>1</v>
      </c>
      <c r="L3725" s="53"/>
      <c r="M3725" s="53" t="b">
        <v>1</v>
      </c>
    </row>
    <row r="3726" spans="1:13" x14ac:dyDescent="0.25">
      <c r="B3726" s="13" t="s">
        <v>119</v>
      </c>
      <c r="D3726" s="13">
        <v>6141</v>
      </c>
      <c r="E3726" s="132" t="str">
        <f>INDEX([1]道具配置表!$D:$D,MATCH(D3726,[1]道具配置表!$A:$A,0))</f>
        <v>5分钟科技加速</v>
      </c>
      <c r="F3726" s="13">
        <v>60</v>
      </c>
      <c r="K3726" s="53">
        <v>1</v>
      </c>
      <c r="L3726" s="53"/>
      <c r="M3726" s="53" t="b">
        <v>1</v>
      </c>
    </row>
    <row r="3727" spans="1:13" x14ac:dyDescent="0.25">
      <c r="B3727" s="13" t="s">
        <v>119</v>
      </c>
      <c r="D3727" s="13">
        <v>6161</v>
      </c>
      <c r="E3727" s="132" t="str">
        <f>INDEX([1]道具配置表!$D:$D,MATCH(D3727,[1]道具配置表!$A:$A,0))</f>
        <v>5分钟训练加速</v>
      </c>
      <c r="F3727" s="13">
        <v>30</v>
      </c>
      <c r="K3727" s="53">
        <v>1</v>
      </c>
      <c r="L3727" s="53"/>
      <c r="M3727" s="53" t="b">
        <v>1</v>
      </c>
    </row>
    <row r="3728" spans="1:13" x14ac:dyDescent="0.25">
      <c r="B3728" s="13" t="s">
        <v>119</v>
      </c>
      <c r="D3728" s="13">
        <v>6181</v>
      </c>
      <c r="E3728" s="132" t="str">
        <f>INDEX([1]道具配置表!$D:$D,MATCH(D3728,[1]道具配置表!$A:$A,0))</f>
        <v>5分钟治疗加速</v>
      </c>
      <c r="F3728" s="13">
        <v>30</v>
      </c>
      <c r="K3728" s="53">
        <v>1</v>
      </c>
      <c r="L3728" s="53"/>
      <c r="M3728" s="53" t="b">
        <v>1</v>
      </c>
    </row>
    <row r="3729" spans="1:13" x14ac:dyDescent="0.25">
      <c r="A3729" s="13">
        <v>6632302</v>
      </c>
      <c r="B3729" s="13" t="s">
        <v>809</v>
      </c>
      <c r="D3729" s="13">
        <v>20000</v>
      </c>
      <c r="E3729" s="132" t="str">
        <f>INDEX([1]道具配置表!$D:$D,MATCH(D3729,[1]道具配置表!$A:$A,0))</f>
        <v>技能点1</v>
      </c>
      <c r="F3729" s="13">
        <v>840</v>
      </c>
      <c r="K3729" s="53">
        <v>1</v>
      </c>
      <c r="L3729" s="53"/>
      <c r="M3729" s="53" t="b">
        <v>1</v>
      </c>
    </row>
    <row r="3730" spans="1:13" x14ac:dyDescent="0.25">
      <c r="B3730" s="13" t="s">
        <v>119</v>
      </c>
      <c r="D3730" s="13">
        <v>6141</v>
      </c>
      <c r="E3730" s="132" t="str">
        <f>INDEX([1]道具配置表!$D:$D,MATCH(D3730,[1]道具配置表!$A:$A,0))</f>
        <v>5分钟科技加速</v>
      </c>
      <c r="F3730" s="13">
        <v>66</v>
      </c>
      <c r="K3730" s="53">
        <v>1</v>
      </c>
      <c r="L3730" s="53"/>
      <c r="M3730" s="53" t="b">
        <v>1</v>
      </c>
    </row>
    <row r="3731" spans="1:13" x14ac:dyDescent="0.25">
      <c r="B3731" s="13" t="s">
        <v>119</v>
      </c>
      <c r="D3731" s="13">
        <v>6161</v>
      </c>
      <c r="E3731" s="132" t="str">
        <f>INDEX([1]道具配置表!$D:$D,MATCH(D3731,[1]道具配置表!$A:$A,0))</f>
        <v>5分钟训练加速</v>
      </c>
      <c r="F3731" s="13">
        <v>33</v>
      </c>
      <c r="K3731" s="53">
        <v>1</v>
      </c>
      <c r="L3731" s="53"/>
      <c r="M3731" s="53" t="b">
        <v>1</v>
      </c>
    </row>
    <row r="3732" spans="1:13" x14ac:dyDescent="0.25">
      <c r="B3732" s="13" t="s">
        <v>119</v>
      </c>
      <c r="D3732" s="13">
        <v>6181</v>
      </c>
      <c r="E3732" s="132" t="str">
        <f>INDEX([1]道具配置表!$D:$D,MATCH(D3732,[1]道具配置表!$A:$A,0))</f>
        <v>5分钟治疗加速</v>
      </c>
      <c r="F3732" s="13">
        <v>33</v>
      </c>
      <c r="K3732" s="53">
        <v>1</v>
      </c>
      <c r="L3732" s="53"/>
      <c r="M3732" s="53" t="b">
        <v>1</v>
      </c>
    </row>
    <row r="3733" spans="1:13" x14ac:dyDescent="0.25">
      <c r="A3733" s="13">
        <v>6632303</v>
      </c>
      <c r="B3733" s="13" t="s">
        <v>810</v>
      </c>
      <c r="D3733" s="13">
        <v>20000</v>
      </c>
      <c r="E3733" s="132" t="str">
        <f>INDEX([1]道具配置表!$D:$D,MATCH(D3733,[1]道具配置表!$A:$A,0))</f>
        <v>技能点1</v>
      </c>
      <c r="F3733" s="13">
        <v>980</v>
      </c>
      <c r="K3733" s="53">
        <v>1</v>
      </c>
      <c r="L3733" s="53"/>
      <c r="M3733" s="53" t="b">
        <v>1</v>
      </c>
    </row>
    <row r="3734" spans="1:13" x14ac:dyDescent="0.25">
      <c r="B3734" s="13" t="s">
        <v>119</v>
      </c>
      <c r="D3734" s="13">
        <v>6141</v>
      </c>
      <c r="E3734" s="132" t="str">
        <f>INDEX([1]道具配置表!$D:$D,MATCH(D3734,[1]道具配置表!$A:$A,0))</f>
        <v>5分钟科技加速</v>
      </c>
      <c r="F3734" s="13">
        <v>72</v>
      </c>
      <c r="K3734" s="53">
        <v>1</v>
      </c>
      <c r="L3734" s="53"/>
      <c r="M3734" s="53" t="b">
        <v>1</v>
      </c>
    </row>
    <row r="3735" spans="1:13" x14ac:dyDescent="0.25">
      <c r="B3735" s="13" t="s">
        <v>119</v>
      </c>
      <c r="D3735" s="13">
        <v>6161</v>
      </c>
      <c r="E3735" s="132" t="str">
        <f>INDEX([1]道具配置表!$D:$D,MATCH(D3735,[1]道具配置表!$A:$A,0))</f>
        <v>5分钟训练加速</v>
      </c>
      <c r="F3735" s="13">
        <v>36</v>
      </c>
      <c r="K3735" s="53">
        <v>1</v>
      </c>
      <c r="L3735" s="53"/>
      <c r="M3735" s="53" t="b">
        <v>1</v>
      </c>
    </row>
    <row r="3736" spans="1:13" x14ac:dyDescent="0.25">
      <c r="B3736" s="13" t="s">
        <v>119</v>
      </c>
      <c r="D3736" s="13">
        <v>6181</v>
      </c>
      <c r="E3736" s="132" t="str">
        <f>INDEX([1]道具配置表!$D:$D,MATCH(D3736,[1]道具配置表!$A:$A,0))</f>
        <v>5分钟治疗加速</v>
      </c>
      <c r="F3736" s="13">
        <v>36</v>
      </c>
      <c r="K3736" s="53">
        <v>1</v>
      </c>
      <c r="L3736" s="53"/>
      <c r="M3736" s="53" t="b">
        <v>1</v>
      </c>
    </row>
    <row r="3737" spans="1:13" x14ac:dyDescent="0.25">
      <c r="A3737" s="13">
        <v>6632304</v>
      </c>
      <c r="B3737" s="13" t="s">
        <v>811</v>
      </c>
      <c r="D3737" s="13">
        <v>20000</v>
      </c>
      <c r="E3737" s="132" t="str">
        <f>INDEX([1]道具配置表!$D:$D,MATCH(D3737,[1]道具配置表!$A:$A,0))</f>
        <v>技能点1</v>
      </c>
      <c r="F3737" s="13">
        <v>1120</v>
      </c>
      <c r="K3737" s="53">
        <v>1</v>
      </c>
      <c r="L3737" s="53"/>
      <c r="M3737" s="53" t="b">
        <v>1</v>
      </c>
    </row>
    <row r="3738" spans="1:13" x14ac:dyDescent="0.25">
      <c r="B3738" s="13" t="s">
        <v>119</v>
      </c>
      <c r="D3738" s="13">
        <v>6141</v>
      </c>
      <c r="E3738" s="132" t="str">
        <f>INDEX([1]道具配置表!$D:$D,MATCH(D3738,[1]道具配置表!$A:$A,0))</f>
        <v>5分钟科技加速</v>
      </c>
      <c r="F3738" s="13">
        <v>78</v>
      </c>
      <c r="K3738" s="53">
        <v>1</v>
      </c>
      <c r="L3738" s="53"/>
      <c r="M3738" s="53" t="b">
        <v>1</v>
      </c>
    </row>
    <row r="3739" spans="1:13" x14ac:dyDescent="0.25">
      <c r="B3739" s="13" t="s">
        <v>119</v>
      </c>
      <c r="D3739" s="13">
        <v>6161</v>
      </c>
      <c r="E3739" s="132" t="str">
        <f>INDEX([1]道具配置表!$D:$D,MATCH(D3739,[1]道具配置表!$A:$A,0))</f>
        <v>5分钟训练加速</v>
      </c>
      <c r="F3739" s="13">
        <v>39</v>
      </c>
      <c r="K3739" s="53">
        <v>1</v>
      </c>
      <c r="L3739" s="53"/>
      <c r="M3739" s="53" t="b">
        <v>1</v>
      </c>
    </row>
    <row r="3740" spans="1:13" x14ac:dyDescent="0.25">
      <c r="B3740" s="13" t="s">
        <v>119</v>
      </c>
      <c r="D3740" s="13">
        <v>6181</v>
      </c>
      <c r="E3740" s="132" t="str">
        <f>INDEX([1]道具配置表!$D:$D,MATCH(D3740,[1]道具配置表!$A:$A,0))</f>
        <v>5分钟治疗加速</v>
      </c>
      <c r="F3740" s="13">
        <v>39</v>
      </c>
      <c r="K3740" s="53">
        <v>1</v>
      </c>
      <c r="L3740" s="53"/>
      <c r="M3740" s="53" t="b">
        <v>1</v>
      </c>
    </row>
    <row r="3741" spans="1:13" x14ac:dyDescent="0.25">
      <c r="A3741" s="13">
        <v>6632305</v>
      </c>
      <c r="B3741" s="13" t="s">
        <v>812</v>
      </c>
      <c r="D3741" s="13">
        <v>20000</v>
      </c>
      <c r="E3741" s="132" t="str">
        <f>INDEX([1]道具配置表!$D:$D,MATCH(D3741,[1]道具配置表!$A:$A,0))</f>
        <v>技能点1</v>
      </c>
      <c r="F3741" s="13">
        <v>1260</v>
      </c>
      <c r="K3741" s="53">
        <v>1</v>
      </c>
      <c r="L3741" s="53"/>
      <c r="M3741" s="53" t="b">
        <v>1</v>
      </c>
    </row>
    <row r="3742" spans="1:13" x14ac:dyDescent="0.25">
      <c r="B3742" s="13" t="s">
        <v>119</v>
      </c>
      <c r="D3742" s="13">
        <v>6141</v>
      </c>
      <c r="E3742" s="132" t="str">
        <f>INDEX([1]道具配置表!$D:$D,MATCH(D3742,[1]道具配置表!$A:$A,0))</f>
        <v>5分钟科技加速</v>
      </c>
      <c r="F3742" s="13">
        <v>84</v>
      </c>
      <c r="K3742" s="53">
        <v>1</v>
      </c>
      <c r="L3742" s="53"/>
      <c r="M3742" s="53" t="b">
        <v>1</v>
      </c>
    </row>
    <row r="3743" spans="1:13" x14ac:dyDescent="0.25">
      <c r="B3743" s="13" t="s">
        <v>119</v>
      </c>
      <c r="D3743" s="13">
        <v>6161</v>
      </c>
      <c r="E3743" s="132" t="str">
        <f>INDEX([1]道具配置表!$D:$D,MATCH(D3743,[1]道具配置表!$A:$A,0))</f>
        <v>5分钟训练加速</v>
      </c>
      <c r="F3743" s="13">
        <v>42</v>
      </c>
      <c r="K3743" s="53">
        <v>1</v>
      </c>
      <c r="L3743" s="53"/>
      <c r="M3743" s="53" t="b">
        <v>1</v>
      </c>
    </row>
    <row r="3744" spans="1:13" x14ac:dyDescent="0.25">
      <c r="B3744" s="13" t="s">
        <v>119</v>
      </c>
      <c r="D3744" s="13">
        <v>6181</v>
      </c>
      <c r="E3744" s="132" t="str">
        <f>INDEX([1]道具配置表!$D:$D,MATCH(D3744,[1]道具配置表!$A:$A,0))</f>
        <v>5分钟治疗加速</v>
      </c>
      <c r="F3744" s="13">
        <v>42</v>
      </c>
      <c r="K3744" s="53">
        <v>1</v>
      </c>
      <c r="L3744" s="53"/>
      <c r="M3744" s="53" t="b">
        <v>1</v>
      </c>
    </row>
    <row r="3745" spans="1:13" x14ac:dyDescent="0.25">
      <c r="A3745" s="13">
        <v>6632306</v>
      </c>
      <c r="B3745" s="13" t="s">
        <v>813</v>
      </c>
      <c r="D3745" s="13">
        <v>20000</v>
      </c>
      <c r="E3745" s="132" t="str">
        <f>INDEX([1]道具配置表!$D:$D,MATCH(D3745,[1]道具配置表!$A:$A,0))</f>
        <v>技能点1</v>
      </c>
      <c r="F3745" s="13">
        <v>1400</v>
      </c>
      <c r="K3745" s="53">
        <v>1</v>
      </c>
      <c r="L3745" s="53"/>
      <c r="M3745" s="53" t="b">
        <v>1</v>
      </c>
    </row>
    <row r="3746" spans="1:13" x14ac:dyDescent="0.25">
      <c r="B3746" s="13" t="s">
        <v>119</v>
      </c>
      <c r="D3746" s="13">
        <v>6141</v>
      </c>
      <c r="E3746" s="132" t="str">
        <f>INDEX([1]道具配置表!$D:$D,MATCH(D3746,[1]道具配置表!$A:$A,0))</f>
        <v>5分钟科技加速</v>
      </c>
      <c r="F3746" s="13">
        <v>89</v>
      </c>
      <c r="K3746" s="53">
        <v>1</v>
      </c>
      <c r="L3746" s="53"/>
      <c r="M3746" s="53" t="b">
        <v>1</v>
      </c>
    </row>
    <row r="3747" spans="1:13" x14ac:dyDescent="0.25">
      <c r="B3747" s="13" t="s">
        <v>119</v>
      </c>
      <c r="D3747" s="13">
        <v>6161</v>
      </c>
      <c r="E3747" s="132" t="str">
        <f>INDEX([1]道具配置表!$D:$D,MATCH(D3747,[1]道具配置表!$A:$A,0))</f>
        <v>5分钟训练加速</v>
      </c>
      <c r="F3747" s="13">
        <v>45</v>
      </c>
      <c r="K3747" s="53">
        <v>1</v>
      </c>
      <c r="L3747" s="53"/>
      <c r="M3747" s="53" t="b">
        <v>1</v>
      </c>
    </row>
    <row r="3748" spans="1:13" x14ac:dyDescent="0.25">
      <c r="B3748" s="13" t="s">
        <v>119</v>
      </c>
      <c r="D3748" s="13">
        <v>6181</v>
      </c>
      <c r="E3748" s="132" t="str">
        <f>INDEX([1]道具配置表!$D:$D,MATCH(D3748,[1]道具配置表!$A:$A,0))</f>
        <v>5分钟治疗加速</v>
      </c>
      <c r="F3748" s="13">
        <v>45</v>
      </c>
      <c r="K3748" s="53">
        <v>1</v>
      </c>
      <c r="L3748" s="53"/>
      <c r="M3748" s="53" t="b">
        <v>1</v>
      </c>
    </row>
    <row r="3749" spans="1:13" x14ac:dyDescent="0.25">
      <c r="A3749" s="13">
        <v>6632307</v>
      </c>
      <c r="B3749" s="13" t="s">
        <v>814</v>
      </c>
      <c r="D3749" s="13">
        <v>20000</v>
      </c>
      <c r="E3749" s="132" t="str">
        <f>INDEX([1]道具配置表!$D:$D,MATCH(D3749,[1]道具配置表!$A:$A,0))</f>
        <v>技能点1</v>
      </c>
      <c r="F3749" s="13">
        <v>1680</v>
      </c>
      <c r="K3749" s="53">
        <v>1</v>
      </c>
      <c r="L3749" s="53"/>
      <c r="M3749" s="53" t="b">
        <v>1</v>
      </c>
    </row>
    <row r="3750" spans="1:13" x14ac:dyDescent="0.25">
      <c r="B3750" s="13" t="s">
        <v>119</v>
      </c>
      <c r="D3750" s="13">
        <v>6141</v>
      </c>
      <c r="E3750" s="132" t="str">
        <f>INDEX([1]道具配置表!$D:$D,MATCH(D3750,[1]道具配置表!$A:$A,0))</f>
        <v>5分钟科技加速</v>
      </c>
      <c r="F3750" s="13">
        <v>94</v>
      </c>
      <c r="K3750" s="53">
        <v>1</v>
      </c>
      <c r="L3750" s="53"/>
      <c r="M3750" s="53" t="b">
        <v>1</v>
      </c>
    </row>
    <row r="3751" spans="1:13" x14ac:dyDescent="0.25">
      <c r="B3751" s="13" t="s">
        <v>119</v>
      </c>
      <c r="D3751" s="13">
        <v>6161</v>
      </c>
      <c r="E3751" s="132" t="str">
        <f>INDEX([1]道具配置表!$D:$D,MATCH(D3751,[1]道具配置表!$A:$A,0))</f>
        <v>5分钟训练加速</v>
      </c>
      <c r="F3751" s="13">
        <v>47</v>
      </c>
      <c r="K3751" s="53">
        <v>1</v>
      </c>
      <c r="L3751" s="53"/>
      <c r="M3751" s="53" t="b">
        <v>1</v>
      </c>
    </row>
    <row r="3752" spans="1:13" x14ac:dyDescent="0.25">
      <c r="B3752" s="13" t="s">
        <v>119</v>
      </c>
      <c r="D3752" s="13">
        <v>6181</v>
      </c>
      <c r="E3752" s="132" t="str">
        <f>INDEX([1]道具配置表!$D:$D,MATCH(D3752,[1]道具配置表!$A:$A,0))</f>
        <v>5分钟治疗加速</v>
      </c>
      <c r="F3752" s="13">
        <v>47</v>
      </c>
      <c r="K3752" s="53">
        <v>1</v>
      </c>
      <c r="L3752" s="53"/>
      <c r="M3752" s="53" t="b">
        <v>1</v>
      </c>
    </row>
    <row r="3753" spans="1:13" x14ac:dyDescent="0.25">
      <c r="A3753" s="13">
        <v>6632308</v>
      </c>
      <c r="B3753" s="13" t="s">
        <v>815</v>
      </c>
      <c r="D3753" s="13">
        <v>20000</v>
      </c>
      <c r="E3753" s="132" t="str">
        <f>INDEX([1]道具配置表!$D:$D,MATCH(D3753,[1]道具配置表!$A:$A,0))</f>
        <v>技能点1</v>
      </c>
      <c r="F3753" s="13">
        <v>1960</v>
      </c>
      <c r="K3753" s="53">
        <v>1</v>
      </c>
      <c r="L3753" s="53"/>
      <c r="M3753" s="53" t="b">
        <v>1</v>
      </c>
    </row>
    <row r="3754" spans="1:13" x14ac:dyDescent="0.25">
      <c r="B3754" s="13" t="s">
        <v>119</v>
      </c>
      <c r="D3754" s="13">
        <v>6141</v>
      </c>
      <c r="E3754" s="132" t="str">
        <f>INDEX([1]道具配置表!$D:$D,MATCH(D3754,[1]道具配置表!$A:$A,0))</f>
        <v>5分钟科技加速</v>
      </c>
      <c r="F3754" s="13">
        <v>99</v>
      </c>
      <c r="K3754" s="53">
        <v>1</v>
      </c>
      <c r="L3754" s="53"/>
      <c r="M3754" s="53" t="b">
        <v>1</v>
      </c>
    </row>
    <row r="3755" spans="1:13" x14ac:dyDescent="0.25">
      <c r="B3755" s="13" t="s">
        <v>119</v>
      </c>
      <c r="D3755" s="13">
        <v>6161</v>
      </c>
      <c r="E3755" s="132" t="str">
        <f>INDEX([1]道具配置表!$D:$D,MATCH(D3755,[1]道具配置表!$A:$A,0))</f>
        <v>5分钟训练加速</v>
      </c>
      <c r="F3755" s="13">
        <v>50</v>
      </c>
      <c r="K3755" s="53">
        <v>1</v>
      </c>
      <c r="L3755" s="53"/>
      <c r="M3755" s="53" t="b">
        <v>1</v>
      </c>
    </row>
    <row r="3756" spans="1:13" x14ac:dyDescent="0.25">
      <c r="B3756" s="13" t="s">
        <v>119</v>
      </c>
      <c r="D3756" s="13">
        <v>6181</v>
      </c>
      <c r="E3756" s="132" t="str">
        <f>INDEX([1]道具配置表!$D:$D,MATCH(D3756,[1]道具配置表!$A:$A,0))</f>
        <v>5分钟治疗加速</v>
      </c>
      <c r="F3756" s="13">
        <v>50</v>
      </c>
      <c r="K3756" s="53">
        <v>1</v>
      </c>
      <c r="L3756" s="53"/>
      <c r="M3756" s="53" t="b">
        <v>1</v>
      </c>
    </row>
    <row r="3757" spans="1:13" x14ac:dyDescent="0.25">
      <c r="A3757" s="13">
        <v>6632309</v>
      </c>
      <c r="B3757" s="13" t="s">
        <v>816</v>
      </c>
      <c r="D3757" s="13">
        <v>20000</v>
      </c>
      <c r="E3757" s="132" t="str">
        <f>INDEX([1]道具配置表!$D:$D,MATCH(D3757,[1]道具配置表!$A:$A,0))</f>
        <v>技能点1</v>
      </c>
      <c r="F3757" s="13">
        <v>2240</v>
      </c>
      <c r="K3757" s="53">
        <v>1</v>
      </c>
      <c r="L3757" s="53"/>
      <c r="M3757" s="53" t="b">
        <v>1</v>
      </c>
    </row>
    <row r="3758" spans="1:13" x14ac:dyDescent="0.25">
      <c r="B3758" s="13" t="s">
        <v>119</v>
      </c>
      <c r="D3758" s="13">
        <v>6141</v>
      </c>
      <c r="E3758" s="132" t="str">
        <f>INDEX([1]道具配置表!$D:$D,MATCH(D3758,[1]道具配置表!$A:$A,0))</f>
        <v>5分钟科技加速</v>
      </c>
      <c r="F3758" s="13">
        <v>103</v>
      </c>
      <c r="K3758" s="53">
        <v>1</v>
      </c>
      <c r="L3758" s="53"/>
      <c r="M3758" s="53" t="b">
        <v>1</v>
      </c>
    </row>
    <row r="3759" spans="1:13" x14ac:dyDescent="0.25">
      <c r="B3759" s="13" t="s">
        <v>119</v>
      </c>
      <c r="D3759" s="13">
        <v>6161</v>
      </c>
      <c r="E3759" s="132" t="str">
        <f>INDEX([1]道具配置表!$D:$D,MATCH(D3759,[1]道具配置表!$A:$A,0))</f>
        <v>5分钟训练加速</v>
      </c>
      <c r="F3759" s="13">
        <v>52</v>
      </c>
      <c r="K3759" s="53">
        <v>1</v>
      </c>
      <c r="L3759" s="53"/>
      <c r="M3759" s="53" t="b">
        <v>1</v>
      </c>
    </row>
    <row r="3760" spans="1:13" x14ac:dyDescent="0.25">
      <c r="B3760" s="13" t="s">
        <v>119</v>
      </c>
      <c r="D3760" s="13">
        <v>6181</v>
      </c>
      <c r="E3760" s="132" t="str">
        <f>INDEX([1]道具配置表!$D:$D,MATCH(D3760,[1]道具配置表!$A:$A,0))</f>
        <v>5分钟治疗加速</v>
      </c>
      <c r="F3760" s="13">
        <v>52</v>
      </c>
      <c r="K3760" s="53">
        <v>1</v>
      </c>
      <c r="L3760" s="53"/>
      <c r="M3760" s="53" t="b">
        <v>1</v>
      </c>
    </row>
    <row r="3761" spans="1:13" x14ac:dyDescent="0.25">
      <c r="A3761" s="13">
        <v>6632310</v>
      </c>
      <c r="B3761" s="13" t="s">
        <v>817</v>
      </c>
      <c r="D3761" s="13">
        <v>20000</v>
      </c>
      <c r="E3761" s="132" t="str">
        <f>INDEX([1]道具配置表!$D:$D,MATCH(D3761,[1]道具配置表!$A:$A,0))</f>
        <v>技能点1</v>
      </c>
      <c r="F3761" s="13">
        <v>2520</v>
      </c>
      <c r="K3761" s="53">
        <v>1</v>
      </c>
      <c r="L3761" s="53"/>
      <c r="M3761" s="53" t="b">
        <v>1</v>
      </c>
    </row>
    <row r="3762" spans="1:13" x14ac:dyDescent="0.25">
      <c r="B3762" s="13" t="s">
        <v>119</v>
      </c>
      <c r="D3762" s="13">
        <v>6141</v>
      </c>
      <c r="E3762" s="132" t="str">
        <f>INDEX([1]道具配置表!$D:$D,MATCH(D3762,[1]道具配置表!$A:$A,0))</f>
        <v>5分钟科技加速</v>
      </c>
      <c r="F3762" s="13">
        <v>107</v>
      </c>
      <c r="K3762" s="53">
        <v>1</v>
      </c>
      <c r="L3762" s="53"/>
      <c r="M3762" s="53" t="b">
        <v>1</v>
      </c>
    </row>
    <row r="3763" spans="1:13" x14ac:dyDescent="0.25">
      <c r="B3763" s="13" t="s">
        <v>119</v>
      </c>
      <c r="D3763" s="13">
        <v>6161</v>
      </c>
      <c r="E3763" s="132" t="str">
        <f>INDEX([1]道具配置表!$D:$D,MATCH(D3763,[1]道具配置表!$A:$A,0))</f>
        <v>5分钟训练加速</v>
      </c>
      <c r="F3763" s="13">
        <v>54</v>
      </c>
      <c r="K3763" s="53">
        <v>1</v>
      </c>
      <c r="L3763" s="53"/>
      <c r="M3763" s="53" t="b">
        <v>1</v>
      </c>
    </row>
    <row r="3764" spans="1:13" x14ac:dyDescent="0.25">
      <c r="B3764" s="13" t="s">
        <v>119</v>
      </c>
      <c r="D3764" s="13">
        <v>6181</v>
      </c>
      <c r="E3764" s="132" t="str">
        <f>INDEX([1]道具配置表!$D:$D,MATCH(D3764,[1]道具配置表!$A:$A,0))</f>
        <v>5分钟治疗加速</v>
      </c>
      <c r="F3764" s="13">
        <v>54</v>
      </c>
      <c r="K3764" s="53">
        <v>1</v>
      </c>
      <c r="L3764" s="53"/>
      <c r="M3764" s="53" t="b">
        <v>1</v>
      </c>
    </row>
    <row r="3765" spans="1:13" x14ac:dyDescent="0.25">
      <c r="A3765" s="13">
        <v>6632311</v>
      </c>
      <c r="B3765" s="13" t="s">
        <v>818</v>
      </c>
      <c r="D3765" s="13">
        <v>20000</v>
      </c>
      <c r="E3765" s="132" t="str">
        <f>INDEX([1]道具配置表!$D:$D,MATCH(D3765,[1]道具配置表!$A:$A,0))</f>
        <v>技能点1</v>
      </c>
      <c r="F3765" s="13">
        <v>2800</v>
      </c>
      <c r="K3765" s="53">
        <v>1</v>
      </c>
      <c r="L3765" s="53"/>
      <c r="M3765" s="53" t="b">
        <v>1</v>
      </c>
    </row>
    <row r="3766" spans="1:13" x14ac:dyDescent="0.25">
      <c r="B3766" s="13" t="s">
        <v>119</v>
      </c>
      <c r="D3766" s="13">
        <v>6141</v>
      </c>
      <c r="E3766" s="132" t="str">
        <f>INDEX([1]道具配置表!$D:$D,MATCH(D3766,[1]道具配置表!$A:$A,0))</f>
        <v>5分钟科技加速</v>
      </c>
      <c r="F3766" s="13">
        <v>110</v>
      </c>
      <c r="K3766" s="53">
        <v>1</v>
      </c>
      <c r="L3766" s="53"/>
      <c r="M3766" s="53" t="b">
        <v>1</v>
      </c>
    </row>
    <row r="3767" spans="1:13" x14ac:dyDescent="0.25">
      <c r="B3767" s="13" t="s">
        <v>119</v>
      </c>
      <c r="D3767" s="13">
        <v>6161</v>
      </c>
      <c r="E3767" s="132" t="str">
        <f>INDEX([1]道具配置表!$D:$D,MATCH(D3767,[1]道具配置表!$A:$A,0))</f>
        <v>5分钟训练加速</v>
      </c>
      <c r="F3767" s="13">
        <v>55</v>
      </c>
      <c r="K3767" s="53">
        <v>1</v>
      </c>
      <c r="L3767" s="53"/>
      <c r="M3767" s="53" t="b">
        <v>1</v>
      </c>
    </row>
    <row r="3768" spans="1:13" x14ac:dyDescent="0.25">
      <c r="B3768" s="13" t="s">
        <v>119</v>
      </c>
      <c r="D3768" s="13">
        <v>6181</v>
      </c>
      <c r="E3768" s="132" t="str">
        <f>INDEX([1]道具配置表!$D:$D,MATCH(D3768,[1]道具配置表!$A:$A,0))</f>
        <v>5分钟治疗加速</v>
      </c>
      <c r="F3768" s="13">
        <v>55</v>
      </c>
      <c r="K3768" s="53">
        <v>1</v>
      </c>
      <c r="L3768" s="53"/>
      <c r="M3768" s="53" t="b">
        <v>1</v>
      </c>
    </row>
    <row r="3769" spans="1:13" x14ac:dyDescent="0.25">
      <c r="A3769" s="13">
        <v>6632401</v>
      </c>
      <c r="B3769" s="13" t="s">
        <v>819</v>
      </c>
      <c r="D3769" s="13">
        <v>20000</v>
      </c>
      <c r="E3769" s="132" t="str">
        <f>INDEX([1]道具配置表!$D:$D,MATCH(D3769,[1]道具配置表!$A:$A,0))</f>
        <v>技能点1</v>
      </c>
      <c r="F3769" s="13">
        <v>260</v>
      </c>
      <c r="K3769" s="53">
        <v>1</v>
      </c>
      <c r="L3769" s="53"/>
      <c r="M3769" s="53" t="b">
        <v>1</v>
      </c>
    </row>
    <row r="3770" spans="1:13" x14ac:dyDescent="0.25">
      <c r="B3770" s="13" t="s">
        <v>119</v>
      </c>
      <c r="D3770" s="13">
        <v>6142</v>
      </c>
      <c r="E3770" s="132" t="str">
        <f>INDEX([1]道具配置表!$D:$D,MATCH(D3770,[1]道具配置表!$A:$A,0))</f>
        <v>10分钟科技加速</v>
      </c>
      <c r="F3770" s="13">
        <v>11</v>
      </c>
      <c r="K3770" s="53">
        <v>1</v>
      </c>
      <c r="L3770" s="53"/>
      <c r="M3770" s="53" t="b">
        <v>1</v>
      </c>
    </row>
    <row r="3771" spans="1:13" x14ac:dyDescent="0.25">
      <c r="B3771" s="13" t="s">
        <v>119</v>
      </c>
      <c r="D3771" s="13">
        <v>6162</v>
      </c>
      <c r="E3771" s="132" t="str">
        <f>INDEX([1]道具配置表!$D:$D,MATCH(D3771,[1]道具配置表!$A:$A,0))</f>
        <v>10分钟训练加速</v>
      </c>
      <c r="F3771" s="13">
        <v>6</v>
      </c>
      <c r="K3771" s="53">
        <v>1</v>
      </c>
      <c r="L3771" s="53"/>
      <c r="M3771" s="53" t="b">
        <v>1</v>
      </c>
    </row>
    <row r="3772" spans="1:13" x14ac:dyDescent="0.25">
      <c r="B3772" s="13" t="s">
        <v>119</v>
      </c>
      <c r="D3772" s="13">
        <v>6182</v>
      </c>
      <c r="E3772" s="132" t="str">
        <f>INDEX([1]道具配置表!$D:$D,MATCH(D3772,[1]道具配置表!$A:$A,0))</f>
        <v>10分钟治疗加速</v>
      </c>
      <c r="F3772" s="13">
        <v>6</v>
      </c>
      <c r="K3772" s="53">
        <v>1</v>
      </c>
      <c r="L3772" s="53"/>
      <c r="M3772" s="53" t="b">
        <v>1</v>
      </c>
    </row>
    <row r="3773" spans="1:13" x14ac:dyDescent="0.25">
      <c r="A3773" s="13">
        <v>6632402</v>
      </c>
      <c r="B3773" s="13" t="s">
        <v>820</v>
      </c>
      <c r="D3773" s="13">
        <v>20000</v>
      </c>
      <c r="E3773" s="132" t="str">
        <f>INDEX([1]道具配置表!$D:$D,MATCH(D3773,[1]道具配置表!$A:$A,0))</f>
        <v>技能点1</v>
      </c>
      <c r="F3773" s="13">
        <v>780</v>
      </c>
      <c r="K3773" s="53">
        <v>1</v>
      </c>
      <c r="L3773" s="53"/>
      <c r="M3773" s="53" t="b">
        <v>1</v>
      </c>
    </row>
    <row r="3774" spans="1:13" x14ac:dyDescent="0.25">
      <c r="B3774" s="13" t="s">
        <v>119</v>
      </c>
      <c r="D3774" s="13">
        <v>6142</v>
      </c>
      <c r="E3774" s="132" t="str">
        <f>INDEX([1]道具配置表!$D:$D,MATCH(D3774,[1]道具配置表!$A:$A,0))</f>
        <v>10分钟科技加速</v>
      </c>
      <c r="F3774" s="13">
        <v>14</v>
      </c>
      <c r="K3774" s="53">
        <v>1</v>
      </c>
      <c r="L3774" s="53"/>
      <c r="M3774" s="53" t="b">
        <v>1</v>
      </c>
    </row>
    <row r="3775" spans="1:13" x14ac:dyDescent="0.25">
      <c r="B3775" s="13" t="s">
        <v>119</v>
      </c>
      <c r="D3775" s="13">
        <v>6162</v>
      </c>
      <c r="E3775" s="132" t="str">
        <f>INDEX([1]道具配置表!$D:$D,MATCH(D3775,[1]道具配置表!$A:$A,0))</f>
        <v>10分钟训练加速</v>
      </c>
      <c r="F3775" s="13">
        <v>7</v>
      </c>
      <c r="K3775" s="53">
        <v>1</v>
      </c>
      <c r="L3775" s="53"/>
      <c r="M3775" s="53" t="b">
        <v>1</v>
      </c>
    </row>
    <row r="3776" spans="1:13" x14ac:dyDescent="0.25">
      <c r="B3776" s="13" t="s">
        <v>119</v>
      </c>
      <c r="D3776" s="13">
        <v>6182</v>
      </c>
      <c r="E3776" s="132" t="str">
        <f>INDEX([1]道具配置表!$D:$D,MATCH(D3776,[1]道具配置表!$A:$A,0))</f>
        <v>10分钟治疗加速</v>
      </c>
      <c r="F3776" s="13">
        <v>7</v>
      </c>
      <c r="K3776" s="53">
        <v>1</v>
      </c>
      <c r="L3776" s="53"/>
      <c r="M3776" s="53" t="b">
        <v>1</v>
      </c>
    </row>
    <row r="3777" spans="1:13" x14ac:dyDescent="0.25">
      <c r="A3777" s="13">
        <v>6632403</v>
      </c>
      <c r="B3777" s="13" t="s">
        <v>821</v>
      </c>
      <c r="D3777" s="13">
        <v>20000</v>
      </c>
      <c r="E3777" s="132" t="str">
        <f>INDEX([1]道具配置表!$D:$D,MATCH(D3777,[1]道具配置表!$A:$A,0))</f>
        <v>技能点1</v>
      </c>
      <c r="F3777" s="13">
        <v>910</v>
      </c>
      <c r="K3777" s="53">
        <v>1</v>
      </c>
      <c r="L3777" s="53"/>
      <c r="M3777" s="53" t="b">
        <v>1</v>
      </c>
    </row>
    <row r="3778" spans="1:13" x14ac:dyDescent="0.25">
      <c r="B3778" s="13" t="s">
        <v>119</v>
      </c>
      <c r="D3778" s="13">
        <v>6142</v>
      </c>
      <c r="E3778" s="132" t="str">
        <f>INDEX([1]道具配置表!$D:$D,MATCH(D3778,[1]道具配置表!$A:$A,0))</f>
        <v>10分钟科技加速</v>
      </c>
      <c r="F3778" s="13">
        <v>17</v>
      </c>
      <c r="K3778" s="53">
        <v>1</v>
      </c>
      <c r="L3778" s="53"/>
      <c r="M3778" s="53" t="b">
        <v>1</v>
      </c>
    </row>
    <row r="3779" spans="1:13" x14ac:dyDescent="0.25">
      <c r="B3779" s="13" t="s">
        <v>119</v>
      </c>
      <c r="D3779" s="13">
        <v>6162</v>
      </c>
      <c r="E3779" s="132" t="str">
        <f>INDEX([1]道具配置表!$D:$D,MATCH(D3779,[1]道具配置表!$A:$A,0))</f>
        <v>10分钟训练加速</v>
      </c>
      <c r="F3779" s="13">
        <v>9</v>
      </c>
      <c r="K3779" s="53">
        <v>1</v>
      </c>
      <c r="L3779" s="53"/>
      <c r="M3779" s="53" t="b">
        <v>1</v>
      </c>
    </row>
    <row r="3780" spans="1:13" x14ac:dyDescent="0.25">
      <c r="B3780" s="13" t="s">
        <v>119</v>
      </c>
      <c r="D3780" s="13">
        <v>6182</v>
      </c>
      <c r="E3780" s="132" t="str">
        <f>INDEX([1]道具配置表!$D:$D,MATCH(D3780,[1]道具配置表!$A:$A,0))</f>
        <v>10分钟治疗加速</v>
      </c>
      <c r="F3780" s="13">
        <v>9</v>
      </c>
      <c r="K3780" s="53">
        <v>1</v>
      </c>
      <c r="L3780" s="53"/>
      <c r="M3780" s="53" t="b">
        <v>1</v>
      </c>
    </row>
    <row r="3781" spans="1:13" x14ac:dyDescent="0.25">
      <c r="A3781" s="13">
        <v>6632404</v>
      </c>
      <c r="B3781" s="13" t="s">
        <v>822</v>
      </c>
      <c r="D3781" s="13">
        <v>20000</v>
      </c>
      <c r="E3781" s="132" t="str">
        <f>INDEX([1]道具配置表!$D:$D,MATCH(D3781,[1]道具配置表!$A:$A,0))</f>
        <v>技能点1</v>
      </c>
      <c r="F3781" s="13">
        <v>1040</v>
      </c>
      <c r="K3781" s="53">
        <v>1</v>
      </c>
      <c r="L3781" s="53"/>
      <c r="M3781" s="53" t="b">
        <v>1</v>
      </c>
    </row>
    <row r="3782" spans="1:13" x14ac:dyDescent="0.25">
      <c r="B3782" s="13" t="s">
        <v>119</v>
      </c>
      <c r="D3782" s="13">
        <v>6142</v>
      </c>
      <c r="E3782" s="132" t="str">
        <f>INDEX([1]道具配置表!$D:$D,MATCH(D3782,[1]道具配置表!$A:$A,0))</f>
        <v>10分钟科技加速</v>
      </c>
      <c r="F3782" s="13">
        <v>20</v>
      </c>
      <c r="K3782" s="53">
        <v>1</v>
      </c>
      <c r="L3782" s="53"/>
      <c r="M3782" s="53" t="b">
        <v>1</v>
      </c>
    </row>
    <row r="3783" spans="1:13" x14ac:dyDescent="0.25">
      <c r="B3783" s="13" t="s">
        <v>119</v>
      </c>
      <c r="D3783" s="13">
        <v>6162</v>
      </c>
      <c r="E3783" s="132" t="str">
        <f>INDEX([1]道具配置表!$D:$D,MATCH(D3783,[1]道具配置表!$A:$A,0))</f>
        <v>10分钟训练加速</v>
      </c>
      <c r="F3783" s="13">
        <v>10</v>
      </c>
      <c r="K3783" s="53">
        <v>1</v>
      </c>
      <c r="L3783" s="53"/>
      <c r="M3783" s="53" t="b">
        <v>1</v>
      </c>
    </row>
    <row r="3784" spans="1:13" x14ac:dyDescent="0.25">
      <c r="B3784" s="13" t="s">
        <v>119</v>
      </c>
      <c r="D3784" s="13">
        <v>6182</v>
      </c>
      <c r="E3784" s="132" t="str">
        <f>INDEX([1]道具配置表!$D:$D,MATCH(D3784,[1]道具配置表!$A:$A,0))</f>
        <v>10分钟治疗加速</v>
      </c>
      <c r="F3784" s="13">
        <v>10</v>
      </c>
      <c r="K3784" s="53">
        <v>1</v>
      </c>
      <c r="L3784" s="53"/>
      <c r="M3784" s="53" t="b">
        <v>1</v>
      </c>
    </row>
    <row r="3785" spans="1:13" x14ac:dyDescent="0.25">
      <c r="A3785" s="13">
        <v>6632405</v>
      </c>
      <c r="B3785" s="13" t="s">
        <v>823</v>
      </c>
      <c r="D3785" s="13">
        <v>20000</v>
      </c>
      <c r="E3785" s="132" t="str">
        <f>INDEX([1]道具配置表!$D:$D,MATCH(D3785,[1]道具配置表!$A:$A,0))</f>
        <v>技能点1</v>
      </c>
      <c r="F3785" s="13">
        <v>1170</v>
      </c>
      <c r="K3785" s="53">
        <v>1</v>
      </c>
      <c r="L3785" s="53"/>
      <c r="M3785" s="53" t="b">
        <v>1</v>
      </c>
    </row>
    <row r="3786" spans="1:13" x14ac:dyDescent="0.25">
      <c r="B3786" s="13" t="s">
        <v>119</v>
      </c>
      <c r="D3786" s="13">
        <v>6142</v>
      </c>
      <c r="E3786" s="132" t="str">
        <f>INDEX([1]道具配置表!$D:$D,MATCH(D3786,[1]道具配置表!$A:$A,0))</f>
        <v>10分钟科技加速</v>
      </c>
      <c r="F3786" s="13">
        <v>23</v>
      </c>
      <c r="K3786" s="53">
        <v>1</v>
      </c>
      <c r="L3786" s="53"/>
      <c r="M3786" s="53" t="b">
        <v>1</v>
      </c>
    </row>
    <row r="3787" spans="1:13" x14ac:dyDescent="0.25">
      <c r="B3787" s="13" t="s">
        <v>119</v>
      </c>
      <c r="D3787" s="13">
        <v>6162</v>
      </c>
      <c r="E3787" s="132" t="str">
        <f>INDEX([1]道具配置表!$D:$D,MATCH(D3787,[1]道具配置表!$A:$A,0))</f>
        <v>10分钟训练加速</v>
      </c>
      <c r="F3787" s="13">
        <v>12</v>
      </c>
      <c r="K3787" s="53">
        <v>1</v>
      </c>
      <c r="L3787" s="53"/>
      <c r="M3787" s="53" t="b">
        <v>1</v>
      </c>
    </row>
    <row r="3788" spans="1:13" x14ac:dyDescent="0.25">
      <c r="B3788" s="13" t="s">
        <v>119</v>
      </c>
      <c r="D3788" s="13">
        <v>6182</v>
      </c>
      <c r="E3788" s="132" t="str">
        <f>INDEX([1]道具配置表!$D:$D,MATCH(D3788,[1]道具配置表!$A:$A,0))</f>
        <v>10分钟治疗加速</v>
      </c>
      <c r="F3788" s="13">
        <v>12</v>
      </c>
      <c r="K3788" s="53">
        <v>1</v>
      </c>
      <c r="L3788" s="53"/>
      <c r="M3788" s="53" t="b">
        <v>1</v>
      </c>
    </row>
    <row r="3789" spans="1:13" x14ac:dyDescent="0.25">
      <c r="A3789" s="13">
        <v>6632406</v>
      </c>
      <c r="B3789" s="13" t="s">
        <v>824</v>
      </c>
      <c r="D3789" s="13">
        <v>20000</v>
      </c>
      <c r="E3789" s="132" t="str">
        <f>INDEX([1]道具配置表!$D:$D,MATCH(D3789,[1]道具配置表!$A:$A,0))</f>
        <v>技能点1</v>
      </c>
      <c r="F3789" s="13">
        <v>1300</v>
      </c>
      <c r="K3789" s="53">
        <v>1</v>
      </c>
      <c r="L3789" s="53"/>
      <c r="M3789" s="53" t="b">
        <v>1</v>
      </c>
    </row>
    <row r="3790" spans="1:13" x14ac:dyDescent="0.25">
      <c r="B3790" s="13" t="s">
        <v>119</v>
      </c>
      <c r="D3790" s="13">
        <v>6142</v>
      </c>
      <c r="E3790" s="132" t="str">
        <f>INDEX([1]道具配置表!$D:$D,MATCH(D3790,[1]道具配置表!$A:$A,0))</f>
        <v>10分钟科技加速</v>
      </c>
      <c r="F3790" s="13">
        <v>25</v>
      </c>
      <c r="K3790" s="53">
        <v>1</v>
      </c>
      <c r="L3790" s="53"/>
      <c r="M3790" s="53" t="b">
        <v>1</v>
      </c>
    </row>
    <row r="3791" spans="1:13" x14ac:dyDescent="0.25">
      <c r="B3791" s="13" t="s">
        <v>119</v>
      </c>
      <c r="D3791" s="13">
        <v>6162</v>
      </c>
      <c r="E3791" s="132" t="str">
        <f>INDEX([1]道具配置表!$D:$D,MATCH(D3791,[1]道具配置表!$A:$A,0))</f>
        <v>10分钟训练加速</v>
      </c>
      <c r="F3791" s="13">
        <v>13</v>
      </c>
      <c r="K3791" s="53">
        <v>1</v>
      </c>
      <c r="L3791" s="53"/>
      <c r="M3791" s="53" t="b">
        <v>1</v>
      </c>
    </row>
    <row r="3792" spans="1:13" x14ac:dyDescent="0.25">
      <c r="B3792" s="13" t="s">
        <v>119</v>
      </c>
      <c r="D3792" s="13">
        <v>6182</v>
      </c>
      <c r="E3792" s="132" t="str">
        <f>INDEX([1]道具配置表!$D:$D,MATCH(D3792,[1]道具配置表!$A:$A,0))</f>
        <v>10分钟治疗加速</v>
      </c>
      <c r="F3792" s="13">
        <v>13</v>
      </c>
      <c r="K3792" s="53">
        <v>1</v>
      </c>
      <c r="L3792" s="53"/>
      <c r="M3792" s="53" t="b">
        <v>1</v>
      </c>
    </row>
    <row r="3793" spans="1:13" x14ac:dyDescent="0.25">
      <c r="A3793" s="13">
        <v>6632407</v>
      </c>
      <c r="B3793" s="13" t="s">
        <v>825</v>
      </c>
      <c r="D3793" s="13">
        <v>20000</v>
      </c>
      <c r="E3793" s="132" t="str">
        <f>INDEX([1]道具配置表!$D:$D,MATCH(D3793,[1]道具配置表!$A:$A,0))</f>
        <v>技能点1</v>
      </c>
      <c r="F3793" s="13">
        <v>1560</v>
      </c>
      <c r="K3793" s="53">
        <v>1</v>
      </c>
      <c r="L3793" s="53"/>
      <c r="M3793" s="53" t="b">
        <v>1</v>
      </c>
    </row>
    <row r="3794" spans="1:13" x14ac:dyDescent="0.25">
      <c r="B3794" s="13" t="s">
        <v>119</v>
      </c>
      <c r="D3794" s="13">
        <v>6142</v>
      </c>
      <c r="E3794" s="132" t="str">
        <f>INDEX([1]道具配置表!$D:$D,MATCH(D3794,[1]道具配置表!$A:$A,0))</f>
        <v>10分钟科技加速</v>
      </c>
      <c r="F3794" s="13">
        <v>28</v>
      </c>
      <c r="K3794" s="53">
        <v>1</v>
      </c>
      <c r="L3794" s="53"/>
      <c r="M3794" s="53" t="b">
        <v>1</v>
      </c>
    </row>
    <row r="3795" spans="1:13" x14ac:dyDescent="0.25">
      <c r="B3795" s="13" t="s">
        <v>119</v>
      </c>
      <c r="D3795" s="13">
        <v>6162</v>
      </c>
      <c r="E3795" s="132" t="str">
        <f>INDEX([1]道具配置表!$D:$D,MATCH(D3795,[1]道具配置表!$A:$A,0))</f>
        <v>10分钟训练加速</v>
      </c>
      <c r="F3795" s="13">
        <v>14</v>
      </c>
      <c r="K3795" s="53">
        <v>1</v>
      </c>
      <c r="L3795" s="53"/>
      <c r="M3795" s="53" t="b">
        <v>1</v>
      </c>
    </row>
    <row r="3796" spans="1:13" x14ac:dyDescent="0.25">
      <c r="B3796" s="13" t="s">
        <v>119</v>
      </c>
      <c r="D3796" s="13">
        <v>6182</v>
      </c>
      <c r="E3796" s="132" t="str">
        <f>INDEX([1]道具配置表!$D:$D,MATCH(D3796,[1]道具配置表!$A:$A,0))</f>
        <v>10分钟治疗加速</v>
      </c>
      <c r="F3796" s="13">
        <v>14</v>
      </c>
      <c r="K3796" s="53">
        <v>1</v>
      </c>
      <c r="L3796" s="53"/>
      <c r="M3796" s="53" t="b">
        <v>1</v>
      </c>
    </row>
    <row r="3797" spans="1:13" x14ac:dyDescent="0.25">
      <c r="A3797" s="13">
        <v>6632408</v>
      </c>
      <c r="B3797" s="13" t="s">
        <v>826</v>
      </c>
      <c r="D3797" s="13">
        <v>20000</v>
      </c>
      <c r="E3797" s="132" t="str">
        <f>INDEX([1]道具配置表!$D:$D,MATCH(D3797,[1]道具配置表!$A:$A,0))</f>
        <v>技能点1</v>
      </c>
      <c r="F3797" s="13">
        <v>1820</v>
      </c>
      <c r="K3797" s="53">
        <v>1</v>
      </c>
      <c r="L3797" s="53"/>
      <c r="M3797" s="53" t="b">
        <v>1</v>
      </c>
    </row>
    <row r="3798" spans="1:13" x14ac:dyDescent="0.25">
      <c r="B3798" s="13" t="s">
        <v>119</v>
      </c>
      <c r="D3798" s="13">
        <v>6142</v>
      </c>
      <c r="E3798" s="132" t="str">
        <f>INDEX([1]道具配置表!$D:$D,MATCH(D3798,[1]道具配置表!$A:$A,0))</f>
        <v>10分钟科技加速</v>
      </c>
      <c r="F3798" s="13">
        <v>30</v>
      </c>
      <c r="K3798" s="53">
        <v>1</v>
      </c>
      <c r="L3798" s="53"/>
      <c r="M3798" s="53" t="b">
        <v>1</v>
      </c>
    </row>
    <row r="3799" spans="1:13" x14ac:dyDescent="0.25">
      <c r="B3799" s="13" t="s">
        <v>119</v>
      </c>
      <c r="D3799" s="13">
        <v>6162</v>
      </c>
      <c r="E3799" s="132" t="str">
        <f>INDEX([1]道具配置表!$D:$D,MATCH(D3799,[1]道具配置表!$A:$A,0))</f>
        <v>10分钟训练加速</v>
      </c>
      <c r="F3799" s="13">
        <v>15</v>
      </c>
      <c r="K3799" s="53">
        <v>1</v>
      </c>
      <c r="L3799" s="53"/>
      <c r="M3799" s="53" t="b">
        <v>1</v>
      </c>
    </row>
    <row r="3800" spans="1:13" x14ac:dyDescent="0.25">
      <c r="B3800" s="13" t="s">
        <v>119</v>
      </c>
      <c r="D3800" s="13">
        <v>6182</v>
      </c>
      <c r="E3800" s="132" t="str">
        <f>INDEX([1]道具配置表!$D:$D,MATCH(D3800,[1]道具配置表!$A:$A,0))</f>
        <v>10分钟治疗加速</v>
      </c>
      <c r="F3800" s="13">
        <v>15</v>
      </c>
      <c r="K3800" s="53">
        <v>1</v>
      </c>
      <c r="L3800" s="53"/>
      <c r="M3800" s="53" t="b">
        <v>1</v>
      </c>
    </row>
    <row r="3801" spans="1:13" x14ac:dyDescent="0.25">
      <c r="A3801" s="13">
        <v>6632409</v>
      </c>
      <c r="B3801" s="13" t="s">
        <v>827</v>
      </c>
      <c r="D3801" s="13">
        <v>20000</v>
      </c>
      <c r="E3801" s="132" t="str">
        <f>INDEX([1]道具配置表!$D:$D,MATCH(D3801,[1]道具配置表!$A:$A,0))</f>
        <v>技能点1</v>
      </c>
      <c r="F3801" s="13">
        <v>2080</v>
      </c>
      <c r="K3801" s="53">
        <v>1</v>
      </c>
      <c r="L3801" s="53"/>
      <c r="M3801" s="53" t="b">
        <v>1</v>
      </c>
    </row>
    <row r="3802" spans="1:13" x14ac:dyDescent="0.25">
      <c r="B3802" s="13" t="s">
        <v>119</v>
      </c>
      <c r="D3802" s="13">
        <v>6142</v>
      </c>
      <c r="E3802" s="132" t="str">
        <f>INDEX([1]道具配置表!$D:$D,MATCH(D3802,[1]道具配置表!$A:$A,0))</f>
        <v>10分钟科技加速</v>
      </c>
      <c r="F3802" s="13">
        <v>32</v>
      </c>
      <c r="K3802" s="53">
        <v>1</v>
      </c>
      <c r="L3802" s="53"/>
      <c r="M3802" s="53" t="b">
        <v>1</v>
      </c>
    </row>
    <row r="3803" spans="1:13" x14ac:dyDescent="0.25">
      <c r="B3803" s="13" t="s">
        <v>119</v>
      </c>
      <c r="D3803" s="13">
        <v>6162</v>
      </c>
      <c r="E3803" s="132" t="str">
        <f>INDEX([1]道具配置表!$D:$D,MATCH(D3803,[1]道具配置表!$A:$A,0))</f>
        <v>10分钟训练加速</v>
      </c>
      <c r="F3803" s="13">
        <v>16</v>
      </c>
      <c r="K3803" s="53">
        <v>1</v>
      </c>
      <c r="L3803" s="53"/>
      <c r="M3803" s="53" t="b">
        <v>1</v>
      </c>
    </row>
    <row r="3804" spans="1:13" x14ac:dyDescent="0.25">
      <c r="B3804" s="13" t="s">
        <v>119</v>
      </c>
      <c r="D3804" s="13">
        <v>6182</v>
      </c>
      <c r="E3804" s="132" t="str">
        <f>INDEX([1]道具配置表!$D:$D,MATCH(D3804,[1]道具配置表!$A:$A,0))</f>
        <v>10分钟治疗加速</v>
      </c>
      <c r="F3804" s="13">
        <v>16</v>
      </c>
      <c r="K3804" s="53">
        <v>1</v>
      </c>
      <c r="L3804" s="53"/>
      <c r="M3804" s="53" t="b">
        <v>1</v>
      </c>
    </row>
    <row r="3805" spans="1:13" x14ac:dyDescent="0.25">
      <c r="A3805" s="13">
        <v>6632410</v>
      </c>
      <c r="B3805" s="13" t="s">
        <v>828</v>
      </c>
      <c r="D3805" s="13">
        <v>20000</v>
      </c>
      <c r="E3805" s="132" t="str">
        <f>INDEX([1]道具配置表!$D:$D,MATCH(D3805,[1]道具配置表!$A:$A,0))</f>
        <v>技能点1</v>
      </c>
      <c r="F3805" s="13">
        <v>2340</v>
      </c>
      <c r="K3805" s="53">
        <v>1</v>
      </c>
      <c r="L3805" s="53"/>
      <c r="M3805" s="53" t="b">
        <v>1</v>
      </c>
    </row>
    <row r="3806" spans="1:13" x14ac:dyDescent="0.25">
      <c r="B3806" s="13" t="s">
        <v>119</v>
      </c>
      <c r="D3806" s="13">
        <v>6142</v>
      </c>
      <c r="E3806" s="132" t="str">
        <f>INDEX([1]道具配置表!$D:$D,MATCH(D3806,[1]道具配置表!$A:$A,0))</f>
        <v>10分钟科技加速</v>
      </c>
      <c r="F3806" s="13">
        <v>34</v>
      </c>
      <c r="K3806" s="53">
        <v>1</v>
      </c>
      <c r="L3806" s="53"/>
      <c r="M3806" s="53" t="b">
        <v>1</v>
      </c>
    </row>
    <row r="3807" spans="1:13" x14ac:dyDescent="0.25">
      <c r="B3807" s="13" t="s">
        <v>119</v>
      </c>
      <c r="D3807" s="13">
        <v>6162</v>
      </c>
      <c r="E3807" s="132" t="str">
        <f>INDEX([1]道具配置表!$D:$D,MATCH(D3807,[1]道具配置表!$A:$A,0))</f>
        <v>10分钟训练加速</v>
      </c>
      <c r="F3807" s="13">
        <v>17</v>
      </c>
      <c r="K3807" s="53">
        <v>1</v>
      </c>
      <c r="L3807" s="53"/>
      <c r="M3807" s="53" t="b">
        <v>1</v>
      </c>
    </row>
    <row r="3808" spans="1:13" x14ac:dyDescent="0.25">
      <c r="B3808" s="13" t="s">
        <v>119</v>
      </c>
      <c r="D3808" s="13">
        <v>6182</v>
      </c>
      <c r="E3808" s="132" t="str">
        <f>INDEX([1]道具配置表!$D:$D,MATCH(D3808,[1]道具配置表!$A:$A,0))</f>
        <v>10分钟治疗加速</v>
      </c>
      <c r="F3808" s="13">
        <v>17</v>
      </c>
      <c r="K3808" s="53">
        <v>1</v>
      </c>
      <c r="L3808" s="53"/>
      <c r="M3808" s="53" t="b">
        <v>1</v>
      </c>
    </row>
    <row r="3809" spans="1:13" x14ac:dyDescent="0.25">
      <c r="A3809" s="13">
        <v>6632411</v>
      </c>
      <c r="B3809" s="13" t="s">
        <v>829</v>
      </c>
      <c r="D3809" s="13">
        <v>20000</v>
      </c>
      <c r="E3809" s="132" t="str">
        <f>INDEX([1]道具配置表!$D:$D,MATCH(D3809,[1]道具配置表!$A:$A,0))</f>
        <v>技能点1</v>
      </c>
      <c r="F3809" s="13">
        <v>2600</v>
      </c>
      <c r="K3809" s="53">
        <v>1</v>
      </c>
      <c r="L3809" s="53"/>
      <c r="M3809" s="53" t="b">
        <v>1</v>
      </c>
    </row>
    <row r="3810" spans="1:13" x14ac:dyDescent="0.25">
      <c r="B3810" s="13" t="s">
        <v>119</v>
      </c>
      <c r="D3810" s="13">
        <v>6142</v>
      </c>
      <c r="E3810" s="132" t="str">
        <f>INDEX([1]道具配置表!$D:$D,MATCH(D3810,[1]道具配置表!$A:$A,0))</f>
        <v>10分钟科技加速</v>
      </c>
      <c r="F3810" s="13">
        <v>36</v>
      </c>
      <c r="K3810" s="53">
        <v>1</v>
      </c>
      <c r="L3810" s="53"/>
      <c r="M3810" s="53" t="b">
        <v>1</v>
      </c>
    </row>
    <row r="3811" spans="1:13" x14ac:dyDescent="0.25">
      <c r="B3811" s="13" t="s">
        <v>119</v>
      </c>
      <c r="D3811" s="13">
        <v>6162</v>
      </c>
      <c r="E3811" s="132" t="str">
        <f>INDEX([1]道具配置表!$D:$D,MATCH(D3811,[1]道具配置表!$A:$A,0))</f>
        <v>10分钟训练加速</v>
      </c>
      <c r="F3811" s="13">
        <v>18</v>
      </c>
      <c r="K3811" s="53">
        <v>1</v>
      </c>
      <c r="L3811" s="53"/>
      <c r="M3811" s="53" t="b">
        <v>1</v>
      </c>
    </row>
    <row r="3812" spans="1:13" x14ac:dyDescent="0.25">
      <c r="B3812" s="13" t="s">
        <v>119</v>
      </c>
      <c r="D3812" s="13">
        <v>6182</v>
      </c>
      <c r="E3812" s="132" t="str">
        <f>INDEX([1]道具配置表!$D:$D,MATCH(D3812,[1]道具配置表!$A:$A,0))</f>
        <v>10分钟治疗加速</v>
      </c>
      <c r="F3812" s="13">
        <v>18</v>
      </c>
      <c r="K3812" s="53">
        <v>1</v>
      </c>
      <c r="L3812" s="53"/>
      <c r="M3812" s="53" t="b">
        <v>1</v>
      </c>
    </row>
    <row r="3813" spans="1:13" x14ac:dyDescent="0.25">
      <c r="A3813" s="13">
        <v>6632501</v>
      </c>
      <c r="B3813" s="13" t="s">
        <v>830</v>
      </c>
      <c r="D3813" s="13">
        <v>20000</v>
      </c>
      <c r="E3813" s="132" t="str">
        <f>INDEX([1]道具配置表!$D:$D,MATCH(D3813,[1]道具配置表!$A:$A,0))</f>
        <v>技能点1</v>
      </c>
      <c r="F3813" s="13">
        <v>300</v>
      </c>
      <c r="K3813" s="53">
        <v>1</v>
      </c>
      <c r="L3813" s="53"/>
      <c r="M3813" s="53" t="b">
        <v>1</v>
      </c>
    </row>
    <row r="3814" spans="1:13" x14ac:dyDescent="0.25">
      <c r="B3814" s="13" t="s">
        <v>119</v>
      </c>
      <c r="D3814" s="13">
        <v>6142</v>
      </c>
      <c r="E3814" s="132" t="str">
        <f>INDEX([1]道具配置表!$D:$D,MATCH(D3814,[1]道具配置表!$A:$A,0))</f>
        <v>10分钟科技加速</v>
      </c>
      <c r="F3814" s="13">
        <v>25</v>
      </c>
      <c r="K3814" s="53">
        <v>1</v>
      </c>
      <c r="L3814" s="53"/>
      <c r="M3814" s="53" t="b">
        <v>1</v>
      </c>
    </row>
    <row r="3815" spans="1:13" x14ac:dyDescent="0.25">
      <c r="B3815" s="13" t="s">
        <v>119</v>
      </c>
      <c r="D3815" s="13">
        <v>6162</v>
      </c>
      <c r="E3815" s="132" t="str">
        <f>INDEX([1]道具配置表!$D:$D,MATCH(D3815,[1]道具配置表!$A:$A,0))</f>
        <v>10分钟训练加速</v>
      </c>
      <c r="F3815" s="13">
        <v>13</v>
      </c>
      <c r="K3815" s="53">
        <v>1</v>
      </c>
      <c r="L3815" s="53"/>
      <c r="M3815" s="53" t="b">
        <v>1</v>
      </c>
    </row>
    <row r="3816" spans="1:13" x14ac:dyDescent="0.25">
      <c r="B3816" s="13" t="s">
        <v>119</v>
      </c>
      <c r="D3816" s="13">
        <v>6182</v>
      </c>
      <c r="E3816" s="132" t="str">
        <f>INDEX([1]道具配置表!$D:$D,MATCH(D3816,[1]道具配置表!$A:$A,0))</f>
        <v>10分钟治疗加速</v>
      </c>
      <c r="F3816" s="13">
        <v>13</v>
      </c>
      <c r="K3816" s="53">
        <v>1</v>
      </c>
      <c r="L3816" s="53"/>
      <c r="M3816" s="53" t="b">
        <v>1</v>
      </c>
    </row>
    <row r="3817" spans="1:13" x14ac:dyDescent="0.25">
      <c r="A3817" s="13">
        <v>6632502</v>
      </c>
      <c r="B3817" s="13" t="s">
        <v>831</v>
      </c>
      <c r="D3817" s="13">
        <v>20000</v>
      </c>
      <c r="E3817" s="132" t="str">
        <f>INDEX([1]道具配置表!$D:$D,MATCH(D3817,[1]道具配置表!$A:$A,0))</f>
        <v>技能点1</v>
      </c>
      <c r="F3817" s="13">
        <v>900</v>
      </c>
      <c r="K3817" s="53">
        <v>1</v>
      </c>
      <c r="L3817" s="53"/>
      <c r="M3817" s="53" t="b">
        <v>1</v>
      </c>
    </row>
    <row r="3818" spans="1:13" x14ac:dyDescent="0.25">
      <c r="B3818" s="13" t="s">
        <v>119</v>
      </c>
      <c r="D3818" s="13">
        <v>6142</v>
      </c>
      <c r="E3818" s="132" t="str">
        <f>INDEX([1]道具配置表!$D:$D,MATCH(D3818,[1]道具配置表!$A:$A,0))</f>
        <v>10分钟科技加速</v>
      </c>
      <c r="F3818" s="13">
        <v>28</v>
      </c>
      <c r="K3818" s="53">
        <v>1</v>
      </c>
      <c r="L3818" s="53"/>
      <c r="M3818" s="53" t="b">
        <v>1</v>
      </c>
    </row>
    <row r="3819" spans="1:13" x14ac:dyDescent="0.25">
      <c r="B3819" s="13" t="s">
        <v>119</v>
      </c>
      <c r="D3819" s="13">
        <v>6162</v>
      </c>
      <c r="E3819" s="132" t="str">
        <f>INDEX([1]道具配置表!$D:$D,MATCH(D3819,[1]道具配置表!$A:$A,0))</f>
        <v>10分钟训练加速</v>
      </c>
      <c r="F3819" s="13">
        <v>14</v>
      </c>
      <c r="K3819" s="53">
        <v>1</v>
      </c>
      <c r="L3819" s="53"/>
      <c r="M3819" s="53" t="b">
        <v>1</v>
      </c>
    </row>
    <row r="3820" spans="1:13" x14ac:dyDescent="0.25">
      <c r="B3820" s="13" t="s">
        <v>119</v>
      </c>
      <c r="D3820" s="13">
        <v>6182</v>
      </c>
      <c r="E3820" s="132" t="str">
        <f>INDEX([1]道具配置表!$D:$D,MATCH(D3820,[1]道具配置表!$A:$A,0))</f>
        <v>10分钟治疗加速</v>
      </c>
      <c r="F3820" s="13">
        <v>14</v>
      </c>
      <c r="K3820" s="53">
        <v>1</v>
      </c>
      <c r="L3820" s="53"/>
      <c r="M3820" s="53" t="b">
        <v>1</v>
      </c>
    </row>
    <row r="3821" spans="1:13" x14ac:dyDescent="0.25">
      <c r="A3821" s="13">
        <v>6632503</v>
      </c>
      <c r="B3821" s="13" t="s">
        <v>832</v>
      </c>
      <c r="D3821" s="13">
        <v>20000</v>
      </c>
      <c r="E3821" s="132" t="str">
        <f>INDEX([1]道具配置表!$D:$D,MATCH(D3821,[1]道具配置表!$A:$A,0))</f>
        <v>技能点1</v>
      </c>
      <c r="F3821" s="13">
        <v>1050</v>
      </c>
      <c r="K3821" s="53">
        <v>1</v>
      </c>
      <c r="L3821" s="53"/>
      <c r="M3821" s="53" t="b">
        <v>1</v>
      </c>
    </row>
    <row r="3822" spans="1:13" x14ac:dyDescent="0.25">
      <c r="B3822" s="13" t="s">
        <v>119</v>
      </c>
      <c r="D3822" s="13">
        <v>6142</v>
      </c>
      <c r="E3822" s="132" t="str">
        <f>INDEX([1]道具配置表!$D:$D,MATCH(D3822,[1]道具配置表!$A:$A,0))</f>
        <v>10分钟科技加速</v>
      </c>
      <c r="F3822" s="13">
        <v>31</v>
      </c>
      <c r="K3822" s="53">
        <v>1</v>
      </c>
      <c r="L3822" s="53"/>
      <c r="M3822" s="53" t="b">
        <v>1</v>
      </c>
    </row>
    <row r="3823" spans="1:13" x14ac:dyDescent="0.25">
      <c r="B3823" s="13" t="s">
        <v>119</v>
      </c>
      <c r="D3823" s="13">
        <v>6162</v>
      </c>
      <c r="E3823" s="132" t="str">
        <f>INDEX([1]道具配置表!$D:$D,MATCH(D3823,[1]道具配置表!$A:$A,0))</f>
        <v>10分钟训练加速</v>
      </c>
      <c r="F3823" s="13">
        <v>16</v>
      </c>
      <c r="K3823" s="53">
        <v>1</v>
      </c>
      <c r="L3823" s="53"/>
      <c r="M3823" s="53" t="b">
        <v>1</v>
      </c>
    </row>
    <row r="3824" spans="1:13" x14ac:dyDescent="0.25">
      <c r="B3824" s="13" t="s">
        <v>119</v>
      </c>
      <c r="D3824" s="13">
        <v>6182</v>
      </c>
      <c r="E3824" s="132" t="str">
        <f>INDEX([1]道具配置表!$D:$D,MATCH(D3824,[1]道具配置表!$A:$A,0))</f>
        <v>10分钟治疗加速</v>
      </c>
      <c r="F3824" s="13">
        <v>16</v>
      </c>
      <c r="K3824" s="53">
        <v>1</v>
      </c>
      <c r="L3824" s="53"/>
      <c r="M3824" s="53" t="b">
        <v>1</v>
      </c>
    </row>
    <row r="3825" spans="1:13" x14ac:dyDescent="0.25">
      <c r="A3825" s="13">
        <v>6632504</v>
      </c>
      <c r="B3825" s="13" t="s">
        <v>833</v>
      </c>
      <c r="D3825" s="13">
        <v>20000</v>
      </c>
      <c r="E3825" s="132" t="str">
        <f>INDEX([1]道具配置表!$D:$D,MATCH(D3825,[1]道具配置表!$A:$A,0))</f>
        <v>技能点1</v>
      </c>
      <c r="F3825" s="13">
        <v>1200</v>
      </c>
      <c r="K3825" s="53">
        <v>1</v>
      </c>
      <c r="L3825" s="53"/>
      <c r="M3825" s="53" t="b">
        <v>1</v>
      </c>
    </row>
    <row r="3826" spans="1:13" x14ac:dyDescent="0.25">
      <c r="B3826" s="13" t="s">
        <v>119</v>
      </c>
      <c r="D3826" s="13">
        <v>6142</v>
      </c>
      <c r="E3826" s="132" t="str">
        <f>INDEX([1]道具配置表!$D:$D,MATCH(D3826,[1]道具配置表!$A:$A,0))</f>
        <v>10分钟科技加速</v>
      </c>
      <c r="F3826" s="13">
        <v>34</v>
      </c>
      <c r="K3826" s="53">
        <v>1</v>
      </c>
      <c r="L3826" s="53"/>
      <c r="M3826" s="53" t="b">
        <v>1</v>
      </c>
    </row>
    <row r="3827" spans="1:13" x14ac:dyDescent="0.25">
      <c r="B3827" s="13" t="s">
        <v>119</v>
      </c>
      <c r="D3827" s="13">
        <v>6162</v>
      </c>
      <c r="E3827" s="132" t="str">
        <f>INDEX([1]道具配置表!$D:$D,MATCH(D3827,[1]道具配置表!$A:$A,0))</f>
        <v>10分钟训练加速</v>
      </c>
      <c r="F3827" s="13">
        <v>17</v>
      </c>
      <c r="K3827" s="53">
        <v>1</v>
      </c>
      <c r="L3827" s="53"/>
      <c r="M3827" s="53" t="b">
        <v>1</v>
      </c>
    </row>
    <row r="3828" spans="1:13" x14ac:dyDescent="0.25">
      <c r="B3828" s="13" t="s">
        <v>119</v>
      </c>
      <c r="D3828" s="13">
        <v>6182</v>
      </c>
      <c r="E3828" s="132" t="str">
        <f>INDEX([1]道具配置表!$D:$D,MATCH(D3828,[1]道具配置表!$A:$A,0))</f>
        <v>10分钟治疗加速</v>
      </c>
      <c r="F3828" s="13">
        <v>17</v>
      </c>
      <c r="K3828" s="53">
        <v>1</v>
      </c>
      <c r="L3828" s="53"/>
      <c r="M3828" s="53" t="b">
        <v>1</v>
      </c>
    </row>
    <row r="3829" spans="1:13" x14ac:dyDescent="0.25">
      <c r="A3829" s="13">
        <v>6632505</v>
      </c>
      <c r="B3829" s="13" t="s">
        <v>834</v>
      </c>
      <c r="D3829" s="13">
        <v>20000</v>
      </c>
      <c r="E3829" s="132" t="str">
        <f>INDEX([1]道具配置表!$D:$D,MATCH(D3829,[1]道具配置表!$A:$A,0))</f>
        <v>技能点1</v>
      </c>
      <c r="F3829" s="13">
        <v>1350</v>
      </c>
      <c r="K3829" s="53">
        <v>1</v>
      </c>
      <c r="L3829" s="53"/>
      <c r="M3829" s="53" t="b">
        <v>1</v>
      </c>
    </row>
    <row r="3830" spans="1:13" x14ac:dyDescent="0.25">
      <c r="B3830" s="13" t="s">
        <v>119</v>
      </c>
      <c r="D3830" s="13">
        <v>6142</v>
      </c>
      <c r="E3830" s="132" t="str">
        <f>INDEX([1]道具配置表!$D:$D,MATCH(D3830,[1]道具配置表!$A:$A,0))</f>
        <v>10分钟科技加速</v>
      </c>
      <c r="F3830" s="13">
        <v>37</v>
      </c>
      <c r="K3830" s="53">
        <v>1</v>
      </c>
      <c r="L3830" s="53"/>
      <c r="M3830" s="53" t="b">
        <v>1</v>
      </c>
    </row>
    <row r="3831" spans="1:13" x14ac:dyDescent="0.25">
      <c r="B3831" s="13" t="s">
        <v>119</v>
      </c>
      <c r="D3831" s="13">
        <v>6162</v>
      </c>
      <c r="E3831" s="132" t="str">
        <f>INDEX([1]道具配置表!$D:$D,MATCH(D3831,[1]道具配置表!$A:$A,0))</f>
        <v>10分钟训练加速</v>
      </c>
      <c r="F3831" s="13">
        <v>19</v>
      </c>
      <c r="K3831" s="53">
        <v>1</v>
      </c>
      <c r="L3831" s="53"/>
      <c r="M3831" s="53" t="b">
        <v>1</v>
      </c>
    </row>
    <row r="3832" spans="1:13" x14ac:dyDescent="0.25">
      <c r="B3832" s="13" t="s">
        <v>119</v>
      </c>
      <c r="D3832" s="13">
        <v>6182</v>
      </c>
      <c r="E3832" s="132" t="str">
        <f>INDEX([1]道具配置表!$D:$D,MATCH(D3832,[1]道具配置表!$A:$A,0))</f>
        <v>10分钟治疗加速</v>
      </c>
      <c r="F3832" s="13">
        <v>19</v>
      </c>
      <c r="K3832" s="53">
        <v>1</v>
      </c>
      <c r="L3832" s="53"/>
      <c r="M3832" s="53" t="b">
        <v>1</v>
      </c>
    </row>
    <row r="3833" spans="1:13" x14ac:dyDescent="0.25">
      <c r="A3833" s="13">
        <v>6632506</v>
      </c>
      <c r="B3833" s="13" t="s">
        <v>835</v>
      </c>
      <c r="D3833" s="13">
        <v>20000</v>
      </c>
      <c r="E3833" s="132" t="str">
        <f>INDEX([1]道具配置表!$D:$D,MATCH(D3833,[1]道具配置表!$A:$A,0))</f>
        <v>技能点1</v>
      </c>
      <c r="F3833" s="13">
        <v>1500</v>
      </c>
      <c r="K3833" s="53">
        <v>1</v>
      </c>
      <c r="L3833" s="53"/>
      <c r="M3833" s="53" t="b">
        <v>1</v>
      </c>
    </row>
    <row r="3834" spans="1:13" x14ac:dyDescent="0.25">
      <c r="B3834" s="13" t="s">
        <v>119</v>
      </c>
      <c r="D3834" s="13">
        <v>6142</v>
      </c>
      <c r="E3834" s="132" t="str">
        <f>INDEX([1]道具配置表!$D:$D,MATCH(D3834,[1]道具配置表!$A:$A,0))</f>
        <v>10分钟科技加速</v>
      </c>
      <c r="F3834" s="13">
        <v>40</v>
      </c>
      <c r="K3834" s="53">
        <v>1</v>
      </c>
      <c r="L3834" s="53"/>
      <c r="M3834" s="53" t="b">
        <v>1</v>
      </c>
    </row>
    <row r="3835" spans="1:13" x14ac:dyDescent="0.25">
      <c r="B3835" s="13" t="s">
        <v>119</v>
      </c>
      <c r="D3835" s="13">
        <v>6162</v>
      </c>
      <c r="E3835" s="132" t="str">
        <f>INDEX([1]道具配置表!$D:$D,MATCH(D3835,[1]道具配置表!$A:$A,0))</f>
        <v>10分钟训练加速</v>
      </c>
      <c r="F3835" s="13">
        <v>20</v>
      </c>
      <c r="K3835" s="53">
        <v>1</v>
      </c>
      <c r="L3835" s="53"/>
      <c r="M3835" s="53" t="b">
        <v>1</v>
      </c>
    </row>
    <row r="3836" spans="1:13" x14ac:dyDescent="0.25">
      <c r="B3836" s="13" t="s">
        <v>119</v>
      </c>
      <c r="D3836" s="13">
        <v>6182</v>
      </c>
      <c r="E3836" s="132" t="str">
        <f>INDEX([1]道具配置表!$D:$D,MATCH(D3836,[1]道具配置表!$A:$A,0))</f>
        <v>10分钟治疗加速</v>
      </c>
      <c r="F3836" s="13">
        <v>20</v>
      </c>
      <c r="K3836" s="53">
        <v>1</v>
      </c>
      <c r="L3836" s="53"/>
      <c r="M3836" s="53" t="b">
        <v>1</v>
      </c>
    </row>
    <row r="3837" spans="1:13" x14ac:dyDescent="0.25">
      <c r="A3837" s="13">
        <v>6632507</v>
      </c>
      <c r="B3837" s="13" t="s">
        <v>836</v>
      </c>
      <c r="D3837" s="13">
        <v>20000</v>
      </c>
      <c r="E3837" s="132" t="str">
        <f>INDEX([1]道具配置表!$D:$D,MATCH(D3837,[1]道具配置表!$A:$A,0))</f>
        <v>技能点1</v>
      </c>
      <c r="F3837" s="13">
        <v>1800</v>
      </c>
      <c r="K3837" s="53">
        <v>1</v>
      </c>
      <c r="L3837" s="53"/>
      <c r="M3837" s="53" t="b">
        <v>1</v>
      </c>
    </row>
    <row r="3838" spans="1:13" x14ac:dyDescent="0.25">
      <c r="B3838" s="13" t="s">
        <v>119</v>
      </c>
      <c r="D3838" s="13">
        <v>6142</v>
      </c>
      <c r="E3838" s="132" t="str">
        <f>INDEX([1]道具配置表!$D:$D,MATCH(D3838,[1]道具配置表!$A:$A,0))</f>
        <v>10分钟科技加速</v>
      </c>
      <c r="F3838" s="13">
        <v>42</v>
      </c>
      <c r="K3838" s="53">
        <v>1</v>
      </c>
      <c r="L3838" s="53"/>
      <c r="M3838" s="53" t="b">
        <v>1</v>
      </c>
    </row>
    <row r="3839" spans="1:13" x14ac:dyDescent="0.25">
      <c r="B3839" s="13" t="s">
        <v>119</v>
      </c>
      <c r="D3839" s="13">
        <v>6162</v>
      </c>
      <c r="E3839" s="132" t="str">
        <f>INDEX([1]道具配置表!$D:$D,MATCH(D3839,[1]道具配置表!$A:$A,0))</f>
        <v>10分钟训练加速</v>
      </c>
      <c r="F3839" s="13">
        <v>21</v>
      </c>
      <c r="K3839" s="53">
        <v>1</v>
      </c>
      <c r="L3839" s="53"/>
      <c r="M3839" s="53" t="b">
        <v>1</v>
      </c>
    </row>
    <row r="3840" spans="1:13" x14ac:dyDescent="0.25">
      <c r="B3840" s="13" t="s">
        <v>119</v>
      </c>
      <c r="D3840" s="13">
        <v>6182</v>
      </c>
      <c r="E3840" s="132" t="str">
        <f>INDEX([1]道具配置表!$D:$D,MATCH(D3840,[1]道具配置表!$A:$A,0))</f>
        <v>10分钟治疗加速</v>
      </c>
      <c r="F3840" s="13">
        <v>21</v>
      </c>
      <c r="K3840" s="53">
        <v>1</v>
      </c>
      <c r="L3840" s="53"/>
      <c r="M3840" s="53" t="b">
        <v>1</v>
      </c>
    </row>
    <row r="3841" spans="1:13" x14ac:dyDescent="0.25">
      <c r="A3841" s="13">
        <v>6632508</v>
      </c>
      <c r="B3841" s="13" t="s">
        <v>837</v>
      </c>
      <c r="D3841" s="13">
        <v>20000</v>
      </c>
      <c r="E3841" s="132" t="str">
        <f>INDEX([1]道具配置表!$D:$D,MATCH(D3841,[1]道具配置表!$A:$A,0))</f>
        <v>技能点1</v>
      </c>
      <c r="F3841" s="13">
        <v>2100</v>
      </c>
      <c r="K3841" s="53">
        <v>1</v>
      </c>
      <c r="L3841" s="53"/>
      <c r="M3841" s="53" t="b">
        <v>1</v>
      </c>
    </row>
    <row r="3842" spans="1:13" x14ac:dyDescent="0.25">
      <c r="B3842" s="13" t="s">
        <v>119</v>
      </c>
      <c r="D3842" s="13">
        <v>6142</v>
      </c>
      <c r="E3842" s="132" t="str">
        <f>INDEX([1]道具配置表!$D:$D,MATCH(D3842,[1]道具配置表!$A:$A,0))</f>
        <v>10分钟科技加速</v>
      </c>
      <c r="F3842" s="13">
        <v>45</v>
      </c>
      <c r="K3842" s="53">
        <v>1</v>
      </c>
      <c r="L3842" s="53"/>
      <c r="M3842" s="53" t="b">
        <v>1</v>
      </c>
    </row>
    <row r="3843" spans="1:13" x14ac:dyDescent="0.25">
      <c r="B3843" s="13" t="s">
        <v>119</v>
      </c>
      <c r="D3843" s="13">
        <v>6162</v>
      </c>
      <c r="E3843" s="132" t="str">
        <f>INDEX([1]道具配置表!$D:$D,MATCH(D3843,[1]道具配置表!$A:$A,0))</f>
        <v>10分钟训练加速</v>
      </c>
      <c r="F3843" s="13">
        <v>23</v>
      </c>
      <c r="K3843" s="53">
        <v>1</v>
      </c>
      <c r="L3843" s="53"/>
      <c r="M3843" s="53" t="b">
        <v>1</v>
      </c>
    </row>
    <row r="3844" spans="1:13" x14ac:dyDescent="0.25">
      <c r="B3844" s="13" t="s">
        <v>119</v>
      </c>
      <c r="D3844" s="13">
        <v>6182</v>
      </c>
      <c r="E3844" s="132" t="str">
        <f>INDEX([1]道具配置表!$D:$D,MATCH(D3844,[1]道具配置表!$A:$A,0))</f>
        <v>10分钟治疗加速</v>
      </c>
      <c r="F3844" s="13">
        <v>23</v>
      </c>
      <c r="K3844" s="53">
        <v>1</v>
      </c>
      <c r="L3844" s="53"/>
      <c r="M3844" s="53" t="b">
        <v>1</v>
      </c>
    </row>
    <row r="3845" spans="1:13" x14ac:dyDescent="0.25">
      <c r="A3845" s="13">
        <v>6632509</v>
      </c>
      <c r="B3845" s="13" t="s">
        <v>838</v>
      </c>
      <c r="D3845" s="13">
        <v>20000</v>
      </c>
      <c r="E3845" s="132" t="str">
        <f>INDEX([1]道具配置表!$D:$D,MATCH(D3845,[1]道具配置表!$A:$A,0))</f>
        <v>技能点1</v>
      </c>
      <c r="F3845" s="13">
        <v>2400</v>
      </c>
      <c r="K3845" s="53">
        <v>1</v>
      </c>
      <c r="L3845" s="53"/>
      <c r="M3845" s="53" t="b">
        <v>1</v>
      </c>
    </row>
    <row r="3846" spans="1:13" x14ac:dyDescent="0.25">
      <c r="B3846" s="13" t="s">
        <v>119</v>
      </c>
      <c r="D3846" s="13">
        <v>6142</v>
      </c>
      <c r="E3846" s="132" t="str">
        <f>INDEX([1]道具配置表!$D:$D,MATCH(D3846,[1]道具配置表!$A:$A,0))</f>
        <v>10分钟科技加速</v>
      </c>
      <c r="F3846" s="13">
        <v>47</v>
      </c>
      <c r="K3846" s="53">
        <v>1</v>
      </c>
      <c r="L3846" s="53"/>
      <c r="M3846" s="53" t="b">
        <v>1</v>
      </c>
    </row>
    <row r="3847" spans="1:13" x14ac:dyDescent="0.25">
      <c r="B3847" s="13" t="s">
        <v>119</v>
      </c>
      <c r="D3847" s="13">
        <v>6162</v>
      </c>
      <c r="E3847" s="132" t="str">
        <f>INDEX([1]道具配置表!$D:$D,MATCH(D3847,[1]道具配置表!$A:$A,0))</f>
        <v>10分钟训练加速</v>
      </c>
      <c r="F3847" s="13">
        <v>24</v>
      </c>
      <c r="K3847" s="53">
        <v>1</v>
      </c>
      <c r="L3847" s="53"/>
      <c r="M3847" s="53" t="b">
        <v>1</v>
      </c>
    </row>
    <row r="3848" spans="1:13" x14ac:dyDescent="0.25">
      <c r="B3848" s="13" t="s">
        <v>119</v>
      </c>
      <c r="D3848" s="13">
        <v>6182</v>
      </c>
      <c r="E3848" s="132" t="str">
        <f>INDEX([1]道具配置表!$D:$D,MATCH(D3848,[1]道具配置表!$A:$A,0))</f>
        <v>10分钟治疗加速</v>
      </c>
      <c r="F3848" s="13">
        <v>24</v>
      </c>
      <c r="K3848" s="53">
        <v>1</v>
      </c>
      <c r="L3848" s="53"/>
      <c r="M3848" s="53" t="b">
        <v>1</v>
      </c>
    </row>
    <row r="3849" spans="1:13" x14ac:dyDescent="0.25">
      <c r="A3849" s="13">
        <v>6632510</v>
      </c>
      <c r="B3849" s="13" t="s">
        <v>839</v>
      </c>
      <c r="D3849" s="13">
        <v>20000</v>
      </c>
      <c r="E3849" s="132" t="str">
        <f>INDEX([1]道具配置表!$D:$D,MATCH(D3849,[1]道具配置表!$A:$A,0))</f>
        <v>技能点1</v>
      </c>
      <c r="F3849" s="13">
        <v>2700</v>
      </c>
      <c r="K3849" s="53">
        <v>1</v>
      </c>
      <c r="L3849" s="53"/>
      <c r="M3849" s="53" t="b">
        <v>1</v>
      </c>
    </row>
    <row r="3850" spans="1:13" x14ac:dyDescent="0.25">
      <c r="B3850" s="13" t="s">
        <v>119</v>
      </c>
      <c r="D3850" s="13">
        <v>6142</v>
      </c>
      <c r="E3850" s="132" t="str">
        <f>INDEX([1]道具配置表!$D:$D,MATCH(D3850,[1]道具配置表!$A:$A,0))</f>
        <v>10分钟科技加速</v>
      </c>
      <c r="F3850" s="13">
        <v>49</v>
      </c>
      <c r="K3850" s="53">
        <v>1</v>
      </c>
      <c r="L3850" s="53"/>
      <c r="M3850" s="53" t="b">
        <v>1</v>
      </c>
    </row>
    <row r="3851" spans="1:13" x14ac:dyDescent="0.25">
      <c r="B3851" s="13" t="s">
        <v>119</v>
      </c>
      <c r="D3851" s="13">
        <v>6162</v>
      </c>
      <c r="E3851" s="132" t="str">
        <f>INDEX([1]道具配置表!$D:$D,MATCH(D3851,[1]道具配置表!$A:$A,0))</f>
        <v>10分钟训练加速</v>
      </c>
      <c r="F3851" s="13">
        <v>25</v>
      </c>
      <c r="K3851" s="53">
        <v>1</v>
      </c>
      <c r="L3851" s="53"/>
      <c r="M3851" s="53" t="b">
        <v>1</v>
      </c>
    </row>
    <row r="3852" spans="1:13" x14ac:dyDescent="0.25">
      <c r="B3852" s="13" t="s">
        <v>119</v>
      </c>
      <c r="D3852" s="13">
        <v>6182</v>
      </c>
      <c r="E3852" s="132" t="str">
        <f>INDEX([1]道具配置表!$D:$D,MATCH(D3852,[1]道具配置表!$A:$A,0))</f>
        <v>10分钟治疗加速</v>
      </c>
      <c r="F3852" s="13">
        <v>25</v>
      </c>
      <c r="K3852" s="53">
        <v>1</v>
      </c>
      <c r="L3852" s="53"/>
      <c r="M3852" s="53" t="b">
        <v>1</v>
      </c>
    </row>
    <row r="3853" spans="1:13" x14ac:dyDescent="0.25">
      <c r="A3853" s="13">
        <v>6632511</v>
      </c>
      <c r="B3853" s="13" t="s">
        <v>840</v>
      </c>
      <c r="D3853" s="13">
        <v>20000</v>
      </c>
      <c r="E3853" s="132" t="str">
        <f>INDEX([1]道具配置表!$D:$D,MATCH(D3853,[1]道具配置表!$A:$A,0))</f>
        <v>技能点1</v>
      </c>
      <c r="F3853" s="13">
        <v>3000</v>
      </c>
      <c r="K3853" s="53">
        <v>1</v>
      </c>
      <c r="L3853" s="53"/>
      <c r="M3853" s="53" t="b">
        <v>1</v>
      </c>
    </row>
    <row r="3854" spans="1:13" x14ac:dyDescent="0.25">
      <c r="B3854" s="13" t="s">
        <v>119</v>
      </c>
      <c r="D3854" s="13">
        <v>6142</v>
      </c>
      <c r="E3854" s="132" t="str">
        <f>INDEX([1]道具配置表!$D:$D,MATCH(D3854,[1]道具配置表!$A:$A,0))</f>
        <v>10分钟科技加速</v>
      </c>
      <c r="F3854" s="13">
        <v>50</v>
      </c>
      <c r="K3854" s="53">
        <v>1</v>
      </c>
      <c r="L3854" s="53"/>
      <c r="M3854" s="53" t="b">
        <v>1</v>
      </c>
    </row>
    <row r="3855" spans="1:13" x14ac:dyDescent="0.25">
      <c r="B3855" s="13" t="s">
        <v>119</v>
      </c>
      <c r="D3855" s="13">
        <v>6162</v>
      </c>
      <c r="E3855" s="132" t="str">
        <f>INDEX([1]道具配置表!$D:$D,MATCH(D3855,[1]道具配置表!$A:$A,0))</f>
        <v>10分钟训练加速</v>
      </c>
      <c r="F3855" s="13">
        <v>25</v>
      </c>
      <c r="K3855" s="53">
        <v>1</v>
      </c>
      <c r="L3855" s="53"/>
      <c r="M3855" s="53" t="b">
        <v>1</v>
      </c>
    </row>
    <row r="3856" spans="1:13" x14ac:dyDescent="0.25">
      <c r="B3856" s="13" t="s">
        <v>119</v>
      </c>
      <c r="D3856" s="13">
        <v>6182</v>
      </c>
      <c r="E3856" s="132" t="str">
        <f>INDEX([1]道具配置表!$D:$D,MATCH(D3856,[1]道具配置表!$A:$A,0))</f>
        <v>10分钟治疗加速</v>
      </c>
      <c r="F3856" s="13">
        <v>25</v>
      </c>
      <c r="K3856" s="53">
        <v>1</v>
      </c>
      <c r="L3856" s="53"/>
      <c r="M3856" s="53" t="b">
        <v>1</v>
      </c>
    </row>
    <row r="3857" spans="1:13" x14ac:dyDescent="0.25">
      <c r="A3857" s="13">
        <v>6632601</v>
      </c>
      <c r="B3857" s="13" t="s">
        <v>841</v>
      </c>
      <c r="D3857" s="13">
        <v>20000</v>
      </c>
      <c r="E3857" s="132" t="str">
        <f>INDEX([1]道具配置表!$D:$D,MATCH(D3857,[1]道具配置表!$A:$A,0))</f>
        <v>技能点1</v>
      </c>
      <c r="F3857" s="13">
        <v>340</v>
      </c>
      <c r="K3857" s="53">
        <v>1</v>
      </c>
      <c r="L3857" s="53"/>
      <c r="M3857" s="53" t="b">
        <v>1</v>
      </c>
    </row>
    <row r="3858" spans="1:13" x14ac:dyDescent="0.25">
      <c r="B3858" s="13" t="s">
        <v>119</v>
      </c>
      <c r="D3858" s="13">
        <v>6142</v>
      </c>
      <c r="E3858" s="132" t="str">
        <f>INDEX([1]道具配置表!$D:$D,MATCH(D3858,[1]道具配置表!$A:$A,0))</f>
        <v>10分钟科技加速</v>
      </c>
      <c r="F3858" s="13">
        <v>55</v>
      </c>
      <c r="K3858" s="53">
        <v>1</v>
      </c>
      <c r="L3858" s="53"/>
      <c r="M3858" s="53" t="b">
        <v>1</v>
      </c>
    </row>
    <row r="3859" spans="1:13" x14ac:dyDescent="0.25">
      <c r="B3859" s="13" t="s">
        <v>119</v>
      </c>
      <c r="D3859" s="13">
        <v>6162</v>
      </c>
      <c r="E3859" s="132" t="str">
        <f>INDEX([1]道具配置表!$D:$D,MATCH(D3859,[1]道具配置表!$A:$A,0))</f>
        <v>10分钟训练加速</v>
      </c>
      <c r="F3859" s="13">
        <v>28</v>
      </c>
      <c r="K3859" s="53">
        <v>1</v>
      </c>
      <c r="L3859" s="53"/>
      <c r="M3859" s="53" t="b">
        <v>1</v>
      </c>
    </row>
    <row r="3860" spans="1:13" x14ac:dyDescent="0.25">
      <c r="B3860" s="13" t="s">
        <v>119</v>
      </c>
      <c r="D3860" s="13">
        <v>6182</v>
      </c>
      <c r="E3860" s="132" t="str">
        <f>INDEX([1]道具配置表!$D:$D,MATCH(D3860,[1]道具配置表!$A:$A,0))</f>
        <v>10分钟治疗加速</v>
      </c>
      <c r="F3860" s="13">
        <v>28</v>
      </c>
      <c r="K3860" s="53">
        <v>1</v>
      </c>
      <c r="L3860" s="53"/>
      <c r="M3860" s="53" t="b">
        <v>1</v>
      </c>
    </row>
    <row r="3861" spans="1:13" x14ac:dyDescent="0.25">
      <c r="A3861" s="13">
        <v>6632602</v>
      </c>
      <c r="B3861" s="13" t="s">
        <v>842</v>
      </c>
      <c r="D3861" s="13">
        <v>20000</v>
      </c>
      <c r="E3861" s="132" t="str">
        <f>INDEX([1]道具配置表!$D:$D,MATCH(D3861,[1]道具配置表!$A:$A,0))</f>
        <v>技能点1</v>
      </c>
      <c r="F3861" s="13">
        <v>1020</v>
      </c>
      <c r="K3861" s="53">
        <v>1</v>
      </c>
      <c r="L3861" s="53"/>
      <c r="M3861" s="53" t="b">
        <v>1</v>
      </c>
    </row>
    <row r="3862" spans="1:13" x14ac:dyDescent="0.25">
      <c r="B3862" s="13" t="s">
        <v>119</v>
      </c>
      <c r="D3862" s="13">
        <v>6142</v>
      </c>
      <c r="E3862" s="132" t="str">
        <f>INDEX([1]道具配置表!$D:$D,MATCH(D3862,[1]道具配置表!$A:$A,0))</f>
        <v>10分钟科技加速</v>
      </c>
      <c r="F3862" s="13">
        <v>58</v>
      </c>
      <c r="K3862" s="53">
        <v>1</v>
      </c>
      <c r="L3862" s="53"/>
      <c r="M3862" s="53" t="b">
        <v>1</v>
      </c>
    </row>
    <row r="3863" spans="1:13" x14ac:dyDescent="0.25">
      <c r="B3863" s="13" t="s">
        <v>119</v>
      </c>
      <c r="D3863" s="13">
        <v>6162</v>
      </c>
      <c r="E3863" s="132" t="str">
        <f>INDEX([1]道具配置表!$D:$D,MATCH(D3863,[1]道具配置表!$A:$A,0))</f>
        <v>10分钟训练加速</v>
      </c>
      <c r="F3863" s="13">
        <v>29</v>
      </c>
      <c r="K3863" s="53">
        <v>1</v>
      </c>
      <c r="L3863" s="53"/>
      <c r="M3863" s="53" t="b">
        <v>1</v>
      </c>
    </row>
    <row r="3864" spans="1:13" x14ac:dyDescent="0.25">
      <c r="B3864" s="13" t="s">
        <v>119</v>
      </c>
      <c r="D3864" s="13">
        <v>6182</v>
      </c>
      <c r="E3864" s="132" t="str">
        <f>INDEX([1]道具配置表!$D:$D,MATCH(D3864,[1]道具配置表!$A:$A,0))</f>
        <v>10分钟治疗加速</v>
      </c>
      <c r="F3864" s="13">
        <v>29</v>
      </c>
      <c r="K3864" s="53">
        <v>1</v>
      </c>
      <c r="L3864" s="53"/>
      <c r="M3864" s="53" t="b">
        <v>1</v>
      </c>
    </row>
    <row r="3865" spans="1:13" x14ac:dyDescent="0.25">
      <c r="A3865" s="13">
        <v>6632603</v>
      </c>
      <c r="B3865" s="13" t="s">
        <v>843</v>
      </c>
      <c r="D3865" s="13">
        <v>20000</v>
      </c>
      <c r="E3865" s="132" t="str">
        <f>INDEX([1]道具配置表!$D:$D,MATCH(D3865,[1]道具配置表!$A:$A,0))</f>
        <v>技能点1</v>
      </c>
      <c r="F3865" s="13">
        <v>1190</v>
      </c>
      <c r="K3865" s="53">
        <v>1</v>
      </c>
      <c r="L3865" s="53"/>
      <c r="M3865" s="53" t="b">
        <v>1</v>
      </c>
    </row>
    <row r="3866" spans="1:13" x14ac:dyDescent="0.25">
      <c r="B3866" s="13" t="s">
        <v>119</v>
      </c>
      <c r="D3866" s="13">
        <v>6142</v>
      </c>
      <c r="E3866" s="132" t="str">
        <f>INDEX([1]道具配置表!$D:$D,MATCH(D3866,[1]道具配置表!$A:$A,0))</f>
        <v>10分钟科技加速</v>
      </c>
      <c r="F3866" s="13">
        <v>61</v>
      </c>
      <c r="K3866" s="53">
        <v>1</v>
      </c>
      <c r="L3866" s="53"/>
      <c r="M3866" s="53" t="b">
        <v>1</v>
      </c>
    </row>
    <row r="3867" spans="1:13" x14ac:dyDescent="0.25">
      <c r="B3867" s="13" t="s">
        <v>119</v>
      </c>
      <c r="D3867" s="13">
        <v>6162</v>
      </c>
      <c r="E3867" s="132" t="str">
        <f>INDEX([1]道具配置表!$D:$D,MATCH(D3867,[1]道具配置表!$A:$A,0))</f>
        <v>10分钟训练加速</v>
      </c>
      <c r="F3867" s="13">
        <v>31</v>
      </c>
      <c r="K3867" s="53">
        <v>1</v>
      </c>
      <c r="L3867" s="53"/>
      <c r="M3867" s="53" t="b">
        <v>1</v>
      </c>
    </row>
    <row r="3868" spans="1:13" x14ac:dyDescent="0.25">
      <c r="B3868" s="13" t="s">
        <v>119</v>
      </c>
      <c r="D3868" s="13">
        <v>6182</v>
      </c>
      <c r="E3868" s="132" t="str">
        <f>INDEX([1]道具配置表!$D:$D,MATCH(D3868,[1]道具配置表!$A:$A,0))</f>
        <v>10分钟治疗加速</v>
      </c>
      <c r="F3868" s="13">
        <v>31</v>
      </c>
      <c r="K3868" s="53">
        <v>1</v>
      </c>
      <c r="L3868" s="53"/>
      <c r="M3868" s="53" t="b">
        <v>1</v>
      </c>
    </row>
    <row r="3869" spans="1:13" x14ac:dyDescent="0.25">
      <c r="A3869" s="13">
        <v>6632604</v>
      </c>
      <c r="B3869" s="13" t="s">
        <v>844</v>
      </c>
      <c r="D3869" s="13">
        <v>20000</v>
      </c>
      <c r="E3869" s="132" t="str">
        <f>INDEX([1]道具配置表!$D:$D,MATCH(D3869,[1]道具配置表!$A:$A,0))</f>
        <v>技能点1</v>
      </c>
      <c r="F3869" s="13">
        <v>1360</v>
      </c>
      <c r="K3869" s="53">
        <v>1</v>
      </c>
      <c r="L3869" s="53"/>
      <c r="M3869" s="53" t="b">
        <v>1</v>
      </c>
    </row>
    <row r="3870" spans="1:13" x14ac:dyDescent="0.25">
      <c r="B3870" s="13" t="s">
        <v>119</v>
      </c>
      <c r="D3870" s="13">
        <v>6142</v>
      </c>
      <c r="E3870" s="132" t="str">
        <f>INDEX([1]道具配置表!$D:$D,MATCH(D3870,[1]道具配置表!$A:$A,0))</f>
        <v>10分钟科技加速</v>
      </c>
      <c r="F3870" s="13">
        <v>64</v>
      </c>
      <c r="K3870" s="53">
        <v>1</v>
      </c>
      <c r="L3870" s="53"/>
      <c r="M3870" s="53" t="b">
        <v>1</v>
      </c>
    </row>
    <row r="3871" spans="1:13" x14ac:dyDescent="0.25">
      <c r="B3871" s="13" t="s">
        <v>119</v>
      </c>
      <c r="D3871" s="13">
        <v>6162</v>
      </c>
      <c r="E3871" s="132" t="str">
        <f>INDEX([1]道具配置表!$D:$D,MATCH(D3871,[1]道具配置表!$A:$A,0))</f>
        <v>10分钟训练加速</v>
      </c>
      <c r="F3871" s="13">
        <v>32</v>
      </c>
      <c r="K3871" s="53">
        <v>1</v>
      </c>
      <c r="L3871" s="53"/>
      <c r="M3871" s="53" t="b">
        <v>1</v>
      </c>
    </row>
    <row r="3872" spans="1:13" x14ac:dyDescent="0.25">
      <c r="B3872" s="13" t="s">
        <v>119</v>
      </c>
      <c r="D3872" s="13">
        <v>6182</v>
      </c>
      <c r="E3872" s="132" t="str">
        <f>INDEX([1]道具配置表!$D:$D,MATCH(D3872,[1]道具配置表!$A:$A,0))</f>
        <v>10分钟治疗加速</v>
      </c>
      <c r="F3872" s="13">
        <v>32</v>
      </c>
      <c r="K3872" s="53">
        <v>1</v>
      </c>
      <c r="L3872" s="53"/>
      <c r="M3872" s="53" t="b">
        <v>1</v>
      </c>
    </row>
    <row r="3873" spans="1:13" x14ac:dyDescent="0.25">
      <c r="A3873" s="13">
        <v>6632605</v>
      </c>
      <c r="B3873" s="13" t="s">
        <v>845</v>
      </c>
      <c r="D3873" s="13">
        <v>20000</v>
      </c>
      <c r="E3873" s="132" t="str">
        <f>INDEX([1]道具配置表!$D:$D,MATCH(D3873,[1]道具配置表!$A:$A,0))</f>
        <v>技能点1</v>
      </c>
      <c r="F3873" s="13">
        <v>1530</v>
      </c>
      <c r="K3873" s="53">
        <v>1</v>
      </c>
      <c r="L3873" s="53"/>
      <c r="M3873" s="53" t="b">
        <v>1</v>
      </c>
    </row>
    <row r="3874" spans="1:13" x14ac:dyDescent="0.25">
      <c r="B3874" s="13" t="s">
        <v>119</v>
      </c>
      <c r="D3874" s="13">
        <v>6142</v>
      </c>
      <c r="E3874" s="132" t="str">
        <f>INDEX([1]道具配置表!$D:$D,MATCH(D3874,[1]道具配置表!$A:$A,0))</f>
        <v>10分钟科技加速</v>
      </c>
      <c r="F3874" s="13">
        <v>67</v>
      </c>
      <c r="K3874" s="53">
        <v>1</v>
      </c>
      <c r="L3874" s="53"/>
      <c r="M3874" s="53" t="b">
        <v>1</v>
      </c>
    </row>
    <row r="3875" spans="1:13" x14ac:dyDescent="0.25">
      <c r="B3875" s="13" t="s">
        <v>119</v>
      </c>
      <c r="D3875" s="13">
        <v>6162</v>
      </c>
      <c r="E3875" s="132" t="str">
        <f>INDEX([1]道具配置表!$D:$D,MATCH(D3875,[1]道具配置表!$A:$A,0))</f>
        <v>10分钟训练加速</v>
      </c>
      <c r="F3875" s="13">
        <v>34</v>
      </c>
      <c r="K3875" s="53">
        <v>1</v>
      </c>
      <c r="L3875" s="53"/>
      <c r="M3875" s="53" t="b">
        <v>1</v>
      </c>
    </row>
    <row r="3876" spans="1:13" x14ac:dyDescent="0.25">
      <c r="B3876" s="13" t="s">
        <v>119</v>
      </c>
      <c r="D3876" s="13">
        <v>6182</v>
      </c>
      <c r="E3876" s="132" t="str">
        <f>INDEX([1]道具配置表!$D:$D,MATCH(D3876,[1]道具配置表!$A:$A,0))</f>
        <v>10分钟治疗加速</v>
      </c>
      <c r="F3876" s="13">
        <v>34</v>
      </c>
      <c r="K3876" s="53">
        <v>1</v>
      </c>
      <c r="L3876" s="53"/>
      <c r="M3876" s="53" t="b">
        <v>1</v>
      </c>
    </row>
    <row r="3877" spans="1:13" x14ac:dyDescent="0.25">
      <c r="A3877" s="13">
        <v>6632606</v>
      </c>
      <c r="B3877" s="13" t="s">
        <v>846</v>
      </c>
      <c r="D3877" s="13">
        <v>20000</v>
      </c>
      <c r="E3877" s="132" t="str">
        <f>INDEX([1]道具配置表!$D:$D,MATCH(D3877,[1]道具配置表!$A:$A,0))</f>
        <v>技能点1</v>
      </c>
      <c r="F3877" s="13">
        <v>1700</v>
      </c>
      <c r="K3877" s="53">
        <v>1</v>
      </c>
      <c r="L3877" s="53"/>
      <c r="M3877" s="53" t="b">
        <v>1</v>
      </c>
    </row>
    <row r="3878" spans="1:13" x14ac:dyDescent="0.25">
      <c r="B3878" s="13" t="s">
        <v>119</v>
      </c>
      <c r="D3878" s="13">
        <v>6142</v>
      </c>
      <c r="E3878" s="132" t="str">
        <f>INDEX([1]道具配置表!$D:$D,MATCH(D3878,[1]道具配置表!$A:$A,0))</f>
        <v>10分钟科技加速</v>
      </c>
      <c r="F3878" s="13">
        <v>69</v>
      </c>
      <c r="K3878" s="53">
        <v>1</v>
      </c>
      <c r="L3878" s="53"/>
      <c r="M3878" s="53" t="b">
        <v>1</v>
      </c>
    </row>
    <row r="3879" spans="1:13" x14ac:dyDescent="0.25">
      <c r="B3879" s="13" t="s">
        <v>119</v>
      </c>
      <c r="D3879" s="13">
        <v>6162</v>
      </c>
      <c r="E3879" s="132" t="str">
        <f>INDEX([1]道具配置表!$D:$D,MATCH(D3879,[1]道具配置表!$A:$A,0))</f>
        <v>10分钟训练加速</v>
      </c>
      <c r="F3879" s="13">
        <v>35</v>
      </c>
      <c r="K3879" s="53">
        <v>1</v>
      </c>
      <c r="L3879" s="53"/>
      <c r="M3879" s="53" t="b">
        <v>1</v>
      </c>
    </row>
    <row r="3880" spans="1:13" x14ac:dyDescent="0.25">
      <c r="B3880" s="13" t="s">
        <v>119</v>
      </c>
      <c r="D3880" s="13">
        <v>6182</v>
      </c>
      <c r="E3880" s="132" t="str">
        <f>INDEX([1]道具配置表!$D:$D,MATCH(D3880,[1]道具配置表!$A:$A,0))</f>
        <v>10分钟治疗加速</v>
      </c>
      <c r="F3880" s="13">
        <v>35</v>
      </c>
      <c r="K3880" s="53">
        <v>1</v>
      </c>
      <c r="L3880" s="53"/>
      <c r="M3880" s="53" t="b">
        <v>1</v>
      </c>
    </row>
    <row r="3881" spans="1:13" x14ac:dyDescent="0.25">
      <c r="A3881" s="13">
        <v>6632607</v>
      </c>
      <c r="B3881" s="13" t="s">
        <v>847</v>
      </c>
      <c r="D3881" s="13">
        <v>20000</v>
      </c>
      <c r="E3881" s="132" t="str">
        <f>INDEX([1]道具配置表!$D:$D,MATCH(D3881,[1]道具配置表!$A:$A,0))</f>
        <v>技能点1</v>
      </c>
      <c r="F3881" s="13">
        <v>2040</v>
      </c>
      <c r="K3881" s="53">
        <v>1</v>
      </c>
      <c r="L3881" s="53"/>
      <c r="M3881" s="53" t="b">
        <v>1</v>
      </c>
    </row>
    <row r="3882" spans="1:13" x14ac:dyDescent="0.25">
      <c r="B3882" s="13" t="s">
        <v>119</v>
      </c>
      <c r="D3882" s="13">
        <v>6142</v>
      </c>
      <c r="E3882" s="132" t="str">
        <f>INDEX([1]道具配置表!$D:$D,MATCH(D3882,[1]道具配置表!$A:$A,0))</f>
        <v>10分钟科技加速</v>
      </c>
      <c r="F3882" s="13">
        <v>72</v>
      </c>
      <c r="K3882" s="53">
        <v>1</v>
      </c>
      <c r="L3882" s="53"/>
      <c r="M3882" s="53" t="b">
        <v>1</v>
      </c>
    </row>
    <row r="3883" spans="1:13" x14ac:dyDescent="0.25">
      <c r="B3883" s="13" t="s">
        <v>119</v>
      </c>
      <c r="D3883" s="13">
        <v>6162</v>
      </c>
      <c r="E3883" s="132" t="str">
        <f>INDEX([1]道具配置表!$D:$D,MATCH(D3883,[1]道具配置表!$A:$A,0))</f>
        <v>10分钟训练加速</v>
      </c>
      <c r="F3883" s="13">
        <v>36</v>
      </c>
      <c r="K3883" s="53">
        <v>1</v>
      </c>
      <c r="L3883" s="53"/>
      <c r="M3883" s="53" t="b">
        <v>1</v>
      </c>
    </row>
    <row r="3884" spans="1:13" x14ac:dyDescent="0.25">
      <c r="B3884" s="13" t="s">
        <v>119</v>
      </c>
      <c r="D3884" s="13">
        <v>6182</v>
      </c>
      <c r="E3884" s="132" t="str">
        <f>INDEX([1]道具配置表!$D:$D,MATCH(D3884,[1]道具配置表!$A:$A,0))</f>
        <v>10分钟治疗加速</v>
      </c>
      <c r="F3884" s="13">
        <v>36</v>
      </c>
      <c r="K3884" s="53">
        <v>1</v>
      </c>
      <c r="L3884" s="53"/>
      <c r="M3884" s="53" t="b">
        <v>1</v>
      </c>
    </row>
    <row r="3885" spans="1:13" x14ac:dyDescent="0.25">
      <c r="A3885" s="13">
        <v>6632608</v>
      </c>
      <c r="B3885" s="13" t="s">
        <v>848</v>
      </c>
      <c r="D3885" s="13">
        <v>20000</v>
      </c>
      <c r="E3885" s="132" t="str">
        <f>INDEX([1]道具配置表!$D:$D,MATCH(D3885,[1]道具配置表!$A:$A,0))</f>
        <v>技能点1</v>
      </c>
      <c r="F3885" s="13">
        <v>2380</v>
      </c>
      <c r="K3885" s="53">
        <v>1</v>
      </c>
      <c r="L3885" s="53"/>
      <c r="M3885" s="53" t="b">
        <v>1</v>
      </c>
    </row>
    <row r="3886" spans="1:13" x14ac:dyDescent="0.25">
      <c r="B3886" s="13" t="s">
        <v>119</v>
      </c>
      <c r="D3886" s="13">
        <v>6142</v>
      </c>
      <c r="E3886" s="132" t="str">
        <f>INDEX([1]道具配置表!$D:$D,MATCH(D3886,[1]道具配置表!$A:$A,0))</f>
        <v>10分钟科技加速</v>
      </c>
      <c r="F3886" s="13">
        <v>74</v>
      </c>
      <c r="K3886" s="53">
        <v>1</v>
      </c>
      <c r="L3886" s="53"/>
      <c r="M3886" s="53" t="b">
        <v>1</v>
      </c>
    </row>
    <row r="3887" spans="1:13" x14ac:dyDescent="0.25">
      <c r="B3887" s="13" t="s">
        <v>119</v>
      </c>
      <c r="D3887" s="13">
        <v>6162</v>
      </c>
      <c r="E3887" s="132" t="str">
        <f>INDEX([1]道具配置表!$D:$D,MATCH(D3887,[1]道具配置表!$A:$A,0))</f>
        <v>10分钟训练加速</v>
      </c>
      <c r="F3887" s="13">
        <v>37</v>
      </c>
      <c r="K3887" s="53">
        <v>1</v>
      </c>
      <c r="L3887" s="53"/>
      <c r="M3887" s="53" t="b">
        <v>1</v>
      </c>
    </row>
    <row r="3888" spans="1:13" x14ac:dyDescent="0.25">
      <c r="B3888" s="13" t="s">
        <v>119</v>
      </c>
      <c r="D3888" s="13">
        <v>6182</v>
      </c>
      <c r="E3888" s="132" t="str">
        <f>INDEX([1]道具配置表!$D:$D,MATCH(D3888,[1]道具配置表!$A:$A,0))</f>
        <v>10分钟治疗加速</v>
      </c>
      <c r="F3888" s="13">
        <v>37</v>
      </c>
      <c r="K3888" s="53">
        <v>1</v>
      </c>
      <c r="L3888" s="53"/>
      <c r="M3888" s="53" t="b">
        <v>1</v>
      </c>
    </row>
    <row r="3889" spans="1:13" x14ac:dyDescent="0.25">
      <c r="A3889" s="13">
        <v>6632609</v>
      </c>
      <c r="B3889" s="13" t="s">
        <v>849</v>
      </c>
      <c r="D3889" s="13">
        <v>20000</v>
      </c>
      <c r="E3889" s="132" t="str">
        <f>INDEX([1]道具配置表!$D:$D,MATCH(D3889,[1]道具配置表!$A:$A,0))</f>
        <v>技能点1</v>
      </c>
      <c r="F3889" s="13">
        <v>2720</v>
      </c>
      <c r="K3889" s="53">
        <v>1</v>
      </c>
      <c r="L3889" s="53"/>
      <c r="M3889" s="53" t="b">
        <v>1</v>
      </c>
    </row>
    <row r="3890" spans="1:13" x14ac:dyDescent="0.25">
      <c r="B3890" s="13" t="s">
        <v>119</v>
      </c>
      <c r="D3890" s="13">
        <v>6142</v>
      </c>
      <c r="E3890" s="132" t="str">
        <f>INDEX([1]道具配置表!$D:$D,MATCH(D3890,[1]道具配置表!$A:$A,0))</f>
        <v>10分钟科技加速</v>
      </c>
      <c r="F3890" s="13">
        <v>76</v>
      </c>
      <c r="K3890" s="53">
        <v>1</v>
      </c>
      <c r="L3890" s="53"/>
      <c r="M3890" s="53" t="b">
        <v>1</v>
      </c>
    </row>
    <row r="3891" spans="1:13" x14ac:dyDescent="0.25">
      <c r="B3891" s="13" t="s">
        <v>119</v>
      </c>
      <c r="D3891" s="13">
        <v>6162</v>
      </c>
      <c r="E3891" s="132" t="str">
        <f>INDEX([1]道具配置表!$D:$D,MATCH(D3891,[1]道具配置表!$A:$A,0))</f>
        <v>10分钟训练加速</v>
      </c>
      <c r="F3891" s="13">
        <v>38</v>
      </c>
      <c r="K3891" s="53">
        <v>1</v>
      </c>
      <c r="L3891" s="53"/>
      <c r="M3891" s="53" t="b">
        <v>1</v>
      </c>
    </row>
    <row r="3892" spans="1:13" x14ac:dyDescent="0.25">
      <c r="B3892" s="13" t="s">
        <v>119</v>
      </c>
      <c r="D3892" s="13">
        <v>6182</v>
      </c>
      <c r="E3892" s="132" t="str">
        <f>INDEX([1]道具配置表!$D:$D,MATCH(D3892,[1]道具配置表!$A:$A,0))</f>
        <v>10分钟治疗加速</v>
      </c>
      <c r="F3892" s="13">
        <v>38</v>
      </c>
      <c r="K3892" s="53">
        <v>1</v>
      </c>
      <c r="L3892" s="53"/>
      <c r="M3892" s="53" t="b">
        <v>1</v>
      </c>
    </row>
    <row r="3893" spans="1:13" x14ac:dyDescent="0.25">
      <c r="A3893" s="13">
        <v>6632610</v>
      </c>
      <c r="B3893" s="13" t="s">
        <v>850</v>
      </c>
      <c r="D3893" s="13">
        <v>20000</v>
      </c>
      <c r="E3893" s="132" t="str">
        <f>INDEX([1]道具配置表!$D:$D,MATCH(D3893,[1]道具配置表!$A:$A,0))</f>
        <v>技能点1</v>
      </c>
      <c r="F3893" s="13">
        <v>3060</v>
      </c>
      <c r="K3893" s="53">
        <v>1</v>
      </c>
      <c r="L3893" s="53"/>
      <c r="M3893" s="53" t="b">
        <v>1</v>
      </c>
    </row>
    <row r="3894" spans="1:13" x14ac:dyDescent="0.25">
      <c r="B3894" s="13" t="s">
        <v>119</v>
      </c>
      <c r="D3894" s="13">
        <v>6142</v>
      </c>
      <c r="E3894" s="132" t="str">
        <f>INDEX([1]道具配置表!$D:$D,MATCH(D3894,[1]道具配置表!$A:$A,0))</f>
        <v>10分钟科技加速</v>
      </c>
      <c r="F3894" s="13">
        <v>78</v>
      </c>
      <c r="K3894" s="53">
        <v>1</v>
      </c>
      <c r="L3894" s="53"/>
      <c r="M3894" s="53" t="b">
        <v>1</v>
      </c>
    </row>
    <row r="3895" spans="1:13" x14ac:dyDescent="0.25">
      <c r="B3895" s="13" t="s">
        <v>119</v>
      </c>
      <c r="D3895" s="13">
        <v>6162</v>
      </c>
      <c r="E3895" s="132" t="str">
        <f>INDEX([1]道具配置表!$D:$D,MATCH(D3895,[1]道具配置表!$A:$A,0))</f>
        <v>10分钟训练加速</v>
      </c>
      <c r="F3895" s="13">
        <v>39</v>
      </c>
      <c r="K3895" s="53">
        <v>1</v>
      </c>
      <c r="L3895" s="53"/>
      <c r="M3895" s="53" t="b">
        <v>1</v>
      </c>
    </row>
    <row r="3896" spans="1:13" x14ac:dyDescent="0.25">
      <c r="B3896" s="13" t="s">
        <v>119</v>
      </c>
      <c r="D3896" s="13">
        <v>6182</v>
      </c>
      <c r="E3896" s="132" t="str">
        <f>INDEX([1]道具配置表!$D:$D,MATCH(D3896,[1]道具配置表!$A:$A,0))</f>
        <v>10分钟治疗加速</v>
      </c>
      <c r="F3896" s="13">
        <v>39</v>
      </c>
      <c r="K3896" s="53">
        <v>1</v>
      </c>
      <c r="L3896" s="53"/>
      <c r="M3896" s="53" t="b">
        <v>1</v>
      </c>
    </row>
    <row r="3897" spans="1:13" x14ac:dyDescent="0.25">
      <c r="A3897" s="13">
        <v>6632611</v>
      </c>
      <c r="B3897" s="13" t="s">
        <v>851</v>
      </c>
      <c r="D3897" s="13">
        <v>20000</v>
      </c>
      <c r="E3897" s="132" t="str">
        <f>INDEX([1]道具配置表!$D:$D,MATCH(D3897,[1]道具配置表!$A:$A,0))</f>
        <v>技能点1</v>
      </c>
      <c r="F3897" s="13">
        <v>3400</v>
      </c>
      <c r="K3897" s="53">
        <v>1</v>
      </c>
      <c r="L3897" s="53"/>
      <c r="M3897" s="53" t="b">
        <v>1</v>
      </c>
    </row>
    <row r="3898" spans="1:13" x14ac:dyDescent="0.25">
      <c r="B3898" s="13" t="s">
        <v>119</v>
      </c>
      <c r="D3898" s="13">
        <v>6142</v>
      </c>
      <c r="E3898" s="132" t="str">
        <f>INDEX([1]道具配置表!$D:$D,MATCH(D3898,[1]道具配置表!$A:$A,0))</f>
        <v>10分钟科技加速</v>
      </c>
      <c r="F3898" s="13">
        <v>80</v>
      </c>
      <c r="K3898" s="53">
        <v>1</v>
      </c>
      <c r="L3898" s="53"/>
      <c r="M3898" s="53" t="b">
        <v>1</v>
      </c>
    </row>
    <row r="3899" spans="1:13" x14ac:dyDescent="0.25">
      <c r="B3899" s="13" t="s">
        <v>119</v>
      </c>
      <c r="D3899" s="13">
        <v>6162</v>
      </c>
      <c r="E3899" s="132" t="str">
        <f>INDEX([1]道具配置表!$D:$D,MATCH(D3899,[1]道具配置表!$A:$A,0))</f>
        <v>10分钟训练加速</v>
      </c>
      <c r="F3899" s="13">
        <v>40</v>
      </c>
      <c r="K3899" s="53">
        <v>1</v>
      </c>
      <c r="L3899" s="53"/>
      <c r="M3899" s="53" t="b">
        <v>1</v>
      </c>
    </row>
    <row r="3900" spans="1:13" x14ac:dyDescent="0.25">
      <c r="B3900" s="13" t="s">
        <v>119</v>
      </c>
      <c r="D3900" s="13">
        <v>6182</v>
      </c>
      <c r="E3900" s="132" t="str">
        <f>INDEX([1]道具配置表!$D:$D,MATCH(D3900,[1]道具配置表!$A:$A,0))</f>
        <v>10分钟治疗加速</v>
      </c>
      <c r="F3900" s="13">
        <v>40</v>
      </c>
      <c r="K3900" s="53">
        <v>1</v>
      </c>
      <c r="L3900" s="53"/>
      <c r="M3900" s="53" t="b">
        <v>1</v>
      </c>
    </row>
    <row r="3901" spans="1:13" x14ac:dyDescent="0.25">
      <c r="A3901" s="13">
        <v>6633001</v>
      </c>
      <c r="B3901" s="13" t="s">
        <v>1095</v>
      </c>
      <c r="D3901" s="13">
        <v>6142</v>
      </c>
      <c r="E3901" s="132" t="str">
        <f>INDEX([1]道具配置表!$D:$D,MATCH(D3901,[1]道具配置表!$A:$A,0))</f>
        <v>10分钟科技加速</v>
      </c>
      <c r="F3901" s="13">
        <v>2</v>
      </c>
      <c r="K3901" s="53">
        <v>1</v>
      </c>
      <c r="L3901" s="53"/>
      <c r="M3901" s="53" t="b">
        <v>1</v>
      </c>
    </row>
    <row r="3902" spans="1:13" x14ac:dyDescent="0.25">
      <c r="D3902" s="13">
        <v>6162</v>
      </c>
      <c r="E3902" s="132" t="str">
        <f>INDEX([1]道具配置表!$D:$D,MATCH(D3902,[1]道具配置表!$A:$A,0))</f>
        <v>10分钟训练加速</v>
      </c>
      <c r="F3902" s="13">
        <v>1</v>
      </c>
      <c r="K3902" s="53">
        <v>1</v>
      </c>
      <c r="L3902" s="53"/>
      <c r="M3902" s="53" t="b">
        <v>1</v>
      </c>
    </row>
    <row r="3903" spans="1:13" x14ac:dyDescent="0.25">
      <c r="D3903" s="13">
        <v>232</v>
      </c>
      <c r="E3903" s="132" t="str">
        <f>INDEX([1]道具配置表!$D:$D,MATCH(D3903,[1]道具配置表!$A:$A,0))</f>
        <v>1万食物</v>
      </c>
      <c r="F3903" s="13">
        <v>4</v>
      </c>
      <c r="K3903" s="53">
        <v>1</v>
      </c>
      <c r="L3903" s="53"/>
      <c r="M3903" s="53" t="b">
        <v>1</v>
      </c>
    </row>
    <row r="3904" spans="1:13" x14ac:dyDescent="0.25">
      <c r="D3904" s="13">
        <v>231</v>
      </c>
      <c r="E3904" s="132" t="str">
        <f>INDEX([1]道具配置表!$D:$D,MATCH(D3904,[1]道具配置表!$A:$A,0))</f>
        <v>1万木材</v>
      </c>
      <c r="F3904" s="13">
        <v>4</v>
      </c>
      <c r="K3904" s="53">
        <v>1</v>
      </c>
      <c r="L3904" s="53"/>
      <c r="M3904" s="53" t="b">
        <v>1</v>
      </c>
    </row>
    <row r="3905" spans="1:13" x14ac:dyDescent="0.25">
      <c r="D3905" s="13">
        <v>233</v>
      </c>
      <c r="E3905" s="132" t="str">
        <f>INDEX([1]道具配置表!$D:$D,MATCH(D3905,[1]道具配置表!$A:$A,0))</f>
        <v>1万石头</v>
      </c>
      <c r="F3905" s="13">
        <v>4</v>
      </c>
      <c r="K3905" s="53">
        <v>1</v>
      </c>
      <c r="L3905" s="53"/>
      <c r="M3905" s="53" t="b">
        <v>1</v>
      </c>
    </row>
    <row r="3906" spans="1:13" x14ac:dyDescent="0.25">
      <c r="D3906" s="13">
        <v>234</v>
      </c>
      <c r="E3906" s="132" t="str">
        <f>INDEX([1]道具配置表!$D:$D,MATCH(D3906,[1]道具配置表!$A:$A,0))</f>
        <v>1万黄金</v>
      </c>
      <c r="F3906" s="13">
        <v>4</v>
      </c>
      <c r="K3906" s="53">
        <v>1</v>
      </c>
      <c r="L3906" s="53"/>
      <c r="M3906" s="53" t="b">
        <v>1</v>
      </c>
    </row>
    <row r="3907" spans="1:13" x14ac:dyDescent="0.25">
      <c r="A3907" s="13">
        <v>6633002</v>
      </c>
      <c r="B3907" s="13" t="s">
        <v>1096</v>
      </c>
      <c r="D3907" s="13">
        <v>6142</v>
      </c>
      <c r="E3907" s="132" t="str">
        <f>INDEX([1]道具配置表!$D:$D,MATCH(D3907,[1]道具配置表!$A:$A,0))</f>
        <v>10分钟科技加速</v>
      </c>
      <c r="F3907" s="13">
        <v>4</v>
      </c>
      <c r="K3907" s="53">
        <v>1</v>
      </c>
      <c r="L3907" s="53"/>
      <c r="M3907" s="53" t="b">
        <v>1</v>
      </c>
    </row>
    <row r="3908" spans="1:13" x14ac:dyDescent="0.25">
      <c r="D3908" s="13">
        <v>6162</v>
      </c>
      <c r="E3908" s="132" t="str">
        <f>INDEX([1]道具配置表!$D:$D,MATCH(D3908,[1]道具配置表!$A:$A,0))</f>
        <v>10分钟训练加速</v>
      </c>
      <c r="F3908" s="13">
        <v>2</v>
      </c>
      <c r="K3908" s="53">
        <v>1</v>
      </c>
      <c r="L3908" s="53"/>
      <c r="M3908" s="53" t="b">
        <v>1</v>
      </c>
    </row>
    <row r="3909" spans="1:13" x14ac:dyDescent="0.25">
      <c r="D3909" s="13">
        <v>232</v>
      </c>
      <c r="E3909" s="132" t="str">
        <f>INDEX([1]道具配置表!$D:$D,MATCH(D3909,[1]道具配置表!$A:$A,0))</f>
        <v>1万食物</v>
      </c>
      <c r="F3909" s="13">
        <v>5</v>
      </c>
      <c r="K3909" s="53">
        <v>1</v>
      </c>
      <c r="L3909" s="53"/>
      <c r="M3909" s="53" t="b">
        <v>1</v>
      </c>
    </row>
    <row r="3910" spans="1:13" x14ac:dyDescent="0.25">
      <c r="D3910" s="13">
        <v>231</v>
      </c>
      <c r="E3910" s="132" t="str">
        <f>INDEX([1]道具配置表!$D:$D,MATCH(D3910,[1]道具配置表!$A:$A,0))</f>
        <v>1万木材</v>
      </c>
      <c r="F3910" s="13">
        <v>5</v>
      </c>
      <c r="K3910" s="53">
        <v>1</v>
      </c>
      <c r="L3910" s="53"/>
      <c r="M3910" s="53" t="b">
        <v>1</v>
      </c>
    </row>
    <row r="3911" spans="1:13" x14ac:dyDescent="0.25">
      <c r="D3911" s="13">
        <v>233</v>
      </c>
      <c r="E3911" s="132" t="str">
        <f>INDEX([1]道具配置表!$D:$D,MATCH(D3911,[1]道具配置表!$A:$A,0))</f>
        <v>1万石头</v>
      </c>
      <c r="F3911" s="13">
        <v>5</v>
      </c>
      <c r="K3911" s="53">
        <v>1</v>
      </c>
      <c r="L3911" s="53"/>
      <c r="M3911" s="53" t="b">
        <v>1</v>
      </c>
    </row>
    <row r="3912" spans="1:13" x14ac:dyDescent="0.25">
      <c r="D3912" s="13">
        <v>234</v>
      </c>
      <c r="E3912" s="132" t="str">
        <f>INDEX([1]道具配置表!$D:$D,MATCH(D3912,[1]道具配置表!$A:$A,0))</f>
        <v>1万黄金</v>
      </c>
      <c r="F3912" s="13">
        <v>5</v>
      </c>
      <c r="K3912" s="53">
        <v>1</v>
      </c>
      <c r="L3912" s="53"/>
      <c r="M3912" s="53" t="b">
        <v>1</v>
      </c>
    </row>
    <row r="3913" spans="1:13" x14ac:dyDescent="0.25">
      <c r="A3913" s="13">
        <v>6633003</v>
      </c>
      <c r="B3913" s="13" t="s">
        <v>1097</v>
      </c>
      <c r="D3913" s="13">
        <v>6142</v>
      </c>
      <c r="E3913" s="132" t="str">
        <f>INDEX([1]道具配置表!$D:$D,MATCH(D3913,[1]道具配置表!$A:$A,0))</f>
        <v>10分钟科技加速</v>
      </c>
      <c r="F3913" s="13">
        <v>6</v>
      </c>
      <c r="K3913" s="53">
        <v>1</v>
      </c>
      <c r="L3913" s="53"/>
      <c r="M3913" s="53" t="b">
        <v>1</v>
      </c>
    </row>
    <row r="3914" spans="1:13" x14ac:dyDescent="0.25">
      <c r="D3914" s="13">
        <v>6162</v>
      </c>
      <c r="E3914" s="132" t="str">
        <f>INDEX([1]道具配置表!$D:$D,MATCH(D3914,[1]道具配置表!$A:$A,0))</f>
        <v>10分钟训练加速</v>
      </c>
      <c r="F3914" s="13">
        <v>3</v>
      </c>
      <c r="K3914" s="53">
        <v>1</v>
      </c>
      <c r="L3914" s="53"/>
      <c r="M3914" s="53" t="b">
        <v>1</v>
      </c>
    </row>
    <row r="3915" spans="1:13" x14ac:dyDescent="0.25">
      <c r="D3915" s="13">
        <v>232</v>
      </c>
      <c r="E3915" s="132" t="str">
        <f>INDEX([1]道具配置表!$D:$D,MATCH(D3915,[1]道具配置表!$A:$A,0))</f>
        <v>1万食物</v>
      </c>
      <c r="F3915" s="13">
        <v>6</v>
      </c>
      <c r="K3915" s="53">
        <v>1</v>
      </c>
      <c r="L3915" s="53"/>
      <c r="M3915" s="53" t="b">
        <v>1</v>
      </c>
    </row>
    <row r="3916" spans="1:13" x14ac:dyDescent="0.25">
      <c r="D3916" s="13">
        <v>231</v>
      </c>
      <c r="E3916" s="132" t="str">
        <f>INDEX([1]道具配置表!$D:$D,MATCH(D3916,[1]道具配置表!$A:$A,0))</f>
        <v>1万木材</v>
      </c>
      <c r="F3916" s="13">
        <v>6</v>
      </c>
      <c r="K3916" s="53">
        <v>1</v>
      </c>
      <c r="L3916" s="53"/>
      <c r="M3916" s="53" t="b">
        <v>1</v>
      </c>
    </row>
    <row r="3917" spans="1:13" x14ac:dyDescent="0.25">
      <c r="D3917" s="13">
        <v>233</v>
      </c>
      <c r="E3917" s="132" t="str">
        <f>INDEX([1]道具配置表!$D:$D,MATCH(D3917,[1]道具配置表!$A:$A,0))</f>
        <v>1万石头</v>
      </c>
      <c r="F3917" s="13">
        <v>6</v>
      </c>
      <c r="K3917" s="53">
        <v>1</v>
      </c>
      <c r="L3917" s="53"/>
      <c r="M3917" s="53" t="b">
        <v>1</v>
      </c>
    </row>
    <row r="3918" spans="1:13" x14ac:dyDescent="0.25">
      <c r="D3918" s="13">
        <v>234</v>
      </c>
      <c r="E3918" s="132" t="str">
        <f>INDEX([1]道具配置表!$D:$D,MATCH(D3918,[1]道具配置表!$A:$A,0))</f>
        <v>1万黄金</v>
      </c>
      <c r="F3918" s="13">
        <v>6</v>
      </c>
      <c r="K3918" s="53">
        <v>1</v>
      </c>
      <c r="L3918" s="53"/>
      <c r="M3918" s="53" t="b">
        <v>1</v>
      </c>
    </row>
    <row r="3919" spans="1:13" x14ac:dyDescent="0.25">
      <c r="A3919" s="13">
        <v>6633004</v>
      </c>
      <c r="B3919" s="13" t="s">
        <v>1098</v>
      </c>
      <c r="D3919" s="13">
        <v>6142</v>
      </c>
      <c r="E3919" s="132" t="str">
        <f>INDEX([1]道具配置表!$D:$D,MATCH(D3919,[1]道具配置表!$A:$A,0))</f>
        <v>10分钟科技加速</v>
      </c>
      <c r="F3919" s="13">
        <v>8</v>
      </c>
      <c r="K3919" s="53">
        <v>1</v>
      </c>
      <c r="L3919" s="53"/>
      <c r="M3919" s="53" t="b">
        <v>1</v>
      </c>
    </row>
    <row r="3920" spans="1:13" x14ac:dyDescent="0.25">
      <c r="D3920" s="13">
        <v>6162</v>
      </c>
      <c r="E3920" s="132" t="str">
        <f>INDEX([1]道具配置表!$D:$D,MATCH(D3920,[1]道具配置表!$A:$A,0))</f>
        <v>10分钟训练加速</v>
      </c>
      <c r="F3920" s="13">
        <v>4</v>
      </c>
      <c r="K3920" s="53">
        <v>1</v>
      </c>
      <c r="L3920" s="53"/>
      <c r="M3920" s="53" t="b">
        <v>1</v>
      </c>
    </row>
    <row r="3921" spans="1:13" x14ac:dyDescent="0.25">
      <c r="D3921" s="13">
        <v>232</v>
      </c>
      <c r="E3921" s="132" t="str">
        <f>INDEX([1]道具配置表!$D:$D,MATCH(D3921,[1]道具配置表!$A:$A,0))</f>
        <v>1万食物</v>
      </c>
      <c r="F3921" s="13">
        <v>7</v>
      </c>
      <c r="K3921" s="53">
        <v>1</v>
      </c>
      <c r="L3921" s="53"/>
      <c r="M3921" s="53" t="b">
        <v>1</v>
      </c>
    </row>
    <row r="3922" spans="1:13" x14ac:dyDescent="0.25">
      <c r="D3922" s="13">
        <v>231</v>
      </c>
      <c r="E3922" s="132" t="str">
        <f>INDEX([1]道具配置表!$D:$D,MATCH(D3922,[1]道具配置表!$A:$A,0))</f>
        <v>1万木材</v>
      </c>
      <c r="F3922" s="13">
        <v>7</v>
      </c>
      <c r="K3922" s="53">
        <v>1</v>
      </c>
      <c r="L3922" s="53"/>
      <c r="M3922" s="53" t="b">
        <v>1</v>
      </c>
    </row>
    <row r="3923" spans="1:13" x14ac:dyDescent="0.25">
      <c r="D3923" s="13">
        <v>233</v>
      </c>
      <c r="E3923" s="132" t="str">
        <f>INDEX([1]道具配置表!$D:$D,MATCH(D3923,[1]道具配置表!$A:$A,0))</f>
        <v>1万石头</v>
      </c>
      <c r="F3923" s="13">
        <v>7</v>
      </c>
      <c r="K3923" s="53">
        <v>1</v>
      </c>
      <c r="L3923" s="53"/>
      <c r="M3923" s="53" t="b">
        <v>1</v>
      </c>
    </row>
    <row r="3924" spans="1:13" x14ac:dyDescent="0.25">
      <c r="D3924" s="13">
        <v>234</v>
      </c>
      <c r="E3924" s="132" t="str">
        <f>INDEX([1]道具配置表!$D:$D,MATCH(D3924,[1]道具配置表!$A:$A,0))</f>
        <v>1万黄金</v>
      </c>
      <c r="F3924" s="13">
        <v>7</v>
      </c>
      <c r="K3924" s="53">
        <v>1</v>
      </c>
      <c r="L3924" s="53"/>
      <c r="M3924" s="53" t="b">
        <v>1</v>
      </c>
    </row>
    <row r="3925" spans="1:13" x14ac:dyDescent="0.25">
      <c r="A3925" s="13">
        <v>6633005</v>
      </c>
      <c r="B3925" s="13" t="s">
        <v>1099</v>
      </c>
      <c r="D3925" s="13">
        <v>6142</v>
      </c>
      <c r="E3925" s="132" t="str">
        <f>INDEX([1]道具配置表!$D:$D,MATCH(D3925,[1]道具配置表!$A:$A,0))</f>
        <v>10分钟科技加速</v>
      </c>
      <c r="F3925" s="13">
        <v>10</v>
      </c>
      <c r="K3925" s="53">
        <v>1</v>
      </c>
      <c r="L3925" s="53"/>
      <c r="M3925" s="53" t="b">
        <v>1</v>
      </c>
    </row>
    <row r="3926" spans="1:13" x14ac:dyDescent="0.25">
      <c r="D3926" s="13">
        <v>6162</v>
      </c>
      <c r="E3926" s="132" t="str">
        <f>INDEX([1]道具配置表!$D:$D,MATCH(D3926,[1]道具配置表!$A:$A,0))</f>
        <v>10分钟训练加速</v>
      </c>
      <c r="F3926" s="13">
        <v>5</v>
      </c>
      <c r="K3926" s="53">
        <v>1</v>
      </c>
      <c r="L3926" s="53"/>
      <c r="M3926" s="53" t="b">
        <v>1</v>
      </c>
    </row>
    <row r="3927" spans="1:13" x14ac:dyDescent="0.25">
      <c r="D3927" s="13">
        <v>232</v>
      </c>
      <c r="E3927" s="132" t="str">
        <f>INDEX([1]道具配置表!$D:$D,MATCH(D3927,[1]道具配置表!$A:$A,0))</f>
        <v>1万食物</v>
      </c>
      <c r="F3927" s="13">
        <v>8</v>
      </c>
      <c r="K3927" s="53">
        <v>1</v>
      </c>
      <c r="L3927" s="53"/>
      <c r="M3927" s="53" t="b">
        <v>1</v>
      </c>
    </row>
    <row r="3928" spans="1:13" x14ac:dyDescent="0.25">
      <c r="D3928" s="13">
        <v>231</v>
      </c>
      <c r="E3928" s="132" t="str">
        <f>INDEX([1]道具配置表!$D:$D,MATCH(D3928,[1]道具配置表!$A:$A,0))</f>
        <v>1万木材</v>
      </c>
      <c r="F3928" s="13">
        <v>8</v>
      </c>
      <c r="K3928" s="53">
        <v>1</v>
      </c>
      <c r="L3928" s="53"/>
      <c r="M3928" s="53" t="b">
        <v>1</v>
      </c>
    </row>
    <row r="3929" spans="1:13" x14ac:dyDescent="0.25">
      <c r="D3929" s="13">
        <v>233</v>
      </c>
      <c r="E3929" s="132" t="str">
        <f>INDEX([1]道具配置表!$D:$D,MATCH(D3929,[1]道具配置表!$A:$A,0))</f>
        <v>1万石头</v>
      </c>
      <c r="F3929" s="13">
        <v>8</v>
      </c>
      <c r="K3929" s="53">
        <v>1</v>
      </c>
      <c r="L3929" s="53"/>
      <c r="M3929" s="53" t="b">
        <v>1</v>
      </c>
    </row>
    <row r="3930" spans="1:13" x14ac:dyDescent="0.25">
      <c r="D3930" s="13">
        <v>234</v>
      </c>
      <c r="E3930" s="132" t="str">
        <f>INDEX([1]道具配置表!$D:$D,MATCH(D3930,[1]道具配置表!$A:$A,0))</f>
        <v>1万黄金</v>
      </c>
      <c r="F3930" s="13">
        <v>8</v>
      </c>
      <c r="K3930" s="53">
        <v>1</v>
      </c>
      <c r="L3930" s="53"/>
      <c r="M3930" s="53" t="b">
        <v>1</v>
      </c>
    </row>
    <row r="3931" spans="1:13" x14ac:dyDescent="0.25">
      <c r="A3931" s="13">
        <v>6633006</v>
      </c>
      <c r="B3931" s="13" t="s">
        <v>1100</v>
      </c>
      <c r="D3931" s="13">
        <v>6142</v>
      </c>
      <c r="E3931" s="132" t="str">
        <f>INDEX([1]道具配置表!$D:$D,MATCH(D3931,[1]道具配置表!$A:$A,0))</f>
        <v>10分钟科技加速</v>
      </c>
      <c r="F3931" s="13">
        <v>12</v>
      </c>
      <c r="K3931" s="53">
        <v>1</v>
      </c>
      <c r="L3931" s="53"/>
      <c r="M3931" s="53" t="b">
        <v>1</v>
      </c>
    </row>
    <row r="3932" spans="1:13" x14ac:dyDescent="0.25">
      <c r="D3932" s="13">
        <v>6162</v>
      </c>
      <c r="E3932" s="132" t="str">
        <f>INDEX([1]道具配置表!$D:$D,MATCH(D3932,[1]道具配置表!$A:$A,0))</f>
        <v>10分钟训练加速</v>
      </c>
      <c r="F3932" s="13">
        <v>6</v>
      </c>
      <c r="K3932" s="53">
        <v>1</v>
      </c>
      <c r="L3932" s="53"/>
      <c r="M3932" s="53" t="b">
        <v>1</v>
      </c>
    </row>
    <row r="3933" spans="1:13" x14ac:dyDescent="0.25">
      <c r="D3933" s="13">
        <v>232</v>
      </c>
      <c r="E3933" s="132" t="str">
        <f>INDEX([1]道具配置表!$D:$D,MATCH(D3933,[1]道具配置表!$A:$A,0))</f>
        <v>1万食物</v>
      </c>
      <c r="F3933" s="13">
        <v>9</v>
      </c>
      <c r="K3933" s="53">
        <v>1</v>
      </c>
      <c r="L3933" s="53"/>
      <c r="M3933" s="53" t="b">
        <v>1</v>
      </c>
    </row>
    <row r="3934" spans="1:13" x14ac:dyDescent="0.25">
      <c r="D3934" s="13">
        <v>231</v>
      </c>
      <c r="E3934" s="132" t="str">
        <f>INDEX([1]道具配置表!$D:$D,MATCH(D3934,[1]道具配置表!$A:$A,0))</f>
        <v>1万木材</v>
      </c>
      <c r="F3934" s="13">
        <v>9</v>
      </c>
      <c r="K3934" s="53">
        <v>1</v>
      </c>
      <c r="L3934" s="53"/>
      <c r="M3934" s="53" t="b">
        <v>1</v>
      </c>
    </row>
    <row r="3935" spans="1:13" x14ac:dyDescent="0.25">
      <c r="D3935" s="13">
        <v>233</v>
      </c>
      <c r="E3935" s="132" t="str">
        <f>INDEX([1]道具配置表!$D:$D,MATCH(D3935,[1]道具配置表!$A:$A,0))</f>
        <v>1万石头</v>
      </c>
      <c r="F3935" s="13">
        <v>9</v>
      </c>
      <c r="K3935" s="53">
        <v>1</v>
      </c>
      <c r="L3935" s="53"/>
      <c r="M3935" s="53" t="b">
        <v>1</v>
      </c>
    </row>
    <row r="3936" spans="1:13" x14ac:dyDescent="0.25">
      <c r="D3936" s="13">
        <v>234</v>
      </c>
      <c r="E3936" s="132" t="str">
        <f>INDEX([1]道具配置表!$D:$D,MATCH(D3936,[1]道具配置表!$A:$A,0))</f>
        <v>1万黄金</v>
      </c>
      <c r="F3936" s="13">
        <v>9</v>
      </c>
      <c r="K3936" s="53">
        <v>1</v>
      </c>
      <c r="L3936" s="53"/>
      <c r="M3936" s="53" t="b">
        <v>1</v>
      </c>
    </row>
    <row r="3937" spans="1:13" x14ac:dyDescent="0.25">
      <c r="A3937" s="13">
        <v>6633007</v>
      </c>
      <c r="B3937" s="13" t="s">
        <v>1101</v>
      </c>
      <c r="D3937" s="13">
        <v>6142</v>
      </c>
      <c r="E3937" s="132" t="str">
        <f>INDEX([1]道具配置表!$D:$D,MATCH(D3937,[1]道具配置表!$A:$A,0))</f>
        <v>10分钟科技加速</v>
      </c>
      <c r="F3937" s="13">
        <v>14</v>
      </c>
      <c r="K3937" s="53">
        <v>1</v>
      </c>
      <c r="L3937" s="53"/>
      <c r="M3937" s="53" t="b">
        <v>1</v>
      </c>
    </row>
    <row r="3938" spans="1:13" x14ac:dyDescent="0.25">
      <c r="D3938" s="13">
        <v>6162</v>
      </c>
      <c r="E3938" s="132" t="str">
        <f>INDEX([1]道具配置表!$D:$D,MATCH(D3938,[1]道具配置表!$A:$A,0))</f>
        <v>10分钟训练加速</v>
      </c>
      <c r="F3938" s="13">
        <v>7</v>
      </c>
      <c r="K3938" s="53">
        <v>1</v>
      </c>
      <c r="L3938" s="53"/>
      <c r="M3938" s="53" t="b">
        <v>1</v>
      </c>
    </row>
    <row r="3939" spans="1:13" x14ac:dyDescent="0.25">
      <c r="D3939" s="13">
        <v>232</v>
      </c>
      <c r="E3939" s="132" t="str">
        <f>INDEX([1]道具配置表!$D:$D,MATCH(D3939,[1]道具配置表!$A:$A,0))</f>
        <v>1万食物</v>
      </c>
      <c r="F3939" s="13">
        <v>10</v>
      </c>
      <c r="K3939" s="53">
        <v>1</v>
      </c>
      <c r="L3939" s="53"/>
      <c r="M3939" s="53" t="b">
        <v>1</v>
      </c>
    </row>
    <row r="3940" spans="1:13" x14ac:dyDescent="0.25">
      <c r="D3940" s="13">
        <v>231</v>
      </c>
      <c r="E3940" s="132" t="str">
        <f>INDEX([1]道具配置表!$D:$D,MATCH(D3940,[1]道具配置表!$A:$A,0))</f>
        <v>1万木材</v>
      </c>
      <c r="F3940" s="13">
        <v>10</v>
      </c>
      <c r="K3940" s="53">
        <v>1</v>
      </c>
      <c r="L3940" s="53"/>
      <c r="M3940" s="53" t="b">
        <v>1</v>
      </c>
    </row>
    <row r="3941" spans="1:13" x14ac:dyDescent="0.25">
      <c r="D3941" s="13">
        <v>233</v>
      </c>
      <c r="E3941" s="132" t="str">
        <f>INDEX([1]道具配置表!$D:$D,MATCH(D3941,[1]道具配置表!$A:$A,0))</f>
        <v>1万石头</v>
      </c>
      <c r="F3941" s="13">
        <v>10</v>
      </c>
      <c r="K3941" s="53">
        <v>1</v>
      </c>
      <c r="L3941" s="53"/>
      <c r="M3941" s="53" t="b">
        <v>1</v>
      </c>
    </row>
    <row r="3942" spans="1:13" x14ac:dyDescent="0.25">
      <c r="D3942" s="13">
        <v>234</v>
      </c>
      <c r="E3942" s="132" t="str">
        <f>INDEX([1]道具配置表!$D:$D,MATCH(D3942,[1]道具配置表!$A:$A,0))</f>
        <v>1万黄金</v>
      </c>
      <c r="F3942" s="13">
        <v>10</v>
      </c>
      <c r="K3942" s="53">
        <v>1</v>
      </c>
      <c r="L3942" s="53"/>
      <c r="M3942" s="53" t="b">
        <v>1</v>
      </c>
    </row>
    <row r="3943" spans="1:13" x14ac:dyDescent="0.25">
      <c r="A3943" s="13">
        <v>6633008</v>
      </c>
      <c r="B3943" s="13" t="s">
        <v>1102</v>
      </c>
      <c r="D3943" s="13">
        <v>6142</v>
      </c>
      <c r="E3943" s="132" t="str">
        <f>INDEX([1]道具配置表!$D:$D,MATCH(D3943,[1]道具配置表!$A:$A,0))</f>
        <v>10分钟科技加速</v>
      </c>
      <c r="F3943" s="13">
        <v>18</v>
      </c>
      <c r="K3943" s="53">
        <v>1</v>
      </c>
      <c r="L3943" s="53"/>
      <c r="M3943" s="53" t="b">
        <v>1</v>
      </c>
    </row>
    <row r="3944" spans="1:13" x14ac:dyDescent="0.25">
      <c r="D3944" s="13">
        <v>6162</v>
      </c>
      <c r="E3944" s="132" t="str">
        <f>INDEX([1]道具配置表!$D:$D,MATCH(D3944,[1]道具配置表!$A:$A,0))</f>
        <v>10分钟训练加速</v>
      </c>
      <c r="F3944" s="13">
        <v>9</v>
      </c>
      <c r="K3944" s="53">
        <v>1</v>
      </c>
      <c r="L3944" s="53"/>
      <c r="M3944" s="53" t="b">
        <v>1</v>
      </c>
    </row>
    <row r="3945" spans="1:13" x14ac:dyDescent="0.25">
      <c r="D3945" s="13">
        <v>232</v>
      </c>
      <c r="E3945" s="132" t="str">
        <f>INDEX([1]道具配置表!$D:$D,MATCH(D3945,[1]道具配置表!$A:$A,0))</f>
        <v>1万食物</v>
      </c>
      <c r="F3945" s="13">
        <v>12</v>
      </c>
      <c r="K3945" s="53">
        <v>1</v>
      </c>
      <c r="L3945" s="53"/>
      <c r="M3945" s="53" t="b">
        <v>1</v>
      </c>
    </row>
    <row r="3946" spans="1:13" x14ac:dyDescent="0.25">
      <c r="D3946" s="13">
        <v>231</v>
      </c>
      <c r="E3946" s="132" t="str">
        <f>INDEX([1]道具配置表!$D:$D,MATCH(D3946,[1]道具配置表!$A:$A,0))</f>
        <v>1万木材</v>
      </c>
      <c r="F3946" s="13">
        <v>12</v>
      </c>
      <c r="K3946" s="53">
        <v>1</v>
      </c>
      <c r="L3946" s="53"/>
      <c r="M3946" s="53" t="b">
        <v>1</v>
      </c>
    </row>
    <row r="3947" spans="1:13" x14ac:dyDescent="0.25">
      <c r="D3947" s="13">
        <v>233</v>
      </c>
      <c r="E3947" s="132" t="str">
        <f>INDEX([1]道具配置表!$D:$D,MATCH(D3947,[1]道具配置表!$A:$A,0))</f>
        <v>1万石头</v>
      </c>
      <c r="F3947" s="13">
        <v>12</v>
      </c>
      <c r="K3947" s="53">
        <v>1</v>
      </c>
      <c r="L3947" s="53"/>
      <c r="M3947" s="53" t="b">
        <v>1</v>
      </c>
    </row>
    <row r="3948" spans="1:13" x14ac:dyDescent="0.25">
      <c r="D3948" s="13">
        <v>234</v>
      </c>
      <c r="E3948" s="132" t="str">
        <f>INDEX([1]道具配置表!$D:$D,MATCH(D3948,[1]道具配置表!$A:$A,0))</f>
        <v>1万黄金</v>
      </c>
      <c r="F3948" s="13">
        <v>12</v>
      </c>
      <c r="K3948" s="53">
        <v>1</v>
      </c>
      <c r="L3948" s="53"/>
      <c r="M3948" s="53" t="b">
        <v>1</v>
      </c>
    </row>
    <row r="3949" spans="1:13" x14ac:dyDescent="0.25">
      <c r="A3949" s="13">
        <v>6633009</v>
      </c>
      <c r="B3949" s="13" t="s">
        <v>1103</v>
      </c>
      <c r="D3949" s="13">
        <v>6142</v>
      </c>
      <c r="E3949" s="132" t="str">
        <f>INDEX([1]道具配置表!$D:$D,MATCH(D3949,[1]道具配置表!$A:$A,0))</f>
        <v>10分钟科技加速</v>
      </c>
      <c r="F3949" s="13">
        <v>24</v>
      </c>
      <c r="K3949" s="53">
        <v>1</v>
      </c>
      <c r="L3949" s="53"/>
      <c r="M3949" s="53" t="b">
        <v>1</v>
      </c>
    </row>
    <row r="3950" spans="1:13" x14ac:dyDescent="0.25">
      <c r="D3950" s="13">
        <v>6162</v>
      </c>
      <c r="E3950" s="132" t="str">
        <f>INDEX([1]道具配置表!$D:$D,MATCH(D3950,[1]道具配置表!$A:$A,0))</f>
        <v>10分钟训练加速</v>
      </c>
      <c r="F3950" s="13">
        <v>11</v>
      </c>
      <c r="K3950" s="53">
        <v>1</v>
      </c>
      <c r="L3950" s="53"/>
      <c r="M3950" s="53" t="b">
        <v>1</v>
      </c>
    </row>
    <row r="3951" spans="1:13" x14ac:dyDescent="0.25">
      <c r="D3951" s="13">
        <v>232</v>
      </c>
      <c r="E3951" s="132" t="str">
        <f>INDEX([1]道具配置表!$D:$D,MATCH(D3951,[1]道具配置表!$A:$A,0))</f>
        <v>1万食物</v>
      </c>
      <c r="F3951" s="13">
        <v>14</v>
      </c>
      <c r="K3951" s="53">
        <v>1</v>
      </c>
      <c r="L3951" s="53"/>
      <c r="M3951" s="53" t="b">
        <v>1</v>
      </c>
    </row>
    <row r="3952" spans="1:13" x14ac:dyDescent="0.25">
      <c r="D3952" s="13">
        <v>231</v>
      </c>
      <c r="E3952" s="132" t="str">
        <f>INDEX([1]道具配置表!$D:$D,MATCH(D3952,[1]道具配置表!$A:$A,0))</f>
        <v>1万木材</v>
      </c>
      <c r="F3952" s="13">
        <v>14</v>
      </c>
      <c r="K3952" s="53">
        <v>1</v>
      </c>
      <c r="L3952" s="53"/>
      <c r="M3952" s="53" t="b">
        <v>1</v>
      </c>
    </row>
    <row r="3953" spans="1:13" x14ac:dyDescent="0.25">
      <c r="D3953" s="13">
        <v>233</v>
      </c>
      <c r="E3953" s="132" t="str">
        <f>INDEX([1]道具配置表!$D:$D,MATCH(D3953,[1]道具配置表!$A:$A,0))</f>
        <v>1万石头</v>
      </c>
      <c r="F3953" s="13">
        <v>14</v>
      </c>
      <c r="K3953" s="53">
        <v>1</v>
      </c>
      <c r="L3953" s="53"/>
      <c r="M3953" s="53" t="b">
        <v>1</v>
      </c>
    </row>
    <row r="3954" spans="1:13" x14ac:dyDescent="0.25">
      <c r="D3954" s="13">
        <v>234</v>
      </c>
      <c r="E3954" s="132" t="str">
        <f>INDEX([1]道具配置表!$D:$D,MATCH(D3954,[1]道具配置表!$A:$A,0))</f>
        <v>1万黄金</v>
      </c>
      <c r="F3954" s="13">
        <v>14</v>
      </c>
      <c r="K3954" s="53">
        <v>1</v>
      </c>
      <c r="L3954" s="53"/>
      <c r="M3954" s="53" t="b">
        <v>1</v>
      </c>
    </row>
    <row r="3955" spans="1:13" x14ac:dyDescent="0.25">
      <c r="A3955" s="13">
        <v>6633010</v>
      </c>
      <c r="B3955" s="13" t="s">
        <v>1104</v>
      </c>
      <c r="D3955" s="13">
        <v>6142</v>
      </c>
      <c r="E3955" s="132" t="str">
        <f>INDEX([1]道具配置表!$D:$D,MATCH(D3955,[1]道具配置表!$A:$A,0))</f>
        <v>10分钟科技加速</v>
      </c>
      <c r="F3955" s="13">
        <v>28</v>
      </c>
      <c r="K3955" s="53">
        <v>1</v>
      </c>
      <c r="L3955" s="53"/>
      <c r="M3955" s="53" t="b">
        <v>1</v>
      </c>
    </row>
    <row r="3956" spans="1:13" x14ac:dyDescent="0.25">
      <c r="D3956" s="13">
        <v>6162</v>
      </c>
      <c r="E3956" s="132" t="str">
        <f>INDEX([1]道具配置表!$D:$D,MATCH(D3956,[1]道具配置表!$A:$A,0))</f>
        <v>10分钟训练加速</v>
      </c>
      <c r="F3956" s="13">
        <v>13</v>
      </c>
      <c r="K3956" s="53">
        <v>1</v>
      </c>
      <c r="L3956" s="53"/>
      <c r="M3956" s="53" t="b">
        <v>1</v>
      </c>
    </row>
    <row r="3957" spans="1:13" x14ac:dyDescent="0.25">
      <c r="D3957" s="13">
        <v>232</v>
      </c>
      <c r="E3957" s="132" t="str">
        <f>INDEX([1]道具配置表!$D:$D,MATCH(D3957,[1]道具配置表!$A:$A,0))</f>
        <v>1万食物</v>
      </c>
      <c r="F3957" s="13">
        <v>16</v>
      </c>
      <c r="K3957" s="53">
        <v>1</v>
      </c>
      <c r="L3957" s="53"/>
      <c r="M3957" s="53" t="b">
        <v>1</v>
      </c>
    </row>
    <row r="3958" spans="1:13" x14ac:dyDescent="0.25">
      <c r="D3958" s="13">
        <v>231</v>
      </c>
      <c r="E3958" s="132" t="str">
        <f>INDEX([1]道具配置表!$D:$D,MATCH(D3958,[1]道具配置表!$A:$A,0))</f>
        <v>1万木材</v>
      </c>
      <c r="F3958" s="13">
        <v>16</v>
      </c>
      <c r="K3958" s="53">
        <v>1</v>
      </c>
      <c r="L3958" s="53"/>
      <c r="M3958" s="53" t="b">
        <v>1</v>
      </c>
    </row>
    <row r="3959" spans="1:13" x14ac:dyDescent="0.25">
      <c r="D3959" s="13">
        <v>233</v>
      </c>
      <c r="E3959" s="132" t="str">
        <f>INDEX([1]道具配置表!$D:$D,MATCH(D3959,[1]道具配置表!$A:$A,0))</f>
        <v>1万石头</v>
      </c>
      <c r="F3959" s="13">
        <v>16</v>
      </c>
      <c r="K3959" s="53">
        <v>1</v>
      </c>
      <c r="L3959" s="53"/>
      <c r="M3959" s="53" t="b">
        <v>1</v>
      </c>
    </row>
    <row r="3960" spans="1:13" x14ac:dyDescent="0.25">
      <c r="D3960" s="13">
        <v>234</v>
      </c>
      <c r="E3960" s="132" t="str">
        <f>INDEX([1]道具配置表!$D:$D,MATCH(D3960,[1]道具配置表!$A:$A,0))</f>
        <v>1万黄金</v>
      </c>
      <c r="F3960" s="13">
        <v>16</v>
      </c>
      <c r="K3960" s="53">
        <v>1</v>
      </c>
      <c r="L3960" s="53"/>
      <c r="M3960" s="53" t="b">
        <v>1</v>
      </c>
    </row>
    <row r="3961" spans="1:13" x14ac:dyDescent="0.25">
      <c r="A3961" s="13">
        <v>6633011</v>
      </c>
      <c r="B3961" s="13" t="s">
        <v>1105</v>
      </c>
      <c r="D3961" s="13">
        <v>6142</v>
      </c>
      <c r="E3961" s="132" t="str">
        <f>INDEX([1]道具配置表!$D:$D,MATCH(D3961,[1]道具配置表!$A:$A,0))</f>
        <v>10分钟科技加速</v>
      </c>
      <c r="F3961" s="13">
        <v>32</v>
      </c>
      <c r="K3961" s="53">
        <v>1</v>
      </c>
      <c r="L3961" s="53"/>
      <c r="M3961" s="53" t="b">
        <v>1</v>
      </c>
    </row>
    <row r="3962" spans="1:13" x14ac:dyDescent="0.25">
      <c r="D3962" s="13">
        <v>6162</v>
      </c>
      <c r="E3962" s="132" t="str">
        <f>INDEX([1]道具配置表!$D:$D,MATCH(D3962,[1]道具配置表!$A:$A,0))</f>
        <v>10分钟训练加速</v>
      </c>
      <c r="F3962" s="13">
        <v>15</v>
      </c>
      <c r="K3962" s="53">
        <v>1</v>
      </c>
      <c r="L3962" s="53"/>
      <c r="M3962" s="53" t="b">
        <v>1</v>
      </c>
    </row>
    <row r="3963" spans="1:13" x14ac:dyDescent="0.25">
      <c r="D3963" s="13">
        <v>232</v>
      </c>
      <c r="E3963" s="132" t="str">
        <f>INDEX([1]道具配置表!$D:$D,MATCH(D3963,[1]道具配置表!$A:$A,0))</f>
        <v>1万食物</v>
      </c>
      <c r="F3963" s="13">
        <v>18</v>
      </c>
      <c r="K3963" s="53">
        <v>1</v>
      </c>
      <c r="L3963" s="53"/>
      <c r="M3963" s="53" t="b">
        <v>1</v>
      </c>
    </row>
    <row r="3964" spans="1:13" x14ac:dyDescent="0.25">
      <c r="D3964" s="13">
        <v>231</v>
      </c>
      <c r="E3964" s="132" t="str">
        <f>INDEX([1]道具配置表!$D:$D,MATCH(D3964,[1]道具配置表!$A:$A,0))</f>
        <v>1万木材</v>
      </c>
      <c r="F3964" s="13">
        <v>18</v>
      </c>
      <c r="K3964" s="53">
        <v>1</v>
      </c>
      <c r="L3964" s="53"/>
      <c r="M3964" s="53" t="b">
        <v>1</v>
      </c>
    </row>
    <row r="3965" spans="1:13" x14ac:dyDescent="0.25">
      <c r="D3965" s="13">
        <v>233</v>
      </c>
      <c r="E3965" s="132" t="str">
        <f>INDEX([1]道具配置表!$D:$D,MATCH(D3965,[1]道具配置表!$A:$A,0))</f>
        <v>1万石头</v>
      </c>
      <c r="F3965" s="13">
        <v>18</v>
      </c>
      <c r="K3965" s="53">
        <v>1</v>
      </c>
      <c r="L3965" s="53"/>
      <c r="M3965" s="53" t="b">
        <v>1</v>
      </c>
    </row>
    <row r="3966" spans="1:13" x14ac:dyDescent="0.25">
      <c r="D3966" s="13">
        <v>234</v>
      </c>
      <c r="E3966" s="132" t="str">
        <f>INDEX([1]道具配置表!$D:$D,MATCH(D3966,[1]道具配置表!$A:$A,0))</f>
        <v>1万黄金</v>
      </c>
      <c r="F3966" s="13">
        <v>18</v>
      </c>
      <c r="K3966" s="53">
        <v>1</v>
      </c>
      <c r="L3966" s="53"/>
      <c r="M3966" s="53" t="b">
        <v>1</v>
      </c>
    </row>
    <row r="3967" spans="1:13" x14ac:dyDescent="0.25">
      <c r="A3967" s="13">
        <v>6633101</v>
      </c>
      <c r="B3967" s="13" t="s">
        <v>1106</v>
      </c>
      <c r="D3967" s="13">
        <v>6145</v>
      </c>
      <c r="E3967" s="132" t="str">
        <f>INDEX([1]道具配置表!$D:$D,MATCH(D3967,[1]道具配置表!$A:$A,0))</f>
        <v>60分钟科技加速</v>
      </c>
      <c r="F3967" s="13">
        <v>5</v>
      </c>
      <c r="K3967" s="57">
        <v>1</v>
      </c>
      <c r="L3967" s="57"/>
      <c r="M3967" s="57" t="b">
        <v>1</v>
      </c>
    </row>
    <row r="3968" spans="1:13" x14ac:dyDescent="0.25">
      <c r="D3968" s="13">
        <v>6165</v>
      </c>
      <c r="E3968" s="132" t="str">
        <f>INDEX([1]道具配置表!$D:$D,MATCH(D3968,[1]道具配置表!$A:$A,0))</f>
        <v>60分钟训练加速</v>
      </c>
      <c r="F3968" s="13">
        <v>5</v>
      </c>
      <c r="K3968" s="57">
        <v>1</v>
      </c>
      <c r="L3968" s="57"/>
      <c r="M3968" s="57" t="b">
        <v>1</v>
      </c>
    </row>
    <row r="3969" spans="1:13" x14ac:dyDescent="0.25">
      <c r="D3969" s="13">
        <v>504</v>
      </c>
      <c r="E3969" s="132" t="str">
        <f>INDEX([1]道具配置表!$D:$D,MATCH(D3969,[1]道具配置表!$A:$A,0))</f>
        <v>10万资源自选宝箱</v>
      </c>
      <c r="F3969" s="13">
        <v>10</v>
      </c>
      <c r="K3969" s="57">
        <v>1</v>
      </c>
      <c r="L3969" s="57"/>
      <c r="M3969" s="57" t="b">
        <v>1</v>
      </c>
    </row>
    <row r="3970" spans="1:13" x14ac:dyDescent="0.25">
      <c r="A3970" s="13">
        <v>6633102</v>
      </c>
      <c r="B3970" s="13" t="s">
        <v>1107</v>
      </c>
      <c r="D3970" s="13">
        <v>6145</v>
      </c>
      <c r="E3970" s="132" t="str">
        <f>INDEX([1]道具配置表!$D:$D,MATCH(D3970,[1]道具配置表!$A:$A,0))</f>
        <v>60分钟科技加速</v>
      </c>
      <c r="F3970" s="13">
        <v>4</v>
      </c>
      <c r="K3970" s="57">
        <v>1</v>
      </c>
      <c r="L3970" s="57"/>
      <c r="M3970" s="57" t="b">
        <v>1</v>
      </c>
    </row>
    <row r="3971" spans="1:13" x14ac:dyDescent="0.25">
      <c r="D3971" s="13">
        <v>6165</v>
      </c>
      <c r="E3971" s="132" t="str">
        <f>INDEX([1]道具配置表!$D:$D,MATCH(D3971,[1]道具配置表!$A:$A,0))</f>
        <v>60分钟训练加速</v>
      </c>
      <c r="F3971" s="13">
        <v>4</v>
      </c>
      <c r="K3971" s="57">
        <v>1</v>
      </c>
      <c r="L3971" s="57"/>
      <c r="M3971" s="57" t="b">
        <v>1</v>
      </c>
    </row>
    <row r="3972" spans="1:13" x14ac:dyDescent="0.25">
      <c r="D3972" s="13">
        <v>504</v>
      </c>
      <c r="E3972" s="132" t="str">
        <f>INDEX([1]道具配置表!$D:$D,MATCH(D3972,[1]道具配置表!$A:$A,0))</f>
        <v>10万资源自选宝箱</v>
      </c>
      <c r="F3972" s="13">
        <v>8</v>
      </c>
      <c r="K3972" s="57">
        <v>1</v>
      </c>
      <c r="L3972" s="57"/>
      <c r="M3972" s="57" t="b">
        <v>1</v>
      </c>
    </row>
    <row r="3973" spans="1:13" x14ac:dyDescent="0.25">
      <c r="A3973" s="13">
        <v>6633103</v>
      </c>
      <c r="B3973" s="13" t="s">
        <v>1108</v>
      </c>
      <c r="D3973" s="13">
        <v>6145</v>
      </c>
      <c r="E3973" s="132" t="str">
        <f>INDEX([1]道具配置表!$D:$D,MATCH(D3973,[1]道具配置表!$A:$A,0))</f>
        <v>60分钟科技加速</v>
      </c>
      <c r="F3973" s="13">
        <v>3</v>
      </c>
      <c r="K3973" s="57">
        <v>1</v>
      </c>
      <c r="L3973" s="57"/>
      <c r="M3973" s="57" t="b">
        <v>1</v>
      </c>
    </row>
    <row r="3974" spans="1:13" x14ac:dyDescent="0.25">
      <c r="D3974" s="13">
        <v>6165</v>
      </c>
      <c r="E3974" s="132" t="str">
        <f>INDEX([1]道具配置表!$D:$D,MATCH(D3974,[1]道具配置表!$A:$A,0))</f>
        <v>60分钟训练加速</v>
      </c>
      <c r="F3974" s="13">
        <v>3</v>
      </c>
      <c r="K3974" s="57">
        <v>1</v>
      </c>
      <c r="L3974" s="57"/>
      <c r="M3974" s="57" t="b">
        <v>1</v>
      </c>
    </row>
    <row r="3975" spans="1:13" x14ac:dyDescent="0.25">
      <c r="D3975" s="13">
        <v>504</v>
      </c>
      <c r="E3975" s="132" t="str">
        <f>INDEX([1]道具配置表!$D:$D,MATCH(D3975,[1]道具配置表!$A:$A,0))</f>
        <v>10万资源自选宝箱</v>
      </c>
      <c r="F3975" s="13">
        <v>6</v>
      </c>
      <c r="K3975" s="57">
        <v>1</v>
      </c>
      <c r="L3975" s="57"/>
      <c r="M3975" s="57" t="b">
        <v>1</v>
      </c>
    </row>
    <row r="3976" spans="1:13" x14ac:dyDescent="0.25">
      <c r="A3976" s="13">
        <v>6633104</v>
      </c>
      <c r="B3976" s="13" t="s">
        <v>1109</v>
      </c>
      <c r="D3976" s="13">
        <v>6145</v>
      </c>
      <c r="E3976" s="132" t="str">
        <f>INDEX([1]道具配置表!$D:$D,MATCH(D3976,[1]道具配置表!$A:$A,0))</f>
        <v>60分钟科技加速</v>
      </c>
      <c r="F3976" s="13">
        <v>2</v>
      </c>
      <c r="K3976" s="57">
        <v>1</v>
      </c>
      <c r="L3976" s="57"/>
      <c r="M3976" s="57" t="b">
        <v>1</v>
      </c>
    </row>
    <row r="3977" spans="1:13" x14ac:dyDescent="0.25">
      <c r="D3977" s="13">
        <v>6165</v>
      </c>
      <c r="E3977" s="132" t="str">
        <f>INDEX([1]道具配置表!$D:$D,MATCH(D3977,[1]道具配置表!$A:$A,0))</f>
        <v>60分钟训练加速</v>
      </c>
      <c r="F3977" s="13">
        <v>2</v>
      </c>
      <c r="K3977" s="57">
        <v>1</v>
      </c>
      <c r="L3977" s="57"/>
      <c r="M3977" s="57" t="b">
        <v>1</v>
      </c>
    </row>
    <row r="3978" spans="1:13" x14ac:dyDescent="0.25">
      <c r="D3978" s="13">
        <v>504</v>
      </c>
      <c r="E3978" s="132" t="str">
        <f>INDEX([1]道具配置表!$D:$D,MATCH(D3978,[1]道具配置表!$A:$A,0))</f>
        <v>10万资源自选宝箱</v>
      </c>
      <c r="F3978" s="13">
        <v>4</v>
      </c>
      <c r="K3978" s="57">
        <v>1</v>
      </c>
      <c r="L3978" s="57"/>
      <c r="M3978" s="57" t="b">
        <v>1</v>
      </c>
    </row>
    <row r="3979" spans="1:13" x14ac:dyDescent="0.25">
      <c r="A3979" s="13">
        <v>6633105</v>
      </c>
      <c r="B3979" s="13" t="s">
        <v>1110</v>
      </c>
      <c r="D3979" s="13">
        <v>6144</v>
      </c>
      <c r="E3979" s="132" t="str">
        <f>INDEX([1]道具配置表!$D:$D,MATCH(D3979,[1]道具配置表!$A:$A,0))</f>
        <v>30分钟科技加速</v>
      </c>
      <c r="F3979" s="13">
        <v>2</v>
      </c>
      <c r="K3979" s="57">
        <v>1</v>
      </c>
      <c r="L3979" s="57"/>
      <c r="M3979" s="57" t="b">
        <v>1</v>
      </c>
    </row>
    <row r="3980" spans="1:13" x14ac:dyDescent="0.25">
      <c r="D3980" s="13">
        <v>6164</v>
      </c>
      <c r="E3980" s="132" t="str">
        <f>INDEX([1]道具配置表!$D:$D,MATCH(D3980,[1]道具配置表!$A:$A,0))</f>
        <v>30分钟训练加速</v>
      </c>
      <c r="F3980" s="13">
        <v>2</v>
      </c>
      <c r="K3980" s="57">
        <v>1</v>
      </c>
      <c r="L3980" s="57"/>
      <c r="M3980" s="57" t="b">
        <v>1</v>
      </c>
    </row>
    <row r="3981" spans="1:13" x14ac:dyDescent="0.25">
      <c r="D3981" s="13">
        <v>504</v>
      </c>
      <c r="E3981" s="132" t="str">
        <f>INDEX([1]道具配置表!$D:$D,MATCH(D3981,[1]道具配置表!$A:$A,0))</f>
        <v>10万资源自选宝箱</v>
      </c>
      <c r="F3981" s="13">
        <v>3</v>
      </c>
      <c r="K3981" s="57">
        <v>1</v>
      </c>
      <c r="L3981" s="57"/>
      <c r="M3981" s="57" t="b">
        <v>1</v>
      </c>
    </row>
    <row r="3982" spans="1:13" x14ac:dyDescent="0.25">
      <c r="A3982" s="13">
        <v>6633106</v>
      </c>
      <c r="B3982" s="13" t="s">
        <v>1111</v>
      </c>
      <c r="D3982" s="13">
        <v>6142</v>
      </c>
      <c r="E3982" s="132" t="str">
        <f>INDEX([1]道具配置表!$D:$D,MATCH(D3982,[1]道具配置表!$A:$A,0))</f>
        <v>10分钟科技加速</v>
      </c>
      <c r="F3982" s="13">
        <v>4</v>
      </c>
      <c r="K3982" s="57">
        <v>1</v>
      </c>
      <c r="L3982" s="57"/>
      <c r="M3982" s="57" t="b">
        <v>1</v>
      </c>
    </row>
    <row r="3983" spans="1:13" x14ac:dyDescent="0.25">
      <c r="D3983" s="13">
        <v>6162</v>
      </c>
      <c r="E3983" s="132" t="str">
        <f>INDEX([1]道具配置表!$D:$D,MATCH(D3983,[1]道具配置表!$A:$A,0))</f>
        <v>10分钟训练加速</v>
      </c>
      <c r="F3983" s="13">
        <v>4</v>
      </c>
      <c r="K3983" s="57">
        <v>1</v>
      </c>
      <c r="L3983" s="57"/>
      <c r="M3983" s="57" t="b">
        <v>1</v>
      </c>
    </row>
    <row r="3984" spans="1:13" x14ac:dyDescent="0.25">
      <c r="D3984" s="13">
        <v>504</v>
      </c>
      <c r="E3984" s="132" t="str">
        <f>INDEX([1]道具配置表!$D:$D,MATCH(D3984,[1]道具配置表!$A:$A,0))</f>
        <v>10万资源自选宝箱</v>
      </c>
      <c r="F3984" s="13">
        <v>2</v>
      </c>
      <c r="K3984" s="57">
        <v>1</v>
      </c>
      <c r="L3984" s="57"/>
      <c r="M3984" s="57" t="b">
        <v>1</v>
      </c>
    </row>
    <row r="3985" spans="1:13" x14ac:dyDescent="0.25">
      <c r="A3985" s="13">
        <v>6633107</v>
      </c>
      <c r="B3985" s="13" t="s">
        <v>1112</v>
      </c>
      <c r="D3985" s="13">
        <v>6142</v>
      </c>
      <c r="E3985" s="132" t="str">
        <f>INDEX([1]道具配置表!$D:$D,MATCH(D3985,[1]道具配置表!$A:$A,0))</f>
        <v>10分钟科技加速</v>
      </c>
      <c r="F3985" s="13">
        <v>2</v>
      </c>
      <c r="K3985" s="57">
        <v>1</v>
      </c>
      <c r="L3985" s="57"/>
      <c r="M3985" s="57" t="b">
        <v>1</v>
      </c>
    </row>
    <row r="3986" spans="1:13" x14ac:dyDescent="0.25">
      <c r="D3986" s="13">
        <v>6162</v>
      </c>
      <c r="E3986" s="132" t="str">
        <f>INDEX([1]道具配置表!$D:$D,MATCH(D3986,[1]道具配置表!$A:$A,0))</f>
        <v>10分钟训练加速</v>
      </c>
      <c r="F3986" s="13">
        <v>2</v>
      </c>
      <c r="K3986" s="53">
        <v>1</v>
      </c>
      <c r="L3986" s="53"/>
      <c r="M3986" s="53" t="b">
        <v>1</v>
      </c>
    </row>
    <row r="3987" spans="1:13" x14ac:dyDescent="0.25">
      <c r="D3987" s="13">
        <v>504</v>
      </c>
      <c r="E3987" s="132" t="str">
        <f>INDEX([1]道具配置表!$D:$D,MATCH(D3987,[1]道具配置表!$A:$A,0))</f>
        <v>10万资源自选宝箱</v>
      </c>
      <c r="F3987" s="13">
        <v>1</v>
      </c>
      <c r="K3987" s="53">
        <v>1</v>
      </c>
      <c r="L3987" s="53"/>
      <c r="M3987" s="53" t="b">
        <v>1</v>
      </c>
    </row>
    <row r="3988" spans="1:13" x14ac:dyDescent="0.25">
      <c r="A3988" s="13">
        <v>6633201</v>
      </c>
      <c r="B3988" s="13" t="s">
        <v>1113</v>
      </c>
      <c r="D3988" s="13">
        <v>6144</v>
      </c>
      <c r="E3988" s="132" t="str">
        <f>INDEX([1]道具配置表!$D:$D,MATCH(D3988,[1]道具配置表!$A:$A,0))</f>
        <v>30分钟科技加速</v>
      </c>
      <c r="F3988" s="13">
        <v>5</v>
      </c>
      <c r="K3988" s="53">
        <v>1</v>
      </c>
      <c r="L3988" s="53"/>
      <c r="M3988" s="53" t="b">
        <v>1</v>
      </c>
    </row>
    <row r="3989" spans="1:13" x14ac:dyDescent="0.25">
      <c r="D3989" s="13">
        <v>6164</v>
      </c>
      <c r="E3989" s="132" t="str">
        <f>INDEX([1]道具配置表!$D:$D,MATCH(D3989,[1]道具配置表!$A:$A,0))</f>
        <v>30分钟训练加速</v>
      </c>
      <c r="F3989" s="13">
        <v>5</v>
      </c>
      <c r="K3989" s="53">
        <v>1</v>
      </c>
      <c r="L3989" s="53"/>
      <c r="M3989" s="53" t="b">
        <v>1</v>
      </c>
    </row>
    <row r="3990" spans="1:13" x14ac:dyDescent="0.25">
      <c r="D3990" s="13">
        <v>504</v>
      </c>
      <c r="E3990" s="132" t="str">
        <f>INDEX([1]道具配置表!$D:$D,MATCH(D3990,[1]道具配置表!$A:$A,0))</f>
        <v>10万资源自选宝箱</v>
      </c>
      <c r="F3990" s="13">
        <v>3</v>
      </c>
      <c r="K3990" s="53">
        <v>1</v>
      </c>
      <c r="L3990" s="53"/>
      <c r="M3990" s="53" t="b">
        <v>1</v>
      </c>
    </row>
    <row r="3991" spans="1:13" x14ac:dyDescent="0.25">
      <c r="A3991" s="13">
        <v>6633202</v>
      </c>
      <c r="B3991" s="13" t="s">
        <v>1114</v>
      </c>
      <c r="D3991" s="13">
        <v>6144</v>
      </c>
      <c r="E3991" s="132" t="str">
        <f>INDEX([1]道具配置表!$D:$D,MATCH(D3991,[1]道具配置表!$A:$A,0))</f>
        <v>30分钟科技加速</v>
      </c>
      <c r="F3991" s="13">
        <v>4</v>
      </c>
      <c r="K3991" s="53">
        <v>1</v>
      </c>
      <c r="L3991" s="53"/>
      <c r="M3991" s="53" t="b">
        <v>1</v>
      </c>
    </row>
    <row r="3992" spans="1:13" x14ac:dyDescent="0.25">
      <c r="D3992" s="13">
        <v>6164</v>
      </c>
      <c r="E3992" s="132" t="str">
        <f>INDEX([1]道具配置表!$D:$D,MATCH(D3992,[1]道具配置表!$A:$A,0))</f>
        <v>30分钟训练加速</v>
      </c>
      <c r="F3992" s="13">
        <v>4</v>
      </c>
      <c r="K3992" s="53">
        <v>1</v>
      </c>
      <c r="L3992" s="53"/>
      <c r="M3992" s="53" t="b">
        <v>1</v>
      </c>
    </row>
    <row r="3993" spans="1:13" x14ac:dyDescent="0.25">
      <c r="D3993" s="13">
        <v>504</v>
      </c>
      <c r="E3993" s="132" t="str">
        <f>INDEX([1]道具配置表!$D:$D,MATCH(D3993,[1]道具配置表!$A:$A,0))</f>
        <v>10万资源自选宝箱</v>
      </c>
      <c r="F3993" s="13">
        <v>2</v>
      </c>
      <c r="K3993" s="53">
        <v>1</v>
      </c>
      <c r="L3993" s="53"/>
      <c r="M3993" s="53" t="b">
        <v>1</v>
      </c>
    </row>
    <row r="3994" spans="1:13" x14ac:dyDescent="0.25">
      <c r="A3994" s="13">
        <v>6633203</v>
      </c>
      <c r="B3994" s="13" t="s">
        <v>1115</v>
      </c>
      <c r="D3994" s="13">
        <v>6144</v>
      </c>
      <c r="E3994" s="132" t="str">
        <f>INDEX([1]道具配置表!$D:$D,MATCH(D3994,[1]道具配置表!$A:$A,0))</f>
        <v>30分钟科技加速</v>
      </c>
      <c r="F3994" s="13">
        <v>3</v>
      </c>
      <c r="K3994" s="53">
        <v>1</v>
      </c>
      <c r="L3994" s="53"/>
      <c r="M3994" s="53" t="b">
        <v>1</v>
      </c>
    </row>
    <row r="3995" spans="1:13" x14ac:dyDescent="0.25">
      <c r="D3995" s="13">
        <v>6164</v>
      </c>
      <c r="E3995" s="132" t="str">
        <f>INDEX([1]道具配置表!$D:$D,MATCH(D3995,[1]道具配置表!$A:$A,0))</f>
        <v>30分钟训练加速</v>
      </c>
      <c r="F3995" s="13">
        <v>3</v>
      </c>
      <c r="K3995" s="53">
        <v>1</v>
      </c>
      <c r="L3995" s="53"/>
      <c r="M3995" s="53" t="b">
        <v>1</v>
      </c>
    </row>
    <row r="3996" spans="1:13" x14ac:dyDescent="0.25">
      <c r="D3996" s="13">
        <v>504</v>
      </c>
      <c r="E3996" s="132" t="str">
        <f>INDEX([1]道具配置表!$D:$D,MATCH(D3996,[1]道具配置表!$A:$A,0))</f>
        <v>10万资源自选宝箱</v>
      </c>
      <c r="F3996" s="13">
        <v>1</v>
      </c>
      <c r="K3996" s="53">
        <v>1</v>
      </c>
      <c r="L3996" s="53"/>
      <c r="M3996" s="53" t="b">
        <v>1</v>
      </c>
    </row>
    <row r="3997" spans="1:13" x14ac:dyDescent="0.25">
      <c r="A3997" s="13">
        <v>6633204</v>
      </c>
      <c r="B3997" s="13" t="s">
        <v>1116</v>
      </c>
      <c r="D3997" s="13">
        <v>6144</v>
      </c>
      <c r="E3997" s="132" t="str">
        <f>INDEX([1]道具配置表!$D:$D,MATCH(D3997,[1]道具配置表!$A:$A,0))</f>
        <v>30分钟科技加速</v>
      </c>
      <c r="F3997" s="13">
        <v>2</v>
      </c>
      <c r="K3997" s="53">
        <v>1</v>
      </c>
      <c r="L3997" s="53"/>
      <c r="M3997" s="53" t="b">
        <v>1</v>
      </c>
    </row>
    <row r="3998" spans="1:13" x14ac:dyDescent="0.25">
      <c r="D3998" s="13">
        <v>6164</v>
      </c>
      <c r="E3998" s="132" t="str">
        <f>INDEX([1]道具配置表!$D:$D,MATCH(D3998,[1]道具配置表!$A:$A,0))</f>
        <v>30分钟训练加速</v>
      </c>
      <c r="F3998" s="13">
        <v>2</v>
      </c>
      <c r="K3998" s="53">
        <v>1</v>
      </c>
      <c r="L3998" s="53"/>
      <c r="M3998" s="53" t="b">
        <v>1</v>
      </c>
    </row>
    <row r="3999" spans="1:13" x14ac:dyDescent="0.25">
      <c r="D3999" s="13">
        <v>504</v>
      </c>
      <c r="E3999" s="132" t="str">
        <f>INDEX([1]道具配置表!$D:$D,MATCH(D3999,[1]道具配置表!$A:$A,0))</f>
        <v>10万资源自选宝箱</v>
      </c>
      <c r="F3999" s="13">
        <v>1</v>
      </c>
      <c r="K3999" s="53">
        <v>1</v>
      </c>
      <c r="L3999" s="53"/>
      <c r="M3999" s="53" t="b">
        <v>1</v>
      </c>
    </row>
    <row r="4000" spans="1:13" x14ac:dyDescent="0.25">
      <c r="A4000" s="13">
        <v>6633205</v>
      </c>
      <c r="B4000" s="13" t="s">
        <v>1117</v>
      </c>
      <c r="D4000" s="13">
        <v>6142</v>
      </c>
      <c r="E4000" s="132" t="str">
        <f>INDEX([1]道具配置表!$D:$D,MATCH(D4000,[1]道具配置表!$A:$A,0))</f>
        <v>10分钟科技加速</v>
      </c>
      <c r="F4000" s="13">
        <v>4</v>
      </c>
      <c r="K4000" s="53">
        <v>1</v>
      </c>
      <c r="L4000" s="53"/>
      <c r="M4000" s="53" t="b">
        <v>1</v>
      </c>
    </row>
    <row r="4001" spans="1:13" x14ac:dyDescent="0.25">
      <c r="D4001" s="13">
        <v>6162</v>
      </c>
      <c r="E4001" s="132" t="str">
        <f>INDEX([1]道具配置表!$D:$D,MATCH(D4001,[1]道具配置表!$A:$A,0))</f>
        <v>10分钟训练加速</v>
      </c>
      <c r="F4001" s="13">
        <v>4</v>
      </c>
      <c r="K4001" s="53">
        <v>1</v>
      </c>
      <c r="L4001" s="53"/>
      <c r="M4001" s="53" t="b">
        <v>1</v>
      </c>
    </row>
    <row r="4002" spans="1:13" x14ac:dyDescent="0.25">
      <c r="D4002" s="13">
        <v>503</v>
      </c>
      <c r="E4002" s="132" t="str">
        <f>INDEX([1]道具配置表!$D:$D,MATCH(D4002,[1]道具配置表!$A:$A,0))</f>
        <v>5万资源自选宝箱</v>
      </c>
      <c r="F4002" s="13">
        <v>1</v>
      </c>
      <c r="K4002" s="53">
        <v>1</v>
      </c>
      <c r="L4002" s="53"/>
      <c r="M4002" s="53" t="b">
        <v>1</v>
      </c>
    </row>
    <row r="4003" spans="1:13" x14ac:dyDescent="0.25">
      <c r="A4003" s="13">
        <v>6633206</v>
      </c>
      <c r="B4003" s="13" t="s">
        <v>1118</v>
      </c>
      <c r="D4003" s="13">
        <v>6142</v>
      </c>
      <c r="E4003" s="132" t="str">
        <f>INDEX([1]道具配置表!$D:$D,MATCH(D4003,[1]道具配置表!$A:$A,0))</f>
        <v>10分钟科技加速</v>
      </c>
      <c r="F4003" s="13">
        <v>2</v>
      </c>
      <c r="K4003" s="53">
        <v>1</v>
      </c>
      <c r="L4003" s="53"/>
      <c r="M4003" s="53" t="b">
        <v>1</v>
      </c>
    </row>
    <row r="4004" spans="1:13" x14ac:dyDescent="0.25">
      <c r="D4004" s="13">
        <v>6162</v>
      </c>
      <c r="E4004" s="132" t="str">
        <f>INDEX([1]道具配置表!$D:$D,MATCH(D4004,[1]道具配置表!$A:$A,0))</f>
        <v>10分钟训练加速</v>
      </c>
      <c r="F4004" s="13">
        <v>2</v>
      </c>
      <c r="K4004" s="53">
        <v>1</v>
      </c>
      <c r="L4004" s="53"/>
      <c r="M4004" s="53" t="b">
        <v>1</v>
      </c>
    </row>
    <row r="4005" spans="1:13" x14ac:dyDescent="0.25">
      <c r="D4005" s="13">
        <v>502</v>
      </c>
      <c r="E4005" s="132" t="str">
        <f>INDEX([1]道具配置表!$D:$D,MATCH(D4005,[1]道具配置表!$A:$A,0))</f>
        <v>1万资源自选宝箱</v>
      </c>
      <c r="F4005" s="13">
        <v>3</v>
      </c>
      <c r="K4005" s="53">
        <v>1</v>
      </c>
      <c r="L4005" s="53"/>
      <c r="M4005" s="53" t="b">
        <v>1</v>
      </c>
    </row>
    <row r="4006" spans="1:13" x14ac:dyDescent="0.25">
      <c r="A4006" s="13">
        <v>6634001</v>
      </c>
      <c r="B4006" s="13" t="s">
        <v>686</v>
      </c>
      <c r="D4006" s="13">
        <v>49521</v>
      </c>
      <c r="E4006" s="132" t="str">
        <f>INDEX([1]道具配置表!$D:$D,MATCH(D4006,[1]道具配置表!$A:$A,0))</f>
        <v>珠宝匠印记</v>
      </c>
      <c r="F4006" s="13">
        <v>10</v>
      </c>
      <c r="K4006" s="55">
        <v>1</v>
      </c>
      <c r="L4006" s="55"/>
      <c r="M4006" s="55" t="b">
        <v>1</v>
      </c>
    </row>
    <row r="4007" spans="1:13" x14ac:dyDescent="0.25">
      <c r="D4007" s="13">
        <v>6125</v>
      </c>
      <c r="E4007" s="132" t="str">
        <f>INDEX([1]道具配置表!$D:$D,MATCH(D4007,[1]道具配置表!$A:$A,0))</f>
        <v>60分钟建造加速</v>
      </c>
      <c r="F4007" s="13">
        <v>1</v>
      </c>
      <c r="K4007" s="55">
        <v>1</v>
      </c>
      <c r="L4007" s="55"/>
      <c r="M4007" s="55" t="b">
        <v>1</v>
      </c>
    </row>
    <row r="4008" spans="1:13" x14ac:dyDescent="0.25">
      <c r="D4008" s="13">
        <v>6145</v>
      </c>
      <c r="E4008" s="132" t="str">
        <f>INDEX([1]道具配置表!$D:$D,MATCH(D4008,[1]道具配置表!$A:$A,0))</f>
        <v>60分钟科技加速</v>
      </c>
      <c r="F4008" s="13">
        <v>1</v>
      </c>
      <c r="K4008" s="55">
        <v>1</v>
      </c>
      <c r="L4008" s="55"/>
      <c r="M4008" s="55" t="b">
        <v>1</v>
      </c>
    </row>
    <row r="4009" spans="1:13" x14ac:dyDescent="0.25">
      <c r="D4009" s="13">
        <v>6165</v>
      </c>
      <c r="E4009" s="132" t="str">
        <f>INDEX([1]道具配置表!$D:$D,MATCH(D4009,[1]道具配置表!$A:$A,0))</f>
        <v>60分钟训练加速</v>
      </c>
      <c r="F4009" s="13">
        <v>1</v>
      </c>
      <c r="K4009" s="55">
        <v>1</v>
      </c>
      <c r="L4009" s="55"/>
      <c r="M4009" s="55" t="b">
        <v>1</v>
      </c>
    </row>
    <row r="4010" spans="1:13" x14ac:dyDescent="0.25">
      <c r="D4010" s="13">
        <v>502</v>
      </c>
      <c r="E4010" s="132" t="str">
        <f>INDEX([1]道具配置表!$D:$D,MATCH(D4010,[1]道具配置表!$A:$A,0))</f>
        <v>1万资源自选宝箱</v>
      </c>
      <c r="F4010" s="13">
        <v>5</v>
      </c>
      <c r="K4010" s="66">
        <v>1</v>
      </c>
      <c r="L4010" s="66"/>
      <c r="M4010" s="66" t="b">
        <v>1</v>
      </c>
    </row>
    <row r="4011" spans="1:13" x14ac:dyDescent="0.25">
      <c r="A4011" s="13">
        <v>6634002</v>
      </c>
      <c r="B4011" s="13" t="s">
        <v>687</v>
      </c>
      <c r="D4011" s="13">
        <v>49521</v>
      </c>
      <c r="E4011" s="132" t="str">
        <f>INDEX([1]道具配置表!$D:$D,MATCH(D4011,[1]道具配置表!$A:$A,0))</f>
        <v>珠宝匠印记</v>
      </c>
      <c r="F4011" s="13">
        <v>20</v>
      </c>
      <c r="K4011" s="55">
        <v>1</v>
      </c>
      <c r="L4011" s="55"/>
      <c r="M4011" s="55" t="b">
        <v>1</v>
      </c>
    </row>
    <row r="4012" spans="1:13" x14ac:dyDescent="0.25">
      <c r="D4012" s="13">
        <v>6125</v>
      </c>
      <c r="E4012" s="132" t="str">
        <f>INDEX([1]道具配置表!$D:$D,MATCH(D4012,[1]道具配置表!$A:$A,0))</f>
        <v>60分钟建造加速</v>
      </c>
      <c r="F4012" s="13">
        <v>1</v>
      </c>
      <c r="K4012" s="55">
        <v>1</v>
      </c>
      <c r="L4012" s="55"/>
      <c r="M4012" s="55" t="b">
        <v>1</v>
      </c>
    </row>
    <row r="4013" spans="1:13" x14ac:dyDescent="0.25">
      <c r="D4013" s="13">
        <v>6145</v>
      </c>
      <c r="E4013" s="132" t="str">
        <f>INDEX([1]道具配置表!$D:$D,MATCH(D4013,[1]道具配置表!$A:$A,0))</f>
        <v>60分钟科技加速</v>
      </c>
      <c r="F4013" s="13">
        <v>1</v>
      </c>
      <c r="K4013" s="55">
        <v>1</v>
      </c>
      <c r="L4013" s="55"/>
      <c r="M4013" s="55" t="b">
        <v>1</v>
      </c>
    </row>
    <row r="4014" spans="1:13" x14ac:dyDescent="0.25">
      <c r="D4014" s="13">
        <v>6165</v>
      </c>
      <c r="E4014" s="132" t="str">
        <f>INDEX([1]道具配置表!$D:$D,MATCH(D4014,[1]道具配置表!$A:$A,0))</f>
        <v>60分钟训练加速</v>
      </c>
      <c r="F4014" s="13">
        <v>1</v>
      </c>
      <c r="K4014" s="55">
        <v>1</v>
      </c>
      <c r="L4014" s="55"/>
      <c r="M4014" s="55" t="b">
        <v>1</v>
      </c>
    </row>
    <row r="4015" spans="1:13" x14ac:dyDescent="0.25">
      <c r="D4015" s="13">
        <v>502</v>
      </c>
      <c r="E4015" s="132" t="str">
        <f>INDEX([1]道具配置表!$D:$D,MATCH(D4015,[1]道具配置表!$A:$A,0))</f>
        <v>1万资源自选宝箱</v>
      </c>
      <c r="F4015" s="13">
        <v>8</v>
      </c>
      <c r="K4015" s="66">
        <v>1</v>
      </c>
      <c r="L4015" s="66"/>
      <c r="M4015" s="66" t="b">
        <v>1</v>
      </c>
    </row>
    <row r="4016" spans="1:13" x14ac:dyDescent="0.25">
      <c r="A4016" s="13">
        <v>6634003</v>
      </c>
      <c r="B4016" s="13" t="s">
        <v>688</v>
      </c>
      <c r="D4016" s="13">
        <v>49521</v>
      </c>
      <c r="E4016" s="132" t="str">
        <f>INDEX([1]道具配置表!$D:$D,MATCH(D4016,[1]道具配置表!$A:$A,0))</f>
        <v>珠宝匠印记</v>
      </c>
      <c r="F4016" s="13">
        <v>30</v>
      </c>
      <c r="K4016" s="55">
        <v>1</v>
      </c>
      <c r="L4016" s="55"/>
      <c r="M4016" s="55" t="b">
        <v>1</v>
      </c>
    </row>
    <row r="4017" spans="1:13" x14ac:dyDescent="0.25">
      <c r="D4017" s="13">
        <v>6125</v>
      </c>
      <c r="E4017" s="132" t="str">
        <f>INDEX([1]道具配置表!$D:$D,MATCH(D4017,[1]道具配置表!$A:$A,0))</f>
        <v>60分钟建造加速</v>
      </c>
      <c r="F4017" s="13">
        <v>2</v>
      </c>
      <c r="K4017" s="55">
        <v>1</v>
      </c>
      <c r="L4017" s="55"/>
      <c r="M4017" s="55" t="b">
        <v>1</v>
      </c>
    </row>
    <row r="4018" spans="1:13" x14ac:dyDescent="0.25">
      <c r="D4018" s="13">
        <v>6145</v>
      </c>
      <c r="E4018" s="132" t="str">
        <f>INDEX([1]道具配置表!$D:$D,MATCH(D4018,[1]道具配置表!$A:$A,0))</f>
        <v>60分钟科技加速</v>
      </c>
      <c r="F4018" s="13">
        <v>2</v>
      </c>
      <c r="K4018" s="55">
        <v>1</v>
      </c>
      <c r="L4018" s="55"/>
      <c r="M4018" s="55" t="b">
        <v>1</v>
      </c>
    </row>
    <row r="4019" spans="1:13" x14ac:dyDescent="0.25">
      <c r="D4019" s="13">
        <v>6165</v>
      </c>
      <c r="E4019" s="132" t="str">
        <f>INDEX([1]道具配置表!$D:$D,MATCH(D4019,[1]道具配置表!$A:$A,0))</f>
        <v>60分钟训练加速</v>
      </c>
      <c r="F4019" s="13">
        <v>2</v>
      </c>
      <c r="K4019" s="55">
        <v>1</v>
      </c>
      <c r="L4019" s="55"/>
      <c r="M4019" s="55" t="b">
        <v>1</v>
      </c>
    </row>
    <row r="4020" spans="1:13" x14ac:dyDescent="0.25">
      <c r="D4020" s="13">
        <v>502</v>
      </c>
      <c r="E4020" s="132" t="str">
        <f>INDEX([1]道具配置表!$D:$D,MATCH(D4020,[1]道具配置表!$A:$A,0))</f>
        <v>1万资源自选宝箱</v>
      </c>
      <c r="F4020" s="13">
        <v>12</v>
      </c>
      <c r="K4020" s="66">
        <v>1</v>
      </c>
      <c r="L4020" s="66"/>
      <c r="M4020" s="66" t="b">
        <v>1</v>
      </c>
    </row>
    <row r="4021" spans="1:13" x14ac:dyDescent="0.25">
      <c r="A4021" s="13">
        <v>6634004</v>
      </c>
      <c r="B4021" s="13" t="s">
        <v>689</v>
      </c>
      <c r="D4021" s="13">
        <v>49521</v>
      </c>
      <c r="E4021" s="132" t="str">
        <f>INDEX([1]道具配置表!$D:$D,MATCH(D4021,[1]道具配置表!$A:$A,0))</f>
        <v>珠宝匠印记</v>
      </c>
      <c r="F4021" s="13">
        <v>40</v>
      </c>
      <c r="K4021" s="55">
        <v>1</v>
      </c>
      <c r="L4021" s="55"/>
      <c r="M4021" s="55" t="b">
        <v>1</v>
      </c>
    </row>
    <row r="4022" spans="1:13" x14ac:dyDescent="0.25">
      <c r="D4022" s="13">
        <v>6125</v>
      </c>
      <c r="E4022" s="132" t="str">
        <f>INDEX([1]道具配置表!$D:$D,MATCH(D4022,[1]道具配置表!$A:$A,0))</f>
        <v>60分钟建造加速</v>
      </c>
      <c r="F4022" s="13">
        <v>2</v>
      </c>
      <c r="K4022" s="55">
        <v>1</v>
      </c>
      <c r="L4022" s="55"/>
      <c r="M4022" s="55" t="b">
        <v>1</v>
      </c>
    </row>
    <row r="4023" spans="1:13" x14ac:dyDescent="0.25">
      <c r="D4023" s="13">
        <v>6145</v>
      </c>
      <c r="E4023" s="132" t="str">
        <f>INDEX([1]道具配置表!$D:$D,MATCH(D4023,[1]道具配置表!$A:$A,0))</f>
        <v>60分钟科技加速</v>
      </c>
      <c r="F4023" s="13">
        <v>2</v>
      </c>
      <c r="K4023" s="55">
        <v>1</v>
      </c>
      <c r="L4023" s="55"/>
      <c r="M4023" s="55" t="b">
        <v>1</v>
      </c>
    </row>
    <row r="4024" spans="1:13" x14ac:dyDescent="0.25">
      <c r="D4024" s="13">
        <v>6165</v>
      </c>
      <c r="E4024" s="132" t="str">
        <f>INDEX([1]道具配置表!$D:$D,MATCH(D4024,[1]道具配置表!$A:$A,0))</f>
        <v>60分钟训练加速</v>
      </c>
      <c r="F4024" s="13">
        <v>2</v>
      </c>
      <c r="K4024" s="55">
        <v>1</v>
      </c>
      <c r="L4024" s="55"/>
      <c r="M4024" s="55" t="b">
        <v>1</v>
      </c>
    </row>
    <row r="4025" spans="1:13" x14ac:dyDescent="0.25">
      <c r="D4025" s="13">
        <v>502</v>
      </c>
      <c r="E4025" s="132" t="str">
        <f>INDEX([1]道具配置表!$D:$D,MATCH(D4025,[1]道具配置表!$A:$A,0))</f>
        <v>1万资源自选宝箱</v>
      </c>
      <c r="F4025" s="13">
        <v>20</v>
      </c>
      <c r="K4025" s="66">
        <v>1</v>
      </c>
      <c r="L4025" s="66"/>
      <c r="M4025" s="66" t="b">
        <v>1</v>
      </c>
    </row>
    <row r="4026" spans="1:13" x14ac:dyDescent="0.25">
      <c r="A4026" s="13">
        <v>6634005</v>
      </c>
      <c r="B4026" s="13" t="s">
        <v>690</v>
      </c>
      <c r="D4026" s="13">
        <v>49521</v>
      </c>
      <c r="E4026" s="132" t="str">
        <f>INDEX([1]道具配置表!$D:$D,MATCH(D4026,[1]道具配置表!$A:$A,0))</f>
        <v>珠宝匠印记</v>
      </c>
      <c r="F4026" s="13">
        <v>50</v>
      </c>
      <c r="K4026" s="55">
        <v>1</v>
      </c>
      <c r="L4026" s="55"/>
      <c r="M4026" s="55" t="b">
        <v>1</v>
      </c>
    </row>
    <row r="4027" spans="1:13" x14ac:dyDescent="0.25">
      <c r="D4027" s="13">
        <v>6125</v>
      </c>
      <c r="E4027" s="132" t="str">
        <f>INDEX([1]道具配置表!$D:$D,MATCH(D4027,[1]道具配置表!$A:$A,0))</f>
        <v>60分钟建造加速</v>
      </c>
      <c r="F4027" s="13">
        <v>3</v>
      </c>
      <c r="K4027" s="55">
        <v>1</v>
      </c>
      <c r="L4027" s="55"/>
      <c r="M4027" s="55" t="b">
        <v>1</v>
      </c>
    </row>
    <row r="4028" spans="1:13" x14ac:dyDescent="0.25">
      <c r="D4028" s="13">
        <v>6145</v>
      </c>
      <c r="E4028" s="132" t="str">
        <f>INDEX([1]道具配置表!$D:$D,MATCH(D4028,[1]道具配置表!$A:$A,0))</f>
        <v>60分钟科技加速</v>
      </c>
      <c r="F4028" s="13">
        <v>3</v>
      </c>
      <c r="K4028" s="55">
        <v>1</v>
      </c>
      <c r="L4028" s="55"/>
      <c r="M4028" s="55" t="b">
        <v>1</v>
      </c>
    </row>
    <row r="4029" spans="1:13" x14ac:dyDescent="0.25">
      <c r="D4029" s="13">
        <v>6165</v>
      </c>
      <c r="E4029" s="132" t="str">
        <f>INDEX([1]道具配置表!$D:$D,MATCH(D4029,[1]道具配置表!$A:$A,0))</f>
        <v>60分钟训练加速</v>
      </c>
      <c r="F4029" s="13">
        <v>3</v>
      </c>
      <c r="K4029" s="55">
        <v>1</v>
      </c>
      <c r="L4029" s="55"/>
      <c r="M4029" s="55" t="b">
        <v>1</v>
      </c>
    </row>
    <row r="4030" spans="1:13" x14ac:dyDescent="0.25">
      <c r="D4030" s="13">
        <v>502</v>
      </c>
      <c r="E4030" s="132" t="str">
        <f>INDEX([1]道具配置表!$D:$D,MATCH(D4030,[1]道具配置表!$A:$A,0))</f>
        <v>1万资源自选宝箱</v>
      </c>
      <c r="F4030" s="13">
        <v>30</v>
      </c>
      <c r="K4030" s="66">
        <v>1</v>
      </c>
      <c r="L4030" s="66"/>
      <c r="M4030" s="66" t="b">
        <v>1</v>
      </c>
    </row>
    <row r="4031" spans="1:13" x14ac:dyDescent="0.25">
      <c r="A4031" s="13">
        <v>6634006</v>
      </c>
      <c r="B4031" s="13" t="s">
        <v>691</v>
      </c>
      <c r="D4031" s="13">
        <v>49521</v>
      </c>
      <c r="E4031" s="132" t="str">
        <f>INDEX([1]道具配置表!$D:$D,MATCH(D4031,[1]道具配置表!$A:$A,0))</f>
        <v>珠宝匠印记</v>
      </c>
      <c r="F4031" s="13">
        <v>60</v>
      </c>
      <c r="K4031" s="66">
        <v>1</v>
      </c>
      <c r="L4031" s="66"/>
      <c r="M4031" s="66" t="b">
        <v>1</v>
      </c>
    </row>
    <row r="4032" spans="1:13" x14ac:dyDescent="0.25">
      <c r="D4032" s="13">
        <v>6125</v>
      </c>
      <c r="E4032" s="132" t="str">
        <f>INDEX([1]道具配置表!$D:$D,MATCH(D4032,[1]道具配置表!$A:$A,0))</f>
        <v>60分钟建造加速</v>
      </c>
      <c r="F4032" s="13">
        <v>3</v>
      </c>
      <c r="K4032" s="66">
        <v>1</v>
      </c>
      <c r="L4032" s="66"/>
      <c r="M4032" s="66" t="b">
        <v>1</v>
      </c>
    </row>
    <row r="4033" spans="1:13" x14ac:dyDescent="0.25">
      <c r="D4033" s="13">
        <v>6145</v>
      </c>
      <c r="E4033" s="132" t="str">
        <f>INDEX([1]道具配置表!$D:$D,MATCH(D4033,[1]道具配置表!$A:$A,0))</f>
        <v>60分钟科技加速</v>
      </c>
      <c r="F4033" s="13">
        <v>3</v>
      </c>
      <c r="K4033" s="66">
        <v>1</v>
      </c>
      <c r="L4033" s="66"/>
      <c r="M4033" s="66" t="b">
        <v>1</v>
      </c>
    </row>
    <row r="4034" spans="1:13" x14ac:dyDescent="0.25">
      <c r="D4034" s="13">
        <v>6165</v>
      </c>
      <c r="E4034" s="132" t="str">
        <f>INDEX([1]道具配置表!$D:$D,MATCH(D4034,[1]道具配置表!$A:$A,0))</f>
        <v>60分钟训练加速</v>
      </c>
      <c r="F4034" s="13">
        <v>3</v>
      </c>
      <c r="K4034" s="66">
        <v>1</v>
      </c>
      <c r="L4034" s="66"/>
      <c r="M4034" s="66" t="b">
        <v>1</v>
      </c>
    </row>
    <row r="4035" spans="1:13" x14ac:dyDescent="0.25">
      <c r="D4035" s="13">
        <v>502</v>
      </c>
      <c r="E4035" s="132" t="str">
        <f>INDEX([1]道具配置表!$D:$D,MATCH(D4035,[1]道具配置表!$A:$A,0))</f>
        <v>1万资源自选宝箱</v>
      </c>
      <c r="F4035" s="13">
        <v>45</v>
      </c>
      <c r="K4035" s="66">
        <v>1</v>
      </c>
      <c r="L4035" s="66"/>
      <c r="M4035" s="66" t="b">
        <v>1</v>
      </c>
    </row>
    <row r="4036" spans="1:13" x14ac:dyDescent="0.25">
      <c r="A4036" s="13">
        <v>6634007</v>
      </c>
      <c r="B4036" s="13" t="s">
        <v>692</v>
      </c>
      <c r="D4036" s="13">
        <v>49521</v>
      </c>
      <c r="E4036" s="132" t="str">
        <f>INDEX([1]道具配置表!$D:$D,MATCH(D4036,[1]道具配置表!$A:$A,0))</f>
        <v>珠宝匠印记</v>
      </c>
      <c r="F4036" s="13">
        <v>80</v>
      </c>
      <c r="K4036" s="66">
        <v>1</v>
      </c>
      <c r="L4036" s="66"/>
      <c r="M4036" s="66" t="b">
        <v>1</v>
      </c>
    </row>
    <row r="4037" spans="1:13" x14ac:dyDescent="0.25">
      <c r="D4037" s="13">
        <v>6125</v>
      </c>
      <c r="E4037" s="132" t="str">
        <f>INDEX([1]道具配置表!$D:$D,MATCH(D4037,[1]道具配置表!$A:$A,0))</f>
        <v>60分钟建造加速</v>
      </c>
      <c r="F4037" s="13">
        <v>4</v>
      </c>
      <c r="K4037" s="66">
        <v>1</v>
      </c>
      <c r="L4037" s="66"/>
      <c r="M4037" s="66" t="b">
        <v>1</v>
      </c>
    </row>
    <row r="4038" spans="1:13" x14ac:dyDescent="0.25">
      <c r="D4038" s="13">
        <v>6145</v>
      </c>
      <c r="E4038" s="132" t="str">
        <f>INDEX([1]道具配置表!$D:$D,MATCH(D4038,[1]道具配置表!$A:$A,0))</f>
        <v>60分钟科技加速</v>
      </c>
      <c r="F4038" s="13">
        <v>4</v>
      </c>
      <c r="K4038" s="66">
        <v>1</v>
      </c>
      <c r="L4038" s="66"/>
      <c r="M4038" s="66" t="b">
        <v>1</v>
      </c>
    </row>
    <row r="4039" spans="1:13" x14ac:dyDescent="0.25">
      <c r="D4039" s="13">
        <v>6165</v>
      </c>
      <c r="E4039" s="132" t="str">
        <f>INDEX([1]道具配置表!$D:$D,MATCH(D4039,[1]道具配置表!$A:$A,0))</f>
        <v>60分钟训练加速</v>
      </c>
      <c r="F4039" s="13">
        <v>4</v>
      </c>
      <c r="K4039" s="66">
        <v>1</v>
      </c>
      <c r="L4039" s="66"/>
      <c r="M4039" s="66" t="b">
        <v>1</v>
      </c>
    </row>
    <row r="4040" spans="1:13" x14ac:dyDescent="0.25">
      <c r="D4040" s="13">
        <v>502</v>
      </c>
      <c r="E4040" s="132" t="str">
        <f>INDEX([1]道具配置表!$D:$D,MATCH(D4040,[1]道具配置表!$A:$A,0))</f>
        <v>1万资源自选宝箱</v>
      </c>
      <c r="F4040" s="13">
        <v>60</v>
      </c>
      <c r="K4040" s="66">
        <v>1</v>
      </c>
      <c r="L4040" s="66"/>
      <c r="M4040" s="66" t="b">
        <v>1</v>
      </c>
    </row>
    <row r="4041" spans="1:13" x14ac:dyDescent="0.25">
      <c r="A4041" s="13">
        <v>6634008</v>
      </c>
      <c r="B4041" s="13" t="s">
        <v>693</v>
      </c>
      <c r="D4041" s="13">
        <v>49521</v>
      </c>
      <c r="E4041" s="132" t="str">
        <f>INDEX([1]道具配置表!$D:$D,MATCH(D4041,[1]道具配置表!$A:$A,0))</f>
        <v>珠宝匠印记</v>
      </c>
      <c r="F4041" s="13">
        <v>100</v>
      </c>
      <c r="K4041" s="66">
        <v>1</v>
      </c>
      <c r="L4041" s="66"/>
      <c r="M4041" s="66" t="b">
        <v>1</v>
      </c>
    </row>
    <row r="4042" spans="1:13" x14ac:dyDescent="0.25">
      <c r="D4042" s="13">
        <v>6125</v>
      </c>
      <c r="E4042" s="132" t="str">
        <f>INDEX([1]道具配置表!$D:$D,MATCH(D4042,[1]道具配置表!$A:$A,0))</f>
        <v>60分钟建造加速</v>
      </c>
      <c r="F4042" s="13">
        <v>5</v>
      </c>
      <c r="K4042" s="66">
        <v>1</v>
      </c>
      <c r="L4042" s="66"/>
      <c r="M4042" s="66" t="b">
        <v>1</v>
      </c>
    </row>
    <row r="4043" spans="1:13" x14ac:dyDescent="0.25">
      <c r="D4043" s="13">
        <v>6145</v>
      </c>
      <c r="E4043" s="132" t="str">
        <f>INDEX([1]道具配置表!$D:$D,MATCH(D4043,[1]道具配置表!$A:$A,0))</f>
        <v>60分钟科技加速</v>
      </c>
      <c r="F4043" s="13">
        <v>5</v>
      </c>
      <c r="K4043" s="66">
        <v>1</v>
      </c>
      <c r="L4043" s="66"/>
      <c r="M4043" s="66" t="b">
        <v>1</v>
      </c>
    </row>
    <row r="4044" spans="1:13" x14ac:dyDescent="0.25">
      <c r="D4044" s="13">
        <v>6165</v>
      </c>
      <c r="E4044" s="132" t="str">
        <f>INDEX([1]道具配置表!$D:$D,MATCH(D4044,[1]道具配置表!$A:$A,0))</f>
        <v>60分钟训练加速</v>
      </c>
      <c r="F4044" s="13">
        <v>5</v>
      </c>
      <c r="K4044" s="66">
        <v>1</v>
      </c>
      <c r="L4044" s="66"/>
      <c r="M4044" s="66" t="b">
        <v>1</v>
      </c>
    </row>
    <row r="4045" spans="1:13" x14ac:dyDescent="0.25">
      <c r="D4045" s="13">
        <v>502</v>
      </c>
      <c r="E4045" s="132" t="str">
        <f>INDEX([1]道具配置表!$D:$D,MATCH(D4045,[1]道具配置表!$A:$A,0))</f>
        <v>1万资源自选宝箱</v>
      </c>
      <c r="F4045" s="13">
        <v>80</v>
      </c>
      <c r="K4045" s="66">
        <v>1</v>
      </c>
      <c r="L4045" s="66"/>
      <c r="M4045" s="66" t="b">
        <v>1</v>
      </c>
    </row>
    <row r="4046" spans="1:13" x14ac:dyDescent="0.25">
      <c r="A4046" s="13">
        <v>6634101</v>
      </c>
      <c r="B4046" s="13" t="s">
        <v>694</v>
      </c>
      <c r="D4046" s="13">
        <v>7003</v>
      </c>
      <c r="E4046" s="132" t="str">
        <f>INDEX([1]道具配置表!$D:$D,MATCH(D4046,[1]道具配置表!$A:$A,0))</f>
        <v>1银币（立即使用，不进背包）</v>
      </c>
      <c r="F4046" s="13">
        <v>10000</v>
      </c>
      <c r="K4046" s="55">
        <v>1</v>
      </c>
      <c r="L4046" s="55"/>
      <c r="M4046" s="55" t="b">
        <v>1</v>
      </c>
    </row>
    <row r="4047" spans="1:13" x14ac:dyDescent="0.25">
      <c r="D4047" s="13">
        <v>6105</v>
      </c>
      <c r="E4047" s="132" t="str">
        <f>INDEX([1]道具配置表!$D:$D,MATCH(D4047,[1]道具配置表!$A:$A,0))</f>
        <v>60分钟通用加速</v>
      </c>
      <c r="F4047" s="13">
        <v>25</v>
      </c>
      <c r="K4047" s="55">
        <v>1</v>
      </c>
      <c r="L4047" s="55"/>
      <c r="M4047" s="55" t="b">
        <v>1</v>
      </c>
    </row>
    <row r="4048" spans="1:13" x14ac:dyDescent="0.25">
      <c r="D4048" s="13">
        <v>502</v>
      </c>
      <c r="E4048" s="132" t="str">
        <f>INDEX([1]道具配置表!$D:$D,MATCH(D4048,[1]道具配置表!$A:$A,0))</f>
        <v>1万资源自选宝箱</v>
      </c>
      <c r="F4048" s="13">
        <v>500</v>
      </c>
      <c r="K4048" s="55">
        <v>1</v>
      </c>
      <c r="L4048" s="55"/>
      <c r="M4048" s="55" t="b">
        <v>1</v>
      </c>
    </row>
    <row r="4049" spans="1:13" x14ac:dyDescent="0.25">
      <c r="A4049" s="13">
        <v>6634102</v>
      </c>
      <c r="B4049" s="13" t="s">
        <v>695</v>
      </c>
      <c r="D4049" s="13">
        <v>7003</v>
      </c>
      <c r="E4049" s="132" t="str">
        <f>INDEX([1]道具配置表!$D:$D,MATCH(D4049,[1]道具配置表!$A:$A,0))</f>
        <v>1银币（立即使用，不进背包）</v>
      </c>
      <c r="F4049" s="13">
        <v>8000</v>
      </c>
      <c r="K4049" s="55">
        <v>1</v>
      </c>
      <c r="L4049" s="55"/>
      <c r="M4049" s="55" t="b">
        <v>1</v>
      </c>
    </row>
    <row r="4050" spans="1:13" x14ac:dyDescent="0.25">
      <c r="D4050" s="13">
        <v>6105</v>
      </c>
      <c r="E4050" s="132" t="str">
        <f>INDEX([1]道具配置表!$D:$D,MATCH(D4050,[1]道具配置表!$A:$A,0))</f>
        <v>60分钟通用加速</v>
      </c>
      <c r="F4050" s="13">
        <v>20</v>
      </c>
      <c r="K4050" s="55">
        <v>1</v>
      </c>
      <c r="L4050" s="55"/>
      <c r="M4050" s="55" t="b">
        <v>1</v>
      </c>
    </row>
    <row r="4051" spans="1:13" x14ac:dyDescent="0.25">
      <c r="D4051" s="13">
        <v>502</v>
      </c>
      <c r="E4051" s="132" t="str">
        <f>INDEX([1]道具配置表!$D:$D,MATCH(D4051,[1]道具配置表!$A:$A,0))</f>
        <v>1万资源自选宝箱</v>
      </c>
      <c r="F4051" s="13">
        <v>400</v>
      </c>
      <c r="K4051" s="55">
        <v>1</v>
      </c>
      <c r="L4051" s="55"/>
      <c r="M4051" s="55" t="b">
        <v>1</v>
      </c>
    </row>
    <row r="4052" spans="1:13" x14ac:dyDescent="0.25">
      <c r="A4052" s="13">
        <v>6634103</v>
      </c>
      <c r="B4052" s="13" t="s">
        <v>696</v>
      </c>
      <c r="D4052" s="13">
        <v>7003</v>
      </c>
      <c r="E4052" s="132" t="str">
        <f>INDEX([1]道具配置表!$D:$D,MATCH(D4052,[1]道具配置表!$A:$A,0))</f>
        <v>1银币（立即使用，不进背包）</v>
      </c>
      <c r="F4052" s="13">
        <v>6000</v>
      </c>
      <c r="K4052" s="55">
        <v>1</v>
      </c>
      <c r="L4052" s="55"/>
      <c r="M4052" s="55" t="b">
        <v>1</v>
      </c>
    </row>
    <row r="4053" spans="1:13" x14ac:dyDescent="0.25">
      <c r="D4053" s="13">
        <v>6105</v>
      </c>
      <c r="E4053" s="132" t="str">
        <f>INDEX([1]道具配置表!$D:$D,MATCH(D4053,[1]道具配置表!$A:$A,0))</f>
        <v>60分钟通用加速</v>
      </c>
      <c r="F4053" s="13">
        <v>15</v>
      </c>
      <c r="K4053" s="55">
        <v>1</v>
      </c>
      <c r="L4053" s="55"/>
      <c r="M4053" s="55" t="b">
        <v>1</v>
      </c>
    </row>
    <row r="4054" spans="1:13" x14ac:dyDescent="0.25">
      <c r="D4054" s="13">
        <v>502</v>
      </c>
      <c r="E4054" s="132" t="str">
        <f>INDEX([1]道具配置表!$D:$D,MATCH(D4054,[1]道具配置表!$A:$A,0))</f>
        <v>1万资源自选宝箱</v>
      </c>
      <c r="F4054" s="13">
        <v>300</v>
      </c>
      <c r="K4054" s="55">
        <v>1</v>
      </c>
      <c r="L4054" s="55"/>
      <c r="M4054" s="55" t="b">
        <v>1</v>
      </c>
    </row>
    <row r="4055" spans="1:13" x14ac:dyDescent="0.25">
      <c r="A4055" s="13">
        <v>6634104</v>
      </c>
      <c r="B4055" s="13" t="s">
        <v>697</v>
      </c>
      <c r="D4055" s="13">
        <v>7003</v>
      </c>
      <c r="E4055" s="132" t="str">
        <f>INDEX([1]道具配置表!$D:$D,MATCH(D4055,[1]道具配置表!$A:$A,0))</f>
        <v>1银币（立即使用，不进背包）</v>
      </c>
      <c r="F4055" s="13">
        <v>4000</v>
      </c>
      <c r="K4055" s="55">
        <v>1</v>
      </c>
      <c r="L4055" s="55"/>
      <c r="M4055" s="55" t="b">
        <v>1</v>
      </c>
    </row>
    <row r="4056" spans="1:13" x14ac:dyDescent="0.25">
      <c r="D4056" s="13">
        <v>6105</v>
      </c>
      <c r="E4056" s="132" t="str">
        <f>INDEX([1]道具配置表!$D:$D,MATCH(D4056,[1]道具配置表!$A:$A,0))</f>
        <v>60分钟通用加速</v>
      </c>
      <c r="F4056" s="13">
        <v>10</v>
      </c>
      <c r="K4056" s="55">
        <v>1</v>
      </c>
      <c r="L4056" s="55"/>
      <c r="M4056" s="55" t="b">
        <v>1</v>
      </c>
    </row>
    <row r="4057" spans="1:13" x14ac:dyDescent="0.25">
      <c r="D4057" s="13">
        <v>502</v>
      </c>
      <c r="E4057" s="132" t="str">
        <f>INDEX([1]道具配置表!$D:$D,MATCH(D4057,[1]道具配置表!$A:$A,0))</f>
        <v>1万资源自选宝箱</v>
      </c>
      <c r="F4057" s="13">
        <v>200</v>
      </c>
      <c r="K4057" s="55">
        <v>1</v>
      </c>
      <c r="L4057" s="55"/>
      <c r="M4057" s="55" t="b">
        <v>1</v>
      </c>
    </row>
    <row r="4058" spans="1:13" x14ac:dyDescent="0.25">
      <c r="A4058" s="13">
        <v>6634105</v>
      </c>
      <c r="B4058" s="13" t="s">
        <v>698</v>
      </c>
      <c r="D4058" s="13">
        <v>7003</v>
      </c>
      <c r="E4058" s="132" t="str">
        <f>INDEX([1]道具配置表!$D:$D,MATCH(D4058,[1]道具配置表!$A:$A,0))</f>
        <v>1银币（立即使用，不进背包）</v>
      </c>
      <c r="F4058" s="13">
        <v>2000</v>
      </c>
      <c r="K4058" s="55">
        <v>1</v>
      </c>
      <c r="L4058" s="55"/>
      <c r="M4058" s="55" t="b">
        <v>1</v>
      </c>
    </row>
    <row r="4059" spans="1:13" x14ac:dyDescent="0.25">
      <c r="D4059" s="13">
        <v>6105</v>
      </c>
      <c r="E4059" s="132" t="str">
        <f>INDEX([1]道具配置表!$D:$D,MATCH(D4059,[1]道具配置表!$A:$A,0))</f>
        <v>60分钟通用加速</v>
      </c>
      <c r="F4059" s="13">
        <v>8</v>
      </c>
      <c r="K4059" s="55">
        <v>1</v>
      </c>
      <c r="L4059" s="55"/>
      <c r="M4059" s="55" t="b">
        <v>1</v>
      </c>
    </row>
    <row r="4060" spans="1:13" x14ac:dyDescent="0.25">
      <c r="D4060" s="13">
        <v>502</v>
      </c>
      <c r="E4060" s="132" t="str">
        <f>INDEX([1]道具配置表!$D:$D,MATCH(D4060,[1]道具配置表!$A:$A,0))</f>
        <v>1万资源自选宝箱</v>
      </c>
      <c r="F4060" s="13">
        <v>160</v>
      </c>
      <c r="K4060" s="55">
        <v>1</v>
      </c>
      <c r="L4060" s="55"/>
      <c r="M4060" s="55" t="b">
        <v>1</v>
      </c>
    </row>
    <row r="4061" spans="1:13" x14ac:dyDescent="0.25">
      <c r="A4061" s="13">
        <v>6634106</v>
      </c>
      <c r="B4061" s="13" t="s">
        <v>699</v>
      </c>
      <c r="D4061" s="13">
        <v>7003</v>
      </c>
      <c r="E4061" s="132" t="str">
        <f>INDEX([1]道具配置表!$D:$D,MATCH(D4061,[1]道具配置表!$A:$A,0))</f>
        <v>1银币（立即使用，不进背包）</v>
      </c>
      <c r="F4061" s="13">
        <v>1000</v>
      </c>
      <c r="K4061" s="55">
        <v>1</v>
      </c>
      <c r="L4061" s="55"/>
      <c r="M4061" s="55" t="b">
        <v>1</v>
      </c>
    </row>
    <row r="4062" spans="1:13" x14ac:dyDescent="0.25">
      <c r="D4062" s="13">
        <v>6105</v>
      </c>
      <c r="E4062" s="132" t="str">
        <f>INDEX([1]道具配置表!$D:$D,MATCH(D4062,[1]道具配置表!$A:$A,0))</f>
        <v>60分钟通用加速</v>
      </c>
      <c r="F4062" s="13">
        <v>7</v>
      </c>
      <c r="K4062" s="55">
        <v>1</v>
      </c>
      <c r="L4062" s="55"/>
      <c r="M4062" s="55" t="b">
        <v>1</v>
      </c>
    </row>
    <row r="4063" spans="1:13" x14ac:dyDescent="0.25">
      <c r="D4063" s="13">
        <v>502</v>
      </c>
      <c r="E4063" s="132" t="str">
        <f>INDEX([1]道具配置表!$D:$D,MATCH(D4063,[1]道具配置表!$A:$A,0))</f>
        <v>1万资源自选宝箱</v>
      </c>
      <c r="F4063" s="13">
        <v>140</v>
      </c>
      <c r="K4063" s="55">
        <v>1</v>
      </c>
      <c r="L4063" s="55"/>
      <c r="M4063" s="55" t="b">
        <v>1</v>
      </c>
    </row>
    <row r="4064" spans="1:13" x14ac:dyDescent="0.25">
      <c r="A4064" s="13">
        <v>6634107</v>
      </c>
      <c r="B4064" s="13" t="s">
        <v>700</v>
      </c>
      <c r="D4064" s="13">
        <v>7003</v>
      </c>
      <c r="E4064" s="132" t="str">
        <f>INDEX([1]道具配置表!$D:$D,MATCH(D4064,[1]道具配置表!$A:$A,0))</f>
        <v>1银币（立即使用，不进背包）</v>
      </c>
      <c r="F4064" s="13">
        <v>700</v>
      </c>
      <c r="K4064" s="55">
        <v>1</v>
      </c>
      <c r="L4064" s="55"/>
      <c r="M4064" s="55" t="b">
        <v>1</v>
      </c>
    </row>
    <row r="4065" spans="1:13" x14ac:dyDescent="0.25">
      <c r="D4065" s="13">
        <v>6105</v>
      </c>
      <c r="E4065" s="132" t="str">
        <f>INDEX([1]道具配置表!$D:$D,MATCH(D4065,[1]道具配置表!$A:$A,0))</f>
        <v>60分钟通用加速</v>
      </c>
      <c r="F4065" s="13">
        <v>6</v>
      </c>
      <c r="K4065" s="55">
        <v>1</v>
      </c>
      <c r="L4065" s="55"/>
      <c r="M4065" s="55" t="b">
        <v>1</v>
      </c>
    </row>
    <row r="4066" spans="1:13" x14ac:dyDescent="0.25">
      <c r="D4066" s="13">
        <v>502</v>
      </c>
      <c r="E4066" s="132" t="str">
        <f>INDEX([1]道具配置表!$D:$D,MATCH(D4066,[1]道具配置表!$A:$A,0))</f>
        <v>1万资源自选宝箱</v>
      </c>
      <c r="F4066" s="13">
        <v>120</v>
      </c>
      <c r="K4066" s="55">
        <v>1</v>
      </c>
      <c r="L4066" s="55"/>
      <c r="M4066" s="55" t="b">
        <v>1</v>
      </c>
    </row>
    <row r="4067" spans="1:13" x14ac:dyDescent="0.25">
      <c r="A4067" s="13">
        <v>6634108</v>
      </c>
      <c r="B4067" s="13" t="s">
        <v>701</v>
      </c>
      <c r="D4067" s="13">
        <v>7003</v>
      </c>
      <c r="E4067" s="132" t="str">
        <f>INDEX([1]道具配置表!$D:$D,MATCH(D4067,[1]道具配置表!$A:$A,0))</f>
        <v>1银币（立即使用，不进背包）</v>
      </c>
      <c r="F4067" s="13">
        <v>600</v>
      </c>
      <c r="K4067" s="55">
        <v>1</v>
      </c>
      <c r="L4067" s="55"/>
      <c r="M4067" s="55" t="b">
        <v>1</v>
      </c>
    </row>
    <row r="4068" spans="1:13" x14ac:dyDescent="0.25">
      <c r="D4068" s="13">
        <v>6105</v>
      </c>
      <c r="E4068" s="132" t="str">
        <f>INDEX([1]道具配置表!$D:$D,MATCH(D4068,[1]道具配置表!$A:$A,0))</f>
        <v>60分钟通用加速</v>
      </c>
      <c r="F4068" s="13">
        <v>5</v>
      </c>
      <c r="K4068" s="55">
        <v>1</v>
      </c>
      <c r="L4068" s="55"/>
      <c r="M4068" s="55" t="b">
        <v>1</v>
      </c>
    </row>
    <row r="4069" spans="1:13" x14ac:dyDescent="0.25">
      <c r="D4069" s="13">
        <v>502</v>
      </c>
      <c r="E4069" s="132" t="str">
        <f>INDEX([1]道具配置表!$D:$D,MATCH(D4069,[1]道具配置表!$A:$A,0))</f>
        <v>1万资源自选宝箱</v>
      </c>
      <c r="F4069" s="13">
        <v>100</v>
      </c>
      <c r="K4069" s="55">
        <v>1</v>
      </c>
      <c r="L4069" s="55"/>
      <c r="M4069" s="55" t="b">
        <v>1</v>
      </c>
    </row>
    <row r="4070" spans="1:13" x14ac:dyDescent="0.25">
      <c r="A4070" s="13">
        <v>6634109</v>
      </c>
      <c r="B4070" s="13" t="s">
        <v>702</v>
      </c>
      <c r="D4070" s="13">
        <v>7003</v>
      </c>
      <c r="E4070" s="132" t="str">
        <f>INDEX([1]道具配置表!$D:$D,MATCH(D4070,[1]道具配置表!$A:$A,0))</f>
        <v>1银币（立即使用，不进背包）</v>
      </c>
      <c r="F4070" s="13">
        <v>500</v>
      </c>
      <c r="K4070" s="55">
        <v>1</v>
      </c>
      <c r="L4070" s="55"/>
      <c r="M4070" s="55" t="b">
        <v>1</v>
      </c>
    </row>
    <row r="4071" spans="1:13" x14ac:dyDescent="0.25">
      <c r="D4071" s="13">
        <v>6105</v>
      </c>
      <c r="E4071" s="132" t="str">
        <f>INDEX([1]道具配置表!$D:$D,MATCH(D4071,[1]道具配置表!$A:$A,0))</f>
        <v>60分钟通用加速</v>
      </c>
      <c r="F4071" s="13">
        <v>4</v>
      </c>
      <c r="K4071" s="55">
        <v>1</v>
      </c>
      <c r="L4071" s="55"/>
      <c r="M4071" s="55" t="b">
        <v>1</v>
      </c>
    </row>
    <row r="4072" spans="1:13" x14ac:dyDescent="0.25">
      <c r="D4072" s="13">
        <v>502</v>
      </c>
      <c r="E4072" s="132" t="str">
        <f>INDEX([1]道具配置表!$D:$D,MATCH(D4072,[1]道具配置表!$A:$A,0))</f>
        <v>1万资源自选宝箱</v>
      </c>
      <c r="F4072" s="13">
        <v>80</v>
      </c>
      <c r="K4072" s="55">
        <v>1</v>
      </c>
      <c r="L4072" s="55"/>
      <c r="M4072" s="55" t="b">
        <v>1</v>
      </c>
    </row>
    <row r="4073" spans="1:13" x14ac:dyDescent="0.25">
      <c r="A4073" s="13">
        <v>6634110</v>
      </c>
      <c r="B4073" s="13" t="s">
        <v>703</v>
      </c>
      <c r="D4073" s="13">
        <v>7003</v>
      </c>
      <c r="E4073" s="132" t="str">
        <f>INDEX([1]道具配置表!$D:$D,MATCH(D4073,[1]道具配置表!$A:$A,0))</f>
        <v>1银币（立即使用，不进背包）</v>
      </c>
      <c r="F4073" s="13">
        <v>400</v>
      </c>
      <c r="K4073" s="55">
        <v>1</v>
      </c>
      <c r="L4073" s="55"/>
      <c r="M4073" s="55" t="b">
        <v>1</v>
      </c>
    </row>
    <row r="4074" spans="1:13" x14ac:dyDescent="0.25">
      <c r="D4074" s="13">
        <v>6105</v>
      </c>
      <c r="E4074" s="132" t="str">
        <f>INDEX([1]道具配置表!$D:$D,MATCH(D4074,[1]道具配置表!$A:$A,0))</f>
        <v>60分钟通用加速</v>
      </c>
      <c r="F4074" s="13">
        <v>3</v>
      </c>
      <c r="K4074" s="55">
        <v>1</v>
      </c>
      <c r="L4074" s="55"/>
      <c r="M4074" s="55" t="b">
        <v>1</v>
      </c>
    </row>
    <row r="4075" spans="1:13" x14ac:dyDescent="0.25">
      <c r="D4075" s="13">
        <v>502</v>
      </c>
      <c r="E4075" s="132" t="str">
        <f>INDEX([1]道具配置表!$D:$D,MATCH(D4075,[1]道具配置表!$A:$A,0))</f>
        <v>1万资源自选宝箱</v>
      </c>
      <c r="F4075" s="13">
        <v>60</v>
      </c>
      <c r="K4075" s="55">
        <v>1</v>
      </c>
      <c r="L4075" s="55"/>
      <c r="M4075" s="55" t="b">
        <v>1</v>
      </c>
    </row>
    <row r="4076" spans="1:13" x14ac:dyDescent="0.25">
      <c r="A4076" s="13">
        <v>6634111</v>
      </c>
      <c r="B4076" s="13" t="s">
        <v>704</v>
      </c>
      <c r="D4076" s="13">
        <v>7003</v>
      </c>
      <c r="E4076" s="132" t="str">
        <f>INDEX([1]道具配置表!$D:$D,MATCH(D4076,[1]道具配置表!$A:$A,0))</f>
        <v>1银币（立即使用，不进背包）</v>
      </c>
      <c r="F4076" s="13">
        <v>300</v>
      </c>
      <c r="K4076" s="55">
        <v>1</v>
      </c>
      <c r="L4076" s="55"/>
      <c r="M4076" s="55" t="b">
        <v>1</v>
      </c>
    </row>
    <row r="4077" spans="1:13" x14ac:dyDescent="0.25">
      <c r="D4077" s="13">
        <v>6105</v>
      </c>
      <c r="E4077" s="132" t="str">
        <f>INDEX([1]道具配置表!$D:$D,MATCH(D4077,[1]道具配置表!$A:$A,0))</f>
        <v>60分钟通用加速</v>
      </c>
      <c r="F4077" s="13">
        <v>3</v>
      </c>
      <c r="K4077" s="55">
        <v>1</v>
      </c>
      <c r="L4077" s="55"/>
      <c r="M4077" s="55" t="b">
        <v>1</v>
      </c>
    </row>
    <row r="4078" spans="1:13" x14ac:dyDescent="0.25">
      <c r="D4078" s="13">
        <v>502</v>
      </c>
      <c r="E4078" s="132" t="str">
        <f>INDEX([1]道具配置表!$D:$D,MATCH(D4078,[1]道具配置表!$A:$A,0))</f>
        <v>1万资源自选宝箱</v>
      </c>
      <c r="F4078" s="13">
        <v>40</v>
      </c>
      <c r="K4078" s="55">
        <v>1</v>
      </c>
      <c r="L4078" s="55"/>
      <c r="M4078" s="55" t="b">
        <v>1</v>
      </c>
    </row>
    <row r="4079" spans="1:13" x14ac:dyDescent="0.25">
      <c r="A4079" s="13">
        <v>6634112</v>
      </c>
      <c r="B4079" s="13" t="s">
        <v>705</v>
      </c>
      <c r="D4079" s="13">
        <v>7003</v>
      </c>
      <c r="E4079" s="132" t="str">
        <f>INDEX([1]道具配置表!$D:$D,MATCH(D4079,[1]道具配置表!$A:$A,0))</f>
        <v>1银币（立即使用，不进背包）</v>
      </c>
      <c r="F4079" s="13">
        <v>200</v>
      </c>
      <c r="K4079" s="55">
        <v>1</v>
      </c>
      <c r="L4079" s="55"/>
      <c r="M4079" s="55" t="b">
        <v>1</v>
      </c>
    </row>
    <row r="4080" spans="1:13" x14ac:dyDescent="0.25">
      <c r="D4080" s="13">
        <v>6105</v>
      </c>
      <c r="E4080" s="132" t="str">
        <f>INDEX([1]道具配置表!$D:$D,MATCH(D4080,[1]道具配置表!$A:$A,0))</f>
        <v>60分钟通用加速</v>
      </c>
      <c r="F4080" s="13">
        <v>1</v>
      </c>
      <c r="K4080" s="55">
        <v>1</v>
      </c>
      <c r="L4080" s="55"/>
      <c r="M4080" s="55" t="b">
        <v>1</v>
      </c>
    </row>
    <row r="4081" spans="1:13" x14ac:dyDescent="0.25">
      <c r="D4081" s="13">
        <v>502</v>
      </c>
      <c r="E4081" s="132" t="str">
        <f>INDEX([1]道具配置表!$D:$D,MATCH(D4081,[1]道具配置表!$A:$A,0))</f>
        <v>1万资源自选宝箱</v>
      </c>
      <c r="F4081" s="13">
        <v>20</v>
      </c>
      <c r="K4081" s="55">
        <v>1</v>
      </c>
      <c r="L4081" s="55"/>
      <c r="M4081" s="55" t="b">
        <v>1</v>
      </c>
    </row>
    <row r="4082" spans="1:13" x14ac:dyDescent="0.25">
      <c r="A4082" s="13">
        <v>6635001</v>
      </c>
      <c r="B4082" s="13" t="s">
        <v>706</v>
      </c>
      <c r="D4082" s="13">
        <v>6165</v>
      </c>
      <c r="E4082" s="132" t="str">
        <f>INDEX([1]道具配置表!$D:$D,MATCH(D4082,[1]道具配置表!$A:$A,0))</f>
        <v>60分钟训练加速</v>
      </c>
      <c r="F4082" s="13" t="s">
        <v>852</v>
      </c>
      <c r="K4082" s="55">
        <v>1</v>
      </c>
      <c r="L4082" s="55"/>
      <c r="M4082" s="55" t="b">
        <v>1</v>
      </c>
    </row>
    <row r="4083" spans="1:13" x14ac:dyDescent="0.25">
      <c r="B4083" s="13" t="s">
        <v>119</v>
      </c>
      <c r="D4083" s="13">
        <v>502</v>
      </c>
      <c r="E4083" s="132" t="str">
        <f>INDEX([1]道具配置表!$D:$D,MATCH(D4083,[1]道具配置表!$A:$A,0))</f>
        <v>1万资源自选宝箱</v>
      </c>
      <c r="F4083" s="13" t="s">
        <v>852</v>
      </c>
      <c r="K4083" s="55">
        <v>1</v>
      </c>
      <c r="L4083" s="55"/>
      <c r="M4083" s="55" t="b">
        <v>1</v>
      </c>
    </row>
    <row r="4084" spans="1:13" x14ac:dyDescent="0.25">
      <c r="A4084" s="13">
        <v>6635002</v>
      </c>
      <c r="B4084" s="13" t="s">
        <v>707</v>
      </c>
      <c r="D4084" s="13">
        <v>6165</v>
      </c>
      <c r="E4084" s="132" t="str">
        <f>INDEX([1]道具配置表!$D:$D,MATCH(D4084,[1]道具配置表!$A:$A,0))</f>
        <v>60分钟训练加速</v>
      </c>
      <c r="F4084" s="13" t="s">
        <v>852</v>
      </c>
      <c r="K4084" s="55">
        <v>1</v>
      </c>
      <c r="L4084" s="55"/>
      <c r="M4084" s="55" t="b">
        <v>1</v>
      </c>
    </row>
    <row r="4085" spans="1:13" x14ac:dyDescent="0.25">
      <c r="B4085" s="13" t="s">
        <v>119</v>
      </c>
      <c r="D4085" s="13">
        <v>502</v>
      </c>
      <c r="E4085" s="132" t="str">
        <f>INDEX([1]道具配置表!$D:$D,MATCH(D4085,[1]道具配置表!$A:$A,0))</f>
        <v>1万资源自选宝箱</v>
      </c>
      <c r="F4085" s="13" t="s">
        <v>853</v>
      </c>
      <c r="K4085" s="55">
        <v>1</v>
      </c>
      <c r="L4085" s="55"/>
      <c r="M4085" s="55" t="b">
        <v>1</v>
      </c>
    </row>
    <row r="4086" spans="1:13" x14ac:dyDescent="0.25">
      <c r="A4086" s="13">
        <v>6635003</v>
      </c>
      <c r="B4086" s="13" t="s">
        <v>708</v>
      </c>
      <c r="D4086" s="13">
        <v>6165</v>
      </c>
      <c r="E4086" s="132" t="str">
        <f>INDEX([1]道具配置表!$D:$D,MATCH(D4086,[1]道具配置表!$A:$A,0))</f>
        <v>60分钟训练加速</v>
      </c>
      <c r="F4086" s="13" t="s">
        <v>852</v>
      </c>
      <c r="K4086" s="55">
        <v>1</v>
      </c>
      <c r="L4086" s="55"/>
      <c r="M4086" s="55" t="b">
        <v>1</v>
      </c>
    </row>
    <row r="4087" spans="1:13" x14ac:dyDescent="0.25">
      <c r="B4087" s="13" t="s">
        <v>119</v>
      </c>
      <c r="D4087" s="13">
        <v>502</v>
      </c>
      <c r="E4087" s="132" t="str">
        <f>INDEX([1]道具配置表!$D:$D,MATCH(D4087,[1]道具配置表!$A:$A,0))</f>
        <v>1万资源自选宝箱</v>
      </c>
      <c r="F4087" s="13" t="s">
        <v>854</v>
      </c>
      <c r="K4087" s="55">
        <v>1</v>
      </c>
      <c r="L4087" s="55"/>
      <c r="M4087" s="55" t="b">
        <v>1</v>
      </c>
    </row>
    <row r="4088" spans="1:13" x14ac:dyDescent="0.25">
      <c r="A4088" s="13">
        <v>6635004</v>
      </c>
      <c r="B4088" s="13" t="s">
        <v>709</v>
      </c>
      <c r="D4088" s="13">
        <v>6165</v>
      </c>
      <c r="E4088" s="132" t="str">
        <f>INDEX([1]道具配置表!$D:$D,MATCH(D4088,[1]道具配置表!$A:$A,0))</f>
        <v>60分钟训练加速</v>
      </c>
      <c r="F4088" s="13" t="s">
        <v>852</v>
      </c>
      <c r="K4088" s="55">
        <v>1</v>
      </c>
      <c r="L4088" s="55"/>
      <c r="M4088" s="55" t="b">
        <v>1</v>
      </c>
    </row>
    <row r="4089" spans="1:13" x14ac:dyDescent="0.25">
      <c r="B4089" s="13" t="s">
        <v>119</v>
      </c>
      <c r="D4089" s="13">
        <v>502</v>
      </c>
      <c r="E4089" s="132" t="str">
        <f>INDEX([1]道具配置表!$D:$D,MATCH(D4089,[1]道具配置表!$A:$A,0))</f>
        <v>1万资源自选宝箱</v>
      </c>
      <c r="F4089" s="13" t="s">
        <v>855</v>
      </c>
      <c r="K4089" s="55">
        <v>1</v>
      </c>
      <c r="L4089" s="55"/>
      <c r="M4089" s="55" t="b">
        <v>1</v>
      </c>
    </row>
    <row r="4090" spans="1:13" x14ac:dyDescent="0.25">
      <c r="A4090" s="13">
        <v>6635005</v>
      </c>
      <c r="B4090" s="13" t="s">
        <v>710</v>
      </c>
      <c r="D4090" s="13">
        <v>6165</v>
      </c>
      <c r="E4090" s="132" t="str">
        <f>INDEX([1]道具配置表!$D:$D,MATCH(D4090,[1]道具配置表!$A:$A,0))</f>
        <v>60分钟训练加速</v>
      </c>
      <c r="F4090" s="13" t="s">
        <v>852</v>
      </c>
      <c r="K4090" s="55">
        <v>1</v>
      </c>
      <c r="L4090" s="55"/>
      <c r="M4090" s="55" t="b">
        <v>1</v>
      </c>
    </row>
    <row r="4091" spans="1:13" x14ac:dyDescent="0.25">
      <c r="B4091" s="13" t="s">
        <v>119</v>
      </c>
      <c r="D4091" s="13">
        <v>502</v>
      </c>
      <c r="E4091" s="132" t="str">
        <f>INDEX([1]道具配置表!$D:$D,MATCH(D4091,[1]道具配置表!$A:$A,0))</f>
        <v>1万资源自选宝箱</v>
      </c>
      <c r="F4091" s="13" t="s">
        <v>856</v>
      </c>
      <c r="K4091" s="55">
        <v>1</v>
      </c>
      <c r="L4091" s="55"/>
      <c r="M4091" s="55" t="b">
        <v>1</v>
      </c>
    </row>
    <row r="4092" spans="1:13" x14ac:dyDescent="0.25">
      <c r="A4092" s="13">
        <v>6635006</v>
      </c>
      <c r="B4092" s="13" t="s">
        <v>711</v>
      </c>
      <c r="D4092" s="13">
        <v>6165</v>
      </c>
      <c r="E4092" s="132" t="str">
        <f>INDEX([1]道具配置表!$D:$D,MATCH(D4092,[1]道具配置表!$A:$A,0))</f>
        <v>60分钟训练加速</v>
      </c>
      <c r="F4092" s="13" t="s">
        <v>852</v>
      </c>
      <c r="K4092" s="55">
        <v>1</v>
      </c>
      <c r="L4092" s="55"/>
      <c r="M4092" s="55" t="b">
        <v>1</v>
      </c>
    </row>
    <row r="4093" spans="1:13" x14ac:dyDescent="0.25">
      <c r="B4093" s="13" t="s">
        <v>119</v>
      </c>
      <c r="D4093" s="13">
        <v>502</v>
      </c>
      <c r="E4093" s="132" t="str">
        <f>INDEX([1]道具配置表!$D:$D,MATCH(D4093,[1]道具配置表!$A:$A,0))</f>
        <v>1万资源自选宝箱</v>
      </c>
      <c r="F4093" s="13" t="s">
        <v>857</v>
      </c>
      <c r="K4093" s="55">
        <v>1</v>
      </c>
      <c r="L4093" s="55"/>
      <c r="M4093" s="55" t="b">
        <v>1</v>
      </c>
    </row>
    <row r="4094" spans="1:13" x14ac:dyDescent="0.25">
      <c r="A4094" s="13">
        <v>6635007</v>
      </c>
      <c r="B4094" s="13" t="s">
        <v>712</v>
      </c>
      <c r="D4094" s="13">
        <v>6165</v>
      </c>
      <c r="E4094" s="132" t="str">
        <f>INDEX([1]道具配置表!$D:$D,MATCH(D4094,[1]道具配置表!$A:$A,0))</f>
        <v>60分钟训练加速</v>
      </c>
      <c r="F4094" s="13" t="s">
        <v>852</v>
      </c>
      <c r="K4094" s="55">
        <v>1</v>
      </c>
      <c r="L4094" s="55"/>
      <c r="M4094" s="55" t="b">
        <v>1</v>
      </c>
    </row>
    <row r="4095" spans="1:13" x14ac:dyDescent="0.25">
      <c r="B4095" s="13" t="s">
        <v>119</v>
      </c>
      <c r="D4095" s="13">
        <v>502</v>
      </c>
      <c r="E4095" s="132" t="str">
        <f>INDEX([1]道具配置表!$D:$D,MATCH(D4095,[1]道具配置表!$A:$A,0))</f>
        <v>1万资源自选宝箱</v>
      </c>
      <c r="F4095" s="13" t="s">
        <v>859</v>
      </c>
      <c r="K4095" s="55">
        <v>1</v>
      </c>
      <c r="L4095" s="55"/>
      <c r="M4095" s="55" t="b">
        <v>1</v>
      </c>
    </row>
    <row r="4096" spans="1:13" x14ac:dyDescent="0.25">
      <c r="A4096" s="13">
        <v>6635008</v>
      </c>
      <c r="B4096" s="13" t="s">
        <v>713</v>
      </c>
      <c r="D4096" s="13">
        <v>6165</v>
      </c>
      <c r="E4096" s="132" t="str">
        <f>INDEX([1]道具配置表!$D:$D,MATCH(D4096,[1]道具配置表!$A:$A,0))</f>
        <v>60分钟训练加速</v>
      </c>
      <c r="F4096" s="13" t="s">
        <v>852</v>
      </c>
      <c r="K4096" s="55">
        <v>1</v>
      </c>
      <c r="L4096" s="55"/>
      <c r="M4096" s="55" t="b">
        <v>1</v>
      </c>
    </row>
    <row r="4097" spans="1:13" x14ac:dyDescent="0.25">
      <c r="B4097" s="13" t="s">
        <v>119</v>
      </c>
      <c r="D4097" s="13">
        <v>502</v>
      </c>
      <c r="E4097" s="132" t="str">
        <f>INDEX([1]道具配置表!$D:$D,MATCH(D4097,[1]道具配置表!$A:$A,0))</f>
        <v>1万资源自选宝箱</v>
      </c>
      <c r="F4097" s="13" t="s">
        <v>858</v>
      </c>
      <c r="K4097" s="55">
        <v>1</v>
      </c>
      <c r="L4097" s="55"/>
      <c r="M4097" s="55" t="b">
        <v>1</v>
      </c>
    </row>
    <row r="4098" spans="1:13" x14ac:dyDescent="0.25">
      <c r="A4098" s="13">
        <v>6635009</v>
      </c>
      <c r="B4098" s="13" t="s">
        <v>714</v>
      </c>
      <c r="D4098" s="13">
        <v>6165</v>
      </c>
      <c r="E4098" s="132" t="str">
        <f>INDEX([1]道具配置表!$D:$D,MATCH(D4098,[1]道具配置表!$A:$A,0))</f>
        <v>60分钟训练加速</v>
      </c>
      <c r="F4098" s="13" t="s">
        <v>852</v>
      </c>
      <c r="K4098" s="55">
        <v>1</v>
      </c>
      <c r="L4098" s="55"/>
      <c r="M4098" s="55" t="b">
        <v>1</v>
      </c>
    </row>
    <row r="4099" spans="1:13" x14ac:dyDescent="0.25">
      <c r="B4099" s="13" t="s">
        <v>119</v>
      </c>
      <c r="D4099" s="13">
        <v>502</v>
      </c>
      <c r="E4099" s="132" t="str">
        <f>INDEX([1]道具配置表!$D:$D,MATCH(D4099,[1]道具配置表!$A:$A,0))</f>
        <v>1万资源自选宝箱</v>
      </c>
      <c r="F4099" s="13" t="s">
        <v>860</v>
      </c>
      <c r="K4099" s="55">
        <v>1</v>
      </c>
      <c r="L4099" s="55"/>
      <c r="M4099" s="55" t="b">
        <v>1</v>
      </c>
    </row>
    <row r="4100" spans="1:13" x14ac:dyDescent="0.25">
      <c r="A4100" s="13">
        <v>6635010</v>
      </c>
      <c r="B4100" s="13" t="s">
        <v>715</v>
      </c>
      <c r="D4100" s="13">
        <v>6165</v>
      </c>
      <c r="E4100" s="132" t="str">
        <f>INDEX([1]道具配置表!$D:$D,MATCH(D4100,[1]道具配置表!$A:$A,0))</f>
        <v>60分钟训练加速</v>
      </c>
      <c r="F4100" s="13" t="s">
        <v>852</v>
      </c>
      <c r="K4100" s="55">
        <v>1</v>
      </c>
      <c r="L4100" s="55"/>
      <c r="M4100" s="55" t="b">
        <v>1</v>
      </c>
    </row>
    <row r="4101" spans="1:13" x14ac:dyDescent="0.25">
      <c r="B4101" s="13" t="s">
        <v>119</v>
      </c>
      <c r="D4101" s="13">
        <v>502</v>
      </c>
      <c r="E4101" s="132" t="str">
        <f>INDEX([1]道具配置表!$D:$D,MATCH(D4101,[1]道具配置表!$A:$A,0))</f>
        <v>1万资源自选宝箱</v>
      </c>
      <c r="F4101" s="13" t="s">
        <v>861</v>
      </c>
      <c r="K4101" s="55">
        <v>1</v>
      </c>
      <c r="L4101" s="55"/>
      <c r="M4101" s="55" t="b">
        <v>1</v>
      </c>
    </row>
    <row r="4102" spans="1:13" x14ac:dyDescent="0.25">
      <c r="A4102" s="13">
        <v>6635011</v>
      </c>
      <c r="B4102" s="13" t="s">
        <v>716</v>
      </c>
      <c r="D4102" s="13">
        <v>6165</v>
      </c>
      <c r="E4102" s="132" t="str">
        <f>INDEX([1]道具配置表!$D:$D,MATCH(D4102,[1]道具配置表!$A:$A,0))</f>
        <v>60分钟训练加速</v>
      </c>
      <c r="F4102" s="13" t="s">
        <v>852</v>
      </c>
      <c r="K4102" s="55">
        <v>1</v>
      </c>
      <c r="L4102" s="55"/>
      <c r="M4102" s="55" t="b">
        <v>1</v>
      </c>
    </row>
    <row r="4103" spans="1:13" x14ac:dyDescent="0.25">
      <c r="B4103" s="13" t="s">
        <v>119</v>
      </c>
      <c r="D4103" s="13">
        <v>502</v>
      </c>
      <c r="E4103" s="132" t="str">
        <f>INDEX([1]道具配置表!$D:$D,MATCH(D4103,[1]道具配置表!$A:$A,0))</f>
        <v>1万资源自选宝箱</v>
      </c>
      <c r="F4103" s="13" t="s">
        <v>862</v>
      </c>
      <c r="K4103" s="55">
        <v>1</v>
      </c>
      <c r="L4103" s="55"/>
      <c r="M4103" s="55" t="b">
        <v>1</v>
      </c>
    </row>
    <row r="4104" spans="1:13" x14ac:dyDescent="0.25">
      <c r="A4104" s="13">
        <v>6635012</v>
      </c>
      <c r="B4104" s="13" t="s">
        <v>717</v>
      </c>
      <c r="D4104" s="13">
        <v>6165</v>
      </c>
      <c r="E4104" s="132" t="str">
        <f>INDEX([1]道具配置表!$D:$D,MATCH(D4104,[1]道具配置表!$A:$A,0))</f>
        <v>60分钟训练加速</v>
      </c>
      <c r="F4104" s="13" t="s">
        <v>852</v>
      </c>
      <c r="K4104" s="55">
        <v>1</v>
      </c>
      <c r="L4104" s="55"/>
      <c r="M4104" s="55" t="b">
        <v>1</v>
      </c>
    </row>
    <row r="4105" spans="1:13" x14ac:dyDescent="0.25">
      <c r="B4105" s="13" t="s">
        <v>119</v>
      </c>
      <c r="D4105" s="13">
        <v>502</v>
      </c>
      <c r="E4105" s="132" t="str">
        <f>INDEX([1]道具配置表!$D:$D,MATCH(D4105,[1]道具配置表!$A:$A,0))</f>
        <v>1万资源自选宝箱</v>
      </c>
      <c r="F4105" s="13" t="s">
        <v>865</v>
      </c>
      <c r="K4105" s="55">
        <v>1</v>
      </c>
      <c r="L4105" s="55"/>
      <c r="M4105" s="55" t="b">
        <v>1</v>
      </c>
    </row>
    <row r="4106" spans="1:13" x14ac:dyDescent="0.25">
      <c r="A4106" s="13">
        <v>6635013</v>
      </c>
      <c r="B4106" s="13" t="s">
        <v>718</v>
      </c>
      <c r="D4106" s="13">
        <v>6165</v>
      </c>
      <c r="E4106" s="132" t="str">
        <f>INDEX([1]道具配置表!$D:$D,MATCH(D4106,[1]道具配置表!$A:$A,0))</f>
        <v>60分钟训练加速</v>
      </c>
      <c r="F4106" s="13" t="s">
        <v>852</v>
      </c>
      <c r="K4106" s="55">
        <v>1</v>
      </c>
      <c r="L4106" s="55"/>
      <c r="M4106" s="55" t="b">
        <v>1</v>
      </c>
    </row>
    <row r="4107" spans="1:13" x14ac:dyDescent="0.25">
      <c r="B4107" s="13" t="s">
        <v>119</v>
      </c>
      <c r="D4107" s="13">
        <v>502</v>
      </c>
      <c r="E4107" s="132" t="str">
        <f>INDEX([1]道具配置表!$D:$D,MATCH(D4107,[1]道具配置表!$A:$A,0))</f>
        <v>1万资源自选宝箱</v>
      </c>
      <c r="F4107" s="13" t="s">
        <v>863</v>
      </c>
      <c r="K4107" s="55">
        <v>1</v>
      </c>
      <c r="L4107" s="55"/>
      <c r="M4107" s="55" t="b">
        <v>1</v>
      </c>
    </row>
    <row r="4108" spans="1:13" x14ac:dyDescent="0.25">
      <c r="A4108" s="13">
        <v>6635014</v>
      </c>
      <c r="B4108" s="13" t="s">
        <v>719</v>
      </c>
      <c r="D4108" s="13">
        <v>6165</v>
      </c>
      <c r="E4108" s="132" t="str">
        <f>INDEX([1]道具配置表!$D:$D,MATCH(D4108,[1]道具配置表!$A:$A,0))</f>
        <v>60分钟训练加速</v>
      </c>
      <c r="F4108" s="13" t="s">
        <v>852</v>
      </c>
      <c r="K4108" s="55">
        <v>1</v>
      </c>
      <c r="L4108" s="55"/>
      <c r="M4108" s="55" t="b">
        <v>1</v>
      </c>
    </row>
    <row r="4109" spans="1:13" x14ac:dyDescent="0.25">
      <c r="B4109" s="13" t="s">
        <v>119</v>
      </c>
      <c r="D4109" s="13">
        <v>502</v>
      </c>
      <c r="E4109" s="132" t="str">
        <f>INDEX([1]道具配置表!$D:$D,MATCH(D4109,[1]道具配置表!$A:$A,0))</f>
        <v>1万资源自选宝箱</v>
      </c>
      <c r="F4109" s="13" t="s">
        <v>864</v>
      </c>
      <c r="K4109" s="55">
        <v>1</v>
      </c>
      <c r="L4109" s="55"/>
      <c r="M4109" s="55" t="b">
        <v>1</v>
      </c>
    </row>
    <row r="4110" spans="1:13" x14ac:dyDescent="0.25">
      <c r="A4110" s="13">
        <v>6635015</v>
      </c>
      <c r="B4110" s="13" t="s">
        <v>720</v>
      </c>
      <c r="D4110" s="13">
        <v>6165</v>
      </c>
      <c r="E4110" s="132" t="str">
        <f>INDEX([1]道具配置表!$D:$D,MATCH(D4110,[1]道具配置表!$A:$A,0))</f>
        <v>60分钟训练加速</v>
      </c>
      <c r="F4110" s="13" t="s">
        <v>852</v>
      </c>
      <c r="K4110" s="55">
        <v>1</v>
      </c>
      <c r="L4110" s="55"/>
      <c r="M4110" s="55" t="b">
        <v>1</v>
      </c>
    </row>
    <row r="4111" spans="1:13" x14ac:dyDescent="0.25">
      <c r="B4111" s="13" t="s">
        <v>119</v>
      </c>
      <c r="D4111" s="13">
        <v>502</v>
      </c>
      <c r="E4111" s="132" t="str">
        <f>INDEX([1]道具配置表!$D:$D,MATCH(D4111,[1]道具配置表!$A:$A,0))</f>
        <v>1万资源自选宝箱</v>
      </c>
      <c r="F4111" s="13" t="s">
        <v>866</v>
      </c>
      <c r="K4111" s="55">
        <v>1</v>
      </c>
      <c r="L4111" s="55"/>
      <c r="M4111" s="55" t="b">
        <v>1</v>
      </c>
    </row>
    <row r="4112" spans="1:13" x14ac:dyDescent="0.25">
      <c r="A4112" s="13">
        <v>6635016</v>
      </c>
      <c r="B4112" s="13" t="s">
        <v>721</v>
      </c>
      <c r="D4112" s="13">
        <v>6165</v>
      </c>
      <c r="E4112" s="132" t="str">
        <f>INDEX([1]道具配置表!$D:$D,MATCH(D4112,[1]道具配置表!$A:$A,0))</f>
        <v>60分钟训练加速</v>
      </c>
      <c r="F4112" s="13" t="s">
        <v>852</v>
      </c>
      <c r="K4112" s="55">
        <v>1</v>
      </c>
      <c r="L4112" s="55"/>
      <c r="M4112" s="55" t="b">
        <v>1</v>
      </c>
    </row>
    <row r="4113" spans="1:13" x14ac:dyDescent="0.25">
      <c r="B4113" s="13" t="s">
        <v>119</v>
      </c>
      <c r="D4113" s="13">
        <v>502</v>
      </c>
      <c r="E4113" s="132" t="str">
        <f>INDEX([1]道具配置表!$D:$D,MATCH(D4113,[1]道具配置表!$A:$A,0))</f>
        <v>1万资源自选宝箱</v>
      </c>
      <c r="F4113" s="13" t="s">
        <v>867</v>
      </c>
      <c r="K4113" s="55">
        <v>1</v>
      </c>
      <c r="L4113" s="55"/>
      <c r="M4113" s="55" t="b">
        <v>1</v>
      </c>
    </row>
    <row r="4114" spans="1:13" x14ac:dyDescent="0.25">
      <c r="A4114" s="13">
        <v>6635017</v>
      </c>
      <c r="B4114" s="13" t="s">
        <v>722</v>
      </c>
      <c r="D4114" s="13">
        <v>6165</v>
      </c>
      <c r="E4114" s="132" t="str">
        <f>INDEX([1]道具配置表!$D:$D,MATCH(D4114,[1]道具配置表!$A:$A,0))</f>
        <v>60分钟训练加速</v>
      </c>
      <c r="F4114" s="13" t="s">
        <v>852</v>
      </c>
      <c r="K4114" s="55">
        <v>1</v>
      </c>
      <c r="L4114" s="55"/>
      <c r="M4114" s="55" t="b">
        <v>1</v>
      </c>
    </row>
    <row r="4115" spans="1:13" x14ac:dyDescent="0.25">
      <c r="B4115" s="13" t="s">
        <v>119</v>
      </c>
      <c r="D4115" s="13">
        <v>502</v>
      </c>
      <c r="E4115" s="132" t="str">
        <f>INDEX([1]道具配置表!$D:$D,MATCH(D4115,[1]道具配置表!$A:$A,0))</f>
        <v>1万资源自选宝箱</v>
      </c>
      <c r="F4115" s="13" t="s">
        <v>875</v>
      </c>
      <c r="K4115" s="55">
        <v>1</v>
      </c>
      <c r="L4115" s="55"/>
      <c r="M4115" s="55" t="b">
        <v>1</v>
      </c>
    </row>
    <row r="4116" spans="1:13" x14ac:dyDescent="0.25">
      <c r="A4116" s="13">
        <v>6635018</v>
      </c>
      <c r="B4116" s="13" t="s">
        <v>723</v>
      </c>
      <c r="D4116" s="13">
        <v>6165</v>
      </c>
      <c r="E4116" s="132" t="str">
        <f>INDEX([1]道具配置表!$D:$D,MATCH(D4116,[1]道具配置表!$A:$A,0))</f>
        <v>60分钟训练加速</v>
      </c>
      <c r="F4116" s="13" t="s">
        <v>852</v>
      </c>
      <c r="K4116" s="55">
        <v>1</v>
      </c>
      <c r="L4116" s="55"/>
      <c r="M4116" s="55" t="b">
        <v>1</v>
      </c>
    </row>
    <row r="4117" spans="1:13" x14ac:dyDescent="0.25">
      <c r="B4117" s="13" t="s">
        <v>119</v>
      </c>
      <c r="D4117" s="13">
        <v>502</v>
      </c>
      <c r="E4117" s="132" t="str">
        <f>INDEX([1]道具配置表!$D:$D,MATCH(D4117,[1]道具配置表!$A:$A,0))</f>
        <v>1万资源自选宝箱</v>
      </c>
      <c r="F4117" s="13" t="s">
        <v>868</v>
      </c>
      <c r="K4117" s="55">
        <v>1</v>
      </c>
      <c r="L4117" s="55"/>
      <c r="M4117" s="55" t="b">
        <v>1</v>
      </c>
    </row>
    <row r="4118" spans="1:13" x14ac:dyDescent="0.25">
      <c r="A4118" s="13">
        <v>6635019</v>
      </c>
      <c r="B4118" s="13" t="s">
        <v>724</v>
      </c>
      <c r="D4118" s="13">
        <v>6165</v>
      </c>
      <c r="E4118" s="132" t="str">
        <f>INDEX([1]道具配置表!$D:$D,MATCH(D4118,[1]道具配置表!$A:$A,0))</f>
        <v>60分钟训练加速</v>
      </c>
      <c r="F4118" s="13" t="s">
        <v>852</v>
      </c>
      <c r="K4118" s="55">
        <v>1</v>
      </c>
      <c r="L4118" s="55"/>
      <c r="M4118" s="55" t="b">
        <v>1</v>
      </c>
    </row>
    <row r="4119" spans="1:13" x14ac:dyDescent="0.25">
      <c r="B4119" s="13" t="s">
        <v>119</v>
      </c>
      <c r="D4119" s="13">
        <v>502</v>
      </c>
      <c r="E4119" s="132" t="str">
        <f>INDEX([1]道具配置表!$D:$D,MATCH(D4119,[1]道具配置表!$A:$A,0))</f>
        <v>1万资源自选宝箱</v>
      </c>
      <c r="F4119" s="13" t="s">
        <v>876</v>
      </c>
      <c r="K4119" s="55">
        <v>1</v>
      </c>
      <c r="L4119" s="55"/>
      <c r="M4119" s="55" t="b">
        <v>1</v>
      </c>
    </row>
    <row r="4120" spans="1:13" x14ac:dyDescent="0.25">
      <c r="A4120" s="13">
        <v>6635020</v>
      </c>
      <c r="B4120" s="13" t="s">
        <v>725</v>
      </c>
      <c r="D4120" s="13">
        <v>6165</v>
      </c>
      <c r="E4120" s="132" t="str">
        <f>INDEX([1]道具配置表!$D:$D,MATCH(D4120,[1]道具配置表!$A:$A,0))</f>
        <v>60分钟训练加速</v>
      </c>
      <c r="F4120" s="13" t="s">
        <v>852</v>
      </c>
      <c r="K4120" s="55">
        <v>1</v>
      </c>
      <c r="L4120" s="55"/>
      <c r="M4120" s="55" t="b">
        <v>1</v>
      </c>
    </row>
    <row r="4121" spans="1:13" x14ac:dyDescent="0.25">
      <c r="B4121" s="13" t="s">
        <v>119</v>
      </c>
      <c r="D4121" s="13">
        <v>502</v>
      </c>
      <c r="E4121" s="132" t="str">
        <f>INDEX([1]道具配置表!$D:$D,MATCH(D4121,[1]道具配置表!$A:$A,0))</f>
        <v>1万资源自选宝箱</v>
      </c>
      <c r="F4121" s="13" t="s">
        <v>869</v>
      </c>
      <c r="K4121" s="55">
        <v>1</v>
      </c>
      <c r="L4121" s="55"/>
      <c r="M4121" s="55" t="b">
        <v>1</v>
      </c>
    </row>
    <row r="4122" spans="1:13" x14ac:dyDescent="0.25">
      <c r="A4122" s="13">
        <v>6635021</v>
      </c>
      <c r="B4122" s="13" t="s">
        <v>726</v>
      </c>
      <c r="D4122" s="13">
        <v>6165</v>
      </c>
      <c r="E4122" s="132" t="str">
        <f>INDEX([1]道具配置表!$D:$D,MATCH(D4122,[1]道具配置表!$A:$A,0))</f>
        <v>60分钟训练加速</v>
      </c>
      <c r="F4122" s="13" t="s">
        <v>852</v>
      </c>
      <c r="K4122" s="55">
        <v>1</v>
      </c>
      <c r="L4122" s="55"/>
      <c r="M4122" s="55" t="b">
        <v>1</v>
      </c>
    </row>
    <row r="4123" spans="1:13" x14ac:dyDescent="0.25">
      <c r="B4123" s="13" t="s">
        <v>119</v>
      </c>
      <c r="D4123" s="13">
        <v>502</v>
      </c>
      <c r="E4123" s="132" t="str">
        <f>INDEX([1]道具配置表!$D:$D,MATCH(D4123,[1]道具配置表!$A:$A,0))</f>
        <v>1万资源自选宝箱</v>
      </c>
      <c r="F4123" s="13" t="s">
        <v>877</v>
      </c>
      <c r="K4123" s="55">
        <v>1</v>
      </c>
      <c r="L4123" s="55"/>
      <c r="M4123" s="55" t="b">
        <v>1</v>
      </c>
    </row>
    <row r="4124" spans="1:13" x14ac:dyDescent="0.25">
      <c r="A4124" s="13">
        <v>6635022</v>
      </c>
      <c r="B4124" s="13" t="s">
        <v>727</v>
      </c>
      <c r="D4124" s="13">
        <v>6165</v>
      </c>
      <c r="E4124" s="132" t="str">
        <f>INDEX([1]道具配置表!$D:$D,MATCH(D4124,[1]道具配置表!$A:$A,0))</f>
        <v>60分钟训练加速</v>
      </c>
      <c r="F4124" s="13" t="s">
        <v>852</v>
      </c>
      <c r="K4124" s="55">
        <v>1</v>
      </c>
      <c r="L4124" s="55"/>
      <c r="M4124" s="55" t="b">
        <v>1</v>
      </c>
    </row>
    <row r="4125" spans="1:13" x14ac:dyDescent="0.25">
      <c r="B4125" s="13" t="s">
        <v>119</v>
      </c>
      <c r="D4125" s="13">
        <v>502</v>
      </c>
      <c r="E4125" s="132" t="str">
        <f>INDEX([1]道具配置表!$D:$D,MATCH(D4125,[1]道具配置表!$A:$A,0))</f>
        <v>1万资源自选宝箱</v>
      </c>
      <c r="F4125" s="13" t="s">
        <v>870</v>
      </c>
      <c r="K4125" s="55">
        <v>1</v>
      </c>
      <c r="L4125" s="55"/>
      <c r="M4125" s="55" t="b">
        <v>1</v>
      </c>
    </row>
    <row r="4126" spans="1:13" x14ac:dyDescent="0.25">
      <c r="A4126" s="13">
        <v>6635023</v>
      </c>
      <c r="B4126" s="13" t="s">
        <v>728</v>
      </c>
      <c r="D4126" s="13">
        <v>6165</v>
      </c>
      <c r="E4126" s="132" t="str">
        <f>INDEX([1]道具配置表!$D:$D,MATCH(D4126,[1]道具配置表!$A:$A,0))</f>
        <v>60分钟训练加速</v>
      </c>
      <c r="F4126" s="13" t="s">
        <v>852</v>
      </c>
      <c r="K4126" s="55">
        <v>1</v>
      </c>
      <c r="L4126" s="55"/>
      <c r="M4126" s="55" t="b">
        <v>1</v>
      </c>
    </row>
    <row r="4127" spans="1:13" x14ac:dyDescent="0.25">
      <c r="B4127" s="13" t="s">
        <v>119</v>
      </c>
      <c r="D4127" s="13">
        <v>502</v>
      </c>
      <c r="E4127" s="132" t="str">
        <f>INDEX([1]道具配置表!$D:$D,MATCH(D4127,[1]道具配置表!$A:$A,0))</f>
        <v>1万资源自选宝箱</v>
      </c>
      <c r="F4127" s="13" t="s">
        <v>878</v>
      </c>
      <c r="K4127" s="55">
        <v>1</v>
      </c>
      <c r="L4127" s="55"/>
      <c r="M4127" s="55" t="b">
        <v>1</v>
      </c>
    </row>
    <row r="4128" spans="1:13" x14ac:dyDescent="0.25">
      <c r="A4128" s="13">
        <v>6635024</v>
      </c>
      <c r="B4128" s="13" t="s">
        <v>729</v>
      </c>
      <c r="D4128" s="13">
        <v>6165</v>
      </c>
      <c r="E4128" s="132" t="str">
        <f>INDEX([1]道具配置表!$D:$D,MATCH(D4128,[1]道具配置表!$A:$A,0))</f>
        <v>60分钟训练加速</v>
      </c>
      <c r="F4128" s="13" t="s">
        <v>852</v>
      </c>
      <c r="K4128" s="55">
        <v>1</v>
      </c>
      <c r="L4128" s="55"/>
      <c r="M4128" s="55" t="b">
        <v>1</v>
      </c>
    </row>
    <row r="4129" spans="1:13" x14ac:dyDescent="0.25">
      <c r="B4129" s="13" t="s">
        <v>119</v>
      </c>
      <c r="D4129" s="13">
        <v>502</v>
      </c>
      <c r="E4129" s="132" t="str">
        <f>INDEX([1]道具配置表!$D:$D,MATCH(D4129,[1]道具配置表!$A:$A,0))</f>
        <v>1万资源自选宝箱</v>
      </c>
      <c r="F4129" s="13" t="s">
        <v>871</v>
      </c>
      <c r="K4129" s="55">
        <v>1</v>
      </c>
      <c r="L4129" s="55"/>
      <c r="M4129" s="55" t="b">
        <v>1</v>
      </c>
    </row>
    <row r="4130" spans="1:13" x14ac:dyDescent="0.25">
      <c r="A4130" s="13">
        <v>6635025</v>
      </c>
      <c r="B4130" s="13" t="s">
        <v>730</v>
      </c>
      <c r="D4130" s="13">
        <v>6165</v>
      </c>
      <c r="E4130" s="132" t="str">
        <f>INDEX([1]道具配置表!$D:$D,MATCH(D4130,[1]道具配置表!$A:$A,0))</f>
        <v>60分钟训练加速</v>
      </c>
      <c r="F4130" s="13" t="s">
        <v>852</v>
      </c>
      <c r="K4130" s="55">
        <v>1</v>
      </c>
      <c r="L4130" s="55"/>
      <c r="M4130" s="55" t="b">
        <v>1</v>
      </c>
    </row>
    <row r="4131" spans="1:13" x14ac:dyDescent="0.25">
      <c r="B4131" s="13" t="s">
        <v>119</v>
      </c>
      <c r="D4131" s="13">
        <v>502</v>
      </c>
      <c r="E4131" s="132" t="str">
        <f>INDEX([1]道具配置表!$D:$D,MATCH(D4131,[1]道具配置表!$A:$A,0))</f>
        <v>1万资源自选宝箱</v>
      </c>
      <c r="F4131" s="13" t="s">
        <v>879</v>
      </c>
      <c r="K4131" s="55">
        <v>1</v>
      </c>
      <c r="L4131" s="55"/>
      <c r="M4131" s="55" t="b">
        <v>1</v>
      </c>
    </row>
    <row r="4132" spans="1:13" x14ac:dyDescent="0.25">
      <c r="A4132" s="13">
        <v>6635026</v>
      </c>
      <c r="B4132" s="13" t="s">
        <v>731</v>
      </c>
      <c r="D4132" s="13">
        <v>6165</v>
      </c>
      <c r="E4132" s="132" t="str">
        <f>INDEX([1]道具配置表!$D:$D,MATCH(D4132,[1]道具配置表!$A:$A,0))</f>
        <v>60分钟训练加速</v>
      </c>
      <c r="F4132" s="13" t="s">
        <v>852</v>
      </c>
      <c r="K4132" s="55">
        <v>1</v>
      </c>
      <c r="L4132" s="55"/>
      <c r="M4132" s="55" t="b">
        <v>1</v>
      </c>
    </row>
    <row r="4133" spans="1:13" x14ac:dyDescent="0.25">
      <c r="B4133" s="13" t="s">
        <v>119</v>
      </c>
      <c r="D4133" s="13">
        <v>502</v>
      </c>
      <c r="E4133" s="132" t="str">
        <f>INDEX([1]道具配置表!$D:$D,MATCH(D4133,[1]道具配置表!$A:$A,0))</f>
        <v>1万资源自选宝箱</v>
      </c>
      <c r="F4133" s="13" t="s">
        <v>872</v>
      </c>
      <c r="K4133" s="55">
        <v>1</v>
      </c>
      <c r="L4133" s="55"/>
      <c r="M4133" s="55" t="b">
        <v>1</v>
      </c>
    </row>
    <row r="4134" spans="1:13" x14ac:dyDescent="0.25">
      <c r="A4134" s="13">
        <v>6635027</v>
      </c>
      <c r="B4134" s="13" t="s">
        <v>732</v>
      </c>
      <c r="D4134" s="13">
        <v>6165</v>
      </c>
      <c r="E4134" s="132" t="str">
        <f>INDEX([1]道具配置表!$D:$D,MATCH(D4134,[1]道具配置表!$A:$A,0))</f>
        <v>60分钟训练加速</v>
      </c>
      <c r="F4134" s="13" t="s">
        <v>852</v>
      </c>
      <c r="K4134" s="55">
        <v>1</v>
      </c>
      <c r="L4134" s="55"/>
      <c r="M4134" s="55" t="b">
        <v>1</v>
      </c>
    </row>
    <row r="4135" spans="1:13" x14ac:dyDescent="0.25">
      <c r="B4135" s="13" t="s">
        <v>119</v>
      </c>
      <c r="D4135" s="13">
        <v>502</v>
      </c>
      <c r="E4135" s="132" t="str">
        <f>INDEX([1]道具配置表!$D:$D,MATCH(D4135,[1]道具配置表!$A:$A,0))</f>
        <v>1万资源自选宝箱</v>
      </c>
      <c r="F4135" s="13" t="s">
        <v>880</v>
      </c>
      <c r="K4135" s="55">
        <v>1</v>
      </c>
      <c r="L4135" s="55"/>
      <c r="M4135" s="55" t="b">
        <v>1</v>
      </c>
    </row>
    <row r="4136" spans="1:13" x14ac:dyDescent="0.25">
      <c r="A4136" s="13">
        <v>6635028</v>
      </c>
      <c r="B4136" s="13" t="s">
        <v>733</v>
      </c>
      <c r="D4136" s="13">
        <v>6165</v>
      </c>
      <c r="E4136" s="132" t="str">
        <f>INDEX([1]道具配置表!$D:$D,MATCH(D4136,[1]道具配置表!$A:$A,0))</f>
        <v>60分钟训练加速</v>
      </c>
      <c r="F4136" s="13" t="s">
        <v>852</v>
      </c>
      <c r="K4136" s="55">
        <v>1</v>
      </c>
      <c r="L4136" s="55"/>
      <c r="M4136" s="55" t="b">
        <v>1</v>
      </c>
    </row>
    <row r="4137" spans="1:13" x14ac:dyDescent="0.25">
      <c r="B4137" s="13" t="s">
        <v>119</v>
      </c>
      <c r="D4137" s="13">
        <v>502</v>
      </c>
      <c r="E4137" s="132" t="str">
        <f>INDEX([1]道具配置表!$D:$D,MATCH(D4137,[1]道具配置表!$A:$A,0))</f>
        <v>1万资源自选宝箱</v>
      </c>
      <c r="F4137" s="13" t="s">
        <v>873</v>
      </c>
      <c r="K4137" s="55">
        <v>1</v>
      </c>
      <c r="L4137" s="55"/>
      <c r="M4137" s="55" t="b">
        <v>1</v>
      </c>
    </row>
    <row r="4138" spans="1:13" x14ac:dyDescent="0.25">
      <c r="A4138" s="13">
        <v>6635029</v>
      </c>
      <c r="B4138" s="13" t="s">
        <v>734</v>
      </c>
      <c r="D4138" s="13">
        <v>6165</v>
      </c>
      <c r="E4138" s="132" t="str">
        <f>INDEX([1]道具配置表!$D:$D,MATCH(D4138,[1]道具配置表!$A:$A,0))</f>
        <v>60分钟训练加速</v>
      </c>
      <c r="F4138" s="13" t="s">
        <v>852</v>
      </c>
      <c r="K4138" s="55">
        <v>1</v>
      </c>
      <c r="L4138" s="55"/>
      <c r="M4138" s="55" t="b">
        <v>1</v>
      </c>
    </row>
    <row r="4139" spans="1:13" x14ac:dyDescent="0.25">
      <c r="B4139" s="13" t="s">
        <v>119</v>
      </c>
      <c r="D4139" s="13">
        <v>502</v>
      </c>
      <c r="E4139" s="132" t="str">
        <f>INDEX([1]道具配置表!$D:$D,MATCH(D4139,[1]道具配置表!$A:$A,0))</f>
        <v>1万资源自选宝箱</v>
      </c>
      <c r="F4139" s="13" t="s">
        <v>881</v>
      </c>
      <c r="K4139" s="55">
        <v>1</v>
      </c>
      <c r="L4139" s="55"/>
      <c r="M4139" s="55" t="b">
        <v>1</v>
      </c>
    </row>
    <row r="4140" spans="1:13" x14ac:dyDescent="0.25">
      <c r="A4140" s="13">
        <v>6635030</v>
      </c>
      <c r="B4140" s="13" t="s">
        <v>735</v>
      </c>
      <c r="D4140" s="13">
        <v>6165</v>
      </c>
      <c r="E4140" s="132" t="str">
        <f>INDEX([1]道具配置表!$D:$D,MATCH(D4140,[1]道具配置表!$A:$A,0))</f>
        <v>60分钟训练加速</v>
      </c>
      <c r="F4140" s="13" t="s">
        <v>853</v>
      </c>
      <c r="K4140" s="55">
        <v>1</v>
      </c>
      <c r="L4140" s="55"/>
      <c r="M4140" s="55" t="b">
        <v>1</v>
      </c>
    </row>
    <row r="4141" spans="1:13" x14ac:dyDescent="0.25">
      <c r="B4141" s="13" t="s">
        <v>119</v>
      </c>
      <c r="D4141" s="13">
        <v>502</v>
      </c>
      <c r="E4141" s="132" t="str">
        <f>INDEX([1]道具配置表!$D:$D,MATCH(D4141,[1]道具配置表!$A:$A,0))</f>
        <v>1万资源自选宝箱</v>
      </c>
      <c r="F4141" s="13" t="s">
        <v>874</v>
      </c>
      <c r="K4141" s="55">
        <v>1</v>
      </c>
      <c r="L4141" s="55"/>
      <c r="M4141" s="55" t="b">
        <v>1</v>
      </c>
    </row>
    <row r="4142" spans="1:13" x14ac:dyDescent="0.25">
      <c r="A4142" s="13">
        <v>6635031</v>
      </c>
      <c r="B4142" s="13" t="s">
        <v>736</v>
      </c>
      <c r="D4142" s="13">
        <v>6165</v>
      </c>
      <c r="E4142" s="132" t="str">
        <f>INDEX([1]道具配置表!$D:$D,MATCH(D4142,[1]道具配置表!$A:$A,0))</f>
        <v>60分钟训练加速</v>
      </c>
      <c r="F4142" s="13" t="s">
        <v>853</v>
      </c>
      <c r="K4142" s="55">
        <v>1</v>
      </c>
      <c r="L4142" s="55"/>
      <c r="M4142" s="55" t="b">
        <v>1</v>
      </c>
    </row>
    <row r="4143" spans="1:13" x14ac:dyDescent="0.25">
      <c r="B4143" s="13" t="s">
        <v>119</v>
      </c>
      <c r="D4143" s="13">
        <v>502</v>
      </c>
      <c r="E4143" s="132" t="str">
        <f>INDEX([1]道具配置表!$D:$D,MATCH(D4143,[1]道具配置表!$A:$A,0))</f>
        <v>1万资源自选宝箱</v>
      </c>
      <c r="F4143" s="13" t="s">
        <v>874</v>
      </c>
      <c r="K4143" s="55">
        <v>1</v>
      </c>
      <c r="L4143" s="55"/>
      <c r="M4143" s="55" t="b">
        <v>1</v>
      </c>
    </row>
    <row r="4144" spans="1:13" x14ac:dyDescent="0.25">
      <c r="A4144" s="13">
        <v>6635032</v>
      </c>
      <c r="B4144" s="13" t="s">
        <v>737</v>
      </c>
      <c r="D4144" s="13">
        <v>6165</v>
      </c>
      <c r="E4144" s="132" t="str">
        <f>INDEX([1]道具配置表!$D:$D,MATCH(D4144,[1]道具配置表!$A:$A,0))</f>
        <v>60分钟训练加速</v>
      </c>
      <c r="F4144" s="13" t="s">
        <v>853</v>
      </c>
      <c r="K4144" s="55">
        <v>1</v>
      </c>
      <c r="L4144" s="55"/>
      <c r="M4144" s="55" t="b">
        <v>1</v>
      </c>
    </row>
    <row r="4145" spans="1:13" x14ac:dyDescent="0.25">
      <c r="B4145" s="13" t="s">
        <v>119</v>
      </c>
      <c r="D4145" s="13">
        <v>502</v>
      </c>
      <c r="E4145" s="132" t="str">
        <f>INDEX([1]道具配置表!$D:$D,MATCH(D4145,[1]道具配置表!$A:$A,0))</f>
        <v>1万资源自选宝箱</v>
      </c>
      <c r="F4145" s="13" t="s">
        <v>874</v>
      </c>
      <c r="K4145" s="55">
        <v>1</v>
      </c>
      <c r="L4145" s="55"/>
      <c r="M4145" s="55" t="b">
        <v>1</v>
      </c>
    </row>
    <row r="4146" spans="1:13" x14ac:dyDescent="0.25">
      <c r="A4146" s="13">
        <v>6635033</v>
      </c>
      <c r="B4146" s="13" t="s">
        <v>738</v>
      </c>
      <c r="D4146" s="13">
        <v>6165</v>
      </c>
      <c r="E4146" s="132" t="str">
        <f>INDEX([1]道具配置表!$D:$D,MATCH(D4146,[1]道具配置表!$A:$A,0))</f>
        <v>60分钟训练加速</v>
      </c>
      <c r="F4146" s="13" t="s">
        <v>853</v>
      </c>
      <c r="K4146" s="55">
        <v>1</v>
      </c>
      <c r="L4146" s="55"/>
      <c r="M4146" s="55" t="b">
        <v>1</v>
      </c>
    </row>
    <row r="4147" spans="1:13" x14ac:dyDescent="0.25">
      <c r="B4147" s="13" t="s">
        <v>119</v>
      </c>
      <c r="D4147" s="13">
        <v>502</v>
      </c>
      <c r="E4147" s="132" t="str">
        <f>INDEX([1]道具配置表!$D:$D,MATCH(D4147,[1]道具配置表!$A:$A,0))</f>
        <v>1万资源自选宝箱</v>
      </c>
      <c r="F4147" s="13" t="s">
        <v>874</v>
      </c>
      <c r="K4147" s="55">
        <v>1</v>
      </c>
      <c r="L4147" s="55"/>
      <c r="M4147" s="55" t="b">
        <v>1</v>
      </c>
    </row>
    <row r="4148" spans="1:13" x14ac:dyDescent="0.25">
      <c r="A4148" s="13">
        <v>6635034</v>
      </c>
      <c r="B4148" s="13" t="s">
        <v>739</v>
      </c>
      <c r="D4148" s="13">
        <v>6165</v>
      </c>
      <c r="E4148" s="132" t="str">
        <f>INDEX([1]道具配置表!$D:$D,MATCH(D4148,[1]道具配置表!$A:$A,0))</f>
        <v>60分钟训练加速</v>
      </c>
      <c r="F4148" s="13" t="s">
        <v>853</v>
      </c>
      <c r="K4148" s="55">
        <v>1</v>
      </c>
      <c r="L4148" s="55"/>
      <c r="M4148" s="55" t="b">
        <v>1</v>
      </c>
    </row>
    <row r="4149" spans="1:13" x14ac:dyDescent="0.25">
      <c r="B4149" s="13" t="s">
        <v>119</v>
      </c>
      <c r="D4149" s="13">
        <v>502</v>
      </c>
      <c r="E4149" s="132" t="str">
        <f>INDEX([1]道具配置表!$D:$D,MATCH(D4149,[1]道具配置表!$A:$A,0))</f>
        <v>1万资源自选宝箱</v>
      </c>
      <c r="F4149" s="13" t="s">
        <v>874</v>
      </c>
      <c r="K4149" s="55">
        <v>1</v>
      </c>
      <c r="L4149" s="55"/>
      <c r="M4149" s="55" t="b">
        <v>1</v>
      </c>
    </row>
    <row r="4150" spans="1:13" x14ac:dyDescent="0.25">
      <c r="A4150" s="13">
        <v>6635035</v>
      </c>
      <c r="B4150" s="13" t="s">
        <v>740</v>
      </c>
      <c r="D4150" s="13">
        <v>6165</v>
      </c>
      <c r="E4150" s="132" t="str">
        <f>INDEX([1]道具配置表!$D:$D,MATCH(D4150,[1]道具配置表!$A:$A,0))</f>
        <v>60分钟训练加速</v>
      </c>
      <c r="F4150" s="13" t="s">
        <v>853</v>
      </c>
      <c r="K4150" s="55">
        <v>1</v>
      </c>
      <c r="L4150" s="55"/>
      <c r="M4150" s="55" t="b">
        <v>1</v>
      </c>
    </row>
    <row r="4151" spans="1:13" x14ac:dyDescent="0.25">
      <c r="B4151" s="13" t="s">
        <v>119</v>
      </c>
      <c r="D4151" s="13">
        <v>502</v>
      </c>
      <c r="E4151" s="132" t="str">
        <f>INDEX([1]道具配置表!$D:$D,MATCH(D4151,[1]道具配置表!$A:$A,0))</f>
        <v>1万资源自选宝箱</v>
      </c>
      <c r="F4151" s="13" t="s">
        <v>874</v>
      </c>
      <c r="K4151" s="55">
        <v>1</v>
      </c>
      <c r="L4151" s="55"/>
      <c r="M4151" s="55" t="b">
        <v>1</v>
      </c>
    </row>
    <row r="4152" spans="1:13" x14ac:dyDescent="0.25">
      <c r="A4152" s="13">
        <v>6635036</v>
      </c>
      <c r="B4152" s="13" t="s">
        <v>741</v>
      </c>
      <c r="D4152" s="13">
        <v>6165</v>
      </c>
      <c r="E4152" s="132" t="str">
        <f>INDEX([1]道具配置表!$D:$D,MATCH(D4152,[1]道具配置表!$A:$A,0))</f>
        <v>60分钟训练加速</v>
      </c>
      <c r="F4152" s="13" t="s">
        <v>853</v>
      </c>
      <c r="K4152" s="55">
        <v>1</v>
      </c>
      <c r="L4152" s="55"/>
      <c r="M4152" s="55" t="b">
        <v>1</v>
      </c>
    </row>
    <row r="4153" spans="1:13" x14ac:dyDescent="0.25">
      <c r="B4153" s="13" t="s">
        <v>119</v>
      </c>
      <c r="D4153" s="13">
        <v>502</v>
      </c>
      <c r="E4153" s="132" t="str">
        <f>INDEX([1]道具配置表!$D:$D,MATCH(D4153,[1]道具配置表!$A:$A,0))</f>
        <v>1万资源自选宝箱</v>
      </c>
      <c r="F4153" s="13" t="s">
        <v>874</v>
      </c>
      <c r="K4153" s="55">
        <v>1</v>
      </c>
      <c r="L4153" s="55"/>
      <c r="M4153" s="55" t="b">
        <v>1</v>
      </c>
    </row>
    <row r="4154" spans="1:13" x14ac:dyDescent="0.25">
      <c r="A4154" s="13">
        <v>6635037</v>
      </c>
      <c r="B4154" s="13" t="s">
        <v>742</v>
      </c>
      <c r="D4154" s="13">
        <v>6165</v>
      </c>
      <c r="E4154" s="132" t="str">
        <f>INDEX([1]道具配置表!$D:$D,MATCH(D4154,[1]道具配置表!$A:$A,0))</f>
        <v>60分钟训练加速</v>
      </c>
      <c r="F4154" s="13" t="s">
        <v>853</v>
      </c>
      <c r="K4154" s="55">
        <v>1</v>
      </c>
      <c r="L4154" s="55"/>
      <c r="M4154" s="55" t="b">
        <v>1</v>
      </c>
    </row>
    <row r="4155" spans="1:13" x14ac:dyDescent="0.25">
      <c r="B4155" s="13" t="s">
        <v>119</v>
      </c>
      <c r="D4155" s="13">
        <v>502</v>
      </c>
      <c r="E4155" s="132" t="str">
        <f>INDEX([1]道具配置表!$D:$D,MATCH(D4155,[1]道具配置表!$A:$A,0))</f>
        <v>1万资源自选宝箱</v>
      </c>
      <c r="F4155" s="13" t="s">
        <v>874</v>
      </c>
      <c r="K4155" s="55">
        <v>1</v>
      </c>
      <c r="L4155" s="55"/>
      <c r="M4155" s="55" t="b">
        <v>1</v>
      </c>
    </row>
    <row r="4156" spans="1:13" x14ac:dyDescent="0.25">
      <c r="A4156" s="13">
        <v>6635038</v>
      </c>
      <c r="B4156" s="13" t="s">
        <v>743</v>
      </c>
      <c r="D4156" s="13">
        <v>6165</v>
      </c>
      <c r="E4156" s="132" t="str">
        <f>INDEX([1]道具配置表!$D:$D,MATCH(D4156,[1]道具配置表!$A:$A,0))</f>
        <v>60分钟训练加速</v>
      </c>
      <c r="F4156" s="13" t="s">
        <v>853</v>
      </c>
      <c r="K4156" s="55">
        <v>1</v>
      </c>
      <c r="L4156" s="55"/>
      <c r="M4156" s="55" t="b">
        <v>1</v>
      </c>
    </row>
    <row r="4157" spans="1:13" x14ac:dyDescent="0.25">
      <c r="B4157" s="13" t="s">
        <v>119</v>
      </c>
      <c r="D4157" s="13">
        <v>502</v>
      </c>
      <c r="E4157" s="132" t="str">
        <f>INDEX([1]道具配置表!$D:$D,MATCH(D4157,[1]道具配置表!$A:$A,0))</f>
        <v>1万资源自选宝箱</v>
      </c>
      <c r="F4157" s="13" t="s">
        <v>874</v>
      </c>
      <c r="K4157" s="55">
        <v>1</v>
      </c>
      <c r="L4157" s="55"/>
      <c r="M4157" s="55" t="b">
        <v>1</v>
      </c>
    </row>
    <row r="4158" spans="1:13" x14ac:dyDescent="0.25">
      <c r="A4158" s="13">
        <v>6635039</v>
      </c>
      <c r="B4158" s="13" t="s">
        <v>744</v>
      </c>
      <c r="D4158" s="13">
        <v>6165</v>
      </c>
      <c r="E4158" s="132" t="str">
        <f>INDEX([1]道具配置表!$D:$D,MATCH(D4158,[1]道具配置表!$A:$A,0))</f>
        <v>60分钟训练加速</v>
      </c>
      <c r="F4158" s="13" t="s">
        <v>853</v>
      </c>
      <c r="K4158" s="55">
        <v>1</v>
      </c>
      <c r="L4158" s="55"/>
      <c r="M4158" s="55" t="b">
        <v>1</v>
      </c>
    </row>
    <row r="4159" spans="1:13" x14ac:dyDescent="0.25">
      <c r="B4159" s="13" t="s">
        <v>119</v>
      </c>
      <c r="D4159" s="13">
        <v>502</v>
      </c>
      <c r="E4159" s="132" t="str">
        <f>INDEX([1]道具配置表!$D:$D,MATCH(D4159,[1]道具配置表!$A:$A,0))</f>
        <v>1万资源自选宝箱</v>
      </c>
      <c r="F4159" s="13" t="s">
        <v>874</v>
      </c>
      <c r="K4159" s="55">
        <v>1</v>
      </c>
      <c r="L4159" s="55"/>
      <c r="M4159" s="55" t="b">
        <v>1</v>
      </c>
    </row>
    <row r="4160" spans="1:13" x14ac:dyDescent="0.25">
      <c r="A4160" s="13">
        <v>6635040</v>
      </c>
      <c r="B4160" s="13" t="s">
        <v>745</v>
      </c>
      <c r="D4160" s="13">
        <v>6165</v>
      </c>
      <c r="E4160" s="132" t="str">
        <f>INDEX([1]道具配置表!$D:$D,MATCH(D4160,[1]道具配置表!$A:$A,0))</f>
        <v>60分钟训练加速</v>
      </c>
      <c r="F4160" s="13" t="s">
        <v>853</v>
      </c>
      <c r="K4160" s="55">
        <v>1</v>
      </c>
      <c r="L4160" s="55"/>
      <c r="M4160" s="55" t="b">
        <v>1</v>
      </c>
    </row>
    <row r="4161" spans="1:13" x14ac:dyDescent="0.25">
      <c r="B4161" s="13" t="s">
        <v>119</v>
      </c>
      <c r="D4161" s="13">
        <v>502</v>
      </c>
      <c r="E4161" s="132" t="str">
        <f>INDEX([1]道具配置表!$D:$D,MATCH(D4161,[1]道具配置表!$A:$A,0))</f>
        <v>1万资源自选宝箱</v>
      </c>
      <c r="F4161" s="13" t="s">
        <v>874</v>
      </c>
      <c r="K4161" s="55">
        <v>1</v>
      </c>
      <c r="L4161" s="55"/>
      <c r="M4161" s="55" t="b">
        <v>1</v>
      </c>
    </row>
    <row r="4162" spans="1:13" x14ac:dyDescent="0.25">
      <c r="A4162" s="13">
        <v>6635041</v>
      </c>
      <c r="B4162" s="13" t="s">
        <v>746</v>
      </c>
      <c r="D4162" s="13">
        <v>6165</v>
      </c>
      <c r="E4162" s="132" t="str">
        <f>INDEX([1]道具配置表!$D:$D,MATCH(D4162,[1]道具配置表!$A:$A,0))</f>
        <v>60分钟训练加速</v>
      </c>
      <c r="F4162" s="13" t="s">
        <v>853</v>
      </c>
      <c r="K4162" s="55">
        <v>1</v>
      </c>
      <c r="L4162" s="55"/>
      <c r="M4162" s="55" t="b">
        <v>1</v>
      </c>
    </row>
    <row r="4163" spans="1:13" x14ac:dyDescent="0.25">
      <c r="B4163" s="13" t="s">
        <v>119</v>
      </c>
      <c r="D4163" s="13">
        <v>502</v>
      </c>
      <c r="E4163" s="132" t="str">
        <f>INDEX([1]道具配置表!$D:$D,MATCH(D4163,[1]道具配置表!$A:$A,0))</f>
        <v>1万资源自选宝箱</v>
      </c>
      <c r="F4163" s="13" t="s">
        <v>874</v>
      </c>
      <c r="K4163" s="55">
        <v>1</v>
      </c>
      <c r="L4163" s="55"/>
      <c r="M4163" s="55" t="b">
        <v>1</v>
      </c>
    </row>
    <row r="4164" spans="1:13" x14ac:dyDescent="0.25">
      <c r="A4164" s="13">
        <v>6635042</v>
      </c>
      <c r="B4164" s="13" t="s">
        <v>747</v>
      </c>
      <c r="D4164" s="13">
        <v>6165</v>
      </c>
      <c r="E4164" s="132" t="str">
        <f>INDEX([1]道具配置表!$D:$D,MATCH(D4164,[1]道具配置表!$A:$A,0))</f>
        <v>60分钟训练加速</v>
      </c>
      <c r="F4164" s="13" t="s">
        <v>853</v>
      </c>
      <c r="K4164" s="55">
        <v>1</v>
      </c>
      <c r="L4164" s="55"/>
      <c r="M4164" s="55" t="b">
        <v>1</v>
      </c>
    </row>
    <row r="4165" spans="1:13" x14ac:dyDescent="0.25">
      <c r="B4165" s="13" t="s">
        <v>119</v>
      </c>
      <c r="D4165" s="13">
        <v>502</v>
      </c>
      <c r="E4165" s="132" t="str">
        <f>INDEX([1]道具配置表!$D:$D,MATCH(D4165,[1]道具配置表!$A:$A,0))</f>
        <v>1万资源自选宝箱</v>
      </c>
      <c r="F4165" s="13" t="s">
        <v>874</v>
      </c>
      <c r="K4165" s="55">
        <v>1</v>
      </c>
      <c r="L4165" s="55"/>
      <c r="M4165" s="55" t="b">
        <v>1</v>
      </c>
    </row>
    <row r="4166" spans="1:13" x14ac:dyDescent="0.25">
      <c r="A4166" s="13">
        <v>6635043</v>
      </c>
      <c r="B4166" s="13" t="s">
        <v>748</v>
      </c>
      <c r="D4166" s="13">
        <v>6165</v>
      </c>
      <c r="E4166" s="132" t="str">
        <f>INDEX([1]道具配置表!$D:$D,MATCH(D4166,[1]道具配置表!$A:$A,0))</f>
        <v>60分钟训练加速</v>
      </c>
      <c r="F4166" s="13" t="s">
        <v>853</v>
      </c>
      <c r="K4166" s="55">
        <v>1</v>
      </c>
      <c r="L4166" s="55"/>
      <c r="M4166" s="55" t="b">
        <v>1</v>
      </c>
    </row>
    <row r="4167" spans="1:13" x14ac:dyDescent="0.25">
      <c r="B4167" s="13" t="s">
        <v>119</v>
      </c>
      <c r="D4167" s="13">
        <v>502</v>
      </c>
      <c r="E4167" s="132" t="str">
        <f>INDEX([1]道具配置表!$D:$D,MATCH(D4167,[1]道具配置表!$A:$A,0))</f>
        <v>1万资源自选宝箱</v>
      </c>
      <c r="F4167" s="13" t="s">
        <v>874</v>
      </c>
      <c r="K4167" s="55">
        <v>1</v>
      </c>
      <c r="L4167" s="55"/>
      <c r="M4167" s="55" t="b">
        <v>1</v>
      </c>
    </row>
    <row r="4168" spans="1:13" x14ac:dyDescent="0.25">
      <c r="A4168" s="13">
        <v>6635044</v>
      </c>
      <c r="B4168" s="13" t="s">
        <v>749</v>
      </c>
      <c r="D4168" s="13">
        <v>6165</v>
      </c>
      <c r="E4168" s="132" t="str">
        <f>INDEX([1]道具配置表!$D:$D,MATCH(D4168,[1]道具配置表!$A:$A,0))</f>
        <v>60分钟训练加速</v>
      </c>
      <c r="F4168" s="13" t="s">
        <v>853</v>
      </c>
      <c r="K4168" s="55">
        <v>1</v>
      </c>
      <c r="L4168" s="55"/>
      <c r="M4168" s="55" t="b">
        <v>1</v>
      </c>
    </row>
    <row r="4169" spans="1:13" x14ac:dyDescent="0.25">
      <c r="B4169" s="13" t="s">
        <v>119</v>
      </c>
      <c r="D4169" s="13">
        <v>502</v>
      </c>
      <c r="E4169" s="132" t="str">
        <f>INDEX([1]道具配置表!$D:$D,MATCH(D4169,[1]道具配置表!$A:$A,0))</f>
        <v>1万资源自选宝箱</v>
      </c>
      <c r="F4169" s="13" t="s">
        <v>874</v>
      </c>
      <c r="K4169" s="55">
        <v>1</v>
      </c>
      <c r="L4169" s="55"/>
      <c r="M4169" s="55" t="b">
        <v>1</v>
      </c>
    </row>
    <row r="4170" spans="1:13" x14ac:dyDescent="0.25">
      <c r="A4170" s="13">
        <v>6635045</v>
      </c>
      <c r="B4170" s="13" t="s">
        <v>750</v>
      </c>
      <c r="D4170" s="13">
        <v>6165</v>
      </c>
      <c r="E4170" s="132" t="str">
        <f>INDEX([1]道具配置表!$D:$D,MATCH(D4170,[1]道具配置表!$A:$A,0))</f>
        <v>60分钟训练加速</v>
      </c>
      <c r="F4170" s="13" t="s">
        <v>853</v>
      </c>
      <c r="K4170" s="55">
        <v>1</v>
      </c>
      <c r="L4170" s="55"/>
      <c r="M4170" s="55" t="b">
        <v>1</v>
      </c>
    </row>
    <row r="4171" spans="1:13" x14ac:dyDescent="0.25">
      <c r="B4171" s="13" t="s">
        <v>119</v>
      </c>
      <c r="D4171" s="13">
        <v>502</v>
      </c>
      <c r="E4171" s="132" t="str">
        <f>INDEX([1]道具配置表!$D:$D,MATCH(D4171,[1]道具配置表!$A:$A,0))</f>
        <v>1万资源自选宝箱</v>
      </c>
      <c r="F4171" s="13" t="s">
        <v>874</v>
      </c>
      <c r="K4171" s="55">
        <v>1</v>
      </c>
      <c r="L4171" s="55"/>
      <c r="M4171" s="55" t="b">
        <v>1</v>
      </c>
    </row>
    <row r="4172" spans="1:13" x14ac:dyDescent="0.25">
      <c r="A4172" s="13">
        <v>6635046</v>
      </c>
      <c r="B4172" s="13" t="s">
        <v>751</v>
      </c>
      <c r="D4172" s="13">
        <v>6165</v>
      </c>
      <c r="E4172" s="132" t="str">
        <f>INDEX([1]道具配置表!$D:$D,MATCH(D4172,[1]道具配置表!$A:$A,0))</f>
        <v>60分钟训练加速</v>
      </c>
      <c r="F4172" s="13" t="s">
        <v>853</v>
      </c>
      <c r="K4172" s="55">
        <v>1</v>
      </c>
      <c r="L4172" s="55"/>
      <c r="M4172" s="55" t="b">
        <v>1</v>
      </c>
    </row>
    <row r="4173" spans="1:13" x14ac:dyDescent="0.25">
      <c r="B4173" s="13" t="s">
        <v>119</v>
      </c>
      <c r="D4173" s="13">
        <v>502</v>
      </c>
      <c r="E4173" s="132" t="str">
        <f>INDEX([1]道具配置表!$D:$D,MATCH(D4173,[1]道具配置表!$A:$A,0))</f>
        <v>1万资源自选宝箱</v>
      </c>
      <c r="F4173" s="13" t="s">
        <v>874</v>
      </c>
      <c r="K4173" s="55">
        <v>1</v>
      </c>
      <c r="L4173" s="55"/>
      <c r="M4173" s="55" t="b">
        <v>1</v>
      </c>
    </row>
    <row r="4174" spans="1:13" x14ac:dyDescent="0.25">
      <c r="A4174" s="13">
        <v>6635047</v>
      </c>
      <c r="B4174" s="13" t="s">
        <v>752</v>
      </c>
      <c r="D4174" s="13">
        <v>6165</v>
      </c>
      <c r="E4174" s="132" t="str">
        <f>INDEX([1]道具配置表!$D:$D,MATCH(D4174,[1]道具配置表!$A:$A,0))</f>
        <v>60分钟训练加速</v>
      </c>
      <c r="F4174" s="13" t="s">
        <v>853</v>
      </c>
      <c r="K4174" s="55">
        <v>1</v>
      </c>
      <c r="L4174" s="55"/>
      <c r="M4174" s="55" t="b">
        <v>1</v>
      </c>
    </row>
    <row r="4175" spans="1:13" x14ac:dyDescent="0.25">
      <c r="B4175" s="13" t="s">
        <v>119</v>
      </c>
      <c r="D4175" s="13">
        <v>502</v>
      </c>
      <c r="E4175" s="132" t="str">
        <f>INDEX([1]道具配置表!$D:$D,MATCH(D4175,[1]道具配置表!$A:$A,0))</f>
        <v>1万资源自选宝箱</v>
      </c>
      <c r="F4175" s="13" t="s">
        <v>874</v>
      </c>
      <c r="K4175" s="55">
        <v>1</v>
      </c>
      <c r="L4175" s="55"/>
      <c r="M4175" s="55" t="b">
        <v>1</v>
      </c>
    </row>
    <row r="4176" spans="1:13" x14ac:dyDescent="0.25">
      <c r="A4176" s="13">
        <v>6635048</v>
      </c>
      <c r="B4176" s="13" t="s">
        <v>753</v>
      </c>
      <c r="D4176" s="13">
        <v>6165</v>
      </c>
      <c r="E4176" s="132" t="str">
        <f>INDEX([1]道具配置表!$D:$D,MATCH(D4176,[1]道具配置表!$A:$A,0))</f>
        <v>60分钟训练加速</v>
      </c>
      <c r="F4176" s="13" t="s">
        <v>853</v>
      </c>
      <c r="K4176" s="55">
        <v>1</v>
      </c>
      <c r="L4176" s="55"/>
      <c r="M4176" s="55" t="b">
        <v>1</v>
      </c>
    </row>
    <row r="4177" spans="1:13" x14ac:dyDescent="0.25">
      <c r="B4177" s="13" t="s">
        <v>119</v>
      </c>
      <c r="D4177" s="13">
        <v>502</v>
      </c>
      <c r="E4177" s="132" t="str">
        <f>INDEX([1]道具配置表!$D:$D,MATCH(D4177,[1]道具配置表!$A:$A,0))</f>
        <v>1万资源自选宝箱</v>
      </c>
      <c r="F4177" s="13" t="s">
        <v>874</v>
      </c>
      <c r="K4177" s="55">
        <v>1</v>
      </c>
      <c r="L4177" s="55"/>
      <c r="M4177" s="55" t="b">
        <v>1</v>
      </c>
    </row>
    <row r="4178" spans="1:13" x14ac:dyDescent="0.25">
      <c r="A4178" s="13">
        <v>6635049</v>
      </c>
      <c r="B4178" s="13" t="s">
        <v>754</v>
      </c>
      <c r="D4178" s="13">
        <v>6165</v>
      </c>
      <c r="E4178" s="132" t="str">
        <f>INDEX([1]道具配置表!$D:$D,MATCH(D4178,[1]道具配置表!$A:$A,0))</f>
        <v>60分钟训练加速</v>
      </c>
      <c r="F4178" s="13" t="s">
        <v>853</v>
      </c>
      <c r="K4178" s="55">
        <v>1</v>
      </c>
      <c r="L4178" s="55"/>
      <c r="M4178" s="55" t="b">
        <v>1</v>
      </c>
    </row>
    <row r="4179" spans="1:13" x14ac:dyDescent="0.25">
      <c r="B4179" s="13" t="s">
        <v>119</v>
      </c>
      <c r="D4179" s="13">
        <v>502</v>
      </c>
      <c r="E4179" s="132" t="str">
        <f>INDEX([1]道具配置表!$D:$D,MATCH(D4179,[1]道具配置表!$A:$A,0))</f>
        <v>1万资源自选宝箱</v>
      </c>
      <c r="F4179" s="13" t="s">
        <v>874</v>
      </c>
      <c r="K4179" s="55">
        <v>1</v>
      </c>
      <c r="L4179" s="55"/>
      <c r="M4179" s="55" t="b">
        <v>1</v>
      </c>
    </row>
    <row r="4180" spans="1:13" x14ac:dyDescent="0.25">
      <c r="A4180" s="13">
        <v>6635050</v>
      </c>
      <c r="B4180" s="13" t="s">
        <v>755</v>
      </c>
      <c r="D4180" s="13">
        <v>6165</v>
      </c>
      <c r="E4180" s="132" t="str">
        <f>INDEX([1]道具配置表!$D:$D,MATCH(D4180,[1]道具配置表!$A:$A,0))</f>
        <v>60分钟训练加速</v>
      </c>
      <c r="F4180" s="13" t="s">
        <v>853</v>
      </c>
      <c r="K4180" s="55">
        <v>1</v>
      </c>
      <c r="L4180" s="55"/>
      <c r="M4180" s="55" t="b">
        <v>1</v>
      </c>
    </row>
    <row r="4181" spans="1:13" x14ac:dyDescent="0.25">
      <c r="B4181" s="13" t="s">
        <v>119</v>
      </c>
      <c r="D4181" s="13">
        <v>502</v>
      </c>
      <c r="E4181" s="132" t="str">
        <f>INDEX([1]道具配置表!$D:$D,MATCH(D4181,[1]道具配置表!$A:$A,0))</f>
        <v>1万资源自选宝箱</v>
      </c>
      <c r="F4181" s="13" t="s">
        <v>874</v>
      </c>
      <c r="K4181" s="55">
        <v>1</v>
      </c>
      <c r="L4181" s="55"/>
      <c r="M4181" s="55" t="b">
        <v>1</v>
      </c>
    </row>
    <row r="4182" spans="1:13" x14ac:dyDescent="0.25">
      <c r="A4182" s="13">
        <v>6635051</v>
      </c>
      <c r="B4182" s="13" t="s">
        <v>756</v>
      </c>
      <c r="D4182" s="13">
        <v>6165</v>
      </c>
      <c r="E4182" s="132" t="str">
        <f>INDEX([1]道具配置表!$D:$D,MATCH(D4182,[1]道具配置表!$A:$A,0))</f>
        <v>60分钟训练加速</v>
      </c>
      <c r="F4182" s="13" t="s">
        <v>853</v>
      </c>
      <c r="K4182" s="55">
        <v>1</v>
      </c>
      <c r="L4182" s="55"/>
      <c r="M4182" s="55" t="b">
        <v>1</v>
      </c>
    </row>
    <row r="4183" spans="1:13" x14ac:dyDescent="0.25">
      <c r="B4183" s="13" t="s">
        <v>119</v>
      </c>
      <c r="D4183" s="13">
        <v>502</v>
      </c>
      <c r="E4183" s="132" t="str">
        <f>INDEX([1]道具配置表!$D:$D,MATCH(D4183,[1]道具配置表!$A:$A,0))</f>
        <v>1万资源自选宝箱</v>
      </c>
      <c r="F4183" s="13" t="s">
        <v>874</v>
      </c>
      <c r="K4183" s="55">
        <v>1</v>
      </c>
      <c r="L4183" s="55"/>
      <c r="M4183" s="55" t="b">
        <v>1</v>
      </c>
    </row>
    <row r="4184" spans="1:13" x14ac:dyDescent="0.25">
      <c r="A4184" s="13">
        <v>6635052</v>
      </c>
      <c r="B4184" s="13" t="s">
        <v>757</v>
      </c>
      <c r="D4184" s="13">
        <v>6165</v>
      </c>
      <c r="E4184" s="132" t="str">
        <f>INDEX([1]道具配置表!$D:$D,MATCH(D4184,[1]道具配置表!$A:$A,0))</f>
        <v>60分钟训练加速</v>
      </c>
      <c r="F4184" s="13" t="s">
        <v>853</v>
      </c>
      <c r="K4184" s="55">
        <v>1</v>
      </c>
      <c r="L4184" s="55"/>
      <c r="M4184" s="55" t="b">
        <v>1</v>
      </c>
    </row>
    <row r="4185" spans="1:13" x14ac:dyDescent="0.25">
      <c r="B4185" s="13" t="s">
        <v>119</v>
      </c>
      <c r="D4185" s="13">
        <v>502</v>
      </c>
      <c r="E4185" s="132" t="str">
        <f>INDEX([1]道具配置表!$D:$D,MATCH(D4185,[1]道具配置表!$A:$A,0))</f>
        <v>1万资源自选宝箱</v>
      </c>
      <c r="F4185" s="13" t="s">
        <v>874</v>
      </c>
      <c r="K4185" s="55">
        <v>1</v>
      </c>
      <c r="L4185" s="55"/>
      <c r="M4185" s="55" t="b">
        <v>1</v>
      </c>
    </row>
    <row r="4186" spans="1:13" x14ac:dyDescent="0.25">
      <c r="A4186" s="13">
        <v>6635053</v>
      </c>
      <c r="B4186" s="13" t="s">
        <v>758</v>
      </c>
      <c r="D4186" s="13">
        <v>6165</v>
      </c>
      <c r="E4186" s="132" t="str">
        <f>INDEX([1]道具配置表!$D:$D,MATCH(D4186,[1]道具配置表!$A:$A,0))</f>
        <v>60分钟训练加速</v>
      </c>
      <c r="F4186" s="13" t="s">
        <v>853</v>
      </c>
      <c r="K4186" s="55">
        <v>1</v>
      </c>
      <c r="L4186" s="55"/>
      <c r="M4186" s="55" t="b">
        <v>1</v>
      </c>
    </row>
    <row r="4187" spans="1:13" x14ac:dyDescent="0.25">
      <c r="B4187" s="13" t="s">
        <v>119</v>
      </c>
      <c r="D4187" s="13">
        <v>502</v>
      </c>
      <c r="E4187" s="132" t="str">
        <f>INDEX([1]道具配置表!$D:$D,MATCH(D4187,[1]道具配置表!$A:$A,0))</f>
        <v>1万资源自选宝箱</v>
      </c>
      <c r="F4187" s="13" t="s">
        <v>874</v>
      </c>
      <c r="K4187" s="55">
        <v>1</v>
      </c>
      <c r="L4187" s="55"/>
      <c r="M4187" s="55" t="b">
        <v>1</v>
      </c>
    </row>
    <row r="4188" spans="1:13" x14ac:dyDescent="0.25">
      <c r="A4188" s="13">
        <v>6635054</v>
      </c>
      <c r="B4188" s="13" t="s">
        <v>759</v>
      </c>
      <c r="D4188" s="13">
        <v>6165</v>
      </c>
      <c r="E4188" s="132" t="str">
        <f>INDEX([1]道具配置表!$D:$D,MATCH(D4188,[1]道具配置表!$A:$A,0))</f>
        <v>60分钟训练加速</v>
      </c>
      <c r="F4188" s="13" t="s">
        <v>853</v>
      </c>
      <c r="K4188" s="55">
        <v>1</v>
      </c>
      <c r="L4188" s="55"/>
      <c r="M4188" s="55" t="b">
        <v>1</v>
      </c>
    </row>
    <row r="4189" spans="1:13" x14ac:dyDescent="0.25">
      <c r="B4189" s="13" t="s">
        <v>119</v>
      </c>
      <c r="D4189" s="13">
        <v>502</v>
      </c>
      <c r="E4189" s="132" t="str">
        <f>INDEX([1]道具配置表!$D:$D,MATCH(D4189,[1]道具配置表!$A:$A,0))</f>
        <v>1万资源自选宝箱</v>
      </c>
      <c r="F4189" s="13" t="s">
        <v>874</v>
      </c>
      <c r="K4189" s="55">
        <v>1</v>
      </c>
      <c r="L4189" s="55"/>
      <c r="M4189" s="55" t="b">
        <v>1</v>
      </c>
    </row>
    <row r="4190" spans="1:13" x14ac:dyDescent="0.25">
      <c r="A4190" s="13">
        <v>6635055</v>
      </c>
      <c r="B4190" s="13" t="s">
        <v>760</v>
      </c>
      <c r="D4190" s="13">
        <v>6165</v>
      </c>
      <c r="E4190" s="132" t="str">
        <f>INDEX([1]道具配置表!$D:$D,MATCH(D4190,[1]道具配置表!$A:$A,0))</f>
        <v>60分钟训练加速</v>
      </c>
      <c r="F4190" s="13" t="s">
        <v>853</v>
      </c>
      <c r="K4190" s="55">
        <v>1</v>
      </c>
      <c r="L4190" s="55"/>
      <c r="M4190" s="55" t="b">
        <v>1</v>
      </c>
    </row>
    <row r="4191" spans="1:13" x14ac:dyDescent="0.25">
      <c r="B4191" s="13" t="s">
        <v>119</v>
      </c>
      <c r="D4191" s="13">
        <v>502</v>
      </c>
      <c r="E4191" s="132" t="str">
        <f>INDEX([1]道具配置表!$D:$D,MATCH(D4191,[1]道具配置表!$A:$A,0))</f>
        <v>1万资源自选宝箱</v>
      </c>
      <c r="F4191" s="13" t="s">
        <v>874</v>
      </c>
      <c r="K4191" s="55">
        <v>1</v>
      </c>
      <c r="L4191" s="55"/>
      <c r="M4191" s="55" t="b">
        <v>1</v>
      </c>
    </row>
    <row r="4192" spans="1:13" x14ac:dyDescent="0.25">
      <c r="A4192" s="13">
        <v>6635056</v>
      </c>
      <c r="B4192" s="13" t="s">
        <v>761</v>
      </c>
      <c r="D4192" s="13">
        <v>6165</v>
      </c>
      <c r="E4192" s="132" t="str">
        <f>INDEX([1]道具配置表!$D:$D,MATCH(D4192,[1]道具配置表!$A:$A,0))</f>
        <v>60分钟训练加速</v>
      </c>
      <c r="F4192" s="13" t="s">
        <v>853</v>
      </c>
      <c r="K4192" s="55">
        <v>1</v>
      </c>
      <c r="L4192" s="55"/>
      <c r="M4192" s="55" t="b">
        <v>1</v>
      </c>
    </row>
    <row r="4193" spans="1:13" x14ac:dyDescent="0.25">
      <c r="B4193" s="13" t="s">
        <v>119</v>
      </c>
      <c r="D4193" s="13">
        <v>502</v>
      </c>
      <c r="E4193" s="132" t="str">
        <f>INDEX([1]道具配置表!$D:$D,MATCH(D4193,[1]道具配置表!$A:$A,0))</f>
        <v>1万资源自选宝箱</v>
      </c>
      <c r="F4193" s="13" t="s">
        <v>874</v>
      </c>
      <c r="K4193" s="55">
        <v>1</v>
      </c>
      <c r="L4193" s="55"/>
      <c r="M4193" s="55" t="b">
        <v>1</v>
      </c>
    </row>
    <row r="4194" spans="1:13" x14ac:dyDescent="0.25">
      <c r="A4194" s="13">
        <v>6635057</v>
      </c>
      <c r="B4194" s="13" t="s">
        <v>762</v>
      </c>
      <c r="D4194" s="13">
        <v>6165</v>
      </c>
      <c r="E4194" s="132" t="str">
        <f>INDEX([1]道具配置表!$D:$D,MATCH(D4194,[1]道具配置表!$A:$A,0))</f>
        <v>60分钟训练加速</v>
      </c>
      <c r="F4194" s="13" t="s">
        <v>853</v>
      </c>
      <c r="K4194" s="55">
        <v>1</v>
      </c>
      <c r="L4194" s="55"/>
      <c r="M4194" s="55" t="b">
        <v>1</v>
      </c>
    </row>
    <row r="4195" spans="1:13" x14ac:dyDescent="0.25">
      <c r="B4195" s="13" t="s">
        <v>119</v>
      </c>
      <c r="D4195" s="13">
        <v>502</v>
      </c>
      <c r="E4195" s="132" t="str">
        <f>INDEX([1]道具配置表!$D:$D,MATCH(D4195,[1]道具配置表!$A:$A,0))</f>
        <v>1万资源自选宝箱</v>
      </c>
      <c r="F4195" s="13" t="s">
        <v>874</v>
      </c>
      <c r="K4195" s="55">
        <v>1</v>
      </c>
      <c r="L4195" s="55"/>
      <c r="M4195" s="55" t="b">
        <v>1</v>
      </c>
    </row>
    <row r="4196" spans="1:13" x14ac:dyDescent="0.25">
      <c r="A4196" s="13">
        <v>6635058</v>
      </c>
      <c r="B4196" s="13" t="s">
        <v>763</v>
      </c>
      <c r="D4196" s="13">
        <v>6165</v>
      </c>
      <c r="E4196" s="132" t="str">
        <f>INDEX([1]道具配置表!$D:$D,MATCH(D4196,[1]道具配置表!$A:$A,0))</f>
        <v>60分钟训练加速</v>
      </c>
      <c r="F4196" s="13" t="s">
        <v>853</v>
      </c>
      <c r="K4196" s="55">
        <v>1</v>
      </c>
      <c r="L4196" s="55"/>
      <c r="M4196" s="55" t="b">
        <v>1</v>
      </c>
    </row>
    <row r="4197" spans="1:13" x14ac:dyDescent="0.25">
      <c r="B4197" s="13" t="s">
        <v>119</v>
      </c>
      <c r="D4197" s="13">
        <v>502</v>
      </c>
      <c r="E4197" s="132" t="str">
        <f>INDEX([1]道具配置表!$D:$D,MATCH(D4197,[1]道具配置表!$A:$A,0))</f>
        <v>1万资源自选宝箱</v>
      </c>
      <c r="F4197" s="13" t="s">
        <v>874</v>
      </c>
      <c r="K4197" s="55">
        <v>1</v>
      </c>
      <c r="L4197" s="55"/>
      <c r="M4197" s="55" t="b">
        <v>1</v>
      </c>
    </row>
    <row r="4198" spans="1:13" x14ac:dyDescent="0.25">
      <c r="A4198" s="13">
        <v>6635059</v>
      </c>
      <c r="B4198" s="13" t="s">
        <v>764</v>
      </c>
      <c r="D4198" s="13">
        <v>6165</v>
      </c>
      <c r="E4198" s="132" t="str">
        <f>INDEX([1]道具配置表!$D:$D,MATCH(D4198,[1]道具配置表!$A:$A,0))</f>
        <v>60分钟训练加速</v>
      </c>
      <c r="F4198" s="13" t="s">
        <v>853</v>
      </c>
      <c r="K4198" s="55">
        <v>1</v>
      </c>
      <c r="L4198" s="55"/>
      <c r="M4198" s="55" t="b">
        <v>1</v>
      </c>
    </row>
    <row r="4199" spans="1:13" x14ac:dyDescent="0.25">
      <c r="B4199" s="13" t="s">
        <v>119</v>
      </c>
      <c r="D4199" s="13">
        <v>502</v>
      </c>
      <c r="E4199" s="132" t="str">
        <f>INDEX([1]道具配置表!$D:$D,MATCH(D4199,[1]道具配置表!$A:$A,0))</f>
        <v>1万资源自选宝箱</v>
      </c>
      <c r="F4199" s="13" t="s">
        <v>874</v>
      </c>
      <c r="K4199" s="55">
        <v>1</v>
      </c>
      <c r="L4199" s="55"/>
      <c r="M4199" s="55" t="b">
        <v>1</v>
      </c>
    </row>
    <row r="4200" spans="1:13" x14ac:dyDescent="0.25">
      <c r="A4200" s="13">
        <v>6635060</v>
      </c>
      <c r="B4200" s="13" t="s">
        <v>765</v>
      </c>
      <c r="D4200" s="13">
        <v>6165</v>
      </c>
      <c r="E4200" s="132" t="str">
        <f>INDEX([1]道具配置表!$D:$D,MATCH(D4200,[1]道具配置表!$A:$A,0))</f>
        <v>60分钟训练加速</v>
      </c>
      <c r="F4200" s="13" t="s">
        <v>854</v>
      </c>
      <c r="K4200" s="55">
        <v>1</v>
      </c>
      <c r="L4200" s="55"/>
      <c r="M4200" s="55" t="b">
        <v>1</v>
      </c>
    </row>
    <row r="4201" spans="1:13" x14ac:dyDescent="0.25">
      <c r="B4201" s="13" t="s">
        <v>119</v>
      </c>
      <c r="D4201" s="13">
        <v>502</v>
      </c>
      <c r="E4201" s="132" t="str">
        <f>INDEX([1]道具配置表!$D:$D,MATCH(D4201,[1]道具配置表!$A:$A,0))</f>
        <v>1万资源自选宝箱</v>
      </c>
      <c r="F4201" s="13" t="s">
        <v>874</v>
      </c>
      <c r="K4201" s="55">
        <v>1</v>
      </c>
      <c r="L4201" s="55"/>
      <c r="M4201" s="55" t="b">
        <v>1</v>
      </c>
    </row>
    <row r="4202" spans="1:13" x14ac:dyDescent="0.25">
      <c r="A4202" s="13">
        <v>6635061</v>
      </c>
      <c r="B4202" s="13" t="s">
        <v>766</v>
      </c>
      <c r="D4202" s="13">
        <v>6165</v>
      </c>
      <c r="E4202" s="132" t="str">
        <f>INDEX([1]道具配置表!$D:$D,MATCH(D4202,[1]道具配置表!$A:$A,0))</f>
        <v>60分钟训练加速</v>
      </c>
      <c r="F4202" s="13" t="s">
        <v>854</v>
      </c>
      <c r="K4202" s="55">
        <v>1</v>
      </c>
      <c r="L4202" s="55"/>
      <c r="M4202" s="55" t="b">
        <v>1</v>
      </c>
    </row>
    <row r="4203" spans="1:13" x14ac:dyDescent="0.25">
      <c r="B4203" s="13" t="s">
        <v>119</v>
      </c>
      <c r="D4203" s="13">
        <v>502</v>
      </c>
      <c r="E4203" s="132" t="str">
        <f>INDEX([1]道具配置表!$D:$D,MATCH(D4203,[1]道具配置表!$A:$A,0))</f>
        <v>1万资源自选宝箱</v>
      </c>
      <c r="F4203" s="13" t="s">
        <v>874</v>
      </c>
      <c r="K4203" s="55">
        <v>1</v>
      </c>
      <c r="L4203" s="55"/>
      <c r="M4203" s="55" t="b">
        <v>1</v>
      </c>
    </row>
    <row r="4204" spans="1:13" x14ac:dyDescent="0.25">
      <c r="A4204" s="13">
        <v>6635062</v>
      </c>
      <c r="B4204" s="13" t="s">
        <v>767</v>
      </c>
      <c r="D4204" s="13">
        <v>6165</v>
      </c>
      <c r="E4204" s="132" t="str">
        <f>INDEX([1]道具配置表!$D:$D,MATCH(D4204,[1]道具配置表!$A:$A,0))</f>
        <v>60分钟训练加速</v>
      </c>
      <c r="F4204" s="13" t="s">
        <v>854</v>
      </c>
      <c r="K4204" s="55">
        <v>1</v>
      </c>
      <c r="L4204" s="55"/>
      <c r="M4204" s="55" t="b">
        <v>1</v>
      </c>
    </row>
    <row r="4205" spans="1:13" x14ac:dyDescent="0.25">
      <c r="B4205" s="13" t="s">
        <v>119</v>
      </c>
      <c r="D4205" s="13">
        <v>502</v>
      </c>
      <c r="E4205" s="132" t="str">
        <f>INDEX([1]道具配置表!$D:$D,MATCH(D4205,[1]道具配置表!$A:$A,0))</f>
        <v>1万资源自选宝箱</v>
      </c>
      <c r="F4205" s="13" t="s">
        <v>874</v>
      </c>
      <c r="K4205" s="55">
        <v>1</v>
      </c>
      <c r="L4205" s="55"/>
      <c r="M4205" s="55" t="b">
        <v>1</v>
      </c>
    </row>
    <row r="4206" spans="1:13" x14ac:dyDescent="0.25">
      <c r="A4206" s="13">
        <v>6635063</v>
      </c>
      <c r="B4206" s="13" t="s">
        <v>768</v>
      </c>
      <c r="D4206" s="13">
        <v>6165</v>
      </c>
      <c r="E4206" s="132" t="str">
        <f>INDEX([1]道具配置表!$D:$D,MATCH(D4206,[1]道具配置表!$A:$A,0))</f>
        <v>60分钟训练加速</v>
      </c>
      <c r="F4206" s="13" t="s">
        <v>854</v>
      </c>
      <c r="K4206" s="55">
        <v>1</v>
      </c>
      <c r="L4206" s="55"/>
      <c r="M4206" s="55" t="b">
        <v>1</v>
      </c>
    </row>
    <row r="4207" spans="1:13" x14ac:dyDescent="0.25">
      <c r="B4207" s="13" t="s">
        <v>119</v>
      </c>
      <c r="D4207" s="13">
        <v>502</v>
      </c>
      <c r="E4207" s="132" t="str">
        <f>INDEX([1]道具配置表!$D:$D,MATCH(D4207,[1]道具配置表!$A:$A,0))</f>
        <v>1万资源自选宝箱</v>
      </c>
      <c r="F4207" s="13" t="s">
        <v>874</v>
      </c>
      <c r="K4207" s="55">
        <v>1</v>
      </c>
      <c r="L4207" s="55"/>
      <c r="M4207" s="55" t="b">
        <v>1</v>
      </c>
    </row>
    <row r="4208" spans="1:13" x14ac:dyDescent="0.25">
      <c r="A4208" s="13">
        <v>6635064</v>
      </c>
      <c r="B4208" s="13" t="s">
        <v>769</v>
      </c>
      <c r="D4208" s="13">
        <v>6165</v>
      </c>
      <c r="E4208" s="132" t="str">
        <f>INDEX([1]道具配置表!$D:$D,MATCH(D4208,[1]道具配置表!$A:$A,0))</f>
        <v>60分钟训练加速</v>
      </c>
      <c r="F4208" s="13" t="s">
        <v>854</v>
      </c>
      <c r="K4208" s="55">
        <v>1</v>
      </c>
      <c r="L4208" s="55"/>
      <c r="M4208" s="55" t="b">
        <v>1</v>
      </c>
    </row>
    <row r="4209" spans="1:13" x14ac:dyDescent="0.25">
      <c r="B4209" s="13" t="s">
        <v>119</v>
      </c>
      <c r="D4209" s="13">
        <v>502</v>
      </c>
      <c r="E4209" s="132" t="str">
        <f>INDEX([1]道具配置表!$D:$D,MATCH(D4209,[1]道具配置表!$A:$A,0))</f>
        <v>1万资源自选宝箱</v>
      </c>
      <c r="F4209" s="13" t="s">
        <v>874</v>
      </c>
      <c r="K4209" s="55">
        <v>1</v>
      </c>
      <c r="L4209" s="55"/>
      <c r="M4209" s="55" t="b">
        <v>1</v>
      </c>
    </row>
    <row r="4210" spans="1:13" x14ac:dyDescent="0.25">
      <c r="A4210" s="13">
        <v>6635065</v>
      </c>
      <c r="B4210" s="13" t="s">
        <v>770</v>
      </c>
      <c r="D4210" s="13">
        <v>6165</v>
      </c>
      <c r="E4210" s="132" t="str">
        <f>INDEX([1]道具配置表!$D:$D,MATCH(D4210,[1]道具配置表!$A:$A,0))</f>
        <v>60分钟训练加速</v>
      </c>
      <c r="F4210" s="13" t="s">
        <v>854</v>
      </c>
      <c r="K4210" s="55">
        <v>1</v>
      </c>
      <c r="L4210" s="55"/>
      <c r="M4210" s="55" t="b">
        <v>1</v>
      </c>
    </row>
    <row r="4211" spans="1:13" x14ac:dyDescent="0.25">
      <c r="B4211" s="13" t="s">
        <v>119</v>
      </c>
      <c r="D4211" s="13">
        <v>502</v>
      </c>
      <c r="E4211" s="132" t="str">
        <f>INDEX([1]道具配置表!$D:$D,MATCH(D4211,[1]道具配置表!$A:$A,0))</f>
        <v>1万资源自选宝箱</v>
      </c>
      <c r="F4211" s="13" t="s">
        <v>874</v>
      </c>
      <c r="K4211" s="55">
        <v>1</v>
      </c>
      <c r="L4211" s="55"/>
      <c r="M4211" s="55" t="b">
        <v>1</v>
      </c>
    </row>
    <row r="4212" spans="1:13" x14ac:dyDescent="0.25">
      <c r="A4212" s="13">
        <v>6635066</v>
      </c>
      <c r="B4212" s="13" t="s">
        <v>771</v>
      </c>
      <c r="D4212" s="13">
        <v>6165</v>
      </c>
      <c r="E4212" s="132" t="str">
        <f>INDEX([1]道具配置表!$D:$D,MATCH(D4212,[1]道具配置表!$A:$A,0))</f>
        <v>60分钟训练加速</v>
      </c>
      <c r="F4212" s="13" t="s">
        <v>854</v>
      </c>
      <c r="K4212" s="55">
        <v>1</v>
      </c>
      <c r="L4212" s="55"/>
      <c r="M4212" s="55" t="b">
        <v>1</v>
      </c>
    </row>
    <row r="4213" spans="1:13" x14ac:dyDescent="0.25">
      <c r="B4213" s="13" t="s">
        <v>119</v>
      </c>
      <c r="D4213" s="13">
        <v>502</v>
      </c>
      <c r="E4213" s="132" t="str">
        <f>INDEX([1]道具配置表!$D:$D,MATCH(D4213,[1]道具配置表!$A:$A,0))</f>
        <v>1万资源自选宝箱</v>
      </c>
      <c r="F4213" s="13" t="s">
        <v>874</v>
      </c>
      <c r="K4213" s="55">
        <v>1</v>
      </c>
      <c r="L4213" s="55"/>
      <c r="M4213" s="55" t="b">
        <v>1</v>
      </c>
    </row>
    <row r="4214" spans="1:13" x14ac:dyDescent="0.25">
      <c r="A4214" s="13">
        <v>6635067</v>
      </c>
      <c r="B4214" s="13" t="s">
        <v>772</v>
      </c>
      <c r="D4214" s="13">
        <v>6165</v>
      </c>
      <c r="E4214" s="132" t="str">
        <f>INDEX([1]道具配置表!$D:$D,MATCH(D4214,[1]道具配置表!$A:$A,0))</f>
        <v>60分钟训练加速</v>
      </c>
      <c r="F4214" s="13" t="s">
        <v>854</v>
      </c>
      <c r="K4214" s="55">
        <v>1</v>
      </c>
      <c r="L4214" s="55"/>
      <c r="M4214" s="55" t="b">
        <v>1</v>
      </c>
    </row>
    <row r="4215" spans="1:13" x14ac:dyDescent="0.25">
      <c r="B4215" s="13" t="s">
        <v>119</v>
      </c>
      <c r="D4215" s="13">
        <v>502</v>
      </c>
      <c r="E4215" s="132" t="str">
        <f>INDEX([1]道具配置表!$D:$D,MATCH(D4215,[1]道具配置表!$A:$A,0))</f>
        <v>1万资源自选宝箱</v>
      </c>
      <c r="F4215" s="13" t="s">
        <v>874</v>
      </c>
      <c r="K4215" s="55">
        <v>1</v>
      </c>
      <c r="L4215" s="55"/>
      <c r="M4215" s="55" t="b">
        <v>1</v>
      </c>
    </row>
    <row r="4216" spans="1:13" x14ac:dyDescent="0.25">
      <c r="A4216" s="13">
        <v>6635068</v>
      </c>
      <c r="B4216" s="13" t="s">
        <v>773</v>
      </c>
      <c r="D4216" s="13">
        <v>6165</v>
      </c>
      <c r="E4216" s="132" t="str">
        <f>INDEX([1]道具配置表!$D:$D,MATCH(D4216,[1]道具配置表!$A:$A,0))</f>
        <v>60分钟训练加速</v>
      </c>
      <c r="F4216" s="13" t="s">
        <v>854</v>
      </c>
      <c r="K4216" s="55">
        <v>1</v>
      </c>
      <c r="L4216" s="55"/>
      <c r="M4216" s="55" t="b">
        <v>1</v>
      </c>
    </row>
    <row r="4217" spans="1:13" x14ac:dyDescent="0.25">
      <c r="B4217" s="13" t="s">
        <v>119</v>
      </c>
      <c r="D4217" s="13">
        <v>502</v>
      </c>
      <c r="E4217" s="132" t="str">
        <f>INDEX([1]道具配置表!$D:$D,MATCH(D4217,[1]道具配置表!$A:$A,0))</f>
        <v>1万资源自选宝箱</v>
      </c>
      <c r="F4217" s="13" t="s">
        <v>874</v>
      </c>
      <c r="K4217" s="55">
        <v>1</v>
      </c>
      <c r="L4217" s="55"/>
      <c r="M4217" s="55" t="b">
        <v>1</v>
      </c>
    </row>
    <row r="4218" spans="1:13" x14ac:dyDescent="0.25">
      <c r="A4218" s="13">
        <v>6635069</v>
      </c>
      <c r="B4218" s="13" t="s">
        <v>774</v>
      </c>
      <c r="D4218" s="13">
        <v>6165</v>
      </c>
      <c r="E4218" s="132" t="str">
        <f>INDEX([1]道具配置表!$D:$D,MATCH(D4218,[1]道具配置表!$A:$A,0))</f>
        <v>60分钟训练加速</v>
      </c>
      <c r="F4218" s="13" t="s">
        <v>854</v>
      </c>
      <c r="K4218" s="55">
        <v>1</v>
      </c>
      <c r="L4218" s="55"/>
      <c r="M4218" s="55" t="b">
        <v>1</v>
      </c>
    </row>
    <row r="4219" spans="1:13" x14ac:dyDescent="0.25">
      <c r="B4219" s="13" t="s">
        <v>119</v>
      </c>
      <c r="D4219" s="13">
        <v>502</v>
      </c>
      <c r="E4219" s="132" t="str">
        <f>INDEX([1]道具配置表!$D:$D,MATCH(D4219,[1]道具配置表!$A:$A,0))</f>
        <v>1万资源自选宝箱</v>
      </c>
      <c r="F4219" s="13" t="s">
        <v>874</v>
      </c>
      <c r="K4219" s="55">
        <v>1</v>
      </c>
      <c r="L4219" s="55"/>
      <c r="M4219" s="55" t="b">
        <v>1</v>
      </c>
    </row>
    <row r="4220" spans="1:13" x14ac:dyDescent="0.25">
      <c r="A4220" s="13">
        <v>6635070</v>
      </c>
      <c r="B4220" s="13" t="s">
        <v>775</v>
      </c>
      <c r="D4220" s="13">
        <v>6165</v>
      </c>
      <c r="E4220" s="132" t="str">
        <f>INDEX([1]道具配置表!$D:$D,MATCH(D4220,[1]道具配置表!$A:$A,0))</f>
        <v>60分钟训练加速</v>
      </c>
      <c r="F4220" s="13" t="s">
        <v>854</v>
      </c>
      <c r="K4220" s="55">
        <v>1</v>
      </c>
      <c r="L4220" s="55"/>
      <c r="M4220" s="55" t="b">
        <v>1</v>
      </c>
    </row>
    <row r="4221" spans="1:13" x14ac:dyDescent="0.25">
      <c r="B4221" s="13" t="s">
        <v>119</v>
      </c>
      <c r="D4221" s="13">
        <v>502</v>
      </c>
      <c r="E4221" s="132" t="str">
        <f>INDEX([1]道具配置表!$D:$D,MATCH(D4221,[1]道具配置表!$A:$A,0))</f>
        <v>1万资源自选宝箱</v>
      </c>
      <c r="F4221" s="13" t="s">
        <v>874</v>
      </c>
      <c r="K4221" s="55">
        <v>1</v>
      </c>
      <c r="L4221" s="55"/>
      <c r="M4221" s="55" t="b">
        <v>1</v>
      </c>
    </row>
    <row r="4222" spans="1:13" x14ac:dyDescent="0.25">
      <c r="A4222" s="13">
        <v>6635071</v>
      </c>
      <c r="B4222" s="13" t="s">
        <v>776</v>
      </c>
      <c r="D4222" s="13">
        <v>6165</v>
      </c>
      <c r="E4222" s="132" t="str">
        <f>INDEX([1]道具配置表!$D:$D,MATCH(D4222,[1]道具配置表!$A:$A,0))</f>
        <v>60分钟训练加速</v>
      </c>
      <c r="F4222" s="13" t="s">
        <v>854</v>
      </c>
      <c r="K4222" s="55">
        <v>1</v>
      </c>
      <c r="L4222" s="55"/>
      <c r="M4222" s="55" t="b">
        <v>1</v>
      </c>
    </row>
    <row r="4223" spans="1:13" x14ac:dyDescent="0.25">
      <c r="B4223" s="13" t="s">
        <v>119</v>
      </c>
      <c r="D4223" s="13">
        <v>502</v>
      </c>
      <c r="E4223" s="132" t="str">
        <f>INDEX([1]道具配置表!$D:$D,MATCH(D4223,[1]道具配置表!$A:$A,0))</f>
        <v>1万资源自选宝箱</v>
      </c>
      <c r="F4223" s="13" t="s">
        <v>874</v>
      </c>
      <c r="K4223" s="55">
        <v>1</v>
      </c>
      <c r="L4223" s="55"/>
      <c r="M4223" s="55" t="b">
        <v>1</v>
      </c>
    </row>
    <row r="4224" spans="1:13" x14ac:dyDescent="0.25">
      <c r="A4224" s="13">
        <v>6635072</v>
      </c>
      <c r="B4224" s="13" t="s">
        <v>777</v>
      </c>
      <c r="D4224" s="13">
        <v>6165</v>
      </c>
      <c r="E4224" s="132" t="str">
        <f>INDEX([1]道具配置表!$D:$D,MATCH(D4224,[1]道具配置表!$A:$A,0))</f>
        <v>60分钟训练加速</v>
      </c>
      <c r="F4224" s="13" t="s">
        <v>854</v>
      </c>
      <c r="K4224" s="55">
        <v>1</v>
      </c>
      <c r="L4224" s="55"/>
      <c r="M4224" s="55" t="b">
        <v>1</v>
      </c>
    </row>
    <row r="4225" spans="1:13" x14ac:dyDescent="0.25">
      <c r="B4225" s="13" t="s">
        <v>119</v>
      </c>
      <c r="D4225" s="13">
        <v>502</v>
      </c>
      <c r="E4225" s="132" t="str">
        <f>INDEX([1]道具配置表!$D:$D,MATCH(D4225,[1]道具配置表!$A:$A,0))</f>
        <v>1万资源自选宝箱</v>
      </c>
      <c r="F4225" s="13" t="s">
        <v>874</v>
      </c>
      <c r="K4225" s="55">
        <v>1</v>
      </c>
      <c r="L4225" s="55"/>
      <c r="M4225" s="55" t="b">
        <v>1</v>
      </c>
    </row>
    <row r="4226" spans="1:13" x14ac:dyDescent="0.25">
      <c r="A4226" s="13">
        <v>6635073</v>
      </c>
      <c r="B4226" s="13" t="s">
        <v>778</v>
      </c>
      <c r="D4226" s="13">
        <v>6165</v>
      </c>
      <c r="E4226" s="132" t="str">
        <f>INDEX([1]道具配置表!$D:$D,MATCH(D4226,[1]道具配置表!$A:$A,0))</f>
        <v>60分钟训练加速</v>
      </c>
      <c r="F4226" s="13" t="s">
        <v>854</v>
      </c>
      <c r="K4226" s="55">
        <v>1</v>
      </c>
      <c r="L4226" s="55"/>
      <c r="M4226" s="55" t="b">
        <v>1</v>
      </c>
    </row>
    <row r="4227" spans="1:13" x14ac:dyDescent="0.25">
      <c r="B4227" s="13" t="s">
        <v>119</v>
      </c>
      <c r="D4227" s="13">
        <v>502</v>
      </c>
      <c r="E4227" s="132" t="str">
        <f>INDEX([1]道具配置表!$D:$D,MATCH(D4227,[1]道具配置表!$A:$A,0))</f>
        <v>1万资源自选宝箱</v>
      </c>
      <c r="F4227" s="13" t="s">
        <v>874</v>
      </c>
      <c r="K4227" s="55">
        <v>1</v>
      </c>
      <c r="L4227" s="55"/>
      <c r="M4227" s="55" t="b">
        <v>1</v>
      </c>
    </row>
    <row r="4228" spans="1:13" x14ac:dyDescent="0.25">
      <c r="A4228" s="13">
        <v>6635074</v>
      </c>
      <c r="B4228" s="13" t="s">
        <v>779</v>
      </c>
      <c r="D4228" s="13">
        <v>6165</v>
      </c>
      <c r="E4228" s="132" t="str">
        <f>INDEX([1]道具配置表!$D:$D,MATCH(D4228,[1]道具配置表!$A:$A,0))</f>
        <v>60分钟训练加速</v>
      </c>
      <c r="F4228" s="13" t="s">
        <v>854</v>
      </c>
      <c r="K4228" s="55">
        <v>1</v>
      </c>
      <c r="L4228" s="55"/>
      <c r="M4228" s="55" t="b">
        <v>1</v>
      </c>
    </row>
    <row r="4229" spans="1:13" x14ac:dyDescent="0.25">
      <c r="B4229" s="13" t="s">
        <v>119</v>
      </c>
      <c r="D4229" s="13">
        <v>502</v>
      </c>
      <c r="E4229" s="132" t="str">
        <f>INDEX([1]道具配置表!$D:$D,MATCH(D4229,[1]道具配置表!$A:$A,0))</f>
        <v>1万资源自选宝箱</v>
      </c>
      <c r="F4229" s="13" t="s">
        <v>874</v>
      </c>
      <c r="K4229" s="55">
        <v>1</v>
      </c>
      <c r="L4229" s="55"/>
      <c r="M4229" s="55" t="b">
        <v>1</v>
      </c>
    </row>
    <row r="4230" spans="1:13" x14ac:dyDescent="0.25">
      <c r="A4230" s="13">
        <v>6635075</v>
      </c>
      <c r="B4230" s="13" t="s">
        <v>780</v>
      </c>
      <c r="D4230" s="13">
        <v>6165</v>
      </c>
      <c r="E4230" s="132" t="str">
        <f>INDEX([1]道具配置表!$D:$D,MATCH(D4230,[1]道具配置表!$A:$A,0))</f>
        <v>60分钟训练加速</v>
      </c>
      <c r="F4230" s="13" t="s">
        <v>854</v>
      </c>
      <c r="K4230" s="55">
        <v>1</v>
      </c>
      <c r="L4230" s="55"/>
      <c r="M4230" s="55" t="b">
        <v>1</v>
      </c>
    </row>
    <row r="4231" spans="1:13" x14ac:dyDescent="0.25">
      <c r="B4231" s="13" t="s">
        <v>119</v>
      </c>
      <c r="D4231" s="13">
        <v>502</v>
      </c>
      <c r="E4231" s="132" t="str">
        <f>INDEX([1]道具配置表!$D:$D,MATCH(D4231,[1]道具配置表!$A:$A,0))</f>
        <v>1万资源自选宝箱</v>
      </c>
      <c r="F4231" s="13" t="s">
        <v>874</v>
      </c>
      <c r="K4231" s="55">
        <v>1</v>
      </c>
      <c r="L4231" s="55"/>
      <c r="M4231" s="55" t="b">
        <v>1</v>
      </c>
    </row>
    <row r="4232" spans="1:13" x14ac:dyDescent="0.25">
      <c r="A4232" s="13">
        <v>6635076</v>
      </c>
      <c r="B4232" s="13" t="s">
        <v>781</v>
      </c>
      <c r="D4232" s="13">
        <v>6165</v>
      </c>
      <c r="E4232" s="132" t="str">
        <f>INDEX([1]道具配置表!$D:$D,MATCH(D4232,[1]道具配置表!$A:$A,0))</f>
        <v>60分钟训练加速</v>
      </c>
      <c r="F4232" s="13" t="s">
        <v>854</v>
      </c>
      <c r="K4232" s="55">
        <v>1</v>
      </c>
      <c r="L4232" s="55"/>
      <c r="M4232" s="55" t="b">
        <v>1</v>
      </c>
    </row>
    <row r="4233" spans="1:13" x14ac:dyDescent="0.25">
      <c r="B4233" s="13" t="s">
        <v>119</v>
      </c>
      <c r="D4233" s="13">
        <v>502</v>
      </c>
      <c r="E4233" s="132" t="str">
        <f>INDEX([1]道具配置表!$D:$D,MATCH(D4233,[1]道具配置表!$A:$A,0))</f>
        <v>1万资源自选宝箱</v>
      </c>
      <c r="F4233" s="13" t="s">
        <v>874</v>
      </c>
      <c r="K4233" s="55">
        <v>1</v>
      </c>
      <c r="L4233" s="55"/>
      <c r="M4233" s="55" t="b">
        <v>1</v>
      </c>
    </row>
    <row r="4234" spans="1:13" x14ac:dyDescent="0.25">
      <c r="A4234" s="13">
        <v>6635077</v>
      </c>
      <c r="B4234" s="13" t="s">
        <v>782</v>
      </c>
      <c r="D4234" s="13">
        <v>6165</v>
      </c>
      <c r="E4234" s="132" t="str">
        <f>INDEX([1]道具配置表!$D:$D,MATCH(D4234,[1]道具配置表!$A:$A,0))</f>
        <v>60分钟训练加速</v>
      </c>
      <c r="F4234" s="13" t="s">
        <v>854</v>
      </c>
      <c r="K4234" s="55">
        <v>1</v>
      </c>
      <c r="L4234" s="55"/>
      <c r="M4234" s="55" t="b">
        <v>1</v>
      </c>
    </row>
    <row r="4235" spans="1:13" x14ac:dyDescent="0.25">
      <c r="B4235" s="13" t="s">
        <v>119</v>
      </c>
      <c r="D4235" s="13">
        <v>502</v>
      </c>
      <c r="E4235" s="132" t="str">
        <f>INDEX([1]道具配置表!$D:$D,MATCH(D4235,[1]道具配置表!$A:$A,0))</f>
        <v>1万资源自选宝箱</v>
      </c>
      <c r="F4235" s="13" t="s">
        <v>874</v>
      </c>
      <c r="K4235" s="55">
        <v>1</v>
      </c>
      <c r="L4235" s="55"/>
      <c r="M4235" s="55" t="b">
        <v>1</v>
      </c>
    </row>
    <row r="4236" spans="1:13" x14ac:dyDescent="0.25">
      <c r="A4236" s="13">
        <v>6635078</v>
      </c>
      <c r="B4236" s="13" t="s">
        <v>783</v>
      </c>
      <c r="D4236" s="13">
        <v>6165</v>
      </c>
      <c r="E4236" s="132" t="str">
        <f>INDEX([1]道具配置表!$D:$D,MATCH(D4236,[1]道具配置表!$A:$A,0))</f>
        <v>60分钟训练加速</v>
      </c>
      <c r="F4236" s="13" t="s">
        <v>854</v>
      </c>
      <c r="K4236" s="55">
        <v>1</v>
      </c>
      <c r="L4236" s="55"/>
      <c r="M4236" s="55" t="b">
        <v>1</v>
      </c>
    </row>
    <row r="4237" spans="1:13" x14ac:dyDescent="0.25">
      <c r="B4237" s="13" t="s">
        <v>119</v>
      </c>
      <c r="D4237" s="13">
        <v>502</v>
      </c>
      <c r="E4237" s="132" t="str">
        <f>INDEX([1]道具配置表!$D:$D,MATCH(D4237,[1]道具配置表!$A:$A,0))</f>
        <v>1万资源自选宝箱</v>
      </c>
      <c r="F4237" s="13" t="s">
        <v>874</v>
      </c>
      <c r="K4237" s="55">
        <v>1</v>
      </c>
      <c r="L4237" s="55"/>
      <c r="M4237" s="55" t="b">
        <v>1</v>
      </c>
    </row>
    <row r="4238" spans="1:13" x14ac:dyDescent="0.25">
      <c r="A4238" s="13">
        <v>6635079</v>
      </c>
      <c r="B4238" s="13" t="s">
        <v>784</v>
      </c>
      <c r="D4238" s="13">
        <v>6165</v>
      </c>
      <c r="E4238" s="132" t="str">
        <f>INDEX([1]道具配置表!$D:$D,MATCH(D4238,[1]道具配置表!$A:$A,0))</f>
        <v>60分钟训练加速</v>
      </c>
      <c r="F4238" s="13" t="s">
        <v>854</v>
      </c>
      <c r="K4238" s="55">
        <v>1</v>
      </c>
      <c r="L4238" s="55"/>
      <c r="M4238" s="55" t="b">
        <v>1</v>
      </c>
    </row>
    <row r="4239" spans="1:13" x14ac:dyDescent="0.25">
      <c r="B4239" s="13" t="s">
        <v>119</v>
      </c>
      <c r="D4239" s="13">
        <v>502</v>
      </c>
      <c r="E4239" s="132" t="str">
        <f>INDEX([1]道具配置表!$D:$D,MATCH(D4239,[1]道具配置表!$A:$A,0))</f>
        <v>1万资源自选宝箱</v>
      </c>
      <c r="F4239" s="13" t="s">
        <v>874</v>
      </c>
      <c r="K4239" s="55">
        <v>1</v>
      </c>
      <c r="L4239" s="55"/>
      <c r="M4239" s="55" t="b">
        <v>1</v>
      </c>
    </row>
    <row r="4240" spans="1:13" x14ac:dyDescent="0.25">
      <c r="A4240" s="13">
        <v>6635080</v>
      </c>
      <c r="B4240" s="13" t="s">
        <v>785</v>
      </c>
      <c r="D4240" s="13">
        <v>6165</v>
      </c>
      <c r="E4240" s="132" t="str">
        <f>INDEX([1]道具配置表!$D:$D,MATCH(D4240,[1]道具配置表!$A:$A,0))</f>
        <v>60分钟训练加速</v>
      </c>
      <c r="F4240" s="13" t="s">
        <v>854</v>
      </c>
      <c r="K4240" s="55">
        <v>1</v>
      </c>
      <c r="L4240" s="55"/>
      <c r="M4240" s="55" t="b">
        <v>1</v>
      </c>
    </row>
    <row r="4241" spans="1:13" x14ac:dyDescent="0.25">
      <c r="B4241" s="13" t="s">
        <v>119</v>
      </c>
      <c r="D4241" s="13">
        <v>502</v>
      </c>
      <c r="E4241" s="136" t="str">
        <f>INDEX([1]道具配置表!$D:$D,MATCH(D4241,[1]道具配置表!$A:$A,0))</f>
        <v>1万资源自选宝箱</v>
      </c>
      <c r="F4241" s="13" t="s">
        <v>874</v>
      </c>
      <c r="K4241" s="136">
        <v>1</v>
      </c>
      <c r="L4241" s="136"/>
      <c r="M4241" s="136" t="b">
        <v>1</v>
      </c>
    </row>
    <row r="4242" spans="1:13" x14ac:dyDescent="0.25">
      <c r="A4242" s="13">
        <v>6635081</v>
      </c>
      <c r="B4242" s="13" t="s">
        <v>1880</v>
      </c>
      <c r="D4242" s="13">
        <v>6165</v>
      </c>
      <c r="E4242" s="136" t="str">
        <f>INDEX([1]道具配置表!$D:$D,MATCH(D4242,[1]道具配置表!$A:$A,0))</f>
        <v>60分钟训练加速</v>
      </c>
      <c r="F4242" s="13">
        <v>3</v>
      </c>
      <c r="K4242" s="136">
        <v>1</v>
      </c>
      <c r="L4242" s="136"/>
      <c r="M4242" s="136" t="b">
        <v>1</v>
      </c>
    </row>
    <row r="4243" spans="1:13" x14ac:dyDescent="0.25">
      <c r="D4243" s="13">
        <v>502</v>
      </c>
      <c r="E4243" s="136" t="str">
        <f>INDEX([1]道具配置表!$D:$D,MATCH(D4243,[1]道具配置表!$A:$A,0))</f>
        <v>1万资源自选宝箱</v>
      </c>
      <c r="F4243" s="13">
        <v>30</v>
      </c>
      <c r="K4243" s="136">
        <v>1</v>
      </c>
      <c r="L4243" s="136"/>
      <c r="M4243" s="136" t="b">
        <v>1</v>
      </c>
    </row>
    <row r="4244" spans="1:13" x14ac:dyDescent="0.25">
      <c r="A4244" s="13">
        <v>6635082</v>
      </c>
      <c r="B4244" s="13" t="s">
        <v>1881</v>
      </c>
      <c r="D4244" s="13">
        <v>6165</v>
      </c>
      <c r="E4244" s="136" t="str">
        <f>INDEX([1]道具配置表!$D:$D,MATCH(D4244,[1]道具配置表!$A:$A,0))</f>
        <v>60分钟训练加速</v>
      </c>
      <c r="F4244" s="13">
        <v>3</v>
      </c>
      <c r="K4244" s="136">
        <v>1</v>
      </c>
      <c r="L4244" s="136"/>
      <c r="M4244" s="136" t="b">
        <v>1</v>
      </c>
    </row>
    <row r="4245" spans="1:13" x14ac:dyDescent="0.25">
      <c r="D4245" s="13">
        <v>502</v>
      </c>
      <c r="E4245" s="136" t="str">
        <f>INDEX([1]道具配置表!$D:$D,MATCH(D4245,[1]道具配置表!$A:$A,0))</f>
        <v>1万资源自选宝箱</v>
      </c>
      <c r="F4245" s="13">
        <v>30</v>
      </c>
      <c r="K4245" s="136">
        <v>1</v>
      </c>
      <c r="L4245" s="136"/>
      <c r="M4245" s="136" t="b">
        <v>1</v>
      </c>
    </row>
    <row r="4246" spans="1:13" x14ac:dyDescent="0.25">
      <c r="A4246" s="13">
        <v>6635083</v>
      </c>
      <c r="B4246" s="13" t="s">
        <v>1882</v>
      </c>
      <c r="D4246" s="13">
        <v>6165</v>
      </c>
      <c r="E4246" s="136" t="str">
        <f>INDEX([1]道具配置表!$D:$D,MATCH(D4246,[1]道具配置表!$A:$A,0))</f>
        <v>60分钟训练加速</v>
      </c>
      <c r="F4246" s="13">
        <v>3</v>
      </c>
      <c r="K4246" s="136">
        <v>1</v>
      </c>
      <c r="L4246" s="136"/>
      <c r="M4246" s="136" t="b">
        <v>1</v>
      </c>
    </row>
    <row r="4247" spans="1:13" x14ac:dyDescent="0.25">
      <c r="D4247" s="13">
        <v>502</v>
      </c>
      <c r="E4247" s="136" t="str">
        <f>INDEX([1]道具配置表!$D:$D,MATCH(D4247,[1]道具配置表!$A:$A,0))</f>
        <v>1万资源自选宝箱</v>
      </c>
      <c r="F4247" s="13">
        <v>30</v>
      </c>
      <c r="K4247" s="136">
        <v>1</v>
      </c>
      <c r="L4247" s="136"/>
      <c r="M4247" s="136" t="b">
        <v>1</v>
      </c>
    </row>
    <row r="4248" spans="1:13" x14ac:dyDescent="0.25">
      <c r="A4248" s="13">
        <v>6635084</v>
      </c>
      <c r="B4248" s="13" t="s">
        <v>1883</v>
      </c>
      <c r="D4248" s="13">
        <v>6165</v>
      </c>
      <c r="E4248" s="136" t="str">
        <f>INDEX([1]道具配置表!$D:$D,MATCH(D4248,[1]道具配置表!$A:$A,0))</f>
        <v>60分钟训练加速</v>
      </c>
      <c r="F4248" s="13">
        <v>3</v>
      </c>
      <c r="K4248" s="136">
        <v>1</v>
      </c>
      <c r="L4248" s="136"/>
      <c r="M4248" s="136" t="b">
        <v>1</v>
      </c>
    </row>
    <row r="4249" spans="1:13" x14ac:dyDescent="0.25">
      <c r="D4249" s="13">
        <v>502</v>
      </c>
      <c r="E4249" s="136" t="str">
        <f>INDEX([1]道具配置表!$D:$D,MATCH(D4249,[1]道具配置表!$A:$A,0))</f>
        <v>1万资源自选宝箱</v>
      </c>
      <c r="F4249" s="13">
        <v>30</v>
      </c>
      <c r="K4249" s="136">
        <v>1</v>
      </c>
      <c r="L4249" s="136"/>
      <c r="M4249" s="136" t="b">
        <v>1</v>
      </c>
    </row>
    <row r="4250" spans="1:13" x14ac:dyDescent="0.25">
      <c r="A4250" s="13">
        <v>6635085</v>
      </c>
      <c r="B4250" s="13" t="s">
        <v>1884</v>
      </c>
      <c r="D4250" s="13">
        <v>6165</v>
      </c>
      <c r="E4250" s="136" t="str">
        <f>INDEX([1]道具配置表!$D:$D,MATCH(D4250,[1]道具配置表!$A:$A,0))</f>
        <v>60分钟训练加速</v>
      </c>
      <c r="F4250" s="13">
        <v>3</v>
      </c>
      <c r="K4250" s="136">
        <v>1</v>
      </c>
      <c r="L4250" s="136"/>
      <c r="M4250" s="136" t="b">
        <v>1</v>
      </c>
    </row>
    <row r="4251" spans="1:13" x14ac:dyDescent="0.25">
      <c r="D4251" s="13">
        <v>502</v>
      </c>
      <c r="E4251" s="136" t="str">
        <f>INDEX([1]道具配置表!$D:$D,MATCH(D4251,[1]道具配置表!$A:$A,0))</f>
        <v>1万资源自选宝箱</v>
      </c>
      <c r="F4251" s="13">
        <v>30</v>
      </c>
      <c r="K4251" s="136">
        <v>1</v>
      </c>
      <c r="L4251" s="136"/>
      <c r="M4251" s="136" t="b">
        <v>1</v>
      </c>
    </row>
    <row r="4252" spans="1:13" x14ac:dyDescent="0.25">
      <c r="A4252" s="13">
        <v>6635086</v>
      </c>
      <c r="B4252" s="13" t="s">
        <v>1885</v>
      </c>
      <c r="D4252" s="13">
        <v>6165</v>
      </c>
      <c r="E4252" s="136" t="str">
        <f>INDEX([1]道具配置表!$D:$D,MATCH(D4252,[1]道具配置表!$A:$A,0))</f>
        <v>60分钟训练加速</v>
      </c>
      <c r="F4252" s="13">
        <v>3</v>
      </c>
      <c r="K4252" s="136">
        <v>1</v>
      </c>
      <c r="L4252" s="136"/>
      <c r="M4252" s="136" t="b">
        <v>1</v>
      </c>
    </row>
    <row r="4253" spans="1:13" x14ac:dyDescent="0.25">
      <c r="D4253" s="13">
        <v>502</v>
      </c>
      <c r="E4253" s="136" t="str">
        <f>INDEX([1]道具配置表!$D:$D,MATCH(D4253,[1]道具配置表!$A:$A,0))</f>
        <v>1万资源自选宝箱</v>
      </c>
      <c r="F4253" s="13">
        <v>30</v>
      </c>
      <c r="K4253" s="136">
        <v>1</v>
      </c>
      <c r="L4253" s="136"/>
      <c r="M4253" s="136" t="b">
        <v>1</v>
      </c>
    </row>
    <row r="4254" spans="1:13" x14ac:dyDescent="0.25">
      <c r="A4254" s="13">
        <v>6635087</v>
      </c>
      <c r="B4254" s="13" t="s">
        <v>1886</v>
      </c>
      <c r="D4254" s="13">
        <v>6165</v>
      </c>
      <c r="E4254" s="136" t="str">
        <f>INDEX([1]道具配置表!$D:$D,MATCH(D4254,[1]道具配置表!$A:$A,0))</f>
        <v>60分钟训练加速</v>
      </c>
      <c r="F4254" s="13">
        <v>3</v>
      </c>
      <c r="K4254" s="136">
        <v>1</v>
      </c>
      <c r="L4254" s="136"/>
      <c r="M4254" s="136" t="b">
        <v>1</v>
      </c>
    </row>
    <row r="4255" spans="1:13" x14ac:dyDescent="0.25">
      <c r="D4255" s="13">
        <v>502</v>
      </c>
      <c r="E4255" s="136" t="str">
        <f>INDEX([1]道具配置表!$D:$D,MATCH(D4255,[1]道具配置表!$A:$A,0))</f>
        <v>1万资源自选宝箱</v>
      </c>
      <c r="F4255" s="13">
        <v>30</v>
      </c>
      <c r="K4255" s="136">
        <v>1</v>
      </c>
      <c r="L4255" s="136"/>
      <c r="M4255" s="136" t="b">
        <v>1</v>
      </c>
    </row>
    <row r="4256" spans="1:13" x14ac:dyDescent="0.25">
      <c r="A4256" s="13">
        <v>6635088</v>
      </c>
      <c r="B4256" s="13" t="s">
        <v>1887</v>
      </c>
      <c r="D4256" s="13">
        <v>6165</v>
      </c>
      <c r="E4256" s="136" t="str">
        <f>INDEX([1]道具配置表!$D:$D,MATCH(D4256,[1]道具配置表!$A:$A,0))</f>
        <v>60分钟训练加速</v>
      </c>
      <c r="F4256" s="13">
        <v>3</v>
      </c>
      <c r="K4256" s="136">
        <v>1</v>
      </c>
      <c r="L4256" s="136"/>
      <c r="M4256" s="136" t="b">
        <v>1</v>
      </c>
    </row>
    <row r="4257" spans="1:13" x14ac:dyDescent="0.25">
      <c r="D4257" s="13">
        <v>502</v>
      </c>
      <c r="E4257" s="136" t="str">
        <f>INDEX([1]道具配置表!$D:$D,MATCH(D4257,[1]道具配置表!$A:$A,0))</f>
        <v>1万资源自选宝箱</v>
      </c>
      <c r="F4257" s="13">
        <v>30</v>
      </c>
      <c r="K4257" s="136">
        <v>1</v>
      </c>
      <c r="L4257" s="136"/>
      <c r="M4257" s="136" t="b">
        <v>1</v>
      </c>
    </row>
    <row r="4258" spans="1:13" x14ac:dyDescent="0.25">
      <c r="A4258" s="13">
        <v>6635089</v>
      </c>
      <c r="B4258" s="13" t="s">
        <v>1888</v>
      </c>
      <c r="D4258" s="13">
        <v>6165</v>
      </c>
      <c r="E4258" s="136" t="str">
        <f>INDEX([1]道具配置表!$D:$D,MATCH(D4258,[1]道具配置表!$A:$A,0))</f>
        <v>60分钟训练加速</v>
      </c>
      <c r="F4258" s="13">
        <v>3</v>
      </c>
      <c r="K4258" s="136">
        <v>1</v>
      </c>
      <c r="L4258" s="136"/>
      <c r="M4258" s="136" t="b">
        <v>1</v>
      </c>
    </row>
    <row r="4259" spans="1:13" x14ac:dyDescent="0.25">
      <c r="D4259" s="13">
        <v>502</v>
      </c>
      <c r="E4259" s="136" t="str">
        <f>INDEX([1]道具配置表!$D:$D,MATCH(D4259,[1]道具配置表!$A:$A,0))</f>
        <v>1万资源自选宝箱</v>
      </c>
      <c r="F4259" s="13">
        <v>30</v>
      </c>
      <c r="K4259" s="136">
        <v>1</v>
      </c>
      <c r="L4259" s="136"/>
      <c r="M4259" s="136" t="b">
        <v>1</v>
      </c>
    </row>
    <row r="4260" spans="1:13" x14ac:dyDescent="0.25">
      <c r="A4260" s="13">
        <v>6635090</v>
      </c>
      <c r="B4260" s="13" t="s">
        <v>1889</v>
      </c>
      <c r="D4260" s="13">
        <v>6165</v>
      </c>
      <c r="E4260" s="136" t="str">
        <f>INDEX([1]道具配置表!$D:$D,MATCH(D4260,[1]道具配置表!$A:$A,0))</f>
        <v>60分钟训练加速</v>
      </c>
      <c r="F4260" s="13">
        <v>4</v>
      </c>
      <c r="K4260" s="136">
        <v>1</v>
      </c>
      <c r="L4260" s="136"/>
      <c r="M4260" s="136" t="b">
        <v>1</v>
      </c>
    </row>
    <row r="4261" spans="1:13" x14ac:dyDescent="0.25">
      <c r="D4261" s="13">
        <v>502</v>
      </c>
      <c r="E4261" s="136" t="str">
        <f>INDEX([1]道具配置表!$D:$D,MATCH(D4261,[1]道具配置表!$A:$A,0))</f>
        <v>1万资源自选宝箱</v>
      </c>
      <c r="F4261" s="13">
        <v>30</v>
      </c>
      <c r="K4261" s="136">
        <v>1</v>
      </c>
      <c r="L4261" s="136"/>
      <c r="M4261" s="136" t="b">
        <v>1</v>
      </c>
    </row>
    <row r="4262" spans="1:13" x14ac:dyDescent="0.25">
      <c r="A4262" s="13">
        <v>6635091</v>
      </c>
      <c r="B4262" s="13" t="s">
        <v>1890</v>
      </c>
      <c r="D4262" s="13">
        <v>6165</v>
      </c>
      <c r="E4262" s="136" t="str">
        <f>INDEX([1]道具配置表!$D:$D,MATCH(D4262,[1]道具配置表!$A:$A,0))</f>
        <v>60分钟训练加速</v>
      </c>
      <c r="F4262" s="13">
        <v>4</v>
      </c>
      <c r="K4262" s="136">
        <v>1</v>
      </c>
      <c r="L4262" s="136"/>
      <c r="M4262" s="136" t="b">
        <v>1</v>
      </c>
    </row>
    <row r="4263" spans="1:13" x14ac:dyDescent="0.25">
      <c r="D4263" s="13">
        <v>502</v>
      </c>
      <c r="E4263" s="136" t="str">
        <f>INDEX([1]道具配置表!$D:$D,MATCH(D4263,[1]道具配置表!$A:$A,0))</f>
        <v>1万资源自选宝箱</v>
      </c>
      <c r="F4263" s="13">
        <v>30</v>
      </c>
      <c r="K4263" s="136">
        <v>1</v>
      </c>
      <c r="L4263" s="136"/>
      <c r="M4263" s="136" t="b">
        <v>1</v>
      </c>
    </row>
    <row r="4264" spans="1:13" x14ac:dyDescent="0.25">
      <c r="A4264" s="13">
        <v>6635092</v>
      </c>
      <c r="B4264" s="13" t="s">
        <v>1891</v>
      </c>
      <c r="D4264" s="13">
        <v>6165</v>
      </c>
      <c r="E4264" s="136" t="str">
        <f>INDEX([1]道具配置表!$D:$D,MATCH(D4264,[1]道具配置表!$A:$A,0))</f>
        <v>60分钟训练加速</v>
      </c>
      <c r="F4264" s="13">
        <v>4</v>
      </c>
      <c r="K4264" s="136">
        <v>1</v>
      </c>
      <c r="L4264" s="136"/>
      <c r="M4264" s="136" t="b">
        <v>1</v>
      </c>
    </row>
    <row r="4265" spans="1:13" x14ac:dyDescent="0.25">
      <c r="D4265" s="13">
        <v>502</v>
      </c>
      <c r="E4265" s="136" t="str">
        <f>INDEX([1]道具配置表!$D:$D,MATCH(D4265,[1]道具配置表!$A:$A,0))</f>
        <v>1万资源自选宝箱</v>
      </c>
      <c r="F4265" s="13">
        <v>30</v>
      </c>
      <c r="K4265" s="136">
        <v>1</v>
      </c>
      <c r="L4265" s="136"/>
      <c r="M4265" s="136" t="b">
        <v>1</v>
      </c>
    </row>
    <row r="4266" spans="1:13" x14ac:dyDescent="0.25">
      <c r="A4266" s="13">
        <v>6635093</v>
      </c>
      <c r="B4266" s="13" t="s">
        <v>1892</v>
      </c>
      <c r="D4266" s="13">
        <v>6165</v>
      </c>
      <c r="E4266" s="136" t="str">
        <f>INDEX([1]道具配置表!$D:$D,MATCH(D4266,[1]道具配置表!$A:$A,0))</f>
        <v>60分钟训练加速</v>
      </c>
      <c r="F4266" s="13">
        <v>4</v>
      </c>
      <c r="K4266" s="136">
        <v>1</v>
      </c>
      <c r="L4266" s="136"/>
      <c r="M4266" s="136" t="b">
        <v>1</v>
      </c>
    </row>
    <row r="4267" spans="1:13" x14ac:dyDescent="0.25">
      <c r="D4267" s="13">
        <v>502</v>
      </c>
      <c r="E4267" s="136" t="str">
        <f>INDEX([1]道具配置表!$D:$D,MATCH(D4267,[1]道具配置表!$A:$A,0))</f>
        <v>1万资源自选宝箱</v>
      </c>
      <c r="F4267" s="13">
        <v>30</v>
      </c>
      <c r="K4267" s="136">
        <v>1</v>
      </c>
      <c r="L4267" s="136"/>
      <c r="M4267" s="136" t="b">
        <v>1</v>
      </c>
    </row>
    <row r="4268" spans="1:13" x14ac:dyDescent="0.25">
      <c r="A4268" s="13">
        <v>6635094</v>
      </c>
      <c r="B4268" s="13" t="s">
        <v>1893</v>
      </c>
      <c r="D4268" s="13">
        <v>6165</v>
      </c>
      <c r="E4268" s="136" t="str">
        <f>INDEX([1]道具配置表!$D:$D,MATCH(D4268,[1]道具配置表!$A:$A,0))</f>
        <v>60分钟训练加速</v>
      </c>
      <c r="F4268" s="13">
        <v>4</v>
      </c>
      <c r="K4268" s="136">
        <v>1</v>
      </c>
      <c r="L4268" s="136"/>
      <c r="M4268" s="136" t="b">
        <v>1</v>
      </c>
    </row>
    <row r="4269" spans="1:13" x14ac:dyDescent="0.25">
      <c r="D4269" s="13">
        <v>502</v>
      </c>
      <c r="E4269" s="136" t="str">
        <f>INDEX([1]道具配置表!$D:$D,MATCH(D4269,[1]道具配置表!$A:$A,0))</f>
        <v>1万资源自选宝箱</v>
      </c>
      <c r="F4269" s="13">
        <v>30</v>
      </c>
      <c r="K4269" s="136">
        <v>1</v>
      </c>
      <c r="L4269" s="136"/>
      <c r="M4269" s="136" t="b">
        <v>1</v>
      </c>
    </row>
    <row r="4270" spans="1:13" x14ac:dyDescent="0.25">
      <c r="A4270" s="13">
        <v>6635095</v>
      </c>
      <c r="B4270" s="13" t="s">
        <v>1894</v>
      </c>
      <c r="D4270" s="13">
        <v>6165</v>
      </c>
      <c r="E4270" s="136" t="str">
        <f>INDEX([1]道具配置表!$D:$D,MATCH(D4270,[1]道具配置表!$A:$A,0))</f>
        <v>60分钟训练加速</v>
      </c>
      <c r="F4270" s="13">
        <v>4</v>
      </c>
      <c r="K4270" s="136">
        <v>1</v>
      </c>
      <c r="L4270" s="136"/>
      <c r="M4270" s="136" t="b">
        <v>1</v>
      </c>
    </row>
    <row r="4271" spans="1:13" x14ac:dyDescent="0.25">
      <c r="D4271" s="13">
        <v>502</v>
      </c>
      <c r="E4271" s="136" t="str">
        <f>INDEX([1]道具配置表!$D:$D,MATCH(D4271,[1]道具配置表!$A:$A,0))</f>
        <v>1万资源自选宝箱</v>
      </c>
      <c r="F4271" s="13">
        <v>30</v>
      </c>
      <c r="K4271" s="136">
        <v>1</v>
      </c>
      <c r="L4271" s="136"/>
      <c r="M4271" s="136" t="b">
        <v>1</v>
      </c>
    </row>
    <row r="4272" spans="1:13" x14ac:dyDescent="0.25">
      <c r="A4272" s="13">
        <v>6635096</v>
      </c>
      <c r="B4272" s="13" t="s">
        <v>1895</v>
      </c>
      <c r="D4272" s="13">
        <v>6165</v>
      </c>
      <c r="E4272" s="136" t="str">
        <f>INDEX([1]道具配置表!$D:$D,MATCH(D4272,[1]道具配置表!$A:$A,0))</f>
        <v>60分钟训练加速</v>
      </c>
      <c r="F4272" s="13">
        <v>4</v>
      </c>
      <c r="K4272" s="136">
        <v>1</v>
      </c>
      <c r="L4272" s="136"/>
      <c r="M4272" s="136" t="b">
        <v>1</v>
      </c>
    </row>
    <row r="4273" spans="1:13" x14ac:dyDescent="0.25">
      <c r="D4273" s="13">
        <v>502</v>
      </c>
      <c r="E4273" s="136" t="str">
        <f>INDEX([1]道具配置表!$D:$D,MATCH(D4273,[1]道具配置表!$A:$A,0))</f>
        <v>1万资源自选宝箱</v>
      </c>
      <c r="F4273" s="13">
        <v>30</v>
      </c>
      <c r="K4273" s="136">
        <v>1</v>
      </c>
      <c r="L4273" s="136"/>
      <c r="M4273" s="136" t="b">
        <v>1</v>
      </c>
    </row>
    <row r="4274" spans="1:13" x14ac:dyDescent="0.25">
      <c r="A4274" s="13">
        <v>6635097</v>
      </c>
      <c r="B4274" s="13" t="s">
        <v>1896</v>
      </c>
      <c r="D4274" s="13">
        <v>6165</v>
      </c>
      <c r="E4274" s="136" t="str">
        <f>INDEX([1]道具配置表!$D:$D,MATCH(D4274,[1]道具配置表!$A:$A,0))</f>
        <v>60分钟训练加速</v>
      </c>
      <c r="F4274" s="13">
        <v>4</v>
      </c>
      <c r="K4274" s="136">
        <v>1</v>
      </c>
      <c r="L4274" s="136"/>
      <c r="M4274" s="136" t="b">
        <v>1</v>
      </c>
    </row>
    <row r="4275" spans="1:13" x14ac:dyDescent="0.25">
      <c r="D4275" s="13">
        <v>502</v>
      </c>
      <c r="E4275" s="136" t="str">
        <f>INDEX([1]道具配置表!$D:$D,MATCH(D4275,[1]道具配置表!$A:$A,0))</f>
        <v>1万资源自选宝箱</v>
      </c>
      <c r="F4275" s="13">
        <v>30</v>
      </c>
      <c r="K4275" s="136">
        <v>1</v>
      </c>
      <c r="L4275" s="136"/>
      <c r="M4275" s="136" t="b">
        <v>1</v>
      </c>
    </row>
    <row r="4276" spans="1:13" x14ac:dyDescent="0.25">
      <c r="A4276" s="13">
        <v>6635098</v>
      </c>
      <c r="B4276" s="13" t="s">
        <v>1897</v>
      </c>
      <c r="D4276" s="13">
        <v>6165</v>
      </c>
      <c r="E4276" s="136" t="str">
        <f>INDEX([1]道具配置表!$D:$D,MATCH(D4276,[1]道具配置表!$A:$A,0))</f>
        <v>60分钟训练加速</v>
      </c>
      <c r="F4276" s="13">
        <v>4</v>
      </c>
      <c r="K4276" s="136">
        <v>1</v>
      </c>
      <c r="L4276" s="136"/>
      <c r="M4276" s="136" t="b">
        <v>1</v>
      </c>
    </row>
    <row r="4277" spans="1:13" x14ac:dyDescent="0.25">
      <c r="D4277" s="13">
        <v>502</v>
      </c>
      <c r="E4277" s="136" t="str">
        <f>INDEX([1]道具配置表!$D:$D,MATCH(D4277,[1]道具配置表!$A:$A,0))</f>
        <v>1万资源自选宝箱</v>
      </c>
      <c r="F4277" s="13">
        <v>30</v>
      </c>
      <c r="K4277" s="136">
        <v>1</v>
      </c>
      <c r="L4277" s="136"/>
      <c r="M4277" s="136" t="b">
        <v>1</v>
      </c>
    </row>
    <row r="4278" spans="1:13" x14ac:dyDescent="0.25">
      <c r="A4278" s="13">
        <v>6635099</v>
      </c>
      <c r="B4278" s="13" t="s">
        <v>1898</v>
      </c>
      <c r="D4278" s="13">
        <v>6165</v>
      </c>
      <c r="E4278" s="136" t="str">
        <f>INDEX([1]道具配置表!$D:$D,MATCH(D4278,[1]道具配置表!$A:$A,0))</f>
        <v>60分钟训练加速</v>
      </c>
      <c r="F4278" s="13">
        <v>4</v>
      </c>
      <c r="K4278" s="136">
        <v>1</v>
      </c>
      <c r="L4278" s="136"/>
      <c r="M4278" s="136" t="b">
        <v>1</v>
      </c>
    </row>
    <row r="4279" spans="1:13" x14ac:dyDescent="0.25">
      <c r="D4279" s="13">
        <v>502</v>
      </c>
      <c r="E4279" s="136" t="str">
        <f>INDEX([1]道具配置表!$D:$D,MATCH(D4279,[1]道具配置表!$A:$A,0))</f>
        <v>1万资源自选宝箱</v>
      </c>
      <c r="F4279" s="13">
        <v>30</v>
      </c>
      <c r="K4279" s="136">
        <v>1</v>
      </c>
      <c r="L4279" s="136"/>
      <c r="M4279" s="136" t="b">
        <v>1</v>
      </c>
    </row>
    <row r="4280" spans="1:13" x14ac:dyDescent="0.25">
      <c r="A4280" s="13">
        <v>6635100</v>
      </c>
      <c r="B4280" s="13" t="s">
        <v>1899</v>
      </c>
      <c r="D4280" s="13">
        <v>6165</v>
      </c>
      <c r="E4280" s="136" t="str">
        <f>INDEX([1]道具配置表!$D:$D,MATCH(D4280,[1]道具配置表!$A:$A,0))</f>
        <v>60分钟训练加速</v>
      </c>
      <c r="F4280" s="13">
        <v>4</v>
      </c>
      <c r="K4280" s="136">
        <v>1</v>
      </c>
      <c r="L4280" s="136"/>
      <c r="M4280" s="136" t="b">
        <v>1</v>
      </c>
    </row>
    <row r="4281" spans="1:13" x14ac:dyDescent="0.25">
      <c r="D4281" s="13">
        <v>502</v>
      </c>
      <c r="E4281" s="136" t="str">
        <f>INDEX([1]道具配置表!$D:$D,MATCH(D4281,[1]道具配置表!$A:$A,0))</f>
        <v>1万资源自选宝箱</v>
      </c>
      <c r="F4281" s="13">
        <v>30</v>
      </c>
      <c r="K4281" s="136">
        <v>1</v>
      </c>
      <c r="L4281" s="136"/>
      <c r="M4281" s="136" t="b">
        <v>1</v>
      </c>
    </row>
    <row r="4282" spans="1:13" x14ac:dyDescent="0.25">
      <c r="A4282" s="13">
        <v>6635101</v>
      </c>
      <c r="B4282" s="13" t="s">
        <v>1900</v>
      </c>
      <c r="D4282" s="13">
        <v>6165</v>
      </c>
      <c r="E4282" s="136" t="str">
        <f>INDEX([1]道具配置表!$D:$D,MATCH(D4282,[1]道具配置表!$A:$A,0))</f>
        <v>60分钟训练加速</v>
      </c>
      <c r="F4282" s="13">
        <v>4</v>
      </c>
      <c r="K4282" s="136">
        <v>1</v>
      </c>
      <c r="L4282" s="136"/>
      <c r="M4282" s="136" t="b">
        <v>1</v>
      </c>
    </row>
    <row r="4283" spans="1:13" x14ac:dyDescent="0.25">
      <c r="D4283" s="13">
        <v>502</v>
      </c>
      <c r="E4283" s="136" t="str">
        <f>INDEX([1]道具配置表!$D:$D,MATCH(D4283,[1]道具配置表!$A:$A,0))</f>
        <v>1万资源自选宝箱</v>
      </c>
      <c r="F4283" s="13">
        <v>30</v>
      </c>
      <c r="K4283" s="136">
        <v>1</v>
      </c>
      <c r="L4283" s="136"/>
      <c r="M4283" s="136" t="b">
        <v>1</v>
      </c>
    </row>
    <row r="4284" spans="1:13" x14ac:dyDescent="0.25">
      <c r="A4284" s="13">
        <v>6635102</v>
      </c>
      <c r="B4284" s="13" t="s">
        <v>1901</v>
      </c>
      <c r="D4284" s="13">
        <v>6165</v>
      </c>
      <c r="E4284" s="136" t="str">
        <f>INDEX([1]道具配置表!$D:$D,MATCH(D4284,[1]道具配置表!$A:$A,0))</f>
        <v>60分钟训练加速</v>
      </c>
      <c r="F4284" s="13">
        <v>4</v>
      </c>
      <c r="K4284" s="136">
        <v>1</v>
      </c>
      <c r="L4284" s="136"/>
      <c r="M4284" s="136" t="b">
        <v>1</v>
      </c>
    </row>
    <row r="4285" spans="1:13" x14ac:dyDescent="0.25">
      <c r="D4285" s="13">
        <v>502</v>
      </c>
      <c r="E4285" s="136" t="str">
        <f>INDEX([1]道具配置表!$D:$D,MATCH(D4285,[1]道具配置表!$A:$A,0))</f>
        <v>1万资源自选宝箱</v>
      </c>
      <c r="F4285" s="13">
        <v>30</v>
      </c>
      <c r="K4285" s="136">
        <v>1</v>
      </c>
      <c r="L4285" s="136"/>
      <c r="M4285" s="136" t="b">
        <v>1</v>
      </c>
    </row>
    <row r="4286" spans="1:13" x14ac:dyDescent="0.25">
      <c r="A4286" s="13">
        <v>6635103</v>
      </c>
      <c r="B4286" s="13" t="s">
        <v>1902</v>
      </c>
      <c r="D4286" s="13">
        <v>6165</v>
      </c>
      <c r="E4286" s="136" t="str">
        <f>INDEX([1]道具配置表!$D:$D,MATCH(D4286,[1]道具配置表!$A:$A,0))</f>
        <v>60分钟训练加速</v>
      </c>
      <c r="F4286" s="13">
        <v>4</v>
      </c>
      <c r="K4286" s="136">
        <v>1</v>
      </c>
      <c r="L4286" s="136"/>
      <c r="M4286" s="136" t="b">
        <v>1</v>
      </c>
    </row>
    <row r="4287" spans="1:13" x14ac:dyDescent="0.25">
      <c r="D4287" s="13">
        <v>502</v>
      </c>
      <c r="E4287" s="136" t="str">
        <f>INDEX([1]道具配置表!$D:$D,MATCH(D4287,[1]道具配置表!$A:$A,0))</f>
        <v>1万资源自选宝箱</v>
      </c>
      <c r="F4287" s="13">
        <v>30</v>
      </c>
      <c r="K4287" s="136">
        <v>1</v>
      </c>
      <c r="L4287" s="136"/>
      <c r="M4287" s="136" t="b">
        <v>1</v>
      </c>
    </row>
    <row r="4288" spans="1:13" x14ac:dyDescent="0.25">
      <c r="A4288" s="13">
        <v>6635104</v>
      </c>
      <c r="B4288" s="13" t="s">
        <v>1903</v>
      </c>
      <c r="D4288" s="13">
        <v>6165</v>
      </c>
      <c r="E4288" s="136" t="str">
        <f>INDEX([1]道具配置表!$D:$D,MATCH(D4288,[1]道具配置表!$A:$A,0))</f>
        <v>60分钟训练加速</v>
      </c>
      <c r="F4288" s="13">
        <v>4</v>
      </c>
      <c r="K4288" s="136">
        <v>1</v>
      </c>
      <c r="L4288" s="136"/>
      <c r="M4288" s="136" t="b">
        <v>1</v>
      </c>
    </row>
    <row r="4289" spans="1:13" x14ac:dyDescent="0.25">
      <c r="D4289" s="13">
        <v>502</v>
      </c>
      <c r="E4289" s="136" t="str">
        <f>INDEX([1]道具配置表!$D:$D,MATCH(D4289,[1]道具配置表!$A:$A,0))</f>
        <v>1万资源自选宝箱</v>
      </c>
      <c r="F4289" s="13">
        <v>30</v>
      </c>
      <c r="K4289" s="136">
        <v>1</v>
      </c>
      <c r="L4289" s="136"/>
      <c r="M4289" s="136" t="b">
        <v>1</v>
      </c>
    </row>
    <row r="4290" spans="1:13" x14ac:dyDescent="0.25">
      <c r="A4290" s="13">
        <v>6635105</v>
      </c>
      <c r="B4290" s="13" t="s">
        <v>1904</v>
      </c>
      <c r="D4290" s="13">
        <v>6165</v>
      </c>
      <c r="E4290" s="136" t="str">
        <f>INDEX([1]道具配置表!$D:$D,MATCH(D4290,[1]道具配置表!$A:$A,0))</f>
        <v>60分钟训练加速</v>
      </c>
      <c r="F4290" s="13">
        <v>4</v>
      </c>
      <c r="K4290" s="136">
        <v>1</v>
      </c>
      <c r="L4290" s="136"/>
      <c r="M4290" s="136" t="b">
        <v>1</v>
      </c>
    </row>
    <row r="4291" spans="1:13" x14ac:dyDescent="0.25">
      <c r="D4291" s="13">
        <v>502</v>
      </c>
      <c r="E4291" s="136" t="str">
        <f>INDEX([1]道具配置表!$D:$D,MATCH(D4291,[1]道具配置表!$A:$A,0))</f>
        <v>1万资源自选宝箱</v>
      </c>
      <c r="F4291" s="13">
        <v>30</v>
      </c>
      <c r="K4291" s="136">
        <v>1</v>
      </c>
      <c r="L4291" s="136"/>
      <c r="M4291" s="136" t="b">
        <v>1</v>
      </c>
    </row>
    <row r="4292" spans="1:13" x14ac:dyDescent="0.25">
      <c r="A4292" s="13">
        <v>6635106</v>
      </c>
      <c r="B4292" s="13" t="s">
        <v>1905</v>
      </c>
      <c r="D4292" s="13">
        <v>6165</v>
      </c>
      <c r="E4292" s="136" t="str">
        <f>INDEX([1]道具配置表!$D:$D,MATCH(D4292,[1]道具配置表!$A:$A,0))</f>
        <v>60分钟训练加速</v>
      </c>
      <c r="F4292" s="13">
        <v>4</v>
      </c>
      <c r="K4292" s="136">
        <v>1</v>
      </c>
      <c r="L4292" s="136"/>
      <c r="M4292" s="136" t="b">
        <v>1</v>
      </c>
    </row>
    <row r="4293" spans="1:13" x14ac:dyDescent="0.25">
      <c r="D4293" s="13">
        <v>502</v>
      </c>
      <c r="E4293" s="136" t="str">
        <f>INDEX([1]道具配置表!$D:$D,MATCH(D4293,[1]道具配置表!$A:$A,0))</f>
        <v>1万资源自选宝箱</v>
      </c>
      <c r="F4293" s="13">
        <v>30</v>
      </c>
      <c r="K4293" s="136">
        <v>1</v>
      </c>
      <c r="L4293" s="136"/>
      <c r="M4293" s="136" t="b">
        <v>1</v>
      </c>
    </row>
    <row r="4294" spans="1:13" x14ac:dyDescent="0.25">
      <c r="A4294" s="13">
        <v>6635107</v>
      </c>
      <c r="B4294" s="13" t="s">
        <v>1906</v>
      </c>
      <c r="D4294" s="13">
        <v>6165</v>
      </c>
      <c r="E4294" s="136" t="str">
        <f>INDEX([1]道具配置表!$D:$D,MATCH(D4294,[1]道具配置表!$A:$A,0))</f>
        <v>60分钟训练加速</v>
      </c>
      <c r="F4294" s="13">
        <v>4</v>
      </c>
      <c r="K4294" s="136">
        <v>1</v>
      </c>
      <c r="L4294" s="136"/>
      <c r="M4294" s="136" t="b">
        <v>1</v>
      </c>
    </row>
    <row r="4295" spans="1:13" x14ac:dyDescent="0.25">
      <c r="D4295" s="13">
        <v>502</v>
      </c>
      <c r="E4295" s="136" t="str">
        <f>INDEX([1]道具配置表!$D:$D,MATCH(D4295,[1]道具配置表!$A:$A,0))</f>
        <v>1万资源自选宝箱</v>
      </c>
      <c r="F4295" s="13">
        <v>30</v>
      </c>
      <c r="K4295" s="136">
        <v>1</v>
      </c>
      <c r="L4295" s="136"/>
      <c r="M4295" s="136" t="b">
        <v>1</v>
      </c>
    </row>
    <row r="4296" spans="1:13" x14ac:dyDescent="0.25">
      <c r="A4296" s="13">
        <v>6635108</v>
      </c>
      <c r="B4296" s="13" t="s">
        <v>1907</v>
      </c>
      <c r="D4296" s="13">
        <v>6165</v>
      </c>
      <c r="E4296" s="136" t="str">
        <f>INDEX([1]道具配置表!$D:$D,MATCH(D4296,[1]道具配置表!$A:$A,0))</f>
        <v>60分钟训练加速</v>
      </c>
      <c r="F4296" s="13">
        <v>4</v>
      </c>
      <c r="K4296" s="136">
        <v>1</v>
      </c>
      <c r="L4296" s="136"/>
      <c r="M4296" s="136" t="b">
        <v>1</v>
      </c>
    </row>
    <row r="4297" spans="1:13" x14ac:dyDescent="0.25">
      <c r="D4297" s="13">
        <v>502</v>
      </c>
      <c r="E4297" s="136" t="str">
        <f>INDEX([1]道具配置表!$D:$D,MATCH(D4297,[1]道具配置表!$A:$A,0))</f>
        <v>1万资源自选宝箱</v>
      </c>
      <c r="F4297" s="13">
        <v>30</v>
      </c>
      <c r="K4297" s="136">
        <v>1</v>
      </c>
      <c r="L4297" s="136"/>
      <c r="M4297" s="136" t="b">
        <v>1</v>
      </c>
    </row>
    <row r="4298" spans="1:13" x14ac:dyDescent="0.25">
      <c r="A4298" s="13">
        <v>6635109</v>
      </c>
      <c r="B4298" s="13" t="s">
        <v>1908</v>
      </c>
      <c r="D4298" s="13">
        <v>6165</v>
      </c>
      <c r="E4298" s="136" t="str">
        <f>INDEX([1]道具配置表!$D:$D,MATCH(D4298,[1]道具配置表!$A:$A,0))</f>
        <v>60分钟训练加速</v>
      </c>
      <c r="F4298" s="13">
        <v>4</v>
      </c>
      <c r="K4298" s="136">
        <v>1</v>
      </c>
      <c r="L4298" s="136"/>
      <c r="M4298" s="136" t="b">
        <v>1</v>
      </c>
    </row>
    <row r="4299" spans="1:13" x14ac:dyDescent="0.25">
      <c r="D4299" s="13">
        <v>502</v>
      </c>
      <c r="E4299" s="136" t="str">
        <f>INDEX([1]道具配置表!$D:$D,MATCH(D4299,[1]道具配置表!$A:$A,0))</f>
        <v>1万资源自选宝箱</v>
      </c>
      <c r="F4299" s="13">
        <v>30</v>
      </c>
      <c r="K4299" s="136">
        <v>1</v>
      </c>
      <c r="L4299" s="136"/>
      <c r="M4299" s="136" t="b">
        <v>1</v>
      </c>
    </row>
    <row r="4300" spans="1:13" x14ac:dyDescent="0.25">
      <c r="A4300" s="13">
        <v>6635110</v>
      </c>
      <c r="B4300" s="13" t="s">
        <v>1909</v>
      </c>
      <c r="D4300" s="13">
        <v>6165</v>
      </c>
      <c r="E4300" s="136" t="str">
        <f>INDEX([1]道具配置表!$D:$D,MATCH(D4300,[1]道具配置表!$A:$A,0))</f>
        <v>60分钟训练加速</v>
      </c>
      <c r="F4300" s="13">
        <v>4</v>
      </c>
      <c r="K4300" s="136">
        <v>1</v>
      </c>
      <c r="L4300" s="136"/>
      <c r="M4300" s="136" t="b">
        <v>1</v>
      </c>
    </row>
    <row r="4301" spans="1:13" x14ac:dyDescent="0.25">
      <c r="D4301" s="13">
        <v>502</v>
      </c>
      <c r="E4301" s="136" t="str">
        <f>INDEX([1]道具配置表!$D:$D,MATCH(D4301,[1]道具配置表!$A:$A,0))</f>
        <v>1万资源自选宝箱</v>
      </c>
      <c r="F4301" s="13">
        <v>30</v>
      </c>
      <c r="K4301" s="136">
        <v>1</v>
      </c>
      <c r="L4301" s="136"/>
      <c r="M4301" s="136" t="b">
        <v>1</v>
      </c>
    </row>
    <row r="4302" spans="1:13" x14ac:dyDescent="0.25">
      <c r="A4302" s="13">
        <v>6635111</v>
      </c>
      <c r="B4302" s="13" t="s">
        <v>1910</v>
      </c>
      <c r="D4302" s="13">
        <v>6165</v>
      </c>
      <c r="E4302" s="136" t="str">
        <f>INDEX([1]道具配置表!$D:$D,MATCH(D4302,[1]道具配置表!$A:$A,0))</f>
        <v>60分钟训练加速</v>
      </c>
      <c r="F4302" s="13">
        <v>4</v>
      </c>
      <c r="K4302" s="136">
        <v>1</v>
      </c>
      <c r="L4302" s="136"/>
      <c r="M4302" s="136" t="b">
        <v>1</v>
      </c>
    </row>
    <row r="4303" spans="1:13" x14ac:dyDescent="0.25">
      <c r="D4303" s="13">
        <v>502</v>
      </c>
      <c r="E4303" s="136" t="str">
        <f>INDEX([1]道具配置表!$D:$D,MATCH(D4303,[1]道具配置表!$A:$A,0))</f>
        <v>1万资源自选宝箱</v>
      </c>
      <c r="F4303" s="13">
        <v>30</v>
      </c>
      <c r="K4303" s="136">
        <v>1</v>
      </c>
      <c r="L4303" s="136"/>
      <c r="M4303" s="136" t="b">
        <v>1</v>
      </c>
    </row>
    <row r="4304" spans="1:13" x14ac:dyDescent="0.25">
      <c r="A4304" s="13">
        <v>6635112</v>
      </c>
      <c r="B4304" s="13" t="s">
        <v>1911</v>
      </c>
      <c r="D4304" s="13">
        <v>6165</v>
      </c>
      <c r="E4304" s="136" t="str">
        <f>INDEX([1]道具配置表!$D:$D,MATCH(D4304,[1]道具配置表!$A:$A,0))</f>
        <v>60分钟训练加速</v>
      </c>
      <c r="F4304" s="13">
        <v>4</v>
      </c>
      <c r="K4304" s="136">
        <v>1</v>
      </c>
      <c r="L4304" s="136"/>
      <c r="M4304" s="136" t="b">
        <v>1</v>
      </c>
    </row>
    <row r="4305" spans="1:13" x14ac:dyDescent="0.25">
      <c r="D4305" s="13">
        <v>502</v>
      </c>
      <c r="E4305" s="136" t="str">
        <f>INDEX([1]道具配置表!$D:$D,MATCH(D4305,[1]道具配置表!$A:$A,0))</f>
        <v>1万资源自选宝箱</v>
      </c>
      <c r="F4305" s="13">
        <v>30</v>
      </c>
      <c r="K4305" s="136">
        <v>1</v>
      </c>
      <c r="L4305" s="136"/>
      <c r="M4305" s="136" t="b">
        <v>1</v>
      </c>
    </row>
    <row r="4306" spans="1:13" x14ac:dyDescent="0.25">
      <c r="A4306" s="13">
        <v>6635113</v>
      </c>
      <c r="B4306" s="13" t="s">
        <v>1912</v>
      </c>
      <c r="D4306" s="13">
        <v>6165</v>
      </c>
      <c r="E4306" s="136" t="str">
        <f>INDEX([1]道具配置表!$D:$D,MATCH(D4306,[1]道具配置表!$A:$A,0))</f>
        <v>60分钟训练加速</v>
      </c>
      <c r="F4306" s="13">
        <v>4</v>
      </c>
      <c r="K4306" s="136">
        <v>1</v>
      </c>
      <c r="L4306" s="136"/>
      <c r="M4306" s="136" t="b">
        <v>1</v>
      </c>
    </row>
    <row r="4307" spans="1:13" x14ac:dyDescent="0.25">
      <c r="D4307" s="13">
        <v>502</v>
      </c>
      <c r="E4307" s="136" t="str">
        <f>INDEX([1]道具配置表!$D:$D,MATCH(D4307,[1]道具配置表!$A:$A,0))</f>
        <v>1万资源自选宝箱</v>
      </c>
      <c r="F4307" s="13">
        <v>30</v>
      </c>
      <c r="K4307" s="136">
        <v>1</v>
      </c>
      <c r="L4307" s="136"/>
      <c r="M4307" s="136" t="b">
        <v>1</v>
      </c>
    </row>
    <row r="4308" spans="1:13" x14ac:dyDescent="0.25">
      <c r="A4308" s="13">
        <v>6635114</v>
      </c>
      <c r="B4308" s="13" t="s">
        <v>1913</v>
      </c>
      <c r="D4308" s="13">
        <v>6165</v>
      </c>
      <c r="E4308" s="136" t="str">
        <f>INDEX([1]道具配置表!$D:$D,MATCH(D4308,[1]道具配置表!$A:$A,0))</f>
        <v>60分钟训练加速</v>
      </c>
      <c r="F4308" s="13">
        <v>4</v>
      </c>
      <c r="K4308" s="136">
        <v>1</v>
      </c>
      <c r="L4308" s="136"/>
      <c r="M4308" s="136" t="b">
        <v>1</v>
      </c>
    </row>
    <row r="4309" spans="1:13" x14ac:dyDescent="0.25">
      <c r="D4309" s="13">
        <v>502</v>
      </c>
      <c r="E4309" s="136" t="str">
        <f>INDEX([1]道具配置表!$D:$D,MATCH(D4309,[1]道具配置表!$A:$A,0))</f>
        <v>1万资源自选宝箱</v>
      </c>
      <c r="F4309" s="13">
        <v>30</v>
      </c>
      <c r="K4309" s="136">
        <v>1</v>
      </c>
      <c r="L4309" s="136"/>
      <c r="M4309" s="136" t="b">
        <v>1</v>
      </c>
    </row>
    <row r="4310" spans="1:13" x14ac:dyDescent="0.25">
      <c r="A4310" s="13">
        <v>6635115</v>
      </c>
      <c r="B4310" s="13" t="s">
        <v>1914</v>
      </c>
      <c r="D4310" s="13">
        <v>6165</v>
      </c>
      <c r="E4310" s="136" t="str">
        <f>INDEX([1]道具配置表!$D:$D,MATCH(D4310,[1]道具配置表!$A:$A,0))</f>
        <v>60分钟训练加速</v>
      </c>
      <c r="F4310" s="13">
        <v>4</v>
      </c>
      <c r="K4310" s="136">
        <v>1</v>
      </c>
      <c r="L4310" s="136"/>
      <c r="M4310" s="136" t="b">
        <v>1</v>
      </c>
    </row>
    <row r="4311" spans="1:13" x14ac:dyDescent="0.25">
      <c r="D4311" s="13">
        <v>502</v>
      </c>
      <c r="E4311" s="136" t="str">
        <f>INDEX([1]道具配置表!$D:$D,MATCH(D4311,[1]道具配置表!$A:$A,0))</f>
        <v>1万资源自选宝箱</v>
      </c>
      <c r="F4311" s="13">
        <v>30</v>
      </c>
      <c r="K4311" s="136">
        <v>1</v>
      </c>
      <c r="L4311" s="136"/>
      <c r="M4311" s="136" t="b">
        <v>1</v>
      </c>
    </row>
    <row r="4312" spans="1:13" x14ac:dyDescent="0.25">
      <c r="A4312" s="13">
        <v>6635116</v>
      </c>
      <c r="B4312" s="13" t="s">
        <v>1915</v>
      </c>
      <c r="D4312" s="13">
        <v>6165</v>
      </c>
      <c r="E4312" s="136" t="str">
        <f>INDEX([1]道具配置表!$D:$D,MATCH(D4312,[1]道具配置表!$A:$A,0))</f>
        <v>60分钟训练加速</v>
      </c>
      <c r="F4312" s="13">
        <v>4</v>
      </c>
      <c r="K4312" s="136">
        <v>1</v>
      </c>
      <c r="L4312" s="136"/>
      <c r="M4312" s="136" t="b">
        <v>1</v>
      </c>
    </row>
    <row r="4313" spans="1:13" x14ac:dyDescent="0.25">
      <c r="D4313" s="13">
        <v>502</v>
      </c>
      <c r="E4313" s="136" t="str">
        <f>INDEX([1]道具配置表!$D:$D,MATCH(D4313,[1]道具配置表!$A:$A,0))</f>
        <v>1万资源自选宝箱</v>
      </c>
      <c r="F4313" s="13">
        <v>30</v>
      </c>
      <c r="K4313" s="136">
        <v>1</v>
      </c>
      <c r="L4313" s="136"/>
      <c r="M4313" s="136" t="b">
        <v>1</v>
      </c>
    </row>
    <row r="4314" spans="1:13" x14ac:dyDescent="0.25">
      <c r="A4314" s="13">
        <v>6635117</v>
      </c>
      <c r="B4314" s="13" t="s">
        <v>1916</v>
      </c>
      <c r="D4314" s="13">
        <v>6165</v>
      </c>
      <c r="E4314" s="136" t="str">
        <f>INDEX([1]道具配置表!$D:$D,MATCH(D4314,[1]道具配置表!$A:$A,0))</f>
        <v>60分钟训练加速</v>
      </c>
      <c r="F4314" s="13">
        <v>4</v>
      </c>
      <c r="K4314" s="136">
        <v>1</v>
      </c>
      <c r="L4314" s="136"/>
      <c r="M4314" s="136" t="b">
        <v>1</v>
      </c>
    </row>
    <row r="4315" spans="1:13" x14ac:dyDescent="0.25">
      <c r="D4315" s="13">
        <v>502</v>
      </c>
      <c r="E4315" s="136" t="str">
        <f>INDEX([1]道具配置表!$D:$D,MATCH(D4315,[1]道具配置表!$A:$A,0))</f>
        <v>1万资源自选宝箱</v>
      </c>
      <c r="F4315" s="13">
        <v>30</v>
      </c>
      <c r="K4315" s="136">
        <v>1</v>
      </c>
      <c r="L4315" s="136"/>
      <c r="M4315" s="136" t="b">
        <v>1</v>
      </c>
    </row>
    <row r="4316" spans="1:13" x14ac:dyDescent="0.25">
      <c r="A4316" s="13">
        <v>6635118</v>
      </c>
      <c r="B4316" s="13" t="s">
        <v>1917</v>
      </c>
      <c r="D4316" s="13">
        <v>6165</v>
      </c>
      <c r="E4316" s="136" t="str">
        <f>INDEX([1]道具配置表!$D:$D,MATCH(D4316,[1]道具配置表!$A:$A,0))</f>
        <v>60分钟训练加速</v>
      </c>
      <c r="F4316" s="13">
        <v>4</v>
      </c>
      <c r="K4316" s="136">
        <v>1</v>
      </c>
      <c r="L4316" s="136"/>
      <c r="M4316" s="136" t="b">
        <v>1</v>
      </c>
    </row>
    <row r="4317" spans="1:13" x14ac:dyDescent="0.25">
      <c r="D4317" s="13">
        <v>502</v>
      </c>
      <c r="E4317" s="136" t="str">
        <f>INDEX([1]道具配置表!$D:$D,MATCH(D4317,[1]道具配置表!$A:$A,0))</f>
        <v>1万资源自选宝箱</v>
      </c>
      <c r="F4317" s="13">
        <v>30</v>
      </c>
      <c r="K4317" s="136">
        <v>1</v>
      </c>
      <c r="L4317" s="136"/>
      <c r="M4317" s="136" t="b">
        <v>1</v>
      </c>
    </row>
    <row r="4318" spans="1:13" x14ac:dyDescent="0.25">
      <c r="A4318" s="13">
        <v>6635119</v>
      </c>
      <c r="B4318" s="13" t="s">
        <v>1918</v>
      </c>
      <c r="D4318" s="13">
        <v>6165</v>
      </c>
      <c r="E4318" s="136" t="str">
        <f>INDEX([1]道具配置表!$D:$D,MATCH(D4318,[1]道具配置表!$A:$A,0))</f>
        <v>60分钟训练加速</v>
      </c>
      <c r="F4318" s="13">
        <v>4</v>
      </c>
      <c r="K4318" s="136">
        <v>1</v>
      </c>
      <c r="L4318" s="136"/>
      <c r="M4318" s="136" t="b">
        <v>1</v>
      </c>
    </row>
    <row r="4319" spans="1:13" x14ac:dyDescent="0.25">
      <c r="D4319" s="13">
        <v>502</v>
      </c>
      <c r="E4319" s="136" t="str">
        <f>INDEX([1]道具配置表!$D:$D,MATCH(D4319,[1]道具配置表!$A:$A,0))</f>
        <v>1万资源自选宝箱</v>
      </c>
      <c r="F4319" s="13">
        <v>30</v>
      </c>
      <c r="K4319" s="136">
        <v>1</v>
      </c>
      <c r="L4319" s="136"/>
      <c r="M4319" s="136" t="b">
        <v>1</v>
      </c>
    </row>
    <row r="4320" spans="1:13" x14ac:dyDescent="0.25">
      <c r="A4320" s="13">
        <v>6635120</v>
      </c>
      <c r="B4320" s="13" t="s">
        <v>1919</v>
      </c>
      <c r="D4320" s="13">
        <v>6165</v>
      </c>
      <c r="E4320" s="136" t="str">
        <f>INDEX([1]道具配置表!$D:$D,MATCH(D4320,[1]道具配置表!$A:$A,0))</f>
        <v>60分钟训练加速</v>
      </c>
      <c r="F4320" s="13">
        <v>5</v>
      </c>
      <c r="K4320" s="136">
        <v>1</v>
      </c>
      <c r="L4320" s="136"/>
      <c r="M4320" s="136" t="b">
        <v>1</v>
      </c>
    </row>
    <row r="4321" spans="1:13" x14ac:dyDescent="0.25">
      <c r="D4321" s="13">
        <v>502</v>
      </c>
      <c r="E4321" s="136" t="str">
        <f>INDEX([1]道具配置表!$D:$D,MATCH(D4321,[1]道具配置表!$A:$A,0))</f>
        <v>1万资源自选宝箱</v>
      </c>
      <c r="F4321" s="13">
        <v>30</v>
      </c>
      <c r="K4321" s="136">
        <v>1</v>
      </c>
      <c r="L4321" s="136"/>
      <c r="M4321" s="136" t="b">
        <v>1</v>
      </c>
    </row>
    <row r="4322" spans="1:13" x14ac:dyDescent="0.25">
      <c r="A4322" s="13">
        <v>6636101</v>
      </c>
      <c r="B4322" s="13" t="s">
        <v>965</v>
      </c>
      <c r="D4322" s="13">
        <v>502</v>
      </c>
      <c r="E4322" s="136" t="str">
        <f>INDEX([1]道具配置表!$D:$D,MATCH(D4322,[1]道具配置表!$A:$A,0))</f>
        <v>1万资源自选宝箱</v>
      </c>
      <c r="F4322" s="13">
        <v>5</v>
      </c>
      <c r="K4322" s="58">
        <v>1</v>
      </c>
      <c r="L4322" s="58"/>
      <c r="M4322" s="58" t="b">
        <v>1</v>
      </c>
    </row>
    <row r="4323" spans="1:13" x14ac:dyDescent="0.25">
      <c r="A4323" s="13">
        <v>6636102</v>
      </c>
      <c r="B4323" s="13" t="s">
        <v>966</v>
      </c>
      <c r="D4323" s="13">
        <v>502</v>
      </c>
      <c r="E4323" s="136" t="str">
        <f>INDEX([1]道具配置表!$D:$D,MATCH(D4323,[1]道具配置表!$A:$A,0))</f>
        <v>1万资源自选宝箱</v>
      </c>
      <c r="F4323" s="13">
        <v>7</v>
      </c>
      <c r="K4323" s="58">
        <v>1</v>
      </c>
      <c r="L4323" s="58"/>
      <c r="M4323" s="58" t="b">
        <v>1</v>
      </c>
    </row>
    <row r="4324" spans="1:13" x14ac:dyDescent="0.25">
      <c r="A4324" s="13">
        <v>6636103</v>
      </c>
      <c r="B4324" s="13" t="s">
        <v>967</v>
      </c>
      <c r="D4324" s="13">
        <v>502</v>
      </c>
      <c r="E4324" s="136" t="str">
        <f>INDEX([1]道具配置表!$D:$D,MATCH(D4324,[1]道具配置表!$A:$A,0))</f>
        <v>1万资源自选宝箱</v>
      </c>
      <c r="F4324" s="13">
        <v>10</v>
      </c>
      <c r="K4324" s="58">
        <v>1</v>
      </c>
      <c r="L4324" s="58"/>
      <c r="M4324" s="58" t="b">
        <v>1</v>
      </c>
    </row>
    <row r="4325" spans="1:13" x14ac:dyDescent="0.25">
      <c r="A4325" s="13">
        <v>6636104</v>
      </c>
      <c r="B4325" s="13" t="s">
        <v>968</v>
      </c>
      <c r="D4325" s="13">
        <v>502</v>
      </c>
      <c r="E4325" s="136" t="str">
        <f>INDEX([1]道具配置表!$D:$D,MATCH(D4325,[1]道具配置表!$A:$A,0))</f>
        <v>1万资源自选宝箱</v>
      </c>
      <c r="F4325" s="13">
        <v>15</v>
      </c>
      <c r="K4325" s="58">
        <v>1</v>
      </c>
      <c r="L4325" s="58"/>
      <c r="M4325" s="58" t="b">
        <v>1</v>
      </c>
    </row>
    <row r="4326" spans="1:13" x14ac:dyDescent="0.25">
      <c r="A4326" s="13">
        <v>6636105</v>
      </c>
      <c r="B4326" s="13" t="s">
        <v>969</v>
      </c>
      <c r="D4326" s="13">
        <v>502</v>
      </c>
      <c r="E4326" s="136" t="str">
        <f>INDEX([1]道具配置表!$D:$D,MATCH(D4326,[1]道具配置表!$A:$A,0))</f>
        <v>1万资源自选宝箱</v>
      </c>
      <c r="F4326" s="13">
        <v>20</v>
      </c>
      <c r="K4326" s="58">
        <v>1</v>
      </c>
      <c r="L4326" s="58"/>
      <c r="M4326" s="58" t="b">
        <v>1</v>
      </c>
    </row>
    <row r="4327" spans="1:13" x14ac:dyDescent="0.25">
      <c r="A4327" s="13">
        <v>6636111</v>
      </c>
      <c r="B4327" s="13" t="s">
        <v>970</v>
      </c>
      <c r="D4327" s="13">
        <v>6162</v>
      </c>
      <c r="E4327" s="136" t="str">
        <f>INDEX([1]道具配置表!$D:$D,MATCH(D4327,[1]道具配置表!$A:$A,0))</f>
        <v>10分钟训练加速</v>
      </c>
      <c r="F4327" s="13">
        <v>4</v>
      </c>
      <c r="K4327" s="58">
        <v>1</v>
      </c>
      <c r="L4327" s="58"/>
      <c r="M4327" s="58" t="b">
        <v>1</v>
      </c>
    </row>
    <row r="4328" spans="1:13" x14ac:dyDescent="0.25">
      <c r="A4328" s="13">
        <v>6636112</v>
      </c>
      <c r="B4328" s="13" t="s">
        <v>971</v>
      </c>
      <c r="D4328" s="13">
        <v>6162</v>
      </c>
      <c r="E4328" s="136" t="str">
        <f>INDEX([1]道具配置表!$D:$D,MATCH(D4328,[1]道具配置表!$A:$A,0))</f>
        <v>10分钟训练加速</v>
      </c>
      <c r="F4328" s="13">
        <v>5</v>
      </c>
      <c r="K4328" s="58">
        <v>1</v>
      </c>
      <c r="L4328" s="58"/>
      <c r="M4328" s="58" t="b">
        <v>1</v>
      </c>
    </row>
    <row r="4329" spans="1:13" x14ac:dyDescent="0.25">
      <c r="A4329" s="13">
        <v>6636113</v>
      </c>
      <c r="B4329" s="13" t="s">
        <v>972</v>
      </c>
      <c r="D4329" s="13">
        <v>6162</v>
      </c>
      <c r="E4329" s="136" t="str">
        <f>INDEX([1]道具配置表!$D:$D,MATCH(D4329,[1]道具配置表!$A:$A,0))</f>
        <v>10分钟训练加速</v>
      </c>
      <c r="F4329" s="13">
        <v>6</v>
      </c>
      <c r="K4329" s="58">
        <v>1</v>
      </c>
      <c r="L4329" s="58"/>
      <c r="M4329" s="58" t="b">
        <v>1</v>
      </c>
    </row>
    <row r="4330" spans="1:13" x14ac:dyDescent="0.25">
      <c r="A4330" s="13">
        <v>6636114</v>
      </c>
      <c r="B4330" s="13" t="s">
        <v>973</v>
      </c>
      <c r="D4330" s="13">
        <v>6162</v>
      </c>
      <c r="E4330" s="136" t="str">
        <f>INDEX([1]道具配置表!$D:$D,MATCH(D4330,[1]道具配置表!$A:$A,0))</f>
        <v>10分钟训练加速</v>
      </c>
      <c r="F4330" s="13">
        <v>9</v>
      </c>
      <c r="K4330" s="58">
        <v>1</v>
      </c>
      <c r="L4330" s="58"/>
      <c r="M4330" s="58" t="b">
        <v>1</v>
      </c>
    </row>
    <row r="4331" spans="1:13" x14ac:dyDescent="0.25">
      <c r="A4331" s="13">
        <v>6636115</v>
      </c>
      <c r="B4331" s="13" t="s">
        <v>974</v>
      </c>
      <c r="D4331" s="13">
        <v>6162</v>
      </c>
      <c r="E4331" s="136" t="str">
        <f>INDEX([1]道具配置表!$D:$D,MATCH(D4331,[1]道具配置表!$A:$A,0))</f>
        <v>10分钟训练加速</v>
      </c>
      <c r="F4331" s="13">
        <v>12</v>
      </c>
      <c r="K4331" s="58">
        <v>1</v>
      </c>
      <c r="L4331" s="58"/>
      <c r="M4331" s="58" t="b">
        <v>1</v>
      </c>
    </row>
    <row r="4332" spans="1:13" x14ac:dyDescent="0.25">
      <c r="A4332" s="13">
        <v>6636301</v>
      </c>
      <c r="B4332" s="13" t="s">
        <v>956</v>
      </c>
      <c r="D4332" s="13">
        <v>7227</v>
      </c>
      <c r="E4332" s="136" t="str">
        <f>INDEX([1]道具配置表!$D:$D,MATCH(D4332,[1]道具配置表!$A:$A,0))</f>
        <v>经验书*1000</v>
      </c>
      <c r="F4332" s="13">
        <v>5</v>
      </c>
      <c r="K4332" s="58">
        <v>1</v>
      </c>
      <c r="L4332" s="58"/>
      <c r="M4332" s="58" t="b">
        <v>1</v>
      </c>
    </row>
    <row r="4333" spans="1:13" x14ac:dyDescent="0.25">
      <c r="D4333" s="13">
        <v>20000</v>
      </c>
      <c r="E4333" s="136" t="str">
        <f>INDEX([1]道具配置表!$D:$D,MATCH(D4333,[1]道具配置表!$A:$A,0))</f>
        <v>技能点1</v>
      </c>
      <c r="F4333" s="13">
        <v>100</v>
      </c>
      <c r="K4333" s="58">
        <v>1</v>
      </c>
      <c r="L4333" s="58"/>
      <c r="M4333" s="58" t="b">
        <v>1</v>
      </c>
    </row>
    <row r="4334" spans="1:13" x14ac:dyDescent="0.25">
      <c r="A4334" s="13">
        <v>6636302</v>
      </c>
      <c r="B4334" s="13" t="s">
        <v>957</v>
      </c>
      <c r="D4334" s="13">
        <v>7227</v>
      </c>
      <c r="E4334" s="136" t="str">
        <f>INDEX([1]道具配置表!$D:$D,MATCH(D4334,[1]道具配置表!$A:$A,0))</f>
        <v>经验书*1000</v>
      </c>
      <c r="F4334" s="13">
        <v>10</v>
      </c>
      <c r="K4334" s="58">
        <v>1</v>
      </c>
      <c r="L4334" s="58"/>
      <c r="M4334" s="58" t="b">
        <v>1</v>
      </c>
    </row>
    <row r="4335" spans="1:13" x14ac:dyDescent="0.25">
      <c r="D4335" s="13">
        <v>20000</v>
      </c>
      <c r="E4335" s="136" t="str">
        <f>INDEX([1]道具配置表!$D:$D,MATCH(D4335,[1]道具配置表!$A:$A,0))</f>
        <v>技能点1</v>
      </c>
      <c r="F4335" s="13">
        <v>150</v>
      </c>
      <c r="K4335" s="58">
        <v>1</v>
      </c>
      <c r="L4335" s="58"/>
      <c r="M4335" s="58" t="b">
        <v>1</v>
      </c>
    </row>
    <row r="4336" spans="1:13" x14ac:dyDescent="0.25">
      <c r="A4336" s="13">
        <v>6636303</v>
      </c>
      <c r="B4336" s="13" t="s">
        <v>958</v>
      </c>
      <c r="D4336" s="13">
        <v>7227</v>
      </c>
      <c r="E4336" s="136" t="str">
        <f>INDEX([1]道具配置表!$D:$D,MATCH(D4336,[1]道具配置表!$A:$A,0))</f>
        <v>经验书*1000</v>
      </c>
      <c r="F4336" s="13">
        <v>15</v>
      </c>
      <c r="K4336" s="58">
        <v>1</v>
      </c>
      <c r="L4336" s="58"/>
      <c r="M4336" s="58" t="b">
        <v>1</v>
      </c>
    </row>
    <row r="4337" spans="1:13" x14ac:dyDescent="0.25">
      <c r="D4337" s="13">
        <v>20000</v>
      </c>
      <c r="E4337" s="136" t="str">
        <f>INDEX([1]道具配置表!$D:$D,MATCH(D4337,[1]道具配置表!$A:$A,0))</f>
        <v>技能点1</v>
      </c>
      <c r="F4337" s="13">
        <v>200</v>
      </c>
      <c r="K4337" s="58">
        <v>1</v>
      </c>
      <c r="L4337" s="58"/>
      <c r="M4337" s="58" t="b">
        <v>1</v>
      </c>
    </row>
    <row r="4338" spans="1:13" x14ac:dyDescent="0.25">
      <c r="A4338" s="13">
        <v>6636304</v>
      </c>
      <c r="B4338" s="13" t="s">
        <v>959</v>
      </c>
      <c r="D4338" s="13">
        <v>7228</v>
      </c>
      <c r="E4338" s="136" t="str">
        <f>INDEX([1]道具配置表!$D:$D,MATCH(D4338,[1]道具配置表!$A:$A,0))</f>
        <v>经验书*10000</v>
      </c>
      <c r="F4338" s="13">
        <v>2</v>
      </c>
      <c r="K4338" s="58">
        <v>1</v>
      </c>
      <c r="L4338" s="58"/>
      <c r="M4338" s="58" t="b">
        <v>1</v>
      </c>
    </row>
    <row r="4339" spans="1:13" x14ac:dyDescent="0.25">
      <c r="D4339" s="13">
        <v>7204</v>
      </c>
      <c r="E4339" s="136" t="str">
        <f>INDEX([1]道具配置表!$D:$D,MATCH(D4339,[1]道具配置表!$A:$A,0))</f>
        <v>技能点*200</v>
      </c>
      <c r="F4339" s="13">
        <v>2</v>
      </c>
      <c r="K4339" s="58">
        <v>1</v>
      </c>
      <c r="L4339" s="58"/>
      <c r="M4339" s="58" t="b">
        <v>1</v>
      </c>
    </row>
    <row r="4340" spans="1:13" x14ac:dyDescent="0.25">
      <c r="A4340" s="13">
        <v>6636305</v>
      </c>
      <c r="B4340" s="13" t="s">
        <v>955</v>
      </c>
      <c r="D4340" s="13">
        <v>7228</v>
      </c>
      <c r="E4340" s="136" t="str">
        <f>INDEX([1]道具配置表!$D:$D,MATCH(D4340,[1]道具配置表!$A:$A,0))</f>
        <v>经验书*10000</v>
      </c>
      <c r="F4340" s="13">
        <v>3</v>
      </c>
      <c r="K4340" s="58">
        <v>1</v>
      </c>
      <c r="L4340" s="58"/>
      <c r="M4340" s="58" t="b">
        <v>1</v>
      </c>
    </row>
    <row r="4341" spans="1:13" x14ac:dyDescent="0.25">
      <c r="D4341" s="13">
        <v>7204</v>
      </c>
      <c r="E4341" s="136" t="str">
        <f>INDEX([1]道具配置表!$D:$D,MATCH(D4341,[1]道具配置表!$A:$A,0))</f>
        <v>技能点*200</v>
      </c>
      <c r="F4341" s="13">
        <v>3</v>
      </c>
      <c r="K4341" s="58">
        <v>1</v>
      </c>
      <c r="L4341" s="58"/>
      <c r="M4341" s="58" t="b">
        <v>1</v>
      </c>
    </row>
    <row r="4342" spans="1:13" x14ac:dyDescent="0.25">
      <c r="A4342" s="13">
        <v>6636306</v>
      </c>
      <c r="B4342" s="13" t="s">
        <v>955</v>
      </c>
      <c r="D4342" s="13">
        <v>56413</v>
      </c>
      <c r="E4342" s="136" t="str">
        <f>INDEX([1]道具配置表!$D:$D,MATCH(D4342,[1]道具配置表!$A:$A,0))</f>
        <v>城堡科技消耗道具</v>
      </c>
      <c r="F4342" s="13">
        <v>12</v>
      </c>
      <c r="K4342" s="131">
        <v>1</v>
      </c>
      <c r="L4342" s="131"/>
      <c r="M4342" s="131" t="b">
        <v>1</v>
      </c>
    </row>
    <row r="4343" spans="1:13" x14ac:dyDescent="0.25">
      <c r="D4343" s="13">
        <v>7228</v>
      </c>
      <c r="E4343" s="136" t="str">
        <f>INDEX([1]道具配置表!$D:$D,MATCH(D4343,[1]道具配置表!$A:$A,0))</f>
        <v>经验书*10000</v>
      </c>
      <c r="F4343" s="13">
        <v>3</v>
      </c>
      <c r="K4343" s="131">
        <v>1</v>
      </c>
      <c r="L4343" s="131"/>
      <c r="M4343" s="131" t="b">
        <v>1</v>
      </c>
    </row>
    <row r="4344" spans="1:13" x14ac:dyDescent="0.25">
      <c r="D4344" s="13">
        <v>7204</v>
      </c>
      <c r="E4344" s="136" t="str">
        <f>INDEX([1]道具配置表!$D:$D,MATCH(D4344,[1]道具配置表!$A:$A,0))</f>
        <v>技能点*200</v>
      </c>
      <c r="F4344" s="13">
        <v>3</v>
      </c>
      <c r="K4344" s="131">
        <v>1</v>
      </c>
      <c r="L4344" s="131"/>
      <c r="M4344" s="131" t="b">
        <v>1</v>
      </c>
    </row>
    <row r="4345" spans="1:13" x14ac:dyDescent="0.25">
      <c r="A4345" s="13">
        <v>6636307</v>
      </c>
      <c r="B4345" s="13" t="s">
        <v>1926</v>
      </c>
      <c r="D4345" s="13">
        <v>56413</v>
      </c>
      <c r="E4345" s="137" t="s">
        <v>1921</v>
      </c>
      <c r="F4345" s="13">
        <v>4</v>
      </c>
      <c r="K4345" s="137">
        <v>1</v>
      </c>
      <c r="L4345" s="137"/>
      <c r="M4345" s="137" t="b">
        <v>1</v>
      </c>
    </row>
    <row r="4346" spans="1:13" x14ac:dyDescent="0.25">
      <c r="D4346" s="13">
        <v>7228</v>
      </c>
      <c r="E4346" s="137" t="s">
        <v>1927</v>
      </c>
      <c r="F4346" s="13">
        <v>3</v>
      </c>
      <c r="K4346" s="137">
        <v>1</v>
      </c>
      <c r="L4346" s="137"/>
      <c r="M4346" s="137" t="b">
        <v>1</v>
      </c>
    </row>
    <row r="4347" spans="1:13" x14ac:dyDescent="0.25">
      <c r="D4347" s="13">
        <v>7204</v>
      </c>
      <c r="E4347" s="137" t="s">
        <v>1928</v>
      </c>
      <c r="F4347" s="13">
        <v>3</v>
      </c>
      <c r="K4347" s="137">
        <v>1</v>
      </c>
      <c r="L4347" s="137"/>
      <c r="M4347" s="137" t="b">
        <v>1</v>
      </c>
    </row>
    <row r="4348" spans="1:13" x14ac:dyDescent="0.25">
      <c r="A4348" s="13">
        <v>6636308</v>
      </c>
      <c r="B4348" s="13" t="s">
        <v>1929</v>
      </c>
      <c r="D4348" s="13">
        <v>56413</v>
      </c>
      <c r="E4348" s="137" t="s">
        <v>1921</v>
      </c>
      <c r="F4348" s="13">
        <v>5</v>
      </c>
      <c r="K4348" s="137">
        <v>1</v>
      </c>
      <c r="L4348" s="137"/>
      <c r="M4348" s="137" t="b">
        <v>1</v>
      </c>
    </row>
    <row r="4349" spans="1:13" x14ac:dyDescent="0.25">
      <c r="D4349" s="13">
        <v>7228</v>
      </c>
      <c r="E4349" s="137" t="s">
        <v>1927</v>
      </c>
      <c r="F4349" s="13">
        <v>3</v>
      </c>
      <c r="K4349" s="137">
        <v>1</v>
      </c>
      <c r="L4349" s="137"/>
      <c r="M4349" s="137" t="b">
        <v>1</v>
      </c>
    </row>
    <row r="4350" spans="1:13" x14ac:dyDescent="0.25">
      <c r="D4350" s="13">
        <v>7204</v>
      </c>
      <c r="E4350" s="137" t="s">
        <v>1928</v>
      </c>
      <c r="F4350" s="13">
        <v>3</v>
      </c>
      <c r="K4350" s="137">
        <v>1</v>
      </c>
      <c r="L4350" s="137"/>
      <c r="M4350" s="137" t="b">
        <v>1</v>
      </c>
    </row>
    <row r="4351" spans="1:13" x14ac:dyDescent="0.25">
      <c r="A4351" s="13">
        <v>6636309</v>
      </c>
      <c r="B4351" s="13" t="s">
        <v>1930</v>
      </c>
      <c r="D4351" s="13">
        <v>56413</v>
      </c>
      <c r="E4351" s="137" t="s">
        <v>1921</v>
      </c>
      <c r="F4351" s="13">
        <v>6</v>
      </c>
      <c r="K4351" s="137">
        <v>1</v>
      </c>
      <c r="L4351" s="137"/>
      <c r="M4351" s="137" t="b">
        <v>1</v>
      </c>
    </row>
    <row r="4352" spans="1:13" x14ac:dyDescent="0.25">
      <c r="D4352" s="13">
        <v>7228</v>
      </c>
      <c r="E4352" s="137" t="s">
        <v>1927</v>
      </c>
      <c r="F4352" s="13">
        <v>3</v>
      </c>
      <c r="K4352" s="137">
        <v>1</v>
      </c>
      <c r="L4352" s="137"/>
      <c r="M4352" s="137" t="b">
        <v>1</v>
      </c>
    </row>
    <row r="4353" spans="1:13" x14ac:dyDescent="0.25">
      <c r="D4353" s="13">
        <v>7204</v>
      </c>
      <c r="E4353" s="137" t="s">
        <v>1928</v>
      </c>
      <c r="F4353" s="13">
        <v>3</v>
      </c>
      <c r="K4353" s="137">
        <v>1</v>
      </c>
      <c r="L4353" s="137"/>
      <c r="M4353" s="137" t="b">
        <v>1</v>
      </c>
    </row>
    <row r="4354" spans="1:13" x14ac:dyDescent="0.25">
      <c r="A4354" s="13">
        <v>6636310</v>
      </c>
      <c r="B4354" s="13" t="s">
        <v>1931</v>
      </c>
      <c r="D4354" s="13">
        <v>56413</v>
      </c>
      <c r="E4354" s="137" t="s">
        <v>1921</v>
      </c>
      <c r="F4354" s="13">
        <v>8</v>
      </c>
      <c r="K4354" s="137">
        <v>1</v>
      </c>
      <c r="L4354" s="137"/>
      <c r="M4354" s="137" t="b">
        <v>1</v>
      </c>
    </row>
    <row r="4355" spans="1:13" x14ac:dyDescent="0.25">
      <c r="D4355" s="13">
        <v>7228</v>
      </c>
      <c r="E4355" s="137" t="s">
        <v>1927</v>
      </c>
      <c r="F4355" s="13">
        <v>3</v>
      </c>
      <c r="K4355" s="137">
        <v>1</v>
      </c>
      <c r="L4355" s="137"/>
      <c r="M4355" s="137" t="b">
        <v>1</v>
      </c>
    </row>
    <row r="4356" spans="1:13" x14ac:dyDescent="0.25">
      <c r="D4356" s="13">
        <v>7204</v>
      </c>
      <c r="E4356" s="137" t="s">
        <v>1928</v>
      </c>
      <c r="F4356" s="13">
        <v>3</v>
      </c>
      <c r="K4356" s="137">
        <v>1</v>
      </c>
      <c r="L4356" s="137"/>
      <c r="M4356" s="137" t="b">
        <v>1</v>
      </c>
    </row>
    <row r="4357" spans="1:13" x14ac:dyDescent="0.25">
      <c r="A4357" s="13">
        <v>6636311</v>
      </c>
      <c r="B4357" s="13" t="s">
        <v>1932</v>
      </c>
      <c r="D4357" s="13">
        <v>56413</v>
      </c>
      <c r="E4357" s="137" t="s">
        <v>1921</v>
      </c>
      <c r="F4357" s="13">
        <v>10</v>
      </c>
      <c r="K4357" s="137">
        <v>1</v>
      </c>
      <c r="L4357" s="137"/>
      <c r="M4357" s="137" t="b">
        <v>1</v>
      </c>
    </row>
    <row r="4358" spans="1:13" x14ac:dyDescent="0.25">
      <c r="D4358" s="13">
        <v>7228</v>
      </c>
      <c r="E4358" s="137" t="s">
        <v>1927</v>
      </c>
      <c r="F4358" s="13">
        <v>3</v>
      </c>
      <c r="K4358" s="137">
        <v>1</v>
      </c>
      <c r="L4358" s="137"/>
      <c r="M4358" s="137" t="b">
        <v>1</v>
      </c>
    </row>
    <row r="4359" spans="1:13" x14ac:dyDescent="0.25">
      <c r="D4359" s="13">
        <v>7204</v>
      </c>
      <c r="E4359" s="137" t="s">
        <v>1928</v>
      </c>
      <c r="F4359" s="13">
        <v>3</v>
      </c>
      <c r="K4359" s="137">
        <v>1</v>
      </c>
      <c r="L4359" s="137"/>
      <c r="M4359" s="137" t="b">
        <v>1</v>
      </c>
    </row>
    <row r="4360" spans="1:13" x14ac:dyDescent="0.25">
      <c r="A4360" s="13">
        <v>6636201</v>
      </c>
      <c r="B4360" s="13" t="s">
        <v>950</v>
      </c>
      <c r="D4360" s="13">
        <v>123001</v>
      </c>
      <c r="E4360" s="136" t="str">
        <f>INDEX([1]道具配置表!$D:$D,MATCH(D4360,[1]道具配置表!$A:$A,0))</f>
        <v>通用紫色碎片</v>
      </c>
      <c r="F4360" s="13">
        <v>1</v>
      </c>
      <c r="K4360" s="137">
        <v>1</v>
      </c>
      <c r="L4360" s="137"/>
      <c r="M4360" s="137" t="b">
        <v>1</v>
      </c>
    </row>
    <row r="4361" spans="1:13" x14ac:dyDescent="0.25">
      <c r="D4361" s="13">
        <v>7227</v>
      </c>
      <c r="E4361" s="136" t="str">
        <f>INDEX([1]道具配置表!$D:$D,MATCH(D4361,[1]道具配置表!$A:$A,0))</f>
        <v>经验书*1000</v>
      </c>
      <c r="F4361" s="13">
        <v>5</v>
      </c>
      <c r="K4361" s="13">
        <v>1</v>
      </c>
      <c r="M4361" s="58" t="b">
        <v>1</v>
      </c>
    </row>
    <row r="4362" spans="1:13" x14ac:dyDescent="0.25">
      <c r="A4362" s="13">
        <v>6636202</v>
      </c>
      <c r="B4362" s="13" t="s">
        <v>951</v>
      </c>
      <c r="D4362" s="13">
        <v>123001</v>
      </c>
      <c r="E4362" s="136" t="str">
        <f>INDEX([1]道具配置表!$D:$D,MATCH(D4362,[1]道具配置表!$A:$A,0))</f>
        <v>通用紫色碎片</v>
      </c>
      <c r="F4362" s="13">
        <v>2</v>
      </c>
      <c r="K4362" s="13">
        <v>1</v>
      </c>
      <c r="M4362" s="58" t="b">
        <v>1</v>
      </c>
    </row>
    <row r="4363" spans="1:13" x14ac:dyDescent="0.25">
      <c r="D4363" s="13">
        <v>7227</v>
      </c>
      <c r="E4363" s="136" t="str">
        <f>INDEX([1]道具配置表!$D:$D,MATCH(D4363,[1]道具配置表!$A:$A,0))</f>
        <v>经验书*1000</v>
      </c>
      <c r="F4363" s="13">
        <v>9</v>
      </c>
      <c r="K4363" s="13">
        <v>1</v>
      </c>
      <c r="M4363" s="58" t="b">
        <v>1</v>
      </c>
    </row>
    <row r="4364" spans="1:13" x14ac:dyDescent="0.25">
      <c r="A4364" s="13">
        <v>6636203</v>
      </c>
      <c r="B4364" s="13" t="s">
        <v>952</v>
      </c>
      <c r="D4364" s="13">
        <v>119019</v>
      </c>
      <c r="E4364" s="136" t="str">
        <f>INDEX([1]道具配置表!$D:$D,MATCH(D4364,[1]道具配置表!$A:$A,0))</f>
        <v>大流士一世</v>
      </c>
      <c r="F4364" s="13">
        <v>1</v>
      </c>
      <c r="K4364" s="13">
        <v>1</v>
      </c>
      <c r="M4364" s="58" t="b">
        <v>1</v>
      </c>
    </row>
    <row r="4365" spans="1:13" x14ac:dyDescent="0.25">
      <c r="D4365" s="13">
        <v>7227</v>
      </c>
      <c r="E4365" s="136" t="str">
        <f>INDEX([1]道具配置表!$D:$D,MATCH(D4365,[1]道具配置表!$A:$A,0))</f>
        <v>经验书*1000</v>
      </c>
      <c r="F4365" s="13">
        <v>13</v>
      </c>
      <c r="K4365" s="13">
        <v>1</v>
      </c>
      <c r="M4365" s="58" t="b">
        <v>1</v>
      </c>
    </row>
    <row r="4366" spans="1:13" x14ac:dyDescent="0.25">
      <c r="A4366" s="13">
        <v>6636204</v>
      </c>
      <c r="B4366" s="13" t="s">
        <v>953</v>
      </c>
      <c r="D4366" s="13">
        <v>119019</v>
      </c>
      <c r="E4366" s="136" t="str">
        <f>INDEX([1]道具配置表!$D:$D,MATCH(D4366,[1]道具配置表!$A:$A,0))</f>
        <v>大流士一世</v>
      </c>
      <c r="F4366" s="13">
        <v>1</v>
      </c>
      <c r="K4366" s="13">
        <v>1</v>
      </c>
      <c r="M4366" s="58" t="b">
        <v>1</v>
      </c>
    </row>
    <row r="4367" spans="1:13" x14ac:dyDescent="0.25">
      <c r="D4367" s="13">
        <v>7227</v>
      </c>
      <c r="E4367" s="136" t="str">
        <f>INDEX([1]道具配置表!$D:$D,MATCH(D4367,[1]道具配置表!$A:$A,0))</f>
        <v>经验书*1000</v>
      </c>
      <c r="F4367" s="13">
        <v>16</v>
      </c>
      <c r="K4367" s="13">
        <v>1</v>
      </c>
      <c r="M4367" s="58" t="b">
        <v>1</v>
      </c>
    </row>
    <row r="4368" spans="1:13" x14ac:dyDescent="0.25">
      <c r="A4368" s="13">
        <v>6636205</v>
      </c>
      <c r="B4368" s="13" t="s">
        <v>954</v>
      </c>
      <c r="D4368" s="13">
        <v>119019</v>
      </c>
      <c r="E4368" s="136" t="str">
        <f>INDEX([1]道具配置表!$D:$D,MATCH(D4368,[1]道具配置表!$A:$A,0))</f>
        <v>大流士一世</v>
      </c>
      <c r="F4368" s="13">
        <v>1</v>
      </c>
      <c r="K4368" s="13">
        <v>1</v>
      </c>
      <c r="M4368" s="58" t="b">
        <v>1</v>
      </c>
    </row>
    <row r="4369" spans="1:13" x14ac:dyDescent="0.25">
      <c r="D4369" s="13">
        <v>7227</v>
      </c>
      <c r="E4369" s="136" t="str">
        <f>INDEX([1]道具配置表!$D:$D,MATCH(D4369,[1]道具配置表!$A:$A,0))</f>
        <v>经验书*1000</v>
      </c>
      <c r="F4369" s="13">
        <v>20</v>
      </c>
      <c r="K4369" s="13">
        <v>1</v>
      </c>
      <c r="M4369" s="58" t="b">
        <v>1</v>
      </c>
    </row>
    <row r="4370" spans="1:13" x14ac:dyDescent="0.25">
      <c r="A4370" s="13">
        <v>6636401</v>
      </c>
      <c r="B4370" s="13" t="s">
        <v>960</v>
      </c>
      <c r="D4370" s="13">
        <v>6141</v>
      </c>
      <c r="E4370" s="136" t="str">
        <f>INDEX([1]道具配置表!$D:$D,MATCH(D4370,[1]道具配置表!$A:$A,0))</f>
        <v>5分钟科技加速</v>
      </c>
      <c r="F4370" s="13">
        <v>2</v>
      </c>
      <c r="K4370" s="13">
        <v>1</v>
      </c>
      <c r="M4370" s="58" t="b">
        <v>1</v>
      </c>
    </row>
    <row r="4371" spans="1:13" x14ac:dyDescent="0.25">
      <c r="D4371" s="13">
        <v>501</v>
      </c>
      <c r="E4371" s="136" t="str">
        <f>INDEX([1]道具配置表!$D:$D,MATCH(D4371,[1]道具配置表!$A:$A,0))</f>
        <v>1千资源自选宝箱</v>
      </c>
      <c r="F4371" s="13">
        <v>15</v>
      </c>
      <c r="K4371" s="13">
        <v>1</v>
      </c>
      <c r="M4371" s="58" t="b">
        <v>1</v>
      </c>
    </row>
    <row r="4372" spans="1:13" x14ac:dyDescent="0.25">
      <c r="A4372" s="13">
        <v>6636402</v>
      </c>
      <c r="B4372" s="13" t="s">
        <v>961</v>
      </c>
      <c r="D4372" s="13">
        <v>6141</v>
      </c>
      <c r="E4372" s="136" t="str">
        <f>INDEX([1]道具配置表!$D:$D,MATCH(D4372,[1]道具配置表!$A:$A,0))</f>
        <v>5分钟科技加速</v>
      </c>
      <c r="F4372" s="13">
        <v>4</v>
      </c>
      <c r="K4372" s="13">
        <v>1</v>
      </c>
      <c r="M4372" s="58" t="b">
        <v>1</v>
      </c>
    </row>
    <row r="4373" spans="1:13" x14ac:dyDescent="0.25">
      <c r="D4373" s="13">
        <v>501</v>
      </c>
      <c r="E4373" s="136" t="str">
        <f>INDEX([1]道具配置表!$D:$D,MATCH(D4373,[1]道具配置表!$A:$A,0))</f>
        <v>1千资源自选宝箱</v>
      </c>
      <c r="F4373" s="13">
        <v>30</v>
      </c>
      <c r="K4373" s="13">
        <v>1</v>
      </c>
      <c r="M4373" s="58" t="b">
        <v>1</v>
      </c>
    </row>
    <row r="4374" spans="1:13" x14ac:dyDescent="0.25">
      <c r="A4374" s="13">
        <v>6636403</v>
      </c>
      <c r="B4374" s="13" t="s">
        <v>962</v>
      </c>
      <c r="D4374" s="13">
        <v>6141</v>
      </c>
      <c r="E4374" s="136" t="str">
        <f>INDEX([1]道具配置表!$D:$D,MATCH(D4374,[1]道具配置表!$A:$A,0))</f>
        <v>5分钟科技加速</v>
      </c>
      <c r="F4374" s="13">
        <v>6</v>
      </c>
      <c r="K4374" s="13">
        <v>1</v>
      </c>
      <c r="M4374" s="58" t="b">
        <v>1</v>
      </c>
    </row>
    <row r="4375" spans="1:13" x14ac:dyDescent="0.25">
      <c r="D4375" s="13">
        <v>501</v>
      </c>
      <c r="E4375" s="136" t="str">
        <f>INDEX([1]道具配置表!$D:$D,MATCH(D4375,[1]道具配置表!$A:$A,0))</f>
        <v>1千资源自选宝箱</v>
      </c>
      <c r="F4375" s="13">
        <v>45</v>
      </c>
      <c r="K4375" s="13">
        <v>1</v>
      </c>
      <c r="M4375" s="58" t="b">
        <v>1</v>
      </c>
    </row>
    <row r="4376" spans="1:13" x14ac:dyDescent="0.25">
      <c r="A4376" s="13">
        <v>6636404</v>
      </c>
      <c r="B4376" s="13" t="s">
        <v>963</v>
      </c>
      <c r="D4376" s="13">
        <v>6142</v>
      </c>
      <c r="E4376" s="136" t="str">
        <f>INDEX([1]道具配置表!$D:$D,MATCH(D4376,[1]道具配置表!$A:$A,0))</f>
        <v>10分钟科技加速</v>
      </c>
      <c r="F4376" s="13">
        <v>4</v>
      </c>
      <c r="K4376" s="13">
        <v>1</v>
      </c>
      <c r="M4376" s="58" t="b">
        <v>1</v>
      </c>
    </row>
    <row r="4377" spans="1:13" x14ac:dyDescent="0.25">
      <c r="D4377" s="13">
        <v>502</v>
      </c>
      <c r="E4377" s="136" t="str">
        <f>INDEX([1]道具配置表!$D:$D,MATCH(D4377,[1]道具配置表!$A:$A,0))</f>
        <v>1万资源自选宝箱</v>
      </c>
      <c r="F4377" s="13">
        <v>6</v>
      </c>
      <c r="K4377" s="13">
        <v>1</v>
      </c>
      <c r="M4377" s="58" t="b">
        <v>1</v>
      </c>
    </row>
    <row r="4378" spans="1:13" x14ac:dyDescent="0.25">
      <c r="A4378" s="13">
        <v>6636405</v>
      </c>
      <c r="B4378" s="13" t="s">
        <v>964</v>
      </c>
      <c r="D4378" s="13">
        <v>6142</v>
      </c>
      <c r="E4378" s="136" t="str">
        <f>INDEX([1]道具配置表!$D:$D,MATCH(D4378,[1]道具配置表!$A:$A,0))</f>
        <v>10分钟科技加速</v>
      </c>
      <c r="F4378" s="13">
        <v>6</v>
      </c>
      <c r="K4378" s="13">
        <v>1</v>
      </c>
      <c r="M4378" s="58" t="b">
        <v>1</v>
      </c>
    </row>
    <row r="4379" spans="1:13" x14ac:dyDescent="0.25">
      <c r="D4379" s="13">
        <v>502</v>
      </c>
      <c r="E4379" s="136" t="str">
        <f>INDEX([1]道具配置表!$D:$D,MATCH(D4379,[1]道具配置表!$A:$A,0))</f>
        <v>1万资源自选宝箱</v>
      </c>
      <c r="F4379" s="13">
        <v>9</v>
      </c>
      <c r="K4379" s="13">
        <v>1</v>
      </c>
      <c r="M4379" s="58" t="b">
        <v>1</v>
      </c>
    </row>
    <row r="4380" spans="1:13" x14ac:dyDescent="0.25">
      <c r="A4380" s="13">
        <v>6636406</v>
      </c>
      <c r="B4380" s="13" t="s">
        <v>964</v>
      </c>
      <c r="D4380" s="13">
        <v>56413</v>
      </c>
      <c r="E4380" s="136" t="str">
        <f>INDEX([1]道具配置表!$D:$D,MATCH(D4380,[1]道具配置表!$A:$A,0))</f>
        <v>城堡科技消耗道具</v>
      </c>
      <c r="F4380" s="13">
        <v>6</v>
      </c>
      <c r="K4380" s="13">
        <v>1</v>
      </c>
      <c r="M4380" s="131" t="b">
        <v>1</v>
      </c>
    </row>
    <row r="4381" spans="1:13" x14ac:dyDescent="0.25">
      <c r="D4381" s="13">
        <v>6142</v>
      </c>
      <c r="E4381" s="136" t="str">
        <f>INDEX([1]道具配置表!$D:$D,MATCH(D4381,[1]道具配置表!$A:$A,0))</f>
        <v>10分钟科技加速</v>
      </c>
      <c r="F4381" s="13">
        <v>6</v>
      </c>
      <c r="K4381" s="13">
        <v>1</v>
      </c>
      <c r="M4381" s="131" t="b">
        <v>1</v>
      </c>
    </row>
    <row r="4382" spans="1:13" x14ac:dyDescent="0.25">
      <c r="D4382" s="13">
        <v>502</v>
      </c>
      <c r="E4382" s="136" t="str">
        <f>INDEX([1]道具配置表!$D:$D,MATCH(D4382,[1]道具配置表!$A:$A,0))</f>
        <v>1万资源自选宝箱</v>
      </c>
      <c r="F4382" s="13">
        <v>9</v>
      </c>
      <c r="K4382" s="13">
        <v>1</v>
      </c>
      <c r="M4382" s="131" t="b">
        <v>1</v>
      </c>
    </row>
    <row r="4383" spans="1:13" x14ac:dyDescent="0.25">
      <c r="A4383" s="13">
        <v>6636407</v>
      </c>
      <c r="B4383" s="13" t="s">
        <v>1920</v>
      </c>
      <c r="D4383" s="13">
        <v>56413</v>
      </c>
      <c r="E4383" s="137" t="str">
        <f>INDEX([1]道具配置表!$D:$D,MATCH(D4383,[1]道具配置表!$A:$A,0))</f>
        <v>城堡科技消耗道具</v>
      </c>
      <c r="F4383" s="13">
        <v>1</v>
      </c>
      <c r="K4383" s="13">
        <v>1</v>
      </c>
      <c r="M4383" s="137" t="b">
        <v>1</v>
      </c>
    </row>
    <row r="4384" spans="1:13" x14ac:dyDescent="0.25">
      <c r="D4384" s="13">
        <v>6142</v>
      </c>
      <c r="E4384" s="137" t="str">
        <f>INDEX([1]道具配置表!$D:$D,MATCH(D4384,[1]道具配置表!$A:$A,0))</f>
        <v>10分钟科技加速</v>
      </c>
      <c r="F4384" s="13">
        <v>6</v>
      </c>
      <c r="K4384" s="13">
        <v>1</v>
      </c>
      <c r="M4384" s="137" t="b">
        <v>1</v>
      </c>
    </row>
    <row r="4385" spans="1:13" x14ac:dyDescent="0.25">
      <c r="D4385" s="13">
        <v>502</v>
      </c>
      <c r="E4385" s="137" t="str">
        <f>INDEX([1]道具配置表!$D:$D,MATCH(D4385,[1]道具配置表!$A:$A,0))</f>
        <v>1万资源自选宝箱</v>
      </c>
      <c r="F4385" s="13">
        <v>9</v>
      </c>
      <c r="K4385" s="13">
        <v>1</v>
      </c>
      <c r="M4385" s="137" t="b">
        <v>1</v>
      </c>
    </row>
    <row r="4386" spans="1:13" x14ac:dyDescent="0.25">
      <c r="A4386" s="13">
        <v>6636408</v>
      </c>
      <c r="B4386" s="13" t="s">
        <v>1922</v>
      </c>
      <c r="D4386" s="13">
        <v>56413</v>
      </c>
      <c r="E4386" s="137" t="str">
        <f>INDEX([1]道具配置表!$D:$D,MATCH(D4386,[1]道具配置表!$A:$A,0))</f>
        <v>城堡科技消耗道具</v>
      </c>
      <c r="F4386" s="13">
        <v>2</v>
      </c>
      <c r="K4386" s="13">
        <v>1</v>
      </c>
      <c r="M4386" s="137" t="b">
        <v>1</v>
      </c>
    </row>
    <row r="4387" spans="1:13" x14ac:dyDescent="0.25">
      <c r="D4387" s="13">
        <v>6142</v>
      </c>
      <c r="E4387" s="137" t="str">
        <f>INDEX([1]道具配置表!$D:$D,MATCH(D4387,[1]道具配置表!$A:$A,0))</f>
        <v>10分钟科技加速</v>
      </c>
      <c r="F4387" s="13">
        <v>6</v>
      </c>
      <c r="K4387" s="13">
        <v>1</v>
      </c>
      <c r="M4387" s="137" t="b">
        <v>1</v>
      </c>
    </row>
    <row r="4388" spans="1:13" x14ac:dyDescent="0.25">
      <c r="D4388" s="13">
        <v>502</v>
      </c>
      <c r="E4388" s="137" t="str">
        <f>INDEX([1]道具配置表!$D:$D,MATCH(D4388,[1]道具配置表!$A:$A,0))</f>
        <v>1万资源自选宝箱</v>
      </c>
      <c r="F4388" s="13">
        <v>9</v>
      </c>
      <c r="K4388" s="13">
        <v>1</v>
      </c>
      <c r="M4388" s="137" t="b">
        <v>1</v>
      </c>
    </row>
    <row r="4389" spans="1:13" x14ac:dyDescent="0.25">
      <c r="A4389" s="13">
        <v>6636409</v>
      </c>
      <c r="B4389" s="13" t="s">
        <v>1923</v>
      </c>
      <c r="D4389" s="13">
        <v>56413</v>
      </c>
      <c r="E4389" s="137" t="str">
        <f>INDEX([1]道具配置表!$D:$D,MATCH(D4389,[1]道具配置表!$A:$A,0))</f>
        <v>城堡科技消耗道具</v>
      </c>
      <c r="F4389" s="13">
        <v>3</v>
      </c>
      <c r="K4389" s="13">
        <v>1</v>
      </c>
      <c r="M4389" s="137" t="b">
        <v>1</v>
      </c>
    </row>
    <row r="4390" spans="1:13" x14ac:dyDescent="0.25">
      <c r="D4390" s="13">
        <v>6142</v>
      </c>
      <c r="E4390" s="137" t="str">
        <f>INDEX([1]道具配置表!$D:$D,MATCH(D4390,[1]道具配置表!$A:$A,0))</f>
        <v>10分钟科技加速</v>
      </c>
      <c r="F4390" s="13">
        <v>6</v>
      </c>
      <c r="K4390" s="13">
        <v>1</v>
      </c>
      <c r="M4390" s="137" t="b">
        <v>1</v>
      </c>
    </row>
    <row r="4391" spans="1:13" x14ac:dyDescent="0.25">
      <c r="D4391" s="13">
        <v>502</v>
      </c>
      <c r="E4391" s="137" t="str">
        <f>INDEX([1]道具配置表!$D:$D,MATCH(D4391,[1]道具配置表!$A:$A,0))</f>
        <v>1万资源自选宝箱</v>
      </c>
      <c r="F4391" s="13">
        <v>9</v>
      </c>
      <c r="K4391" s="13">
        <v>1</v>
      </c>
      <c r="M4391" s="137" t="b">
        <v>1</v>
      </c>
    </row>
    <row r="4392" spans="1:13" x14ac:dyDescent="0.25">
      <c r="A4392" s="13">
        <v>6636410</v>
      </c>
      <c r="B4392" s="13" t="s">
        <v>1924</v>
      </c>
      <c r="D4392" s="13">
        <v>56413</v>
      </c>
      <c r="E4392" s="137" t="str">
        <f>INDEX([1]道具配置表!$D:$D,MATCH(D4392,[1]道具配置表!$A:$A,0))</f>
        <v>城堡科技消耗道具</v>
      </c>
      <c r="F4392" s="13">
        <v>4</v>
      </c>
      <c r="K4392" s="13">
        <v>1</v>
      </c>
      <c r="M4392" s="137" t="b">
        <v>1</v>
      </c>
    </row>
    <row r="4393" spans="1:13" x14ac:dyDescent="0.25">
      <c r="D4393" s="13">
        <v>6142</v>
      </c>
      <c r="E4393" s="137" t="str">
        <f>INDEX([1]道具配置表!$D:$D,MATCH(D4393,[1]道具配置表!$A:$A,0))</f>
        <v>10分钟科技加速</v>
      </c>
      <c r="F4393" s="13">
        <v>6</v>
      </c>
      <c r="K4393" s="13">
        <v>1</v>
      </c>
      <c r="M4393" s="137" t="b">
        <v>1</v>
      </c>
    </row>
    <row r="4394" spans="1:13" x14ac:dyDescent="0.25">
      <c r="D4394" s="13">
        <v>502</v>
      </c>
      <c r="E4394" s="137" t="str">
        <f>INDEX([1]道具配置表!$D:$D,MATCH(D4394,[1]道具配置表!$A:$A,0))</f>
        <v>1万资源自选宝箱</v>
      </c>
      <c r="F4394" s="13">
        <v>9</v>
      </c>
      <c r="K4394" s="13">
        <v>1</v>
      </c>
      <c r="M4394" s="137" t="b">
        <v>1</v>
      </c>
    </row>
    <row r="4395" spans="1:13" x14ac:dyDescent="0.25">
      <c r="A4395" s="13">
        <v>6636411</v>
      </c>
      <c r="B4395" s="13" t="s">
        <v>1925</v>
      </c>
      <c r="D4395" s="13">
        <v>56413</v>
      </c>
      <c r="E4395" s="137" t="str">
        <f>INDEX([1]道具配置表!$D:$D,MATCH(D4395,[1]道具配置表!$A:$A,0))</f>
        <v>城堡科技消耗道具</v>
      </c>
      <c r="F4395" s="13">
        <v>5</v>
      </c>
      <c r="K4395" s="13">
        <v>1</v>
      </c>
      <c r="M4395" s="137" t="b">
        <v>1</v>
      </c>
    </row>
    <row r="4396" spans="1:13" x14ac:dyDescent="0.25">
      <c r="D4396" s="13">
        <v>6142</v>
      </c>
      <c r="E4396" s="137" t="str">
        <f>INDEX([1]道具配置表!$D:$D,MATCH(D4396,[1]道具配置表!$A:$A,0))</f>
        <v>10分钟科技加速</v>
      </c>
      <c r="F4396" s="13">
        <v>6</v>
      </c>
      <c r="K4396" s="13">
        <v>1</v>
      </c>
      <c r="M4396" s="137" t="b">
        <v>1</v>
      </c>
    </row>
    <row r="4397" spans="1:13" x14ac:dyDescent="0.25">
      <c r="D4397" s="13">
        <v>502</v>
      </c>
      <c r="E4397" s="137" t="str">
        <f>INDEX([1]道具配置表!$D:$D,MATCH(D4397,[1]道具配置表!$A:$A,0))</f>
        <v>1万资源自选宝箱</v>
      </c>
      <c r="F4397" s="13">
        <v>9</v>
      </c>
      <c r="K4397" s="13">
        <v>1</v>
      </c>
      <c r="M4397" s="137" t="b">
        <v>1</v>
      </c>
    </row>
    <row r="4398" spans="1:13" x14ac:dyDescent="0.25">
      <c r="A4398" s="13">
        <v>6637001</v>
      </c>
      <c r="B4398" s="13" t="s">
        <v>975</v>
      </c>
      <c r="D4398" s="13">
        <v>123001</v>
      </c>
      <c r="E4398" s="136" t="str">
        <f>INDEX([1]道具配置表!$D:$D,MATCH(D4398,[1]道具配置表!$A:$A,0))</f>
        <v>通用紫色碎片</v>
      </c>
      <c r="F4398" s="13">
        <v>1</v>
      </c>
      <c r="K4398" s="13">
        <v>1</v>
      </c>
      <c r="M4398" s="60" t="b">
        <v>1</v>
      </c>
    </row>
    <row r="4399" spans="1:13" x14ac:dyDescent="0.25">
      <c r="D4399" s="13">
        <v>7228</v>
      </c>
      <c r="E4399" s="136" t="str">
        <f>INDEX([1]道具配置表!$D:$D,MATCH(D4399,[1]道具配置表!$A:$A,0))</f>
        <v>经验书*10000</v>
      </c>
      <c r="F4399" s="13">
        <v>1</v>
      </c>
      <c r="K4399" s="13">
        <v>1</v>
      </c>
      <c r="M4399" s="60" t="b">
        <v>1</v>
      </c>
    </row>
    <row r="4400" spans="1:13" x14ac:dyDescent="0.25">
      <c r="A4400" s="13">
        <v>6637002</v>
      </c>
      <c r="B4400" s="13" t="s">
        <v>976</v>
      </c>
      <c r="D4400" s="13">
        <v>123001</v>
      </c>
      <c r="E4400" s="136" t="str">
        <f>INDEX([1]道具配置表!$D:$D,MATCH(D4400,[1]道具配置表!$A:$A,0))</f>
        <v>通用紫色碎片</v>
      </c>
      <c r="F4400" s="13">
        <v>1</v>
      </c>
      <c r="K4400" s="13">
        <v>1</v>
      </c>
      <c r="M4400" s="60" t="b">
        <v>1</v>
      </c>
    </row>
    <row r="4401" spans="1:13" x14ac:dyDescent="0.25">
      <c r="D4401" s="13">
        <v>7228</v>
      </c>
      <c r="E4401" s="136" t="str">
        <f>INDEX([1]道具配置表!$D:$D,MATCH(D4401,[1]道具配置表!$A:$A,0))</f>
        <v>经验书*10000</v>
      </c>
      <c r="F4401" s="13">
        <v>2</v>
      </c>
      <c r="K4401" s="13">
        <v>1</v>
      </c>
      <c r="M4401" s="60" t="b">
        <v>1</v>
      </c>
    </row>
    <row r="4402" spans="1:13" x14ac:dyDescent="0.25">
      <c r="A4402" s="13">
        <v>6637003</v>
      </c>
      <c r="B4402" s="13" t="s">
        <v>977</v>
      </c>
      <c r="D4402" s="13">
        <v>123001</v>
      </c>
      <c r="E4402" s="136" t="str">
        <f>INDEX([1]道具配置表!$D:$D,MATCH(D4402,[1]道具配置表!$A:$A,0))</f>
        <v>通用紫色碎片</v>
      </c>
      <c r="F4402" s="13">
        <v>2</v>
      </c>
      <c r="K4402" s="13">
        <v>1</v>
      </c>
      <c r="M4402" s="60" t="b">
        <v>1</v>
      </c>
    </row>
    <row r="4403" spans="1:13" x14ac:dyDescent="0.25">
      <c r="D4403" s="13">
        <v>7228</v>
      </c>
      <c r="E4403" s="136" t="str">
        <f>INDEX([1]道具配置表!$D:$D,MATCH(D4403,[1]道具配置表!$A:$A,0))</f>
        <v>经验书*10000</v>
      </c>
      <c r="F4403" s="13">
        <v>3</v>
      </c>
      <c r="K4403" s="13">
        <v>1</v>
      </c>
      <c r="M4403" s="60" t="b">
        <v>1</v>
      </c>
    </row>
    <row r="4404" spans="1:13" x14ac:dyDescent="0.25">
      <c r="A4404" s="13">
        <v>6637004</v>
      </c>
      <c r="B4404" s="13" t="s">
        <v>978</v>
      </c>
      <c r="D4404" s="13">
        <v>123001</v>
      </c>
      <c r="E4404" s="136" t="str">
        <f>INDEX([1]道具配置表!$D:$D,MATCH(D4404,[1]道具配置表!$A:$A,0))</f>
        <v>通用紫色碎片</v>
      </c>
      <c r="F4404" s="13">
        <v>2</v>
      </c>
      <c r="K4404" s="13">
        <v>1</v>
      </c>
      <c r="M4404" s="60" t="b">
        <v>1</v>
      </c>
    </row>
    <row r="4405" spans="1:13" x14ac:dyDescent="0.25">
      <c r="D4405" s="13">
        <v>7228</v>
      </c>
      <c r="E4405" s="136" t="str">
        <f>INDEX([1]道具配置表!$D:$D,MATCH(D4405,[1]道具配置表!$A:$A,0))</f>
        <v>经验书*10000</v>
      </c>
      <c r="F4405" s="13">
        <v>4</v>
      </c>
      <c r="K4405" s="13">
        <v>1</v>
      </c>
      <c r="M4405" s="60" t="b">
        <v>1</v>
      </c>
    </row>
    <row r="4406" spans="1:13" x14ac:dyDescent="0.25">
      <c r="A4406" s="13">
        <v>6637005</v>
      </c>
      <c r="B4406" s="13" t="s">
        <v>979</v>
      </c>
      <c r="D4406" s="13">
        <v>123001</v>
      </c>
      <c r="E4406" s="136" t="str">
        <f>INDEX([1]道具配置表!$D:$D,MATCH(D4406,[1]道具配置表!$A:$A,0))</f>
        <v>通用紫色碎片</v>
      </c>
      <c r="F4406" s="13">
        <v>3</v>
      </c>
      <c r="K4406" s="13">
        <v>1</v>
      </c>
      <c r="M4406" s="60" t="b">
        <v>1</v>
      </c>
    </row>
    <row r="4407" spans="1:13" x14ac:dyDescent="0.25">
      <c r="D4407" s="13">
        <v>7228</v>
      </c>
      <c r="E4407" s="136" t="str">
        <f>INDEX([1]道具配置表!$D:$D,MATCH(D4407,[1]道具配置表!$A:$A,0))</f>
        <v>经验书*10000</v>
      </c>
      <c r="F4407" s="13">
        <v>5</v>
      </c>
      <c r="K4407" s="13">
        <v>1</v>
      </c>
      <c r="M4407" s="60" t="b">
        <v>1</v>
      </c>
    </row>
    <row r="4408" spans="1:13" x14ac:dyDescent="0.25">
      <c r="A4408" s="13">
        <v>6637006</v>
      </c>
      <c r="B4408" s="13" t="s">
        <v>980</v>
      </c>
      <c r="D4408" s="13">
        <v>123001</v>
      </c>
      <c r="E4408" s="136" t="str">
        <f>INDEX([1]道具配置表!$D:$D,MATCH(D4408,[1]道具配置表!$A:$A,0))</f>
        <v>通用紫色碎片</v>
      </c>
      <c r="F4408" s="13">
        <v>3</v>
      </c>
      <c r="K4408" s="13">
        <v>1</v>
      </c>
      <c r="M4408" s="60" t="b">
        <v>1</v>
      </c>
    </row>
    <row r="4409" spans="1:13" x14ac:dyDescent="0.25">
      <c r="D4409" s="13">
        <v>7228</v>
      </c>
      <c r="E4409" s="136" t="str">
        <f>INDEX([1]道具配置表!$D:$D,MATCH(D4409,[1]道具配置表!$A:$A,0))</f>
        <v>经验书*10000</v>
      </c>
      <c r="F4409" s="13">
        <v>6</v>
      </c>
      <c r="K4409" s="13">
        <v>1</v>
      </c>
      <c r="M4409" s="60" t="b">
        <v>1</v>
      </c>
    </row>
    <row r="4410" spans="1:13" x14ac:dyDescent="0.25">
      <c r="A4410" s="13">
        <v>6637007</v>
      </c>
      <c r="B4410" s="13" t="s">
        <v>981</v>
      </c>
      <c r="D4410" s="13">
        <v>123001</v>
      </c>
      <c r="E4410" s="136" t="str">
        <f>INDEX([1]道具配置表!$D:$D,MATCH(D4410,[1]道具配置表!$A:$A,0))</f>
        <v>通用紫色碎片</v>
      </c>
      <c r="F4410" s="13">
        <v>4</v>
      </c>
      <c r="K4410" s="13">
        <v>1</v>
      </c>
      <c r="M4410" s="60" t="b">
        <v>1</v>
      </c>
    </row>
    <row r="4411" spans="1:13" x14ac:dyDescent="0.25">
      <c r="D4411" s="13">
        <v>7228</v>
      </c>
      <c r="E4411" s="136" t="str">
        <f>INDEX([1]道具配置表!$D:$D,MATCH(D4411,[1]道具配置表!$A:$A,0))</f>
        <v>经验书*10000</v>
      </c>
      <c r="F4411" s="13">
        <v>7</v>
      </c>
      <c r="K4411" s="13">
        <v>1</v>
      </c>
      <c r="M4411" s="60" t="b">
        <v>1</v>
      </c>
    </row>
    <row r="4412" spans="1:13" x14ac:dyDescent="0.25">
      <c r="A4412" s="13">
        <v>6637008</v>
      </c>
      <c r="B4412" s="13" t="s">
        <v>982</v>
      </c>
      <c r="D4412" s="13">
        <v>123001</v>
      </c>
      <c r="E4412" s="136" t="str">
        <f>INDEX([1]道具配置表!$D:$D,MATCH(D4412,[1]道具配置表!$A:$A,0))</f>
        <v>通用紫色碎片</v>
      </c>
      <c r="F4412" s="13">
        <v>4</v>
      </c>
      <c r="K4412" s="13">
        <v>1</v>
      </c>
      <c r="M4412" s="60" t="b">
        <v>1</v>
      </c>
    </row>
    <row r="4413" spans="1:13" x14ac:dyDescent="0.25">
      <c r="D4413" s="13">
        <v>7228</v>
      </c>
      <c r="E4413" s="136" t="str">
        <f>INDEX([1]道具配置表!$D:$D,MATCH(D4413,[1]道具配置表!$A:$A,0))</f>
        <v>经验书*10000</v>
      </c>
      <c r="F4413" s="13">
        <v>8</v>
      </c>
      <c r="K4413" s="13">
        <v>1</v>
      </c>
      <c r="M4413" s="60" t="b">
        <v>1</v>
      </c>
    </row>
    <row r="4414" spans="1:13" x14ac:dyDescent="0.25">
      <c r="A4414" s="13">
        <v>6637009</v>
      </c>
      <c r="B4414" s="13" t="s">
        <v>983</v>
      </c>
      <c r="D4414" s="13">
        <v>123001</v>
      </c>
      <c r="E4414" s="136" t="str">
        <f>INDEX([1]道具配置表!$D:$D,MATCH(D4414,[1]道具配置表!$A:$A,0))</f>
        <v>通用紫色碎片</v>
      </c>
      <c r="F4414" s="13">
        <v>5</v>
      </c>
      <c r="K4414" s="13">
        <v>1</v>
      </c>
      <c r="M4414" s="60" t="b">
        <v>1</v>
      </c>
    </row>
    <row r="4415" spans="1:13" x14ac:dyDescent="0.25">
      <c r="D4415" s="13">
        <v>7228</v>
      </c>
      <c r="E4415" s="136" t="str">
        <f>INDEX([1]道具配置表!$D:$D,MATCH(D4415,[1]道具配置表!$A:$A,0))</f>
        <v>经验书*10000</v>
      </c>
      <c r="F4415" s="13">
        <v>9</v>
      </c>
      <c r="K4415" s="13">
        <v>1</v>
      </c>
      <c r="M4415" s="60" t="b">
        <v>1</v>
      </c>
    </row>
    <row r="4416" spans="1:13" x14ac:dyDescent="0.25">
      <c r="A4416" s="13">
        <f>A4414+1</f>
        <v>6637010</v>
      </c>
      <c r="B4416" s="13" t="s">
        <v>984</v>
      </c>
      <c r="D4416" s="13">
        <v>123001</v>
      </c>
      <c r="E4416" s="136" t="str">
        <f>INDEX([1]道具配置表!$D:$D,MATCH(D4416,[1]道具配置表!$A:$A,0))</f>
        <v>通用紫色碎片</v>
      </c>
      <c r="F4416" s="13">
        <v>5</v>
      </c>
      <c r="K4416" s="13">
        <v>1</v>
      </c>
      <c r="M4416" s="60" t="b">
        <v>1</v>
      </c>
    </row>
    <row r="4417" spans="1:13" x14ac:dyDescent="0.25">
      <c r="D4417" s="13">
        <v>7228</v>
      </c>
      <c r="E4417" s="136" t="str">
        <f>INDEX([1]道具配置表!$D:$D,MATCH(D4417,[1]道具配置表!$A:$A,0))</f>
        <v>经验书*10000</v>
      </c>
      <c r="F4417" s="13">
        <v>10</v>
      </c>
      <c r="K4417" s="13">
        <v>1</v>
      </c>
      <c r="M4417" s="60" t="b">
        <v>1</v>
      </c>
    </row>
    <row r="4418" spans="1:13" x14ac:dyDescent="0.25">
      <c r="A4418" s="13">
        <f t="shared" ref="A4418" si="129">A4416+1</f>
        <v>6637011</v>
      </c>
      <c r="B4418" s="13" t="s">
        <v>985</v>
      </c>
      <c r="D4418" s="13">
        <v>123002</v>
      </c>
      <c r="E4418" s="136" t="str">
        <f>INDEX([1]道具配置表!$D:$D,MATCH(D4418,[1]道具配置表!$A:$A,0))</f>
        <v>通用橙色碎片</v>
      </c>
      <c r="F4418" s="13">
        <v>1</v>
      </c>
      <c r="K4418" s="13">
        <v>1</v>
      </c>
      <c r="M4418" s="60" t="b">
        <v>1</v>
      </c>
    </row>
    <row r="4419" spans="1:13" x14ac:dyDescent="0.25">
      <c r="D4419" s="13">
        <v>2000003</v>
      </c>
      <c r="E4419" s="136" t="str">
        <f>INDEX([1]道具配置表!$D:$D,MATCH(D4419,[1]道具配置表!$A:$A,0))</f>
        <v>通用技能升星道具-橙1-3星</v>
      </c>
      <c r="F4419" s="13">
        <v>1</v>
      </c>
      <c r="K4419" s="13">
        <v>1</v>
      </c>
      <c r="M4419" s="60" t="b">
        <v>1</v>
      </c>
    </row>
    <row r="4420" spans="1:13" x14ac:dyDescent="0.25">
      <c r="A4420" s="13">
        <f t="shared" ref="A4420" si="130">A4418+1</f>
        <v>6637012</v>
      </c>
      <c r="B4420" s="13" t="s">
        <v>986</v>
      </c>
      <c r="D4420" s="13">
        <v>123002</v>
      </c>
      <c r="E4420" s="136" t="str">
        <f>INDEX([1]道具配置表!$D:$D,MATCH(D4420,[1]道具配置表!$A:$A,0))</f>
        <v>通用橙色碎片</v>
      </c>
      <c r="F4420" s="13">
        <v>1</v>
      </c>
      <c r="K4420" s="13">
        <v>1</v>
      </c>
      <c r="M4420" s="60" t="b">
        <v>1</v>
      </c>
    </row>
    <row r="4421" spans="1:13" x14ac:dyDescent="0.25">
      <c r="D4421" s="13">
        <v>2000003</v>
      </c>
      <c r="E4421" s="136" t="str">
        <f>INDEX([1]道具配置表!$D:$D,MATCH(D4421,[1]道具配置表!$A:$A,0))</f>
        <v>通用技能升星道具-橙1-3星</v>
      </c>
      <c r="F4421" s="13">
        <v>1</v>
      </c>
      <c r="K4421" s="13">
        <v>1</v>
      </c>
      <c r="M4421" s="60" t="b">
        <v>1</v>
      </c>
    </row>
    <row r="4422" spans="1:13" x14ac:dyDescent="0.25">
      <c r="A4422" s="13">
        <f t="shared" ref="A4422" si="131">A4420+1</f>
        <v>6637013</v>
      </c>
      <c r="B4422" s="13" t="s">
        <v>987</v>
      </c>
      <c r="D4422" s="13">
        <v>123002</v>
      </c>
      <c r="E4422" s="136" t="str">
        <f>INDEX([1]道具配置表!$D:$D,MATCH(D4422,[1]道具配置表!$A:$A,0))</f>
        <v>通用橙色碎片</v>
      </c>
      <c r="F4422" s="13">
        <v>1</v>
      </c>
      <c r="K4422" s="13">
        <v>1</v>
      </c>
      <c r="M4422" s="60" t="b">
        <v>1</v>
      </c>
    </row>
    <row r="4423" spans="1:13" x14ac:dyDescent="0.25">
      <c r="D4423" s="13">
        <v>2000003</v>
      </c>
      <c r="E4423" s="136" t="str">
        <f>INDEX([1]道具配置表!$D:$D,MATCH(D4423,[1]道具配置表!$A:$A,0))</f>
        <v>通用技能升星道具-橙1-3星</v>
      </c>
      <c r="F4423" s="13">
        <v>1</v>
      </c>
      <c r="K4423" s="13">
        <v>1</v>
      </c>
      <c r="M4423" s="60" t="b">
        <v>1</v>
      </c>
    </row>
    <row r="4424" spans="1:13" x14ac:dyDescent="0.25">
      <c r="A4424" s="13">
        <f t="shared" ref="A4424" si="132">A4422+1</f>
        <v>6637014</v>
      </c>
      <c r="B4424" s="13" t="s">
        <v>988</v>
      </c>
      <c r="D4424" s="13">
        <v>123002</v>
      </c>
      <c r="E4424" s="136" t="str">
        <f>INDEX([1]道具配置表!$D:$D,MATCH(D4424,[1]道具配置表!$A:$A,0))</f>
        <v>通用橙色碎片</v>
      </c>
      <c r="F4424" s="13">
        <v>1</v>
      </c>
      <c r="K4424" s="13">
        <v>1</v>
      </c>
      <c r="M4424" s="60" t="b">
        <v>1</v>
      </c>
    </row>
    <row r="4425" spans="1:13" x14ac:dyDescent="0.25">
      <c r="D4425" s="13">
        <v>2000003</v>
      </c>
      <c r="E4425" s="136" t="str">
        <f>INDEX([1]道具配置表!$D:$D,MATCH(D4425,[1]道具配置表!$A:$A,0))</f>
        <v>通用技能升星道具-橙1-3星</v>
      </c>
      <c r="F4425" s="13">
        <v>1</v>
      </c>
      <c r="K4425" s="13">
        <v>1</v>
      </c>
      <c r="M4425" s="60" t="b">
        <v>1</v>
      </c>
    </row>
    <row r="4426" spans="1:13" x14ac:dyDescent="0.25">
      <c r="A4426" s="13">
        <f t="shared" ref="A4426" si="133">A4424+1</f>
        <v>6637015</v>
      </c>
      <c r="B4426" s="13" t="s">
        <v>989</v>
      </c>
      <c r="D4426" s="13">
        <v>123002</v>
      </c>
      <c r="E4426" s="136" t="str">
        <f>INDEX([1]道具配置表!$D:$D,MATCH(D4426,[1]道具配置表!$A:$A,0))</f>
        <v>通用橙色碎片</v>
      </c>
      <c r="F4426" s="13">
        <v>1</v>
      </c>
      <c r="K4426" s="13">
        <v>1</v>
      </c>
      <c r="M4426" s="60" t="b">
        <v>1</v>
      </c>
    </row>
    <row r="4427" spans="1:13" x14ac:dyDescent="0.25">
      <c r="D4427" s="13">
        <v>2000003</v>
      </c>
      <c r="E4427" s="136" t="str">
        <f>INDEX([1]道具配置表!$D:$D,MATCH(D4427,[1]道具配置表!$A:$A,0))</f>
        <v>通用技能升星道具-橙1-3星</v>
      </c>
      <c r="F4427" s="13">
        <v>1</v>
      </c>
      <c r="K4427" s="13">
        <v>1</v>
      </c>
      <c r="M4427" s="60" t="b">
        <v>1</v>
      </c>
    </row>
    <row r="4428" spans="1:13" x14ac:dyDescent="0.25">
      <c r="A4428" s="13">
        <f t="shared" ref="A4428" si="134">A4426+1</f>
        <v>6637016</v>
      </c>
      <c r="B4428" s="13" t="s">
        <v>990</v>
      </c>
      <c r="D4428" s="13">
        <v>123002</v>
      </c>
      <c r="E4428" s="136" t="str">
        <f>INDEX([1]道具配置表!$D:$D,MATCH(D4428,[1]道具配置表!$A:$A,0))</f>
        <v>通用橙色碎片</v>
      </c>
      <c r="F4428" s="13">
        <v>1</v>
      </c>
      <c r="K4428" s="13">
        <v>1</v>
      </c>
      <c r="M4428" s="60" t="b">
        <v>1</v>
      </c>
    </row>
    <row r="4429" spans="1:13" x14ac:dyDescent="0.25">
      <c r="D4429" s="13">
        <v>2000003</v>
      </c>
      <c r="E4429" s="136" t="str">
        <f>INDEX([1]道具配置表!$D:$D,MATCH(D4429,[1]道具配置表!$A:$A,0))</f>
        <v>通用技能升星道具-橙1-3星</v>
      </c>
      <c r="F4429" s="13">
        <v>1</v>
      </c>
      <c r="K4429" s="13">
        <v>1</v>
      </c>
      <c r="M4429" s="60" t="b">
        <v>1</v>
      </c>
    </row>
    <row r="4430" spans="1:13" x14ac:dyDescent="0.25">
      <c r="A4430" s="13">
        <f t="shared" ref="A4430" si="135">A4428+1</f>
        <v>6637017</v>
      </c>
      <c r="B4430" s="13" t="s">
        <v>991</v>
      </c>
      <c r="D4430" s="13">
        <v>123002</v>
      </c>
      <c r="E4430" s="136" t="str">
        <f>INDEX([1]道具配置表!$D:$D,MATCH(D4430,[1]道具配置表!$A:$A,0))</f>
        <v>通用橙色碎片</v>
      </c>
      <c r="F4430" s="13">
        <v>1</v>
      </c>
      <c r="K4430" s="13">
        <v>1</v>
      </c>
      <c r="M4430" s="60" t="b">
        <v>1</v>
      </c>
    </row>
    <row r="4431" spans="1:13" x14ac:dyDescent="0.25">
      <c r="D4431" s="13">
        <v>2000003</v>
      </c>
      <c r="E4431" s="136" t="str">
        <f>INDEX([1]道具配置表!$D:$D,MATCH(D4431,[1]道具配置表!$A:$A,0))</f>
        <v>通用技能升星道具-橙1-3星</v>
      </c>
      <c r="F4431" s="13">
        <v>1</v>
      </c>
      <c r="K4431" s="13">
        <v>1</v>
      </c>
      <c r="M4431" s="60" t="b">
        <v>1</v>
      </c>
    </row>
    <row r="4432" spans="1:13" x14ac:dyDescent="0.25">
      <c r="A4432" s="13">
        <f t="shared" ref="A4432" si="136">A4430+1</f>
        <v>6637018</v>
      </c>
      <c r="B4432" s="13" t="s">
        <v>992</v>
      </c>
      <c r="D4432" s="13">
        <v>123002</v>
      </c>
      <c r="E4432" s="136" t="str">
        <f>INDEX([1]道具配置表!$D:$D,MATCH(D4432,[1]道具配置表!$A:$A,0))</f>
        <v>通用橙色碎片</v>
      </c>
      <c r="F4432" s="13">
        <v>1</v>
      </c>
      <c r="K4432" s="13">
        <v>1</v>
      </c>
      <c r="M4432" s="60" t="b">
        <v>1</v>
      </c>
    </row>
    <row r="4433" spans="1:13" x14ac:dyDescent="0.25">
      <c r="D4433" s="13">
        <v>2000003</v>
      </c>
      <c r="E4433" s="136" t="str">
        <f>INDEX([1]道具配置表!$D:$D,MATCH(D4433,[1]道具配置表!$A:$A,0))</f>
        <v>通用技能升星道具-橙1-3星</v>
      </c>
      <c r="F4433" s="13">
        <v>1</v>
      </c>
      <c r="K4433" s="13">
        <v>1</v>
      </c>
      <c r="M4433" s="60" t="b">
        <v>1</v>
      </c>
    </row>
    <row r="4434" spans="1:13" x14ac:dyDescent="0.25">
      <c r="A4434" s="13">
        <f t="shared" ref="A4434" si="137">A4432+1</f>
        <v>6637019</v>
      </c>
      <c r="B4434" s="13" t="s">
        <v>993</v>
      </c>
      <c r="D4434" s="13">
        <v>123002</v>
      </c>
      <c r="E4434" s="136" t="str">
        <f>INDEX([1]道具配置表!$D:$D,MATCH(D4434,[1]道具配置表!$A:$A,0))</f>
        <v>通用橙色碎片</v>
      </c>
      <c r="F4434" s="13">
        <v>1</v>
      </c>
      <c r="K4434" s="13">
        <v>1</v>
      </c>
      <c r="M4434" s="60" t="b">
        <v>1</v>
      </c>
    </row>
    <row r="4435" spans="1:13" x14ac:dyDescent="0.25">
      <c r="D4435" s="13">
        <v>2000003</v>
      </c>
      <c r="E4435" s="136" t="str">
        <f>INDEX([1]道具配置表!$D:$D,MATCH(D4435,[1]道具配置表!$A:$A,0))</f>
        <v>通用技能升星道具-橙1-3星</v>
      </c>
      <c r="F4435" s="13">
        <v>1</v>
      </c>
      <c r="K4435" s="13">
        <v>1</v>
      </c>
      <c r="M4435" s="60" t="b">
        <v>1</v>
      </c>
    </row>
    <row r="4436" spans="1:13" x14ac:dyDescent="0.25">
      <c r="A4436" s="13">
        <f t="shared" ref="A4436" si="138">A4434+1</f>
        <v>6637020</v>
      </c>
      <c r="B4436" s="13" t="s">
        <v>994</v>
      </c>
      <c r="D4436" s="13">
        <v>123002</v>
      </c>
      <c r="E4436" s="136" t="str">
        <f>INDEX([1]道具配置表!$D:$D,MATCH(D4436,[1]道具配置表!$A:$A,0))</f>
        <v>通用橙色碎片</v>
      </c>
      <c r="F4436" s="13">
        <v>2</v>
      </c>
      <c r="K4436" s="13">
        <v>1</v>
      </c>
      <c r="M4436" s="60" t="b">
        <v>1</v>
      </c>
    </row>
    <row r="4437" spans="1:13" x14ac:dyDescent="0.25">
      <c r="D4437" s="13">
        <v>2000003</v>
      </c>
      <c r="E4437" s="136" t="str">
        <f>INDEX([1]道具配置表!$D:$D,MATCH(D4437,[1]道具配置表!$A:$A,0))</f>
        <v>通用技能升星道具-橙1-3星</v>
      </c>
      <c r="F4437" s="13">
        <v>2</v>
      </c>
      <c r="K4437" s="13">
        <v>1</v>
      </c>
      <c r="M4437" s="60" t="b">
        <v>1</v>
      </c>
    </row>
    <row r="4438" spans="1:13" x14ac:dyDescent="0.25">
      <c r="A4438" s="13">
        <f t="shared" ref="A4438" si="139">A4436+1</f>
        <v>6637021</v>
      </c>
      <c r="B4438" s="13" t="s">
        <v>995</v>
      </c>
      <c r="D4438" s="13">
        <v>123002</v>
      </c>
      <c r="E4438" s="136" t="str">
        <f>INDEX([1]道具配置表!$D:$D,MATCH(D4438,[1]道具配置表!$A:$A,0))</f>
        <v>通用橙色碎片</v>
      </c>
      <c r="F4438" s="13">
        <v>2</v>
      </c>
      <c r="K4438" s="13">
        <v>1</v>
      </c>
      <c r="M4438" s="60" t="b">
        <v>1</v>
      </c>
    </row>
    <row r="4439" spans="1:13" x14ac:dyDescent="0.25">
      <c r="D4439" s="13">
        <v>2000003</v>
      </c>
      <c r="E4439" s="136" t="str">
        <f>INDEX([1]道具配置表!$D:$D,MATCH(D4439,[1]道具配置表!$A:$A,0))</f>
        <v>通用技能升星道具-橙1-3星</v>
      </c>
      <c r="F4439" s="13">
        <v>2</v>
      </c>
      <c r="K4439" s="13">
        <v>1</v>
      </c>
      <c r="M4439" s="60" t="b">
        <v>1</v>
      </c>
    </row>
    <row r="4440" spans="1:13" x14ac:dyDescent="0.25">
      <c r="A4440" s="13">
        <f>A4438+1</f>
        <v>6637022</v>
      </c>
      <c r="B4440" s="13" t="s">
        <v>996</v>
      </c>
      <c r="D4440" s="13">
        <v>123002</v>
      </c>
      <c r="E4440" s="136" t="str">
        <f>INDEX([1]道具配置表!$D:$D,MATCH(D4440,[1]道具配置表!$A:$A,0))</f>
        <v>通用橙色碎片</v>
      </c>
      <c r="F4440" s="13">
        <v>2</v>
      </c>
      <c r="K4440" s="13">
        <v>1</v>
      </c>
      <c r="M4440" s="60" t="b">
        <v>1</v>
      </c>
    </row>
    <row r="4441" spans="1:13" x14ac:dyDescent="0.25">
      <c r="D4441" s="13">
        <v>2000003</v>
      </c>
      <c r="E4441" s="136" t="str">
        <f>INDEX([1]道具配置表!$D:$D,MATCH(D4441,[1]道具配置表!$A:$A,0))</f>
        <v>通用技能升星道具-橙1-3星</v>
      </c>
      <c r="F4441" s="13">
        <v>2</v>
      </c>
      <c r="K4441" s="13">
        <v>1</v>
      </c>
      <c r="M4441" s="60" t="b">
        <v>1</v>
      </c>
    </row>
    <row r="4442" spans="1:13" x14ac:dyDescent="0.25">
      <c r="A4442" s="13">
        <f t="shared" ref="A4442" si="140">A4440+1</f>
        <v>6637023</v>
      </c>
      <c r="B4442" s="13" t="s">
        <v>997</v>
      </c>
      <c r="D4442" s="13">
        <v>123002</v>
      </c>
      <c r="E4442" s="136" t="str">
        <f>INDEX([1]道具配置表!$D:$D,MATCH(D4442,[1]道具配置表!$A:$A,0))</f>
        <v>通用橙色碎片</v>
      </c>
      <c r="F4442" s="13">
        <v>2</v>
      </c>
      <c r="K4442" s="13">
        <v>1</v>
      </c>
      <c r="M4442" s="60" t="b">
        <v>1</v>
      </c>
    </row>
    <row r="4443" spans="1:13" x14ac:dyDescent="0.25">
      <c r="D4443" s="13">
        <v>2000003</v>
      </c>
      <c r="E4443" s="136" t="str">
        <f>INDEX([1]道具配置表!$D:$D,MATCH(D4443,[1]道具配置表!$A:$A,0))</f>
        <v>通用技能升星道具-橙1-3星</v>
      </c>
      <c r="F4443" s="13">
        <v>2</v>
      </c>
      <c r="K4443" s="13">
        <v>1</v>
      </c>
      <c r="M4443" s="60" t="b">
        <v>1</v>
      </c>
    </row>
    <row r="4444" spans="1:13" x14ac:dyDescent="0.25">
      <c r="A4444" s="13">
        <f t="shared" ref="A4444" si="141">A4442+1</f>
        <v>6637024</v>
      </c>
      <c r="B4444" s="13" t="s">
        <v>998</v>
      </c>
      <c r="D4444" s="13">
        <v>123002</v>
      </c>
      <c r="E4444" s="136" t="str">
        <f>INDEX([1]道具配置表!$D:$D,MATCH(D4444,[1]道具配置表!$A:$A,0))</f>
        <v>通用橙色碎片</v>
      </c>
      <c r="F4444" s="13">
        <v>2</v>
      </c>
      <c r="K4444" s="13">
        <v>1</v>
      </c>
      <c r="M4444" s="60" t="b">
        <v>1</v>
      </c>
    </row>
    <row r="4445" spans="1:13" x14ac:dyDescent="0.25">
      <c r="D4445" s="13">
        <v>2000003</v>
      </c>
      <c r="E4445" s="136" t="str">
        <f>INDEX([1]道具配置表!$D:$D,MATCH(D4445,[1]道具配置表!$A:$A,0))</f>
        <v>通用技能升星道具-橙1-3星</v>
      </c>
      <c r="F4445" s="13">
        <v>2</v>
      </c>
      <c r="K4445" s="13">
        <v>1</v>
      </c>
      <c r="M4445" s="60" t="b">
        <v>1</v>
      </c>
    </row>
    <row r="4446" spans="1:13" x14ac:dyDescent="0.25">
      <c r="A4446" s="13">
        <f t="shared" ref="A4446" si="142">A4444+1</f>
        <v>6637025</v>
      </c>
      <c r="B4446" s="13" t="s">
        <v>999</v>
      </c>
      <c r="D4446" s="13">
        <v>123002</v>
      </c>
      <c r="E4446" s="136" t="str">
        <f>INDEX([1]道具配置表!$D:$D,MATCH(D4446,[1]道具配置表!$A:$A,0))</f>
        <v>通用橙色碎片</v>
      </c>
      <c r="F4446" s="13">
        <v>2</v>
      </c>
      <c r="K4446" s="13">
        <v>1</v>
      </c>
      <c r="M4446" s="60" t="b">
        <v>1</v>
      </c>
    </row>
    <row r="4447" spans="1:13" x14ac:dyDescent="0.25">
      <c r="D4447" s="13">
        <v>2000003</v>
      </c>
      <c r="E4447" s="136" t="str">
        <f>INDEX([1]道具配置表!$D:$D,MATCH(D4447,[1]道具配置表!$A:$A,0))</f>
        <v>通用技能升星道具-橙1-3星</v>
      </c>
      <c r="F4447" s="13">
        <v>2</v>
      </c>
      <c r="K4447" s="13">
        <v>1</v>
      </c>
      <c r="M4447" s="60" t="b">
        <v>1</v>
      </c>
    </row>
    <row r="4448" spans="1:13" x14ac:dyDescent="0.25">
      <c r="A4448" s="13">
        <f t="shared" ref="A4448" si="143">A4446+1</f>
        <v>6637026</v>
      </c>
      <c r="B4448" s="13" t="s">
        <v>1001</v>
      </c>
      <c r="D4448" s="13">
        <v>123002</v>
      </c>
      <c r="E4448" s="136" t="str">
        <f>INDEX([1]道具配置表!$D:$D,MATCH(D4448,[1]道具配置表!$A:$A,0))</f>
        <v>通用橙色碎片</v>
      </c>
      <c r="F4448" s="13">
        <v>2</v>
      </c>
      <c r="K4448" s="13">
        <v>1</v>
      </c>
      <c r="M4448" s="60" t="b">
        <v>1</v>
      </c>
    </row>
    <row r="4449" spans="1:13" x14ac:dyDescent="0.25">
      <c r="D4449" s="13">
        <v>2000003</v>
      </c>
      <c r="E4449" s="136" t="str">
        <f>INDEX([1]道具配置表!$D:$D,MATCH(D4449,[1]道具配置表!$A:$A,0))</f>
        <v>通用技能升星道具-橙1-3星</v>
      </c>
      <c r="F4449" s="13">
        <v>2</v>
      </c>
      <c r="K4449" s="13">
        <v>1</v>
      </c>
      <c r="M4449" s="60" t="b">
        <v>1</v>
      </c>
    </row>
    <row r="4450" spans="1:13" x14ac:dyDescent="0.25">
      <c r="A4450" s="13">
        <f t="shared" ref="A4450" si="144">A4448+1</f>
        <v>6637027</v>
      </c>
      <c r="B4450" s="13" t="s">
        <v>1002</v>
      </c>
      <c r="D4450" s="13">
        <v>123002</v>
      </c>
      <c r="E4450" s="136" t="str">
        <f>INDEX([1]道具配置表!$D:$D,MATCH(D4450,[1]道具配置表!$A:$A,0))</f>
        <v>通用橙色碎片</v>
      </c>
      <c r="F4450" s="13">
        <v>2</v>
      </c>
      <c r="K4450" s="13">
        <v>1</v>
      </c>
      <c r="M4450" s="60" t="b">
        <v>1</v>
      </c>
    </row>
    <row r="4451" spans="1:13" x14ac:dyDescent="0.25">
      <c r="D4451" s="13">
        <v>2000003</v>
      </c>
      <c r="E4451" s="136" t="str">
        <f>INDEX([1]道具配置表!$D:$D,MATCH(D4451,[1]道具配置表!$A:$A,0))</f>
        <v>通用技能升星道具-橙1-3星</v>
      </c>
      <c r="F4451" s="13">
        <v>2</v>
      </c>
      <c r="K4451" s="13">
        <v>1</v>
      </c>
      <c r="M4451" s="60" t="b">
        <v>1</v>
      </c>
    </row>
    <row r="4452" spans="1:13" x14ac:dyDescent="0.25">
      <c r="A4452" s="13">
        <f t="shared" ref="A4452" si="145">A4450+1</f>
        <v>6637028</v>
      </c>
      <c r="B4452" s="13" t="s">
        <v>1003</v>
      </c>
      <c r="D4452" s="13">
        <v>123002</v>
      </c>
      <c r="E4452" s="136" t="str">
        <f>INDEX([1]道具配置表!$D:$D,MATCH(D4452,[1]道具配置表!$A:$A,0))</f>
        <v>通用橙色碎片</v>
      </c>
      <c r="F4452" s="13">
        <v>2</v>
      </c>
      <c r="K4452" s="13">
        <v>1</v>
      </c>
      <c r="M4452" s="60" t="b">
        <v>1</v>
      </c>
    </row>
    <row r="4453" spans="1:13" x14ac:dyDescent="0.25">
      <c r="D4453" s="13">
        <v>2000003</v>
      </c>
      <c r="E4453" s="136" t="str">
        <f>INDEX([1]道具配置表!$D:$D,MATCH(D4453,[1]道具配置表!$A:$A,0))</f>
        <v>通用技能升星道具-橙1-3星</v>
      </c>
      <c r="F4453" s="13">
        <v>2</v>
      </c>
      <c r="K4453" s="13">
        <v>1</v>
      </c>
      <c r="M4453" s="60" t="b">
        <v>1</v>
      </c>
    </row>
    <row r="4454" spans="1:13" x14ac:dyDescent="0.25">
      <c r="A4454" s="13">
        <f t="shared" ref="A4454" si="146">A4452+1</f>
        <v>6637029</v>
      </c>
      <c r="B4454" s="13" t="s">
        <v>1000</v>
      </c>
      <c r="D4454" s="13">
        <v>123002</v>
      </c>
      <c r="E4454" s="136" t="str">
        <f>INDEX([1]道具配置表!$D:$D,MATCH(D4454,[1]道具配置表!$A:$A,0))</f>
        <v>通用橙色碎片</v>
      </c>
      <c r="F4454" s="13">
        <v>2</v>
      </c>
      <c r="K4454" s="13">
        <v>1</v>
      </c>
      <c r="M4454" s="60" t="b">
        <v>1</v>
      </c>
    </row>
    <row r="4455" spans="1:13" x14ac:dyDescent="0.25">
      <c r="D4455" s="13">
        <v>2000003</v>
      </c>
      <c r="E4455" s="136" t="str">
        <f>INDEX([1]道具配置表!$D:$D,MATCH(D4455,[1]道具配置表!$A:$A,0))</f>
        <v>通用技能升星道具-橙1-3星</v>
      </c>
      <c r="F4455" s="13">
        <v>2</v>
      </c>
      <c r="K4455" s="13">
        <v>1</v>
      </c>
      <c r="M4455" s="60" t="b">
        <v>1</v>
      </c>
    </row>
    <row r="4456" spans="1:13" x14ac:dyDescent="0.25">
      <c r="A4456" s="13">
        <f t="shared" ref="A4456" si="147">A4454+1</f>
        <v>6637030</v>
      </c>
      <c r="B4456" s="13" t="s">
        <v>1004</v>
      </c>
      <c r="D4456" s="13">
        <v>123002</v>
      </c>
      <c r="E4456" s="136" t="str">
        <f>INDEX([1]道具配置表!$D:$D,MATCH(D4456,[1]道具配置表!$A:$A,0))</f>
        <v>通用橙色碎片</v>
      </c>
      <c r="F4456" s="13">
        <v>2</v>
      </c>
      <c r="K4456" s="13">
        <v>1</v>
      </c>
      <c r="M4456" s="60" t="b">
        <v>1</v>
      </c>
    </row>
    <row r="4457" spans="1:13" x14ac:dyDescent="0.25">
      <c r="D4457" s="13">
        <v>2000003</v>
      </c>
      <c r="E4457" s="136" t="str">
        <f>INDEX([1]道具配置表!$D:$D,MATCH(D4457,[1]道具配置表!$A:$A,0))</f>
        <v>通用技能升星道具-橙1-3星</v>
      </c>
      <c r="F4457" s="13">
        <v>2</v>
      </c>
      <c r="K4457" s="13">
        <v>1</v>
      </c>
      <c r="M4457" s="64" t="b">
        <v>1</v>
      </c>
    </row>
    <row r="4458" spans="1:13" x14ac:dyDescent="0.25">
      <c r="A4458" s="13">
        <v>6637031</v>
      </c>
      <c r="B4458" s="13" t="s">
        <v>1092</v>
      </c>
      <c r="D4458" s="13">
        <v>7230</v>
      </c>
      <c r="E4458" s="136" t="str">
        <f>INDEX([1]道具配置表!$D:$D,MATCH(D4458,[1]道具配置表!$A:$A,0))</f>
        <v>经验书*100000</v>
      </c>
      <c r="F4458" s="13">
        <v>25</v>
      </c>
      <c r="G4458" s="13">
        <v>1</v>
      </c>
      <c r="H4458" s="13">
        <v>1</v>
      </c>
      <c r="I4458" s="13" t="s">
        <v>368</v>
      </c>
      <c r="J4458" s="13">
        <v>50</v>
      </c>
      <c r="M4458" s="70" t="b">
        <v>1</v>
      </c>
    </row>
    <row r="4459" spans="1:13" x14ac:dyDescent="0.25">
      <c r="D4459" s="13">
        <v>7202</v>
      </c>
      <c r="E4459" s="136" t="str">
        <f>INDEX([1]道具配置表!$D:$D,MATCH(D4459,[1]道具配置表!$A:$A,0))</f>
        <v>技能点*1000</v>
      </c>
      <c r="F4459" s="13">
        <v>5</v>
      </c>
      <c r="J4459" s="13">
        <v>50</v>
      </c>
      <c r="M4459" s="70" t="b">
        <v>1</v>
      </c>
    </row>
    <row r="4460" spans="1:13" x14ac:dyDescent="0.25">
      <c r="D4460" s="13">
        <v>123002</v>
      </c>
      <c r="E4460" s="136" t="str">
        <f>INDEX([1]道具配置表!$D:$D,MATCH(D4460,[1]道具配置表!$A:$A,0))</f>
        <v>通用橙色碎片</v>
      </c>
      <c r="F4460" s="13">
        <v>1</v>
      </c>
      <c r="J4460" s="13">
        <v>50</v>
      </c>
      <c r="M4460" s="70" t="b">
        <v>1</v>
      </c>
    </row>
    <row r="4461" spans="1:13" x14ac:dyDescent="0.25">
      <c r="D4461" s="13">
        <v>123002</v>
      </c>
      <c r="E4461" s="136" t="str">
        <f>INDEX([1]道具配置表!$D:$D,MATCH(D4461,[1]道具配置表!$A:$A,0))</f>
        <v>通用橙色碎片</v>
      </c>
      <c r="F4461" s="13">
        <v>2</v>
      </c>
      <c r="J4461" s="13">
        <v>12</v>
      </c>
      <c r="M4461" s="70" t="b">
        <v>1</v>
      </c>
    </row>
    <row r="4462" spans="1:13" x14ac:dyDescent="0.25">
      <c r="D4462" s="13">
        <v>123002</v>
      </c>
      <c r="E4462" s="136" t="str">
        <f>INDEX([1]道具配置表!$D:$D,MATCH(D4462,[1]道具配置表!$A:$A,0))</f>
        <v>通用橙色碎片</v>
      </c>
      <c r="F4462" s="13">
        <v>3</v>
      </c>
      <c r="J4462" s="13">
        <v>6</v>
      </c>
      <c r="M4462" s="70" t="b">
        <v>1</v>
      </c>
    </row>
    <row r="4463" spans="1:13" x14ac:dyDescent="0.25">
      <c r="D4463" s="13">
        <v>2000003</v>
      </c>
      <c r="E4463" s="136" t="str">
        <f>INDEX([1]道具配置表!$D:$D,MATCH(D4463,[1]道具配置表!$A:$A,0))</f>
        <v>通用技能升星道具-橙1-3星</v>
      </c>
      <c r="F4463" s="13">
        <v>1</v>
      </c>
      <c r="J4463" s="13">
        <v>50</v>
      </c>
      <c r="M4463" s="70" t="b">
        <v>1</v>
      </c>
    </row>
    <row r="4464" spans="1:13" x14ac:dyDescent="0.25">
      <c r="D4464" s="13">
        <v>2000003</v>
      </c>
      <c r="E4464" s="136" t="str">
        <f>INDEX([1]道具配置表!$D:$D,MATCH(D4464,[1]道具配置表!$A:$A,0))</f>
        <v>通用技能升星道具-橙1-3星</v>
      </c>
      <c r="F4464" s="13">
        <v>2</v>
      </c>
      <c r="J4464" s="13">
        <v>12</v>
      </c>
      <c r="M4464" s="70" t="b">
        <v>1</v>
      </c>
    </row>
    <row r="4465" spans="1:13" x14ac:dyDescent="0.25">
      <c r="D4465" s="13">
        <v>2000003</v>
      </c>
      <c r="E4465" s="136" t="str">
        <f>INDEX([1]道具配置表!$D:$D,MATCH(D4465,[1]道具配置表!$A:$A,0))</f>
        <v>通用技能升星道具-橙1-3星</v>
      </c>
      <c r="F4465" s="13">
        <v>3</v>
      </c>
      <c r="J4465" s="13">
        <v>6</v>
      </c>
      <c r="M4465" s="70" t="b">
        <v>1</v>
      </c>
    </row>
    <row r="4466" spans="1:13" x14ac:dyDescent="0.25">
      <c r="A4466" s="13">
        <v>6637032</v>
      </c>
      <c r="B4466" s="13" t="s">
        <v>1093</v>
      </c>
      <c r="D4466" s="13">
        <v>49551</v>
      </c>
      <c r="E4466" s="136" t="str">
        <f>INDEX([1]道具配置表!$D:$D,MATCH(D4466,[1]道具配置表!$A:$A,0))</f>
        <v>探索挑战宝箱</v>
      </c>
      <c r="F4466" s="13">
        <v>1</v>
      </c>
      <c r="K4466" s="13">
        <v>1</v>
      </c>
      <c r="M4466" s="70" t="b">
        <v>1</v>
      </c>
    </row>
    <row r="4467" spans="1:13" x14ac:dyDescent="0.25">
      <c r="A4467" s="13">
        <v>6637033</v>
      </c>
      <c r="B4467" s="13" t="s">
        <v>1094</v>
      </c>
      <c r="D4467" s="13">
        <v>7230</v>
      </c>
      <c r="E4467" s="136" t="str">
        <f>INDEX([1]道具配置表!$D:$D,MATCH(D4467,[1]道具配置表!$A:$A,0))</f>
        <v>经验书*100000</v>
      </c>
      <c r="F4467" s="13">
        <v>12</v>
      </c>
      <c r="K4467" s="13">
        <v>1</v>
      </c>
      <c r="M4467" s="71" t="b">
        <v>1</v>
      </c>
    </row>
    <row r="4468" spans="1:13" x14ac:dyDescent="0.25">
      <c r="A4468" s="13">
        <v>6637034</v>
      </c>
      <c r="B4468" s="13" t="s">
        <v>1094</v>
      </c>
      <c r="D4468" s="13">
        <v>7202</v>
      </c>
      <c r="E4468" s="136" t="str">
        <f>INDEX([1]道具配置表!$D:$D,MATCH(D4468,[1]道具配置表!$A:$A,0))</f>
        <v>技能点*1000</v>
      </c>
      <c r="F4468" s="13">
        <v>2</v>
      </c>
      <c r="K4468" s="13">
        <v>1</v>
      </c>
      <c r="M4468" s="71" t="b">
        <v>1</v>
      </c>
    </row>
    <row r="4469" spans="1:13" x14ac:dyDescent="0.25">
      <c r="A4469" s="13">
        <v>6637035</v>
      </c>
      <c r="B4469" s="13" t="s">
        <v>1094</v>
      </c>
      <c r="D4469" s="13">
        <v>123002</v>
      </c>
      <c r="E4469" s="136" t="str">
        <f>INDEX([1]道具配置表!$D:$D,MATCH(D4469,[1]道具配置表!$A:$A,0))</f>
        <v>通用橙色碎片</v>
      </c>
      <c r="F4469" s="13">
        <v>1</v>
      </c>
      <c r="K4469" s="13">
        <v>1</v>
      </c>
      <c r="M4469" s="71" t="b">
        <v>1</v>
      </c>
    </row>
    <row r="4470" spans="1:13" x14ac:dyDescent="0.25">
      <c r="A4470" s="13">
        <v>6637036</v>
      </c>
      <c r="B4470" s="13" t="s">
        <v>1094</v>
      </c>
      <c r="D4470" s="13">
        <v>2000003</v>
      </c>
      <c r="E4470" s="136" t="str">
        <f>INDEX([1]道具配置表!$D:$D,MATCH(D4470,[1]道具配置表!$A:$A,0))</f>
        <v>通用技能升星道具-橙1-3星</v>
      </c>
      <c r="F4470" s="13">
        <v>1</v>
      </c>
      <c r="K4470" s="13">
        <v>1</v>
      </c>
      <c r="M4470" s="135" t="b">
        <v>1</v>
      </c>
    </row>
    <row r="4471" spans="1:13" x14ac:dyDescent="0.25">
      <c r="A4471" s="13">
        <v>6640001</v>
      </c>
      <c r="B4471" s="13" t="s">
        <v>1006</v>
      </c>
      <c r="D4471" s="13">
        <v>7003</v>
      </c>
      <c r="E4471" s="136" t="str">
        <f>INDEX([1]道具配置表!$D:$D,MATCH(D4471,[1]道具配置表!$A:$A,0))</f>
        <v>1银币（立即使用，不进背包）</v>
      </c>
      <c r="F4471" s="13">
        <v>4000</v>
      </c>
      <c r="K4471" s="13">
        <v>1</v>
      </c>
      <c r="M4471" s="63" t="b">
        <v>1</v>
      </c>
    </row>
    <row r="4472" spans="1:13" x14ac:dyDescent="0.25">
      <c r="D4472" s="13">
        <v>6105</v>
      </c>
      <c r="E4472" s="136" t="str">
        <f>INDEX([1]道具配置表!$D:$D,MATCH(D4472,[1]道具配置表!$A:$A,0))</f>
        <v>60分钟通用加速</v>
      </c>
      <c r="F4472" s="13">
        <v>12</v>
      </c>
      <c r="K4472" s="13">
        <v>1</v>
      </c>
      <c r="M4472" s="63" t="b">
        <v>1</v>
      </c>
    </row>
    <row r="4473" spans="1:13" x14ac:dyDescent="0.25">
      <c r="D4473" s="13">
        <v>600</v>
      </c>
      <c r="E4473" s="136" t="str">
        <f>INDEX([1]道具配置表!$D:$D,MATCH(D4473,[1]道具配置表!$A:$A,0))</f>
        <v>定点迁城</v>
      </c>
      <c r="F4473" s="13">
        <v>2</v>
      </c>
      <c r="K4473" s="13">
        <v>1</v>
      </c>
      <c r="M4473" s="63" t="b">
        <v>1</v>
      </c>
    </row>
    <row r="4474" spans="1:13" x14ac:dyDescent="0.25">
      <c r="D4474" s="13">
        <v>252</v>
      </c>
      <c r="E4474" s="136" t="str">
        <f>INDEX([1]道具配置表!$D:$D,MATCH(D4474,[1]道具配置表!$A:$A,0))</f>
        <v>10万食物</v>
      </c>
      <c r="F4474" s="13">
        <v>20</v>
      </c>
      <c r="K4474" s="13">
        <v>1</v>
      </c>
      <c r="M4474" s="63" t="b">
        <v>1</v>
      </c>
    </row>
    <row r="4475" spans="1:13" x14ac:dyDescent="0.25">
      <c r="D4475" s="13">
        <v>251</v>
      </c>
      <c r="E4475" s="136" t="str">
        <f>INDEX([1]道具配置表!$D:$D,MATCH(D4475,[1]道具配置表!$A:$A,0))</f>
        <v>10万木材</v>
      </c>
      <c r="F4475" s="13">
        <v>20</v>
      </c>
      <c r="K4475" s="13">
        <v>1</v>
      </c>
      <c r="M4475" s="63" t="b">
        <v>1</v>
      </c>
    </row>
    <row r="4476" spans="1:13" x14ac:dyDescent="0.25">
      <c r="D4476" s="13">
        <v>253</v>
      </c>
      <c r="E4476" s="136" t="str">
        <f>INDEX([1]道具配置表!$D:$D,MATCH(D4476,[1]道具配置表!$A:$A,0))</f>
        <v>10万石头</v>
      </c>
      <c r="F4476" s="13">
        <v>20</v>
      </c>
      <c r="K4476" s="13">
        <v>1</v>
      </c>
      <c r="M4476" s="63" t="b">
        <v>1</v>
      </c>
    </row>
    <row r="4477" spans="1:13" x14ac:dyDescent="0.25">
      <c r="D4477" s="13">
        <v>254</v>
      </c>
      <c r="E4477" s="136" t="str">
        <f>INDEX([1]道具配置表!$D:$D,MATCH(D4477,[1]道具配置表!$A:$A,0))</f>
        <v>10万黄金</v>
      </c>
      <c r="F4477" s="13">
        <v>20</v>
      </c>
      <c r="K4477" s="13">
        <v>1</v>
      </c>
      <c r="M4477" s="63" t="b">
        <v>1</v>
      </c>
    </row>
    <row r="4478" spans="1:13" x14ac:dyDescent="0.25">
      <c r="A4478" s="13">
        <v>6640002</v>
      </c>
      <c r="B4478" s="13" t="s">
        <v>1007</v>
      </c>
      <c r="D4478" s="13">
        <v>7003</v>
      </c>
      <c r="E4478" s="136" t="str">
        <f>INDEX([1]道具配置表!$D:$D,MATCH(D4478,[1]道具配置表!$A:$A,0))</f>
        <v>1银币（立即使用，不进背包）</v>
      </c>
      <c r="F4478" s="13">
        <v>3500</v>
      </c>
      <c r="K4478" s="13">
        <v>1</v>
      </c>
      <c r="M4478" s="63" t="b">
        <v>1</v>
      </c>
    </row>
    <row r="4479" spans="1:13" x14ac:dyDescent="0.25">
      <c r="D4479" s="13">
        <v>6105</v>
      </c>
      <c r="E4479" s="136" t="str">
        <f>INDEX([1]道具配置表!$D:$D,MATCH(D4479,[1]道具配置表!$A:$A,0))</f>
        <v>60分钟通用加速</v>
      </c>
      <c r="F4479" s="13">
        <v>10</v>
      </c>
      <c r="K4479" s="13">
        <v>1</v>
      </c>
      <c r="M4479" s="63" t="b">
        <v>1</v>
      </c>
    </row>
    <row r="4480" spans="1:13" x14ac:dyDescent="0.25">
      <c r="D4480" s="13">
        <v>600</v>
      </c>
      <c r="E4480" s="136" t="str">
        <f>INDEX([1]道具配置表!$D:$D,MATCH(D4480,[1]道具配置表!$A:$A,0))</f>
        <v>定点迁城</v>
      </c>
      <c r="F4480" s="13">
        <v>2</v>
      </c>
      <c r="K4480" s="13">
        <v>1</v>
      </c>
      <c r="M4480" s="63" t="b">
        <v>1</v>
      </c>
    </row>
    <row r="4481" spans="1:13" x14ac:dyDescent="0.25">
      <c r="D4481" s="13">
        <v>252</v>
      </c>
      <c r="E4481" s="136" t="str">
        <f>INDEX([1]道具配置表!$D:$D,MATCH(D4481,[1]道具配置表!$A:$A,0))</f>
        <v>10万食物</v>
      </c>
      <c r="F4481" s="13">
        <v>18</v>
      </c>
      <c r="K4481" s="13">
        <v>1</v>
      </c>
      <c r="M4481" s="63" t="b">
        <v>1</v>
      </c>
    </row>
    <row r="4482" spans="1:13" x14ac:dyDescent="0.25">
      <c r="D4482" s="13">
        <v>251</v>
      </c>
      <c r="E4482" s="136" t="str">
        <f>INDEX([1]道具配置表!$D:$D,MATCH(D4482,[1]道具配置表!$A:$A,0))</f>
        <v>10万木材</v>
      </c>
      <c r="F4482" s="13">
        <v>18</v>
      </c>
      <c r="K4482" s="13">
        <v>1</v>
      </c>
      <c r="M4482" s="63" t="b">
        <v>1</v>
      </c>
    </row>
    <row r="4483" spans="1:13" x14ac:dyDescent="0.25">
      <c r="D4483" s="13">
        <v>253</v>
      </c>
      <c r="E4483" s="136" t="str">
        <f>INDEX([1]道具配置表!$D:$D,MATCH(D4483,[1]道具配置表!$A:$A,0))</f>
        <v>10万石头</v>
      </c>
      <c r="F4483" s="13">
        <v>18</v>
      </c>
      <c r="K4483" s="13">
        <v>1</v>
      </c>
      <c r="M4483" s="63" t="b">
        <v>1</v>
      </c>
    </row>
    <row r="4484" spans="1:13" x14ac:dyDescent="0.25">
      <c r="D4484" s="13">
        <v>254</v>
      </c>
      <c r="E4484" s="136" t="str">
        <f>INDEX([1]道具配置表!$D:$D,MATCH(D4484,[1]道具配置表!$A:$A,0))</f>
        <v>10万黄金</v>
      </c>
      <c r="F4484" s="13">
        <v>18</v>
      </c>
      <c r="K4484" s="13">
        <v>1</v>
      </c>
      <c r="M4484" s="63" t="b">
        <v>1</v>
      </c>
    </row>
    <row r="4485" spans="1:13" x14ac:dyDescent="0.25">
      <c r="A4485" s="13">
        <v>6640003</v>
      </c>
      <c r="B4485" s="13" t="s">
        <v>1008</v>
      </c>
      <c r="D4485" s="13">
        <v>7003</v>
      </c>
      <c r="E4485" s="136" t="str">
        <f>INDEX([1]道具配置表!$D:$D,MATCH(D4485,[1]道具配置表!$A:$A,0))</f>
        <v>1银币（立即使用，不进背包）</v>
      </c>
      <c r="F4485" s="13">
        <v>3000</v>
      </c>
      <c r="K4485" s="13">
        <v>1</v>
      </c>
      <c r="M4485" s="63" t="b">
        <v>1</v>
      </c>
    </row>
    <row r="4486" spans="1:13" x14ac:dyDescent="0.25">
      <c r="D4486" s="13">
        <v>6105</v>
      </c>
      <c r="E4486" s="136" t="str">
        <f>INDEX([1]道具配置表!$D:$D,MATCH(D4486,[1]道具配置表!$A:$A,0))</f>
        <v>60分钟通用加速</v>
      </c>
      <c r="F4486" s="13">
        <v>8</v>
      </c>
      <c r="K4486" s="13">
        <v>1</v>
      </c>
      <c r="M4486" s="63" t="b">
        <v>1</v>
      </c>
    </row>
    <row r="4487" spans="1:13" x14ac:dyDescent="0.25">
      <c r="D4487" s="13">
        <v>600</v>
      </c>
      <c r="E4487" s="136" t="str">
        <f>INDEX([1]道具配置表!$D:$D,MATCH(D4487,[1]道具配置表!$A:$A,0))</f>
        <v>定点迁城</v>
      </c>
      <c r="F4487" s="13">
        <v>2</v>
      </c>
      <c r="K4487" s="13">
        <v>1</v>
      </c>
      <c r="M4487" s="63" t="b">
        <v>1</v>
      </c>
    </row>
    <row r="4488" spans="1:13" x14ac:dyDescent="0.25">
      <c r="D4488" s="13">
        <v>252</v>
      </c>
      <c r="E4488" s="136" t="str">
        <f>INDEX([1]道具配置表!$D:$D,MATCH(D4488,[1]道具配置表!$A:$A,0))</f>
        <v>10万食物</v>
      </c>
      <c r="F4488" s="13">
        <v>16</v>
      </c>
      <c r="K4488" s="13">
        <v>1</v>
      </c>
      <c r="M4488" s="63" t="b">
        <v>1</v>
      </c>
    </row>
    <row r="4489" spans="1:13" x14ac:dyDescent="0.25">
      <c r="D4489" s="13">
        <v>251</v>
      </c>
      <c r="E4489" s="136" t="str">
        <f>INDEX([1]道具配置表!$D:$D,MATCH(D4489,[1]道具配置表!$A:$A,0))</f>
        <v>10万木材</v>
      </c>
      <c r="F4489" s="13">
        <v>16</v>
      </c>
      <c r="K4489" s="13">
        <v>1</v>
      </c>
      <c r="M4489" s="63" t="b">
        <v>1</v>
      </c>
    </row>
    <row r="4490" spans="1:13" x14ac:dyDescent="0.25">
      <c r="D4490" s="13">
        <v>253</v>
      </c>
      <c r="E4490" s="136" t="str">
        <f>INDEX([1]道具配置表!$D:$D,MATCH(D4490,[1]道具配置表!$A:$A,0))</f>
        <v>10万石头</v>
      </c>
      <c r="F4490" s="13">
        <v>16</v>
      </c>
      <c r="K4490" s="13">
        <v>1</v>
      </c>
      <c r="M4490" s="63" t="b">
        <v>1</v>
      </c>
    </row>
    <row r="4491" spans="1:13" x14ac:dyDescent="0.25">
      <c r="D4491" s="13">
        <v>254</v>
      </c>
      <c r="E4491" s="136" t="str">
        <f>INDEX([1]道具配置表!$D:$D,MATCH(D4491,[1]道具配置表!$A:$A,0))</f>
        <v>10万黄金</v>
      </c>
      <c r="F4491" s="13">
        <v>16</v>
      </c>
      <c r="K4491" s="13">
        <v>1</v>
      </c>
      <c r="M4491" s="63" t="b">
        <v>1</v>
      </c>
    </row>
    <row r="4492" spans="1:13" x14ac:dyDescent="0.25">
      <c r="A4492" s="13">
        <v>6640004</v>
      </c>
      <c r="B4492" s="13" t="s">
        <v>1009</v>
      </c>
      <c r="D4492" s="13">
        <v>7003</v>
      </c>
      <c r="E4492" s="136" t="str">
        <f>INDEX([1]道具配置表!$D:$D,MATCH(D4492,[1]道具配置表!$A:$A,0))</f>
        <v>1银币（立即使用，不进背包）</v>
      </c>
      <c r="F4492" s="13">
        <v>2500</v>
      </c>
      <c r="K4492" s="13">
        <v>1</v>
      </c>
      <c r="M4492" s="63" t="b">
        <v>1</v>
      </c>
    </row>
    <row r="4493" spans="1:13" x14ac:dyDescent="0.25">
      <c r="D4493" s="13">
        <v>6105</v>
      </c>
      <c r="E4493" s="136" t="str">
        <f>INDEX([1]道具配置表!$D:$D,MATCH(D4493,[1]道具配置表!$A:$A,0))</f>
        <v>60分钟通用加速</v>
      </c>
      <c r="F4493" s="13">
        <v>7</v>
      </c>
      <c r="K4493" s="13">
        <v>1</v>
      </c>
      <c r="M4493" s="63" t="b">
        <v>1</v>
      </c>
    </row>
    <row r="4494" spans="1:13" x14ac:dyDescent="0.25">
      <c r="D4494" s="13">
        <v>600</v>
      </c>
      <c r="E4494" s="136" t="str">
        <f>INDEX([1]道具配置表!$D:$D,MATCH(D4494,[1]道具配置表!$A:$A,0))</f>
        <v>定点迁城</v>
      </c>
      <c r="F4494" s="13">
        <v>1</v>
      </c>
      <c r="K4494" s="13">
        <v>1</v>
      </c>
      <c r="M4494" s="63" t="b">
        <v>1</v>
      </c>
    </row>
    <row r="4495" spans="1:13" x14ac:dyDescent="0.25">
      <c r="D4495" s="13">
        <v>252</v>
      </c>
      <c r="E4495" s="136" t="str">
        <f>INDEX([1]道具配置表!$D:$D,MATCH(D4495,[1]道具配置表!$A:$A,0))</f>
        <v>10万食物</v>
      </c>
      <c r="F4495" s="13">
        <v>14</v>
      </c>
      <c r="K4495" s="13">
        <v>1</v>
      </c>
      <c r="M4495" s="63" t="b">
        <v>1</v>
      </c>
    </row>
    <row r="4496" spans="1:13" x14ac:dyDescent="0.25">
      <c r="D4496" s="13">
        <v>251</v>
      </c>
      <c r="E4496" s="136" t="str">
        <f>INDEX([1]道具配置表!$D:$D,MATCH(D4496,[1]道具配置表!$A:$A,0))</f>
        <v>10万木材</v>
      </c>
      <c r="F4496" s="13">
        <v>14</v>
      </c>
      <c r="K4496" s="13">
        <v>1</v>
      </c>
      <c r="M4496" s="63" t="b">
        <v>1</v>
      </c>
    </row>
    <row r="4497" spans="1:13" x14ac:dyDescent="0.25">
      <c r="D4497" s="13">
        <v>253</v>
      </c>
      <c r="E4497" s="136" t="str">
        <f>INDEX([1]道具配置表!$D:$D,MATCH(D4497,[1]道具配置表!$A:$A,0))</f>
        <v>10万石头</v>
      </c>
      <c r="F4497" s="13">
        <v>14</v>
      </c>
      <c r="K4497" s="13">
        <v>1</v>
      </c>
      <c r="M4497" s="63" t="b">
        <v>1</v>
      </c>
    </row>
    <row r="4498" spans="1:13" x14ac:dyDescent="0.25">
      <c r="D4498" s="13">
        <v>254</v>
      </c>
      <c r="E4498" s="136" t="str">
        <f>INDEX([1]道具配置表!$D:$D,MATCH(D4498,[1]道具配置表!$A:$A,0))</f>
        <v>10万黄金</v>
      </c>
      <c r="F4498" s="13">
        <v>14</v>
      </c>
      <c r="K4498" s="13">
        <v>1</v>
      </c>
      <c r="M4498" s="63" t="b">
        <v>1</v>
      </c>
    </row>
    <row r="4499" spans="1:13" x14ac:dyDescent="0.25">
      <c r="A4499" s="13">
        <v>6640005</v>
      </c>
      <c r="B4499" s="13" t="s">
        <v>1010</v>
      </c>
      <c r="D4499" s="13">
        <v>7003</v>
      </c>
      <c r="E4499" s="136" t="str">
        <f>INDEX([1]道具配置表!$D:$D,MATCH(D4499,[1]道具配置表!$A:$A,0))</f>
        <v>1银币（立即使用，不进背包）</v>
      </c>
      <c r="F4499" s="13">
        <v>2000</v>
      </c>
      <c r="K4499" s="13">
        <v>1</v>
      </c>
      <c r="M4499" s="63" t="b">
        <v>1</v>
      </c>
    </row>
    <row r="4500" spans="1:13" x14ac:dyDescent="0.25">
      <c r="D4500" s="13">
        <v>6105</v>
      </c>
      <c r="E4500" s="136" t="str">
        <f>INDEX([1]道具配置表!$D:$D,MATCH(D4500,[1]道具配置表!$A:$A,0))</f>
        <v>60分钟通用加速</v>
      </c>
      <c r="F4500" s="13">
        <v>6</v>
      </c>
      <c r="K4500" s="13">
        <v>1</v>
      </c>
      <c r="M4500" s="63" t="b">
        <v>1</v>
      </c>
    </row>
    <row r="4501" spans="1:13" x14ac:dyDescent="0.25">
      <c r="D4501" s="13">
        <v>600</v>
      </c>
      <c r="E4501" s="136" t="str">
        <f>INDEX([1]道具配置表!$D:$D,MATCH(D4501,[1]道具配置表!$A:$A,0))</f>
        <v>定点迁城</v>
      </c>
      <c r="F4501" s="13">
        <v>1</v>
      </c>
      <c r="K4501" s="13">
        <v>1</v>
      </c>
      <c r="M4501" s="63" t="b">
        <v>1</v>
      </c>
    </row>
    <row r="4502" spans="1:13" x14ac:dyDescent="0.25">
      <c r="D4502" s="13">
        <v>252</v>
      </c>
      <c r="E4502" s="136" t="str">
        <f>INDEX([1]道具配置表!$D:$D,MATCH(D4502,[1]道具配置表!$A:$A,0))</f>
        <v>10万食物</v>
      </c>
      <c r="F4502" s="13">
        <v>12</v>
      </c>
      <c r="K4502" s="13">
        <v>1</v>
      </c>
      <c r="M4502" s="63" t="b">
        <v>1</v>
      </c>
    </row>
    <row r="4503" spans="1:13" x14ac:dyDescent="0.25">
      <c r="D4503" s="13">
        <v>251</v>
      </c>
      <c r="E4503" s="136" t="str">
        <f>INDEX([1]道具配置表!$D:$D,MATCH(D4503,[1]道具配置表!$A:$A,0))</f>
        <v>10万木材</v>
      </c>
      <c r="F4503" s="13">
        <v>12</v>
      </c>
      <c r="K4503" s="13">
        <v>1</v>
      </c>
      <c r="M4503" s="63" t="b">
        <v>1</v>
      </c>
    </row>
    <row r="4504" spans="1:13" x14ac:dyDescent="0.25">
      <c r="D4504" s="13">
        <v>253</v>
      </c>
      <c r="E4504" s="136" t="str">
        <f>INDEX([1]道具配置表!$D:$D,MATCH(D4504,[1]道具配置表!$A:$A,0))</f>
        <v>10万石头</v>
      </c>
      <c r="F4504" s="13">
        <v>12</v>
      </c>
      <c r="K4504" s="13">
        <v>1</v>
      </c>
      <c r="M4504" s="63" t="b">
        <v>1</v>
      </c>
    </row>
    <row r="4505" spans="1:13" x14ac:dyDescent="0.25">
      <c r="D4505" s="13">
        <v>254</v>
      </c>
      <c r="E4505" s="136" t="str">
        <f>INDEX([1]道具配置表!$D:$D,MATCH(D4505,[1]道具配置表!$A:$A,0))</f>
        <v>10万黄金</v>
      </c>
      <c r="F4505" s="13">
        <v>12</v>
      </c>
      <c r="K4505" s="13">
        <v>1</v>
      </c>
      <c r="M4505" s="63" t="b">
        <v>1</v>
      </c>
    </row>
    <row r="4506" spans="1:13" x14ac:dyDescent="0.25">
      <c r="A4506" s="13">
        <v>6640006</v>
      </c>
      <c r="B4506" s="13" t="s">
        <v>1011</v>
      </c>
      <c r="D4506" s="13">
        <v>7003</v>
      </c>
      <c r="E4506" s="136" t="str">
        <f>INDEX([1]道具配置表!$D:$D,MATCH(D4506,[1]道具配置表!$A:$A,0))</f>
        <v>1银币（立即使用，不进背包）</v>
      </c>
      <c r="F4506" s="13">
        <v>1800</v>
      </c>
      <c r="K4506" s="13">
        <v>1</v>
      </c>
      <c r="M4506" s="63" t="b">
        <v>1</v>
      </c>
    </row>
    <row r="4507" spans="1:13" x14ac:dyDescent="0.25">
      <c r="D4507" s="13">
        <v>6105</v>
      </c>
      <c r="E4507" s="136" t="str">
        <f>INDEX([1]道具配置表!$D:$D,MATCH(D4507,[1]道具配置表!$A:$A,0))</f>
        <v>60分钟通用加速</v>
      </c>
      <c r="F4507" s="13">
        <v>5</v>
      </c>
      <c r="K4507" s="13">
        <v>1</v>
      </c>
      <c r="M4507" s="63" t="b">
        <v>1</v>
      </c>
    </row>
    <row r="4508" spans="1:13" x14ac:dyDescent="0.25">
      <c r="D4508" s="13">
        <v>600</v>
      </c>
      <c r="E4508" s="136" t="str">
        <f>INDEX([1]道具配置表!$D:$D,MATCH(D4508,[1]道具配置表!$A:$A,0))</f>
        <v>定点迁城</v>
      </c>
      <c r="F4508" s="13">
        <v>1</v>
      </c>
      <c r="K4508" s="13">
        <v>1</v>
      </c>
      <c r="M4508" s="63" t="b">
        <v>1</v>
      </c>
    </row>
    <row r="4509" spans="1:13" x14ac:dyDescent="0.25">
      <c r="D4509" s="13">
        <v>252</v>
      </c>
      <c r="E4509" s="136" t="str">
        <f>INDEX([1]道具配置表!$D:$D,MATCH(D4509,[1]道具配置表!$A:$A,0))</f>
        <v>10万食物</v>
      </c>
      <c r="F4509" s="13">
        <v>10</v>
      </c>
      <c r="K4509" s="13">
        <v>1</v>
      </c>
      <c r="M4509" s="63" t="b">
        <v>1</v>
      </c>
    </row>
    <row r="4510" spans="1:13" x14ac:dyDescent="0.25">
      <c r="D4510" s="13">
        <v>251</v>
      </c>
      <c r="E4510" s="136" t="str">
        <f>INDEX([1]道具配置表!$D:$D,MATCH(D4510,[1]道具配置表!$A:$A,0))</f>
        <v>10万木材</v>
      </c>
      <c r="F4510" s="13">
        <v>10</v>
      </c>
      <c r="K4510" s="13">
        <v>1</v>
      </c>
      <c r="M4510" s="63" t="b">
        <v>1</v>
      </c>
    </row>
    <row r="4511" spans="1:13" x14ac:dyDescent="0.25">
      <c r="D4511" s="13">
        <v>253</v>
      </c>
      <c r="E4511" s="136" t="str">
        <f>INDEX([1]道具配置表!$D:$D,MATCH(D4511,[1]道具配置表!$A:$A,0))</f>
        <v>10万石头</v>
      </c>
      <c r="F4511" s="13">
        <v>10</v>
      </c>
      <c r="K4511" s="13">
        <v>1</v>
      </c>
      <c r="M4511" s="63" t="b">
        <v>1</v>
      </c>
    </row>
    <row r="4512" spans="1:13" x14ac:dyDescent="0.25">
      <c r="D4512" s="13">
        <v>254</v>
      </c>
      <c r="E4512" s="136" t="str">
        <f>INDEX([1]道具配置表!$D:$D,MATCH(D4512,[1]道具配置表!$A:$A,0))</f>
        <v>10万黄金</v>
      </c>
      <c r="F4512" s="13">
        <v>10</v>
      </c>
      <c r="K4512" s="13">
        <v>1</v>
      </c>
      <c r="M4512" s="63" t="b">
        <v>1</v>
      </c>
    </row>
    <row r="4513" spans="1:13" x14ac:dyDescent="0.25">
      <c r="A4513" s="13">
        <v>6640007</v>
      </c>
      <c r="B4513" s="13" t="s">
        <v>1012</v>
      </c>
      <c r="D4513" s="13">
        <v>7003</v>
      </c>
      <c r="E4513" s="136" t="str">
        <f>INDEX([1]道具配置表!$D:$D,MATCH(D4513,[1]道具配置表!$A:$A,0))</f>
        <v>1银币（立即使用，不进背包）</v>
      </c>
      <c r="F4513" s="13">
        <v>1600</v>
      </c>
      <c r="K4513" s="13">
        <v>1</v>
      </c>
      <c r="M4513" s="63" t="b">
        <v>1</v>
      </c>
    </row>
    <row r="4514" spans="1:13" x14ac:dyDescent="0.25">
      <c r="D4514" s="13">
        <v>6105</v>
      </c>
      <c r="E4514" s="136" t="str">
        <f>INDEX([1]道具配置表!$D:$D,MATCH(D4514,[1]道具配置表!$A:$A,0))</f>
        <v>60分钟通用加速</v>
      </c>
      <c r="F4514" s="13">
        <v>4</v>
      </c>
      <c r="K4514" s="13">
        <v>1</v>
      </c>
      <c r="M4514" s="63" t="b">
        <v>1</v>
      </c>
    </row>
    <row r="4515" spans="1:13" x14ac:dyDescent="0.25">
      <c r="D4515" s="13">
        <v>600</v>
      </c>
      <c r="E4515" s="136" t="str">
        <f>INDEX([1]道具配置表!$D:$D,MATCH(D4515,[1]道具配置表!$A:$A,0))</f>
        <v>定点迁城</v>
      </c>
      <c r="F4515" s="13">
        <v>1</v>
      </c>
      <c r="K4515" s="13">
        <v>1</v>
      </c>
      <c r="M4515" s="63" t="b">
        <v>1</v>
      </c>
    </row>
    <row r="4516" spans="1:13" x14ac:dyDescent="0.25">
      <c r="D4516" s="13">
        <v>252</v>
      </c>
      <c r="E4516" s="136" t="str">
        <f>INDEX([1]道具配置表!$D:$D,MATCH(D4516,[1]道具配置表!$A:$A,0))</f>
        <v>10万食物</v>
      </c>
      <c r="F4516" s="13">
        <v>8</v>
      </c>
      <c r="K4516" s="13">
        <v>1</v>
      </c>
      <c r="M4516" s="63" t="b">
        <v>1</v>
      </c>
    </row>
    <row r="4517" spans="1:13" x14ac:dyDescent="0.25">
      <c r="D4517" s="13">
        <v>251</v>
      </c>
      <c r="E4517" s="136" t="str">
        <f>INDEX([1]道具配置表!$D:$D,MATCH(D4517,[1]道具配置表!$A:$A,0))</f>
        <v>10万木材</v>
      </c>
      <c r="F4517" s="13">
        <v>8</v>
      </c>
      <c r="K4517" s="13">
        <v>1</v>
      </c>
      <c r="M4517" s="63" t="b">
        <v>1</v>
      </c>
    </row>
    <row r="4518" spans="1:13" x14ac:dyDescent="0.25">
      <c r="D4518" s="13">
        <v>253</v>
      </c>
      <c r="E4518" s="136" t="str">
        <f>INDEX([1]道具配置表!$D:$D,MATCH(D4518,[1]道具配置表!$A:$A,0))</f>
        <v>10万石头</v>
      </c>
      <c r="F4518" s="13">
        <v>8</v>
      </c>
      <c r="K4518" s="13">
        <v>1</v>
      </c>
      <c r="M4518" s="63" t="b">
        <v>1</v>
      </c>
    </row>
    <row r="4519" spans="1:13" x14ac:dyDescent="0.25">
      <c r="D4519" s="13">
        <v>254</v>
      </c>
      <c r="E4519" s="136" t="str">
        <f>INDEX([1]道具配置表!$D:$D,MATCH(D4519,[1]道具配置表!$A:$A,0))</f>
        <v>10万黄金</v>
      </c>
      <c r="F4519" s="13">
        <v>8</v>
      </c>
      <c r="K4519" s="13">
        <v>1</v>
      </c>
      <c r="M4519" s="63" t="b">
        <v>1</v>
      </c>
    </row>
    <row r="4520" spans="1:13" x14ac:dyDescent="0.25">
      <c r="A4520" s="13">
        <v>6640008</v>
      </c>
      <c r="B4520" s="13" t="s">
        <v>1013</v>
      </c>
      <c r="D4520" s="13">
        <v>7003</v>
      </c>
      <c r="E4520" s="136" t="str">
        <f>INDEX([1]道具配置表!$D:$D,MATCH(D4520,[1]道具配置表!$A:$A,0))</f>
        <v>1银币（立即使用，不进背包）</v>
      </c>
      <c r="F4520" s="13">
        <v>1400</v>
      </c>
      <c r="K4520" s="13">
        <v>1</v>
      </c>
      <c r="M4520" s="63" t="b">
        <v>1</v>
      </c>
    </row>
    <row r="4521" spans="1:13" x14ac:dyDescent="0.25">
      <c r="D4521" s="13">
        <v>6105</v>
      </c>
      <c r="E4521" s="136" t="str">
        <f>INDEX([1]道具配置表!$D:$D,MATCH(D4521,[1]道具配置表!$A:$A,0))</f>
        <v>60分钟通用加速</v>
      </c>
      <c r="F4521" s="13">
        <v>3</v>
      </c>
      <c r="K4521" s="13">
        <v>1</v>
      </c>
      <c r="M4521" s="63" t="b">
        <v>1</v>
      </c>
    </row>
    <row r="4522" spans="1:13" x14ac:dyDescent="0.25">
      <c r="D4522" s="13">
        <v>600</v>
      </c>
      <c r="E4522" s="136" t="str">
        <f>INDEX([1]道具配置表!$D:$D,MATCH(D4522,[1]道具配置表!$A:$A,0))</f>
        <v>定点迁城</v>
      </c>
      <c r="F4522" s="13">
        <v>1</v>
      </c>
      <c r="K4522" s="13">
        <v>1</v>
      </c>
      <c r="M4522" s="63" t="b">
        <v>1</v>
      </c>
    </row>
    <row r="4523" spans="1:13" x14ac:dyDescent="0.25">
      <c r="D4523" s="13">
        <v>252</v>
      </c>
      <c r="E4523" s="136" t="str">
        <f>INDEX([1]道具配置表!$D:$D,MATCH(D4523,[1]道具配置表!$A:$A,0))</f>
        <v>10万食物</v>
      </c>
      <c r="F4523" s="13">
        <v>6</v>
      </c>
      <c r="K4523" s="13">
        <v>1</v>
      </c>
      <c r="M4523" s="63" t="b">
        <v>1</v>
      </c>
    </row>
    <row r="4524" spans="1:13" x14ac:dyDescent="0.25">
      <c r="D4524" s="13">
        <v>251</v>
      </c>
      <c r="E4524" s="136" t="str">
        <f>INDEX([1]道具配置表!$D:$D,MATCH(D4524,[1]道具配置表!$A:$A,0))</f>
        <v>10万木材</v>
      </c>
      <c r="F4524" s="13">
        <v>6</v>
      </c>
      <c r="K4524" s="13">
        <v>1</v>
      </c>
      <c r="M4524" s="63" t="b">
        <v>1</v>
      </c>
    </row>
    <row r="4525" spans="1:13" x14ac:dyDescent="0.25">
      <c r="D4525" s="13">
        <v>253</v>
      </c>
      <c r="E4525" s="136" t="str">
        <f>INDEX([1]道具配置表!$D:$D,MATCH(D4525,[1]道具配置表!$A:$A,0))</f>
        <v>10万石头</v>
      </c>
      <c r="F4525" s="13">
        <v>6</v>
      </c>
      <c r="K4525" s="13">
        <v>1</v>
      </c>
      <c r="M4525" s="63" t="b">
        <v>1</v>
      </c>
    </row>
    <row r="4526" spans="1:13" x14ac:dyDescent="0.25">
      <c r="D4526" s="13">
        <v>254</v>
      </c>
      <c r="E4526" s="136" t="str">
        <f>INDEX([1]道具配置表!$D:$D,MATCH(D4526,[1]道具配置表!$A:$A,0))</f>
        <v>10万黄金</v>
      </c>
      <c r="F4526" s="13">
        <v>6</v>
      </c>
      <c r="K4526" s="13">
        <v>1</v>
      </c>
      <c r="M4526" s="63" t="b">
        <v>1</v>
      </c>
    </row>
    <row r="4527" spans="1:13" x14ac:dyDescent="0.25">
      <c r="A4527" s="13">
        <v>6640009</v>
      </c>
      <c r="B4527" s="13" t="s">
        <v>1014</v>
      </c>
      <c r="D4527" s="13">
        <v>7003</v>
      </c>
      <c r="E4527" s="136" t="str">
        <f>INDEX([1]道具配置表!$D:$D,MATCH(D4527,[1]道具配置表!$A:$A,0))</f>
        <v>1银币（立即使用，不进背包）</v>
      </c>
      <c r="F4527" s="13">
        <v>1200</v>
      </c>
      <c r="K4527" s="13">
        <v>1</v>
      </c>
      <c r="M4527" s="63" t="b">
        <v>1</v>
      </c>
    </row>
    <row r="4528" spans="1:13" x14ac:dyDescent="0.25">
      <c r="D4528" s="13">
        <v>6105</v>
      </c>
      <c r="E4528" s="136" t="str">
        <f>INDEX([1]道具配置表!$D:$D,MATCH(D4528,[1]道具配置表!$A:$A,0))</f>
        <v>60分钟通用加速</v>
      </c>
      <c r="F4528" s="13">
        <v>2</v>
      </c>
      <c r="K4528" s="13">
        <v>1</v>
      </c>
      <c r="M4528" s="63" t="b">
        <v>1</v>
      </c>
    </row>
    <row r="4529" spans="1:13" x14ac:dyDescent="0.25">
      <c r="D4529" s="13">
        <v>600</v>
      </c>
      <c r="E4529" s="136" t="str">
        <f>INDEX([1]道具配置表!$D:$D,MATCH(D4529,[1]道具配置表!$A:$A,0))</f>
        <v>定点迁城</v>
      </c>
      <c r="F4529" s="13">
        <v>1</v>
      </c>
      <c r="K4529" s="13">
        <v>1</v>
      </c>
      <c r="M4529" s="63" t="b">
        <v>1</v>
      </c>
    </row>
    <row r="4530" spans="1:13" x14ac:dyDescent="0.25">
      <c r="D4530" s="13">
        <v>252</v>
      </c>
      <c r="E4530" s="136" t="str">
        <f>INDEX([1]道具配置表!$D:$D,MATCH(D4530,[1]道具配置表!$A:$A,0))</f>
        <v>10万食物</v>
      </c>
      <c r="F4530" s="13">
        <v>4</v>
      </c>
      <c r="K4530" s="13">
        <v>1</v>
      </c>
      <c r="M4530" s="63" t="b">
        <v>1</v>
      </c>
    </row>
    <row r="4531" spans="1:13" x14ac:dyDescent="0.25">
      <c r="D4531" s="13">
        <v>251</v>
      </c>
      <c r="E4531" s="136" t="str">
        <f>INDEX([1]道具配置表!$D:$D,MATCH(D4531,[1]道具配置表!$A:$A,0))</f>
        <v>10万木材</v>
      </c>
      <c r="F4531" s="13">
        <v>4</v>
      </c>
      <c r="K4531" s="13">
        <v>1</v>
      </c>
      <c r="M4531" s="63" t="b">
        <v>1</v>
      </c>
    </row>
    <row r="4532" spans="1:13" x14ac:dyDescent="0.25">
      <c r="D4532" s="13">
        <v>253</v>
      </c>
      <c r="E4532" s="136" t="str">
        <f>INDEX([1]道具配置表!$D:$D,MATCH(D4532,[1]道具配置表!$A:$A,0))</f>
        <v>10万石头</v>
      </c>
      <c r="F4532" s="13">
        <v>4</v>
      </c>
      <c r="K4532" s="13">
        <v>1</v>
      </c>
      <c r="M4532" s="63" t="b">
        <v>1</v>
      </c>
    </row>
    <row r="4533" spans="1:13" x14ac:dyDescent="0.25">
      <c r="D4533" s="13">
        <v>254</v>
      </c>
      <c r="E4533" s="136" t="str">
        <f>INDEX([1]道具配置表!$D:$D,MATCH(D4533,[1]道具配置表!$A:$A,0))</f>
        <v>10万黄金</v>
      </c>
      <c r="F4533" s="13">
        <v>4</v>
      </c>
      <c r="K4533" s="13">
        <v>1</v>
      </c>
      <c r="M4533" s="63" t="b">
        <v>1</v>
      </c>
    </row>
    <row r="4534" spans="1:13" x14ac:dyDescent="0.25">
      <c r="A4534" s="13">
        <v>6640010</v>
      </c>
      <c r="B4534" s="13" t="s">
        <v>1015</v>
      </c>
      <c r="D4534" s="13">
        <v>7003</v>
      </c>
      <c r="E4534" s="136" t="str">
        <f>INDEX([1]道具配置表!$D:$D,MATCH(D4534,[1]道具配置表!$A:$A,0))</f>
        <v>1银币（立即使用，不进背包）</v>
      </c>
      <c r="F4534" s="13">
        <v>1000</v>
      </c>
      <c r="K4534" s="13">
        <v>1</v>
      </c>
      <c r="M4534" s="63" t="b">
        <v>1</v>
      </c>
    </row>
    <row r="4535" spans="1:13" x14ac:dyDescent="0.25">
      <c r="D4535" s="13">
        <v>6101</v>
      </c>
      <c r="E4535" s="136" t="str">
        <f>INDEX([1]道具配置表!$D:$D,MATCH(D4535,[1]道具配置表!$A:$A,0))</f>
        <v>5分钟通用加速</v>
      </c>
      <c r="F4535" s="13">
        <v>20</v>
      </c>
      <c r="K4535" s="13">
        <v>1</v>
      </c>
      <c r="M4535" s="63" t="b">
        <v>1</v>
      </c>
    </row>
    <row r="4536" spans="1:13" x14ac:dyDescent="0.25">
      <c r="D4536" s="13">
        <v>600</v>
      </c>
      <c r="E4536" s="136" t="str">
        <f>INDEX([1]道具配置表!$D:$D,MATCH(D4536,[1]道具配置表!$A:$A,0))</f>
        <v>定点迁城</v>
      </c>
      <c r="F4536" s="13">
        <v>1</v>
      </c>
      <c r="K4536" s="13">
        <v>1</v>
      </c>
      <c r="M4536" s="129" t="b">
        <v>1</v>
      </c>
    </row>
    <row r="4537" spans="1:13" x14ac:dyDescent="0.25">
      <c r="D4537" s="13">
        <v>252</v>
      </c>
      <c r="E4537" s="136" t="str">
        <f>INDEX([1]道具配置表!$D:$D,MATCH(D4537,[1]道具配置表!$A:$A,0))</f>
        <v>10万食物</v>
      </c>
      <c r="F4537" s="13">
        <v>2</v>
      </c>
      <c r="K4537" s="13">
        <v>1</v>
      </c>
      <c r="M4537" s="63" t="b">
        <v>1</v>
      </c>
    </row>
    <row r="4538" spans="1:13" x14ac:dyDescent="0.25">
      <c r="D4538" s="13">
        <v>251</v>
      </c>
      <c r="E4538" s="136" t="str">
        <f>INDEX([1]道具配置表!$D:$D,MATCH(D4538,[1]道具配置表!$A:$A,0))</f>
        <v>10万木材</v>
      </c>
      <c r="F4538" s="13">
        <v>2</v>
      </c>
      <c r="K4538" s="13">
        <v>1</v>
      </c>
      <c r="M4538" s="63" t="b">
        <v>1</v>
      </c>
    </row>
    <row r="4539" spans="1:13" x14ac:dyDescent="0.25">
      <c r="D4539" s="13">
        <v>253</v>
      </c>
      <c r="E4539" s="136" t="str">
        <f>INDEX([1]道具配置表!$D:$D,MATCH(D4539,[1]道具配置表!$A:$A,0))</f>
        <v>10万石头</v>
      </c>
      <c r="F4539" s="13">
        <v>2</v>
      </c>
      <c r="K4539" s="13">
        <v>1</v>
      </c>
      <c r="M4539" s="63" t="b">
        <v>1</v>
      </c>
    </row>
    <row r="4540" spans="1:13" x14ac:dyDescent="0.25">
      <c r="D4540" s="13">
        <v>254</v>
      </c>
      <c r="E4540" s="136" t="str">
        <f>INDEX([1]道具配置表!$D:$D,MATCH(D4540,[1]道具配置表!$A:$A,0))</f>
        <v>10万黄金</v>
      </c>
      <c r="F4540" s="13">
        <v>2</v>
      </c>
      <c r="K4540" s="13">
        <v>1</v>
      </c>
      <c r="M4540" s="63" t="b">
        <v>1</v>
      </c>
    </row>
    <row r="4541" spans="1:13" x14ac:dyDescent="0.25">
      <c r="A4541" s="13">
        <v>6640011</v>
      </c>
      <c r="B4541" s="13" t="s">
        <v>1016</v>
      </c>
      <c r="D4541" s="13">
        <v>7003</v>
      </c>
      <c r="E4541" s="136" t="str">
        <f>INDEX([1]道具配置表!$D:$D,MATCH(D4541,[1]道具配置表!$A:$A,0))</f>
        <v>1银币（立即使用，不进背包）</v>
      </c>
      <c r="F4541" s="13">
        <v>700</v>
      </c>
      <c r="K4541" s="13">
        <v>1</v>
      </c>
      <c r="M4541" s="63" t="b">
        <v>1</v>
      </c>
    </row>
    <row r="4542" spans="1:13" x14ac:dyDescent="0.25">
      <c r="D4542" s="13">
        <v>6101</v>
      </c>
      <c r="E4542" s="136" t="str">
        <f>INDEX([1]道具配置表!$D:$D,MATCH(D4542,[1]道具配置表!$A:$A,0))</f>
        <v>5分钟通用加速</v>
      </c>
      <c r="F4542" s="13">
        <v>18</v>
      </c>
      <c r="K4542" s="13">
        <v>1</v>
      </c>
      <c r="M4542" s="63" t="b">
        <v>1</v>
      </c>
    </row>
    <row r="4543" spans="1:13" x14ac:dyDescent="0.25">
      <c r="D4543" s="13">
        <v>232</v>
      </c>
      <c r="E4543" s="136" t="str">
        <f>INDEX([1]道具配置表!$D:$D,MATCH(D4543,[1]道具配置表!$A:$A,0))</f>
        <v>1万食物</v>
      </c>
      <c r="F4543" s="13">
        <v>16</v>
      </c>
      <c r="K4543" s="13">
        <v>1</v>
      </c>
      <c r="M4543" s="63" t="b">
        <v>1</v>
      </c>
    </row>
    <row r="4544" spans="1:13" x14ac:dyDescent="0.25">
      <c r="D4544" s="13">
        <v>231</v>
      </c>
      <c r="E4544" s="136" t="str">
        <f>INDEX([1]道具配置表!$D:$D,MATCH(D4544,[1]道具配置表!$A:$A,0))</f>
        <v>1万木材</v>
      </c>
      <c r="F4544" s="13">
        <v>16</v>
      </c>
      <c r="K4544" s="13">
        <v>1</v>
      </c>
      <c r="M4544" s="63" t="b">
        <v>1</v>
      </c>
    </row>
    <row r="4545" spans="1:13" x14ac:dyDescent="0.25">
      <c r="D4545" s="13">
        <v>233</v>
      </c>
      <c r="E4545" s="136" t="str">
        <f>INDEX([1]道具配置表!$D:$D,MATCH(D4545,[1]道具配置表!$A:$A,0))</f>
        <v>1万石头</v>
      </c>
      <c r="F4545" s="13">
        <v>16</v>
      </c>
      <c r="K4545" s="13">
        <v>1</v>
      </c>
      <c r="M4545" s="63" t="b">
        <v>1</v>
      </c>
    </row>
    <row r="4546" spans="1:13" x14ac:dyDescent="0.25">
      <c r="D4546" s="13">
        <v>234</v>
      </c>
      <c r="E4546" s="136" t="str">
        <f>INDEX([1]道具配置表!$D:$D,MATCH(D4546,[1]道具配置表!$A:$A,0))</f>
        <v>1万黄金</v>
      </c>
      <c r="F4546" s="13">
        <v>16</v>
      </c>
      <c r="K4546" s="13">
        <v>1</v>
      </c>
      <c r="M4546" s="63" t="b">
        <v>1</v>
      </c>
    </row>
    <row r="4547" spans="1:13" x14ac:dyDescent="0.25">
      <c r="A4547" s="13">
        <v>6640012</v>
      </c>
      <c r="B4547" s="13" t="s">
        <v>1017</v>
      </c>
      <c r="D4547" s="13">
        <v>7003</v>
      </c>
      <c r="E4547" s="136" t="str">
        <f>INDEX([1]道具配置表!$D:$D,MATCH(D4547,[1]道具配置表!$A:$A,0))</f>
        <v>1银币（立即使用，不进背包）</v>
      </c>
      <c r="F4547" s="13">
        <v>600</v>
      </c>
      <c r="K4547" s="13">
        <v>1</v>
      </c>
      <c r="M4547" s="63" t="b">
        <v>1</v>
      </c>
    </row>
    <row r="4548" spans="1:13" x14ac:dyDescent="0.25">
      <c r="D4548" s="13">
        <v>6101</v>
      </c>
      <c r="E4548" s="136" t="str">
        <f>INDEX([1]道具配置表!$D:$D,MATCH(D4548,[1]道具配置表!$A:$A,0))</f>
        <v>5分钟通用加速</v>
      </c>
      <c r="F4548" s="13">
        <v>16</v>
      </c>
      <c r="K4548" s="13">
        <v>1</v>
      </c>
      <c r="M4548" s="63" t="b">
        <v>1</v>
      </c>
    </row>
    <row r="4549" spans="1:13" x14ac:dyDescent="0.25">
      <c r="D4549" s="13">
        <v>232</v>
      </c>
      <c r="E4549" s="136" t="str">
        <f>INDEX([1]道具配置表!$D:$D,MATCH(D4549,[1]道具配置表!$A:$A,0))</f>
        <v>1万食物</v>
      </c>
      <c r="F4549" s="13">
        <v>15</v>
      </c>
      <c r="K4549" s="13">
        <v>1</v>
      </c>
      <c r="M4549" s="63" t="b">
        <v>1</v>
      </c>
    </row>
    <row r="4550" spans="1:13" x14ac:dyDescent="0.25">
      <c r="D4550" s="13">
        <v>231</v>
      </c>
      <c r="E4550" s="136" t="str">
        <f>INDEX([1]道具配置表!$D:$D,MATCH(D4550,[1]道具配置表!$A:$A,0))</f>
        <v>1万木材</v>
      </c>
      <c r="F4550" s="13">
        <v>15</v>
      </c>
      <c r="K4550" s="13">
        <v>1</v>
      </c>
      <c r="M4550" s="63" t="b">
        <v>1</v>
      </c>
    </row>
    <row r="4551" spans="1:13" x14ac:dyDescent="0.25">
      <c r="D4551" s="13">
        <v>233</v>
      </c>
      <c r="E4551" s="136" t="str">
        <f>INDEX([1]道具配置表!$D:$D,MATCH(D4551,[1]道具配置表!$A:$A,0))</f>
        <v>1万石头</v>
      </c>
      <c r="F4551" s="13">
        <v>15</v>
      </c>
      <c r="K4551" s="13">
        <v>1</v>
      </c>
      <c r="M4551" s="63" t="b">
        <v>1</v>
      </c>
    </row>
    <row r="4552" spans="1:13" x14ac:dyDescent="0.25">
      <c r="D4552" s="13">
        <v>234</v>
      </c>
      <c r="E4552" s="136" t="str">
        <f>INDEX([1]道具配置表!$D:$D,MATCH(D4552,[1]道具配置表!$A:$A,0))</f>
        <v>1万黄金</v>
      </c>
      <c r="F4552" s="13">
        <v>15</v>
      </c>
      <c r="K4552" s="13">
        <v>1</v>
      </c>
      <c r="M4552" s="63" t="b">
        <v>1</v>
      </c>
    </row>
    <row r="4553" spans="1:13" x14ac:dyDescent="0.25">
      <c r="A4553" s="13">
        <v>6640013</v>
      </c>
      <c r="B4553" s="13" t="s">
        <v>1018</v>
      </c>
      <c r="D4553" s="13">
        <v>7003</v>
      </c>
      <c r="E4553" s="136" t="str">
        <f>INDEX([1]道具配置表!$D:$D,MATCH(D4553,[1]道具配置表!$A:$A,0))</f>
        <v>1银币（立即使用，不进背包）</v>
      </c>
      <c r="F4553" s="13">
        <v>500</v>
      </c>
      <c r="K4553" s="13">
        <v>1</v>
      </c>
      <c r="M4553" s="63" t="b">
        <v>1</v>
      </c>
    </row>
    <row r="4554" spans="1:13" x14ac:dyDescent="0.25">
      <c r="D4554" s="13">
        <v>6101</v>
      </c>
      <c r="E4554" s="136" t="str">
        <f>INDEX([1]道具配置表!$D:$D,MATCH(D4554,[1]道具配置表!$A:$A,0))</f>
        <v>5分钟通用加速</v>
      </c>
      <c r="F4554" s="13">
        <v>14</v>
      </c>
      <c r="K4554" s="13">
        <v>1</v>
      </c>
      <c r="M4554" s="63" t="b">
        <v>1</v>
      </c>
    </row>
    <row r="4555" spans="1:13" x14ac:dyDescent="0.25">
      <c r="D4555" s="13">
        <v>232</v>
      </c>
      <c r="E4555" s="136" t="str">
        <f>INDEX([1]道具配置表!$D:$D,MATCH(D4555,[1]道具配置表!$A:$A,0))</f>
        <v>1万食物</v>
      </c>
      <c r="F4555" s="13">
        <v>14</v>
      </c>
      <c r="K4555" s="13">
        <v>1</v>
      </c>
      <c r="M4555" s="63" t="b">
        <v>1</v>
      </c>
    </row>
    <row r="4556" spans="1:13" x14ac:dyDescent="0.25">
      <c r="D4556" s="13">
        <v>231</v>
      </c>
      <c r="E4556" s="136" t="str">
        <f>INDEX([1]道具配置表!$D:$D,MATCH(D4556,[1]道具配置表!$A:$A,0))</f>
        <v>1万木材</v>
      </c>
      <c r="F4556" s="13">
        <v>14</v>
      </c>
      <c r="K4556" s="13">
        <v>1</v>
      </c>
      <c r="M4556" s="63" t="b">
        <v>1</v>
      </c>
    </row>
    <row r="4557" spans="1:13" x14ac:dyDescent="0.25">
      <c r="D4557" s="13">
        <v>233</v>
      </c>
      <c r="E4557" s="136" t="str">
        <f>INDEX([1]道具配置表!$D:$D,MATCH(D4557,[1]道具配置表!$A:$A,0))</f>
        <v>1万石头</v>
      </c>
      <c r="F4557" s="13">
        <v>14</v>
      </c>
      <c r="K4557" s="13">
        <v>1</v>
      </c>
      <c r="M4557" s="63" t="b">
        <v>1</v>
      </c>
    </row>
    <row r="4558" spans="1:13" x14ac:dyDescent="0.25">
      <c r="D4558" s="13">
        <v>234</v>
      </c>
      <c r="E4558" s="136" t="str">
        <f>INDEX([1]道具配置表!$D:$D,MATCH(D4558,[1]道具配置表!$A:$A,0))</f>
        <v>1万黄金</v>
      </c>
      <c r="F4558" s="13">
        <v>14</v>
      </c>
      <c r="K4558" s="13">
        <v>1</v>
      </c>
      <c r="M4558" s="63" t="b">
        <v>1</v>
      </c>
    </row>
    <row r="4559" spans="1:13" x14ac:dyDescent="0.25">
      <c r="A4559" s="13">
        <v>6640014</v>
      </c>
      <c r="B4559" s="13" t="s">
        <v>1019</v>
      </c>
      <c r="D4559" s="13">
        <v>7003</v>
      </c>
      <c r="E4559" s="136" t="str">
        <f>INDEX([1]道具配置表!$D:$D,MATCH(D4559,[1]道具配置表!$A:$A,0))</f>
        <v>1银币（立即使用，不进背包）</v>
      </c>
      <c r="F4559" s="13">
        <v>400</v>
      </c>
      <c r="K4559" s="13">
        <v>1</v>
      </c>
      <c r="M4559" s="63" t="b">
        <v>1</v>
      </c>
    </row>
    <row r="4560" spans="1:13" x14ac:dyDescent="0.25">
      <c r="D4560" s="13">
        <v>6101</v>
      </c>
      <c r="E4560" s="136" t="str">
        <f>INDEX([1]道具配置表!$D:$D,MATCH(D4560,[1]道具配置表!$A:$A,0))</f>
        <v>5分钟通用加速</v>
      </c>
      <c r="F4560" s="13">
        <v>12</v>
      </c>
      <c r="K4560" s="13">
        <v>1</v>
      </c>
      <c r="M4560" s="63" t="b">
        <v>1</v>
      </c>
    </row>
    <row r="4561" spans="1:13" x14ac:dyDescent="0.25">
      <c r="D4561" s="13">
        <v>232</v>
      </c>
      <c r="E4561" s="136" t="str">
        <f>INDEX([1]道具配置表!$D:$D,MATCH(D4561,[1]道具配置表!$A:$A,0))</f>
        <v>1万食物</v>
      </c>
      <c r="F4561" s="13">
        <v>13</v>
      </c>
      <c r="K4561" s="13">
        <v>1</v>
      </c>
      <c r="M4561" s="63" t="b">
        <v>1</v>
      </c>
    </row>
    <row r="4562" spans="1:13" x14ac:dyDescent="0.25">
      <c r="D4562" s="13">
        <v>231</v>
      </c>
      <c r="E4562" s="136" t="str">
        <f>INDEX([1]道具配置表!$D:$D,MATCH(D4562,[1]道具配置表!$A:$A,0))</f>
        <v>1万木材</v>
      </c>
      <c r="F4562" s="13">
        <v>13</v>
      </c>
      <c r="K4562" s="13">
        <v>1</v>
      </c>
      <c r="M4562" s="63" t="b">
        <v>1</v>
      </c>
    </row>
    <row r="4563" spans="1:13" x14ac:dyDescent="0.25">
      <c r="D4563" s="13">
        <v>233</v>
      </c>
      <c r="E4563" s="136" t="str">
        <f>INDEX([1]道具配置表!$D:$D,MATCH(D4563,[1]道具配置表!$A:$A,0))</f>
        <v>1万石头</v>
      </c>
      <c r="F4563" s="13">
        <v>13</v>
      </c>
      <c r="K4563" s="13">
        <v>1</v>
      </c>
      <c r="M4563" s="63" t="b">
        <v>1</v>
      </c>
    </row>
    <row r="4564" spans="1:13" x14ac:dyDescent="0.25">
      <c r="D4564" s="13">
        <v>234</v>
      </c>
      <c r="E4564" s="136" t="str">
        <f>INDEX([1]道具配置表!$D:$D,MATCH(D4564,[1]道具配置表!$A:$A,0))</f>
        <v>1万黄金</v>
      </c>
      <c r="F4564" s="13">
        <v>13</v>
      </c>
      <c r="K4564" s="13">
        <v>1</v>
      </c>
      <c r="M4564" s="63" t="b">
        <v>1</v>
      </c>
    </row>
    <row r="4565" spans="1:13" x14ac:dyDescent="0.25">
      <c r="A4565" s="13">
        <v>6640015</v>
      </c>
      <c r="B4565" s="13" t="s">
        <v>1020</v>
      </c>
      <c r="D4565" s="13">
        <v>7003</v>
      </c>
      <c r="E4565" s="136" t="str">
        <f>INDEX([1]道具配置表!$D:$D,MATCH(D4565,[1]道具配置表!$A:$A,0))</f>
        <v>1银币（立即使用，不进背包）</v>
      </c>
      <c r="F4565" s="13">
        <v>350</v>
      </c>
      <c r="K4565" s="13">
        <v>1</v>
      </c>
      <c r="M4565" s="63" t="b">
        <v>1</v>
      </c>
    </row>
    <row r="4566" spans="1:13" x14ac:dyDescent="0.25">
      <c r="D4566" s="13">
        <v>6101</v>
      </c>
      <c r="E4566" s="136" t="str">
        <f>INDEX([1]道具配置表!$D:$D,MATCH(D4566,[1]道具配置表!$A:$A,0))</f>
        <v>5分钟通用加速</v>
      </c>
      <c r="F4566" s="13">
        <v>10</v>
      </c>
      <c r="K4566" s="13">
        <v>1</v>
      </c>
      <c r="M4566" s="63" t="b">
        <v>1</v>
      </c>
    </row>
    <row r="4567" spans="1:13" x14ac:dyDescent="0.25">
      <c r="D4567" s="13">
        <v>232</v>
      </c>
      <c r="E4567" s="136" t="str">
        <f>INDEX([1]道具配置表!$D:$D,MATCH(D4567,[1]道具配置表!$A:$A,0))</f>
        <v>1万食物</v>
      </c>
      <c r="F4567" s="13">
        <v>12</v>
      </c>
      <c r="K4567" s="13">
        <v>1</v>
      </c>
      <c r="M4567" s="63" t="b">
        <v>1</v>
      </c>
    </row>
    <row r="4568" spans="1:13" x14ac:dyDescent="0.25">
      <c r="D4568" s="13">
        <v>231</v>
      </c>
      <c r="E4568" s="136" t="str">
        <f>INDEX([1]道具配置表!$D:$D,MATCH(D4568,[1]道具配置表!$A:$A,0))</f>
        <v>1万木材</v>
      </c>
      <c r="F4568" s="13">
        <v>12</v>
      </c>
      <c r="K4568" s="13">
        <v>1</v>
      </c>
      <c r="M4568" s="63" t="b">
        <v>1</v>
      </c>
    </row>
    <row r="4569" spans="1:13" x14ac:dyDescent="0.25">
      <c r="D4569" s="13">
        <v>233</v>
      </c>
      <c r="E4569" s="136" t="str">
        <f>INDEX([1]道具配置表!$D:$D,MATCH(D4569,[1]道具配置表!$A:$A,0))</f>
        <v>1万石头</v>
      </c>
      <c r="F4569" s="13">
        <v>12</v>
      </c>
      <c r="K4569" s="13">
        <v>1</v>
      </c>
      <c r="M4569" s="63" t="b">
        <v>1</v>
      </c>
    </row>
    <row r="4570" spans="1:13" x14ac:dyDescent="0.25">
      <c r="D4570" s="13">
        <v>234</v>
      </c>
      <c r="E4570" s="136" t="str">
        <f>INDEX([1]道具配置表!$D:$D,MATCH(D4570,[1]道具配置表!$A:$A,0))</f>
        <v>1万黄金</v>
      </c>
      <c r="F4570" s="13">
        <v>12</v>
      </c>
      <c r="K4570" s="13">
        <v>1</v>
      </c>
      <c r="M4570" s="63" t="b">
        <v>1</v>
      </c>
    </row>
    <row r="4571" spans="1:13" x14ac:dyDescent="0.25">
      <c r="A4571" s="13">
        <v>6640016</v>
      </c>
      <c r="B4571" s="13" t="s">
        <v>1021</v>
      </c>
      <c r="D4571" s="13">
        <v>7003</v>
      </c>
      <c r="E4571" s="136" t="str">
        <f>INDEX([1]道具配置表!$D:$D,MATCH(D4571,[1]道具配置表!$A:$A,0))</f>
        <v>1银币（立即使用，不进背包）</v>
      </c>
      <c r="F4571" s="13">
        <v>300</v>
      </c>
      <c r="K4571" s="13">
        <v>1</v>
      </c>
      <c r="M4571" s="63" t="b">
        <v>1</v>
      </c>
    </row>
    <row r="4572" spans="1:13" x14ac:dyDescent="0.25">
      <c r="D4572" s="13">
        <v>6101</v>
      </c>
      <c r="E4572" s="136" t="str">
        <f>INDEX([1]道具配置表!$D:$D,MATCH(D4572,[1]道具配置表!$A:$A,0))</f>
        <v>5分钟通用加速</v>
      </c>
      <c r="F4572" s="13">
        <v>9</v>
      </c>
      <c r="K4572" s="13">
        <v>1</v>
      </c>
      <c r="M4572" s="63" t="b">
        <v>1</v>
      </c>
    </row>
    <row r="4573" spans="1:13" x14ac:dyDescent="0.25">
      <c r="D4573" s="13">
        <v>232</v>
      </c>
      <c r="E4573" s="136" t="str">
        <f>INDEX([1]道具配置表!$D:$D,MATCH(D4573,[1]道具配置表!$A:$A,0))</f>
        <v>1万食物</v>
      </c>
      <c r="F4573" s="13">
        <v>11</v>
      </c>
      <c r="K4573" s="13">
        <v>1</v>
      </c>
      <c r="M4573" s="63" t="b">
        <v>1</v>
      </c>
    </row>
    <row r="4574" spans="1:13" x14ac:dyDescent="0.25">
      <c r="D4574" s="13">
        <v>231</v>
      </c>
      <c r="E4574" s="136" t="str">
        <f>INDEX([1]道具配置表!$D:$D,MATCH(D4574,[1]道具配置表!$A:$A,0))</f>
        <v>1万木材</v>
      </c>
      <c r="F4574" s="13">
        <v>11</v>
      </c>
      <c r="K4574" s="13">
        <v>1</v>
      </c>
      <c r="M4574" s="63" t="b">
        <v>1</v>
      </c>
    </row>
    <row r="4575" spans="1:13" x14ac:dyDescent="0.25">
      <c r="D4575" s="13">
        <v>233</v>
      </c>
      <c r="E4575" s="136" t="str">
        <f>INDEX([1]道具配置表!$D:$D,MATCH(D4575,[1]道具配置表!$A:$A,0))</f>
        <v>1万石头</v>
      </c>
      <c r="F4575" s="13">
        <v>11</v>
      </c>
      <c r="K4575" s="13">
        <v>1</v>
      </c>
      <c r="M4575" s="63" t="b">
        <v>1</v>
      </c>
    </row>
    <row r="4576" spans="1:13" x14ac:dyDescent="0.25">
      <c r="D4576" s="13">
        <v>234</v>
      </c>
      <c r="E4576" s="136" t="str">
        <f>INDEX([1]道具配置表!$D:$D,MATCH(D4576,[1]道具配置表!$A:$A,0))</f>
        <v>1万黄金</v>
      </c>
      <c r="F4576" s="13">
        <v>11</v>
      </c>
      <c r="K4576" s="13">
        <v>1</v>
      </c>
      <c r="M4576" s="63" t="b">
        <v>1</v>
      </c>
    </row>
    <row r="4577" spans="1:13" x14ac:dyDescent="0.25">
      <c r="A4577" s="13">
        <v>6640017</v>
      </c>
      <c r="B4577" s="13" t="s">
        <v>1022</v>
      </c>
      <c r="D4577" s="13">
        <v>7003</v>
      </c>
      <c r="E4577" s="136" t="str">
        <f>INDEX([1]道具配置表!$D:$D,MATCH(D4577,[1]道具配置表!$A:$A,0))</f>
        <v>1银币（立即使用，不进背包）</v>
      </c>
      <c r="F4577" s="13">
        <v>250</v>
      </c>
      <c r="K4577" s="13">
        <v>1</v>
      </c>
      <c r="M4577" s="63" t="b">
        <v>1</v>
      </c>
    </row>
    <row r="4578" spans="1:13" x14ac:dyDescent="0.25">
      <c r="D4578" s="13">
        <v>6101</v>
      </c>
      <c r="E4578" s="136" t="str">
        <f>INDEX([1]道具配置表!$D:$D,MATCH(D4578,[1]道具配置表!$A:$A,0))</f>
        <v>5分钟通用加速</v>
      </c>
      <c r="F4578" s="13">
        <v>8</v>
      </c>
      <c r="K4578" s="13">
        <v>1</v>
      </c>
      <c r="M4578" s="63" t="b">
        <v>1</v>
      </c>
    </row>
    <row r="4579" spans="1:13" x14ac:dyDescent="0.25">
      <c r="D4579" s="13">
        <v>232</v>
      </c>
      <c r="E4579" s="136" t="str">
        <f>INDEX([1]道具配置表!$D:$D,MATCH(D4579,[1]道具配置表!$A:$A,0))</f>
        <v>1万食物</v>
      </c>
      <c r="F4579" s="13">
        <v>10</v>
      </c>
      <c r="K4579" s="13">
        <v>1</v>
      </c>
      <c r="M4579" s="63" t="b">
        <v>1</v>
      </c>
    </row>
    <row r="4580" spans="1:13" x14ac:dyDescent="0.25">
      <c r="D4580" s="13">
        <v>231</v>
      </c>
      <c r="E4580" s="136" t="str">
        <f>INDEX([1]道具配置表!$D:$D,MATCH(D4580,[1]道具配置表!$A:$A,0))</f>
        <v>1万木材</v>
      </c>
      <c r="F4580" s="13">
        <v>10</v>
      </c>
      <c r="K4580" s="13">
        <v>1</v>
      </c>
      <c r="M4580" s="63" t="b">
        <v>1</v>
      </c>
    </row>
    <row r="4581" spans="1:13" x14ac:dyDescent="0.25">
      <c r="D4581" s="13">
        <v>233</v>
      </c>
      <c r="E4581" s="136" t="str">
        <f>INDEX([1]道具配置表!$D:$D,MATCH(D4581,[1]道具配置表!$A:$A,0))</f>
        <v>1万石头</v>
      </c>
      <c r="F4581" s="13">
        <v>10</v>
      </c>
      <c r="K4581" s="13">
        <v>1</v>
      </c>
      <c r="M4581" s="63" t="b">
        <v>1</v>
      </c>
    </row>
    <row r="4582" spans="1:13" x14ac:dyDescent="0.25">
      <c r="D4582" s="13">
        <v>234</v>
      </c>
      <c r="E4582" s="136" t="str">
        <f>INDEX([1]道具配置表!$D:$D,MATCH(D4582,[1]道具配置表!$A:$A,0))</f>
        <v>1万黄金</v>
      </c>
      <c r="F4582" s="13">
        <v>10</v>
      </c>
      <c r="K4582" s="13">
        <v>1</v>
      </c>
      <c r="M4582" s="63" t="b">
        <v>1</v>
      </c>
    </row>
    <row r="4583" spans="1:13" x14ac:dyDescent="0.25">
      <c r="A4583" s="13">
        <v>6640018</v>
      </c>
      <c r="B4583" s="13" t="s">
        <v>1023</v>
      </c>
      <c r="D4583" s="13">
        <v>7003</v>
      </c>
      <c r="E4583" s="136" t="str">
        <f>INDEX([1]道具配置表!$D:$D,MATCH(D4583,[1]道具配置表!$A:$A,0))</f>
        <v>1银币（立即使用，不进背包）</v>
      </c>
      <c r="F4583" s="13">
        <v>200</v>
      </c>
      <c r="K4583" s="13">
        <v>1</v>
      </c>
      <c r="M4583" s="63" t="b">
        <v>1</v>
      </c>
    </row>
    <row r="4584" spans="1:13" x14ac:dyDescent="0.25">
      <c r="D4584" s="13">
        <v>6101</v>
      </c>
      <c r="E4584" s="136" t="str">
        <f>INDEX([1]道具配置表!$D:$D,MATCH(D4584,[1]道具配置表!$A:$A,0))</f>
        <v>5分钟通用加速</v>
      </c>
      <c r="F4584" s="13">
        <v>7</v>
      </c>
      <c r="K4584" s="13">
        <v>1</v>
      </c>
      <c r="M4584" s="63" t="b">
        <v>1</v>
      </c>
    </row>
    <row r="4585" spans="1:13" x14ac:dyDescent="0.25">
      <c r="D4585" s="13">
        <v>232</v>
      </c>
      <c r="E4585" s="136" t="str">
        <f>INDEX([1]道具配置表!$D:$D,MATCH(D4585,[1]道具配置表!$A:$A,0))</f>
        <v>1万食物</v>
      </c>
      <c r="F4585" s="13">
        <v>9</v>
      </c>
      <c r="K4585" s="13">
        <v>1</v>
      </c>
      <c r="M4585" s="63" t="b">
        <v>1</v>
      </c>
    </row>
    <row r="4586" spans="1:13" x14ac:dyDescent="0.25">
      <c r="D4586" s="13">
        <v>231</v>
      </c>
      <c r="E4586" s="136" t="str">
        <f>INDEX([1]道具配置表!$D:$D,MATCH(D4586,[1]道具配置表!$A:$A,0))</f>
        <v>1万木材</v>
      </c>
      <c r="F4586" s="13">
        <v>9</v>
      </c>
      <c r="K4586" s="13">
        <v>1</v>
      </c>
      <c r="M4586" s="63" t="b">
        <v>1</v>
      </c>
    </row>
    <row r="4587" spans="1:13" x14ac:dyDescent="0.25">
      <c r="D4587" s="13">
        <v>233</v>
      </c>
      <c r="E4587" s="136" t="str">
        <f>INDEX([1]道具配置表!$D:$D,MATCH(D4587,[1]道具配置表!$A:$A,0))</f>
        <v>1万石头</v>
      </c>
      <c r="F4587" s="13">
        <v>9</v>
      </c>
      <c r="K4587" s="13">
        <v>1</v>
      </c>
      <c r="M4587" s="63" t="b">
        <v>1</v>
      </c>
    </row>
    <row r="4588" spans="1:13" x14ac:dyDescent="0.25">
      <c r="D4588" s="13">
        <v>234</v>
      </c>
      <c r="E4588" s="136" t="str">
        <f>INDEX([1]道具配置表!$D:$D,MATCH(D4588,[1]道具配置表!$A:$A,0))</f>
        <v>1万黄金</v>
      </c>
      <c r="F4588" s="13">
        <v>9</v>
      </c>
      <c r="K4588" s="13">
        <v>1</v>
      </c>
      <c r="M4588" s="63" t="b">
        <v>1</v>
      </c>
    </row>
    <row r="4589" spans="1:13" x14ac:dyDescent="0.25">
      <c r="A4589" s="13">
        <v>6640019</v>
      </c>
      <c r="B4589" s="13" t="s">
        <v>1024</v>
      </c>
      <c r="D4589" s="13">
        <v>7003</v>
      </c>
      <c r="E4589" s="136" t="str">
        <f>INDEX([1]道具配置表!$D:$D,MATCH(D4589,[1]道具配置表!$A:$A,0))</f>
        <v>1银币（立即使用，不进背包）</v>
      </c>
      <c r="F4589" s="13">
        <v>150</v>
      </c>
      <c r="K4589" s="13">
        <v>1</v>
      </c>
      <c r="M4589" s="63" t="b">
        <v>1</v>
      </c>
    </row>
    <row r="4590" spans="1:13" x14ac:dyDescent="0.25">
      <c r="D4590" s="13">
        <v>6101</v>
      </c>
      <c r="E4590" s="136" t="str">
        <f>INDEX([1]道具配置表!$D:$D,MATCH(D4590,[1]道具配置表!$A:$A,0))</f>
        <v>5分钟通用加速</v>
      </c>
      <c r="F4590" s="13">
        <v>6</v>
      </c>
      <c r="K4590" s="13">
        <v>1</v>
      </c>
      <c r="M4590" s="63" t="b">
        <v>1</v>
      </c>
    </row>
    <row r="4591" spans="1:13" x14ac:dyDescent="0.25">
      <c r="D4591" s="13">
        <v>232</v>
      </c>
      <c r="E4591" s="136" t="str">
        <f>INDEX([1]道具配置表!$D:$D,MATCH(D4591,[1]道具配置表!$A:$A,0))</f>
        <v>1万食物</v>
      </c>
      <c r="F4591" s="13">
        <v>8</v>
      </c>
      <c r="K4591" s="13">
        <v>1</v>
      </c>
      <c r="M4591" s="63" t="b">
        <v>1</v>
      </c>
    </row>
    <row r="4592" spans="1:13" x14ac:dyDescent="0.25">
      <c r="D4592" s="13">
        <v>231</v>
      </c>
      <c r="E4592" s="136" t="str">
        <f>INDEX([1]道具配置表!$D:$D,MATCH(D4592,[1]道具配置表!$A:$A,0))</f>
        <v>1万木材</v>
      </c>
      <c r="F4592" s="13">
        <v>8</v>
      </c>
      <c r="K4592" s="13">
        <v>1</v>
      </c>
      <c r="M4592" s="63" t="b">
        <v>1</v>
      </c>
    </row>
    <row r="4593" spans="1:13" x14ac:dyDescent="0.25">
      <c r="D4593" s="13">
        <v>233</v>
      </c>
      <c r="E4593" s="136" t="str">
        <f>INDEX([1]道具配置表!$D:$D,MATCH(D4593,[1]道具配置表!$A:$A,0))</f>
        <v>1万石头</v>
      </c>
      <c r="F4593" s="13">
        <v>8</v>
      </c>
      <c r="K4593" s="13">
        <v>1</v>
      </c>
      <c r="M4593" s="63" t="b">
        <v>1</v>
      </c>
    </row>
    <row r="4594" spans="1:13" x14ac:dyDescent="0.25">
      <c r="D4594" s="13">
        <v>234</v>
      </c>
      <c r="E4594" s="136" t="str">
        <f>INDEX([1]道具配置表!$D:$D,MATCH(D4594,[1]道具配置表!$A:$A,0))</f>
        <v>1万黄金</v>
      </c>
      <c r="F4594" s="13">
        <v>8</v>
      </c>
      <c r="K4594" s="13">
        <v>1</v>
      </c>
      <c r="M4594" s="63" t="b">
        <v>1</v>
      </c>
    </row>
    <row r="4595" spans="1:13" x14ac:dyDescent="0.25">
      <c r="A4595" s="13">
        <v>6640020</v>
      </c>
      <c r="B4595" s="13" t="s">
        <v>1025</v>
      </c>
      <c r="D4595" s="13">
        <v>7003</v>
      </c>
      <c r="E4595" s="136" t="str">
        <f>INDEX([1]道具配置表!$D:$D,MATCH(D4595,[1]道具配置表!$A:$A,0))</f>
        <v>1银币（立即使用，不进背包）</v>
      </c>
      <c r="F4595" s="13">
        <v>100</v>
      </c>
      <c r="K4595" s="13">
        <v>1</v>
      </c>
      <c r="M4595" s="63" t="b">
        <v>1</v>
      </c>
    </row>
    <row r="4596" spans="1:13" x14ac:dyDescent="0.25">
      <c r="D4596" s="13">
        <v>6101</v>
      </c>
      <c r="E4596" s="136" t="str">
        <f>INDEX([1]道具配置表!$D:$D,MATCH(D4596,[1]道具配置表!$A:$A,0))</f>
        <v>5分钟通用加速</v>
      </c>
      <c r="F4596" s="13">
        <v>5</v>
      </c>
      <c r="K4596" s="13">
        <v>1</v>
      </c>
      <c r="M4596" s="63" t="b">
        <v>1</v>
      </c>
    </row>
    <row r="4597" spans="1:13" x14ac:dyDescent="0.25">
      <c r="D4597" s="13">
        <v>232</v>
      </c>
      <c r="E4597" s="136" t="str">
        <f>INDEX([1]道具配置表!$D:$D,MATCH(D4597,[1]道具配置表!$A:$A,0))</f>
        <v>1万食物</v>
      </c>
      <c r="F4597" s="13">
        <v>7</v>
      </c>
      <c r="K4597" s="13">
        <v>1</v>
      </c>
      <c r="M4597" s="63" t="b">
        <v>1</v>
      </c>
    </row>
    <row r="4598" spans="1:13" x14ac:dyDescent="0.25">
      <c r="D4598" s="13">
        <v>231</v>
      </c>
      <c r="E4598" s="136" t="str">
        <f>INDEX([1]道具配置表!$D:$D,MATCH(D4598,[1]道具配置表!$A:$A,0))</f>
        <v>1万木材</v>
      </c>
      <c r="F4598" s="13">
        <v>7</v>
      </c>
      <c r="K4598" s="13">
        <v>1</v>
      </c>
      <c r="M4598" s="63" t="b">
        <v>1</v>
      </c>
    </row>
    <row r="4599" spans="1:13" x14ac:dyDescent="0.25">
      <c r="D4599" s="13">
        <v>233</v>
      </c>
      <c r="E4599" s="136" t="str">
        <f>INDEX([1]道具配置表!$D:$D,MATCH(D4599,[1]道具配置表!$A:$A,0))</f>
        <v>1万石头</v>
      </c>
      <c r="F4599" s="13">
        <v>7</v>
      </c>
      <c r="K4599" s="13">
        <v>1</v>
      </c>
      <c r="M4599" s="63" t="b">
        <v>1</v>
      </c>
    </row>
    <row r="4600" spans="1:13" x14ac:dyDescent="0.25">
      <c r="D4600" s="13">
        <v>234</v>
      </c>
      <c r="E4600" s="136" t="str">
        <f>INDEX([1]道具配置表!$D:$D,MATCH(D4600,[1]道具配置表!$A:$A,0))</f>
        <v>1万黄金</v>
      </c>
      <c r="F4600" s="13">
        <v>7</v>
      </c>
      <c r="K4600" s="13">
        <v>1</v>
      </c>
      <c r="M4600" s="63" t="b">
        <v>1</v>
      </c>
    </row>
    <row r="4601" spans="1:13" x14ac:dyDescent="0.25">
      <c r="A4601" s="13">
        <v>6640101</v>
      </c>
      <c r="B4601" s="13" t="s">
        <v>1026</v>
      </c>
      <c r="D4601" s="13">
        <v>42121</v>
      </c>
      <c r="E4601" s="136" t="str">
        <f>INDEX([1]道具配置表!$D:$D,MATCH(D4601,[1]道具配置表!$A:$A,0))</f>
        <v>至高王权头像框（30天）</v>
      </c>
      <c r="F4601" s="13">
        <v>1</v>
      </c>
      <c r="K4601" s="13">
        <v>1</v>
      </c>
      <c r="M4601" s="63" t="b">
        <v>1</v>
      </c>
    </row>
    <row r="4602" spans="1:13" x14ac:dyDescent="0.25">
      <c r="D4602" s="13">
        <v>7003</v>
      </c>
      <c r="E4602" s="136" t="str">
        <f>INDEX([1]道具配置表!$D:$D,MATCH(D4602,[1]道具配置表!$A:$A,0))</f>
        <v>1银币（立即使用，不进背包）</v>
      </c>
      <c r="F4602" s="13">
        <v>20000</v>
      </c>
      <c r="K4602" s="13">
        <v>1</v>
      </c>
      <c r="M4602" s="63" t="b">
        <v>1</v>
      </c>
    </row>
    <row r="4603" spans="1:13" x14ac:dyDescent="0.25">
      <c r="D4603" s="13">
        <v>6105</v>
      </c>
      <c r="E4603" s="136" t="str">
        <f>INDEX([1]道具配置表!$D:$D,MATCH(D4603,[1]道具配置表!$A:$A,0))</f>
        <v>60分钟通用加速</v>
      </c>
      <c r="F4603" s="13">
        <v>100</v>
      </c>
      <c r="K4603" s="13">
        <v>1</v>
      </c>
      <c r="M4603" s="63" t="b">
        <v>1</v>
      </c>
    </row>
    <row r="4604" spans="1:13" x14ac:dyDescent="0.25">
      <c r="D4604" s="13">
        <v>252</v>
      </c>
      <c r="E4604" s="136" t="str">
        <f>INDEX([1]道具配置表!$D:$D,MATCH(D4604,[1]道具配置表!$A:$A,0))</f>
        <v>10万食物</v>
      </c>
      <c r="F4604" s="13">
        <v>50</v>
      </c>
      <c r="K4604" s="13">
        <v>1</v>
      </c>
      <c r="M4604" s="63" t="b">
        <v>1</v>
      </c>
    </row>
    <row r="4605" spans="1:13" x14ac:dyDescent="0.25">
      <c r="D4605" s="13">
        <v>251</v>
      </c>
      <c r="E4605" s="136" t="str">
        <f>INDEX([1]道具配置表!$D:$D,MATCH(D4605,[1]道具配置表!$A:$A,0))</f>
        <v>10万木材</v>
      </c>
      <c r="F4605" s="13">
        <v>50</v>
      </c>
      <c r="K4605" s="13">
        <v>1</v>
      </c>
      <c r="M4605" s="63" t="b">
        <v>1</v>
      </c>
    </row>
    <row r="4606" spans="1:13" x14ac:dyDescent="0.25">
      <c r="D4606" s="13">
        <v>253</v>
      </c>
      <c r="E4606" s="136" t="str">
        <f>INDEX([1]道具配置表!$D:$D,MATCH(D4606,[1]道具配置表!$A:$A,0))</f>
        <v>10万石头</v>
      </c>
      <c r="F4606" s="13">
        <v>50</v>
      </c>
      <c r="K4606" s="13">
        <v>1</v>
      </c>
      <c r="M4606" s="63" t="b">
        <v>1</v>
      </c>
    </row>
    <row r="4607" spans="1:13" x14ac:dyDescent="0.25">
      <c r="D4607" s="13">
        <v>254</v>
      </c>
      <c r="E4607" s="136" t="str">
        <f>INDEX([1]道具配置表!$D:$D,MATCH(D4607,[1]道具配置表!$A:$A,0))</f>
        <v>10万黄金</v>
      </c>
      <c r="F4607" s="13">
        <v>50</v>
      </c>
      <c r="K4607" s="13">
        <v>1</v>
      </c>
      <c r="M4607" s="63" t="b">
        <v>1</v>
      </c>
    </row>
    <row r="4608" spans="1:13" x14ac:dyDescent="0.25">
      <c r="A4608" s="13">
        <v>6640102</v>
      </c>
      <c r="B4608" s="13" t="s">
        <v>1027</v>
      </c>
      <c r="D4608" s="13">
        <v>42119</v>
      </c>
      <c r="E4608" s="136" t="str">
        <f>INDEX([1]道具配置表!$D:$D,MATCH(D4608,[1]道具配置表!$A:$A,0))</f>
        <v>荣耀纹章头像框（30天）</v>
      </c>
      <c r="F4608" s="13">
        <v>1</v>
      </c>
      <c r="K4608" s="13">
        <v>1</v>
      </c>
      <c r="M4608" s="63" t="b">
        <v>1</v>
      </c>
    </row>
    <row r="4609" spans="1:13" x14ac:dyDescent="0.25">
      <c r="D4609" s="13">
        <v>7003</v>
      </c>
      <c r="E4609" s="136" t="str">
        <f>INDEX([1]道具配置表!$D:$D,MATCH(D4609,[1]道具配置表!$A:$A,0))</f>
        <v>1银币（立即使用，不进背包）</v>
      </c>
      <c r="F4609" s="13">
        <v>15000</v>
      </c>
      <c r="K4609" s="13">
        <v>1</v>
      </c>
      <c r="M4609" s="63" t="b">
        <v>1</v>
      </c>
    </row>
    <row r="4610" spans="1:13" x14ac:dyDescent="0.25">
      <c r="D4610" s="13">
        <v>6105</v>
      </c>
      <c r="E4610" s="136" t="str">
        <f>INDEX([1]道具配置表!$D:$D,MATCH(D4610,[1]道具配置表!$A:$A,0))</f>
        <v>60分钟通用加速</v>
      </c>
      <c r="F4610" s="13">
        <v>90</v>
      </c>
      <c r="K4610" s="13">
        <v>1</v>
      </c>
      <c r="M4610" s="63" t="b">
        <v>1</v>
      </c>
    </row>
    <row r="4611" spans="1:13" x14ac:dyDescent="0.25">
      <c r="D4611" s="13">
        <v>252</v>
      </c>
      <c r="E4611" s="136" t="str">
        <f>INDEX([1]道具配置表!$D:$D,MATCH(D4611,[1]道具配置表!$A:$A,0))</f>
        <v>10万食物</v>
      </c>
      <c r="F4611" s="13">
        <v>48</v>
      </c>
      <c r="K4611" s="13">
        <v>1</v>
      </c>
      <c r="M4611" s="63" t="b">
        <v>1</v>
      </c>
    </row>
    <row r="4612" spans="1:13" x14ac:dyDescent="0.25">
      <c r="D4612" s="13">
        <v>251</v>
      </c>
      <c r="E4612" s="136" t="str">
        <f>INDEX([1]道具配置表!$D:$D,MATCH(D4612,[1]道具配置表!$A:$A,0))</f>
        <v>10万木材</v>
      </c>
      <c r="F4612" s="13">
        <v>48</v>
      </c>
      <c r="K4612" s="13">
        <v>1</v>
      </c>
      <c r="M4612" s="63" t="b">
        <v>1</v>
      </c>
    </row>
    <row r="4613" spans="1:13" x14ac:dyDescent="0.25">
      <c r="D4613" s="13">
        <v>253</v>
      </c>
      <c r="E4613" s="136" t="str">
        <f>INDEX([1]道具配置表!$D:$D,MATCH(D4613,[1]道具配置表!$A:$A,0))</f>
        <v>10万石头</v>
      </c>
      <c r="F4613" s="13">
        <v>48</v>
      </c>
      <c r="K4613" s="13">
        <v>1</v>
      </c>
      <c r="M4613" s="63" t="b">
        <v>1</v>
      </c>
    </row>
    <row r="4614" spans="1:13" x14ac:dyDescent="0.25">
      <c r="D4614" s="13">
        <v>254</v>
      </c>
      <c r="E4614" s="136" t="str">
        <f>INDEX([1]道具配置表!$D:$D,MATCH(D4614,[1]道具配置表!$A:$A,0))</f>
        <v>10万黄金</v>
      </c>
      <c r="F4614" s="13">
        <v>48</v>
      </c>
      <c r="K4614" s="13">
        <v>1</v>
      </c>
      <c r="M4614" s="63" t="b">
        <v>1</v>
      </c>
    </row>
    <row r="4615" spans="1:13" x14ac:dyDescent="0.25">
      <c r="A4615" s="13">
        <v>6640103</v>
      </c>
      <c r="B4615" s="13" t="s">
        <v>1028</v>
      </c>
      <c r="D4615" s="13">
        <v>42119</v>
      </c>
      <c r="E4615" s="136" t="str">
        <f>INDEX([1]道具配置表!$D:$D,MATCH(D4615,[1]道具配置表!$A:$A,0))</f>
        <v>荣耀纹章头像框（30天）</v>
      </c>
      <c r="F4615" s="13">
        <v>1</v>
      </c>
      <c r="K4615" s="13">
        <v>1</v>
      </c>
      <c r="M4615" s="63" t="b">
        <v>1</v>
      </c>
    </row>
    <row r="4616" spans="1:13" x14ac:dyDescent="0.25">
      <c r="D4616" s="13">
        <v>7003</v>
      </c>
      <c r="E4616" s="136" t="str">
        <f>INDEX([1]道具配置表!$D:$D,MATCH(D4616,[1]道具配置表!$A:$A,0))</f>
        <v>1银币（立即使用，不进背包）</v>
      </c>
      <c r="F4616" s="13">
        <v>10000</v>
      </c>
      <c r="K4616" s="13">
        <v>1</v>
      </c>
      <c r="M4616" s="63" t="b">
        <v>1</v>
      </c>
    </row>
    <row r="4617" spans="1:13" x14ac:dyDescent="0.25">
      <c r="D4617" s="13">
        <v>6105</v>
      </c>
      <c r="E4617" s="136" t="str">
        <f>INDEX([1]道具配置表!$D:$D,MATCH(D4617,[1]道具配置表!$A:$A,0))</f>
        <v>60分钟通用加速</v>
      </c>
      <c r="F4617" s="13">
        <v>80</v>
      </c>
      <c r="K4617" s="13">
        <v>1</v>
      </c>
      <c r="M4617" s="63" t="b">
        <v>1</v>
      </c>
    </row>
    <row r="4618" spans="1:13" x14ac:dyDescent="0.25">
      <c r="D4618" s="13">
        <v>252</v>
      </c>
      <c r="E4618" s="136" t="str">
        <f>INDEX([1]道具配置表!$D:$D,MATCH(D4618,[1]道具配置表!$A:$A,0))</f>
        <v>10万食物</v>
      </c>
      <c r="F4618" s="13">
        <v>46</v>
      </c>
      <c r="K4618" s="13">
        <v>1</v>
      </c>
      <c r="M4618" s="63" t="b">
        <v>1</v>
      </c>
    </row>
    <row r="4619" spans="1:13" x14ac:dyDescent="0.25">
      <c r="D4619" s="13">
        <v>251</v>
      </c>
      <c r="E4619" s="136" t="str">
        <f>INDEX([1]道具配置表!$D:$D,MATCH(D4619,[1]道具配置表!$A:$A,0))</f>
        <v>10万木材</v>
      </c>
      <c r="F4619" s="13">
        <v>46</v>
      </c>
      <c r="K4619" s="13">
        <v>1</v>
      </c>
      <c r="M4619" s="63" t="b">
        <v>1</v>
      </c>
    </row>
    <row r="4620" spans="1:13" x14ac:dyDescent="0.25">
      <c r="D4620" s="13">
        <v>253</v>
      </c>
      <c r="E4620" s="136" t="str">
        <f>INDEX([1]道具配置表!$D:$D,MATCH(D4620,[1]道具配置表!$A:$A,0))</f>
        <v>10万石头</v>
      </c>
      <c r="F4620" s="13">
        <v>46</v>
      </c>
      <c r="K4620" s="13">
        <v>1</v>
      </c>
      <c r="M4620" s="63" t="b">
        <v>1</v>
      </c>
    </row>
    <row r="4621" spans="1:13" x14ac:dyDescent="0.25">
      <c r="D4621" s="13">
        <v>254</v>
      </c>
      <c r="E4621" s="136" t="str">
        <f>INDEX([1]道具配置表!$D:$D,MATCH(D4621,[1]道具配置表!$A:$A,0))</f>
        <v>10万黄金</v>
      </c>
      <c r="F4621" s="13">
        <v>46</v>
      </c>
      <c r="K4621" s="13">
        <v>1</v>
      </c>
      <c r="M4621" s="63" t="b">
        <v>1</v>
      </c>
    </row>
    <row r="4622" spans="1:13" x14ac:dyDescent="0.25">
      <c r="A4622" s="13">
        <v>6640104</v>
      </c>
      <c r="B4622" s="13" t="s">
        <v>1029</v>
      </c>
      <c r="D4622" s="13">
        <v>42120</v>
      </c>
      <c r="E4622" s="136" t="str">
        <f>INDEX([1]道具配置表!$D:$D,MATCH(D4622,[1]道具配置表!$A:$A,0))</f>
        <v>荣耀纹章头像框（15天）</v>
      </c>
      <c r="F4622" s="13">
        <v>1</v>
      </c>
      <c r="K4622" s="13">
        <v>1</v>
      </c>
      <c r="M4622" s="63" t="b">
        <v>1</v>
      </c>
    </row>
    <row r="4623" spans="1:13" x14ac:dyDescent="0.25">
      <c r="D4623" s="13">
        <v>7003</v>
      </c>
      <c r="E4623" s="136" t="str">
        <f>INDEX([1]道具配置表!$D:$D,MATCH(D4623,[1]道具配置表!$A:$A,0))</f>
        <v>1银币（立即使用，不进背包）</v>
      </c>
      <c r="F4623" s="13">
        <v>8000</v>
      </c>
      <c r="K4623" s="13">
        <v>1</v>
      </c>
      <c r="M4623" s="63" t="b">
        <v>1</v>
      </c>
    </row>
    <row r="4624" spans="1:13" x14ac:dyDescent="0.25">
      <c r="D4624" s="13">
        <v>6105</v>
      </c>
      <c r="E4624" s="136" t="str">
        <f>INDEX([1]道具配置表!$D:$D,MATCH(D4624,[1]道具配置表!$A:$A,0))</f>
        <v>60分钟通用加速</v>
      </c>
      <c r="F4624" s="13">
        <v>70</v>
      </c>
      <c r="K4624" s="13">
        <v>1</v>
      </c>
      <c r="M4624" s="63" t="b">
        <v>1</v>
      </c>
    </row>
    <row r="4625" spans="1:13" x14ac:dyDescent="0.25">
      <c r="D4625" s="13">
        <v>252</v>
      </c>
      <c r="E4625" s="136" t="str">
        <f>INDEX([1]道具配置表!$D:$D,MATCH(D4625,[1]道具配置表!$A:$A,0))</f>
        <v>10万食物</v>
      </c>
      <c r="F4625" s="13">
        <v>44</v>
      </c>
      <c r="K4625" s="13">
        <v>1</v>
      </c>
      <c r="M4625" s="63" t="b">
        <v>1</v>
      </c>
    </row>
    <row r="4626" spans="1:13" x14ac:dyDescent="0.25">
      <c r="D4626" s="13">
        <v>251</v>
      </c>
      <c r="E4626" s="136" t="str">
        <f>INDEX([1]道具配置表!$D:$D,MATCH(D4626,[1]道具配置表!$A:$A,0))</f>
        <v>10万木材</v>
      </c>
      <c r="F4626" s="13">
        <v>44</v>
      </c>
      <c r="K4626" s="13">
        <v>1</v>
      </c>
      <c r="M4626" s="63" t="b">
        <v>1</v>
      </c>
    </row>
    <row r="4627" spans="1:13" x14ac:dyDescent="0.25">
      <c r="D4627" s="13">
        <v>253</v>
      </c>
      <c r="E4627" s="136" t="str">
        <f>INDEX([1]道具配置表!$D:$D,MATCH(D4627,[1]道具配置表!$A:$A,0))</f>
        <v>10万石头</v>
      </c>
      <c r="F4627" s="13">
        <v>44</v>
      </c>
      <c r="K4627" s="13">
        <v>1</v>
      </c>
      <c r="M4627" s="63" t="b">
        <v>1</v>
      </c>
    </row>
    <row r="4628" spans="1:13" x14ac:dyDescent="0.25">
      <c r="D4628" s="13">
        <v>254</v>
      </c>
      <c r="E4628" s="136" t="str">
        <f>INDEX([1]道具配置表!$D:$D,MATCH(D4628,[1]道具配置表!$A:$A,0))</f>
        <v>10万黄金</v>
      </c>
      <c r="F4628" s="13">
        <v>44</v>
      </c>
      <c r="K4628" s="13">
        <v>1</v>
      </c>
      <c r="M4628" s="63" t="b">
        <v>1</v>
      </c>
    </row>
    <row r="4629" spans="1:13" x14ac:dyDescent="0.25">
      <c r="A4629" s="13">
        <v>6640105</v>
      </c>
      <c r="B4629" s="13" t="s">
        <v>1030</v>
      </c>
      <c r="D4629" s="13">
        <v>42120</v>
      </c>
      <c r="E4629" s="136" t="str">
        <f>INDEX([1]道具配置表!$D:$D,MATCH(D4629,[1]道具配置表!$A:$A,0))</f>
        <v>荣耀纹章头像框（15天）</v>
      </c>
      <c r="F4629" s="13">
        <v>1</v>
      </c>
      <c r="K4629" s="13">
        <v>1</v>
      </c>
      <c r="M4629" s="63" t="b">
        <v>1</v>
      </c>
    </row>
    <row r="4630" spans="1:13" x14ac:dyDescent="0.25">
      <c r="D4630" s="13">
        <v>7003</v>
      </c>
      <c r="E4630" s="136" t="str">
        <f>INDEX([1]道具配置表!$D:$D,MATCH(D4630,[1]道具配置表!$A:$A,0))</f>
        <v>1银币（立即使用，不进背包）</v>
      </c>
      <c r="F4630" s="13">
        <v>7000</v>
      </c>
      <c r="K4630" s="13">
        <v>1</v>
      </c>
      <c r="M4630" s="63" t="b">
        <v>1</v>
      </c>
    </row>
    <row r="4631" spans="1:13" x14ac:dyDescent="0.25">
      <c r="D4631" s="13">
        <v>6105</v>
      </c>
      <c r="E4631" s="136" t="str">
        <f>INDEX([1]道具配置表!$D:$D,MATCH(D4631,[1]道具配置表!$A:$A,0))</f>
        <v>60分钟通用加速</v>
      </c>
      <c r="F4631" s="13">
        <v>60</v>
      </c>
      <c r="K4631" s="13">
        <v>1</v>
      </c>
      <c r="M4631" s="63" t="b">
        <v>1</v>
      </c>
    </row>
    <row r="4632" spans="1:13" x14ac:dyDescent="0.25">
      <c r="D4632" s="13">
        <v>252</v>
      </c>
      <c r="E4632" s="136" t="str">
        <f>INDEX([1]道具配置表!$D:$D,MATCH(D4632,[1]道具配置表!$A:$A,0))</f>
        <v>10万食物</v>
      </c>
      <c r="F4632" s="13">
        <v>42</v>
      </c>
      <c r="K4632" s="13">
        <v>1</v>
      </c>
      <c r="M4632" s="63" t="b">
        <v>1</v>
      </c>
    </row>
    <row r="4633" spans="1:13" x14ac:dyDescent="0.25">
      <c r="D4633" s="13">
        <v>251</v>
      </c>
      <c r="E4633" s="136" t="str">
        <f>INDEX([1]道具配置表!$D:$D,MATCH(D4633,[1]道具配置表!$A:$A,0))</f>
        <v>10万木材</v>
      </c>
      <c r="F4633" s="13">
        <v>42</v>
      </c>
      <c r="K4633" s="13">
        <v>1</v>
      </c>
      <c r="M4633" s="63" t="b">
        <v>1</v>
      </c>
    </row>
    <row r="4634" spans="1:13" x14ac:dyDescent="0.25">
      <c r="D4634" s="13">
        <v>253</v>
      </c>
      <c r="E4634" s="136" t="str">
        <f>INDEX([1]道具配置表!$D:$D,MATCH(D4634,[1]道具配置表!$A:$A,0))</f>
        <v>10万石头</v>
      </c>
      <c r="F4634" s="13">
        <v>42</v>
      </c>
      <c r="K4634" s="13">
        <v>1</v>
      </c>
      <c r="M4634" s="63" t="b">
        <v>1</v>
      </c>
    </row>
    <row r="4635" spans="1:13" x14ac:dyDescent="0.25">
      <c r="D4635" s="13">
        <v>254</v>
      </c>
      <c r="E4635" s="136" t="str">
        <f>INDEX([1]道具配置表!$D:$D,MATCH(D4635,[1]道具配置表!$A:$A,0))</f>
        <v>10万黄金</v>
      </c>
      <c r="F4635" s="13">
        <v>42</v>
      </c>
      <c r="K4635" s="13">
        <v>1</v>
      </c>
      <c r="M4635" s="63" t="b">
        <v>1</v>
      </c>
    </row>
    <row r="4636" spans="1:13" x14ac:dyDescent="0.25">
      <c r="A4636" s="13">
        <v>6640106</v>
      </c>
      <c r="B4636" s="13" t="s">
        <v>1031</v>
      </c>
      <c r="D4636" s="13">
        <v>7003</v>
      </c>
      <c r="E4636" s="136" t="str">
        <f>INDEX([1]道具配置表!$D:$D,MATCH(D4636,[1]道具配置表!$A:$A,0))</f>
        <v>1银币（立即使用，不进背包）</v>
      </c>
      <c r="F4636" s="13">
        <v>6000</v>
      </c>
      <c r="K4636" s="13">
        <v>1</v>
      </c>
      <c r="M4636" s="63" t="b">
        <v>1</v>
      </c>
    </row>
    <row r="4637" spans="1:13" x14ac:dyDescent="0.25">
      <c r="D4637" s="13">
        <v>6105</v>
      </c>
      <c r="E4637" s="136" t="str">
        <f>INDEX([1]道具配置表!$D:$D,MATCH(D4637,[1]道具配置表!$A:$A,0))</f>
        <v>60分钟通用加速</v>
      </c>
      <c r="F4637" s="13">
        <v>50</v>
      </c>
      <c r="K4637" s="13">
        <v>1</v>
      </c>
      <c r="M4637" s="63" t="b">
        <v>1</v>
      </c>
    </row>
    <row r="4638" spans="1:13" x14ac:dyDescent="0.25">
      <c r="D4638" s="13">
        <v>252</v>
      </c>
      <c r="E4638" s="136" t="str">
        <f>INDEX([1]道具配置表!$D:$D,MATCH(D4638,[1]道具配置表!$A:$A,0))</f>
        <v>10万食物</v>
      </c>
      <c r="F4638" s="13">
        <v>40</v>
      </c>
      <c r="K4638" s="13">
        <v>1</v>
      </c>
      <c r="M4638" s="63" t="b">
        <v>1</v>
      </c>
    </row>
    <row r="4639" spans="1:13" x14ac:dyDescent="0.25">
      <c r="D4639" s="13">
        <v>251</v>
      </c>
      <c r="E4639" s="136" t="str">
        <f>INDEX([1]道具配置表!$D:$D,MATCH(D4639,[1]道具配置表!$A:$A,0))</f>
        <v>10万木材</v>
      </c>
      <c r="F4639" s="13">
        <v>40</v>
      </c>
      <c r="K4639" s="13">
        <v>1</v>
      </c>
      <c r="M4639" s="63" t="b">
        <v>1</v>
      </c>
    </row>
    <row r="4640" spans="1:13" x14ac:dyDescent="0.25">
      <c r="D4640" s="13">
        <v>253</v>
      </c>
      <c r="E4640" s="136" t="str">
        <f>INDEX([1]道具配置表!$D:$D,MATCH(D4640,[1]道具配置表!$A:$A,0))</f>
        <v>10万石头</v>
      </c>
      <c r="F4640" s="13">
        <v>40</v>
      </c>
      <c r="K4640" s="13">
        <v>1</v>
      </c>
      <c r="M4640" s="63" t="b">
        <v>1</v>
      </c>
    </row>
    <row r="4641" spans="1:13" x14ac:dyDescent="0.25">
      <c r="D4641" s="13">
        <v>254</v>
      </c>
      <c r="E4641" s="136" t="str">
        <f>INDEX([1]道具配置表!$D:$D,MATCH(D4641,[1]道具配置表!$A:$A,0))</f>
        <v>10万黄金</v>
      </c>
      <c r="F4641" s="13">
        <v>40</v>
      </c>
      <c r="K4641" s="13">
        <v>1</v>
      </c>
      <c r="M4641" s="63" t="b">
        <v>1</v>
      </c>
    </row>
    <row r="4642" spans="1:13" x14ac:dyDescent="0.25">
      <c r="A4642" s="13">
        <v>6640107</v>
      </c>
      <c r="B4642" s="13" t="s">
        <v>1032</v>
      </c>
      <c r="D4642" s="13">
        <v>7003</v>
      </c>
      <c r="E4642" s="136" t="str">
        <f>INDEX([1]道具配置表!$D:$D,MATCH(D4642,[1]道具配置表!$A:$A,0))</f>
        <v>1银币（立即使用，不进背包）</v>
      </c>
      <c r="F4642" s="13">
        <v>5000</v>
      </c>
      <c r="K4642" s="13">
        <v>1</v>
      </c>
      <c r="M4642" s="63" t="b">
        <v>1</v>
      </c>
    </row>
    <row r="4643" spans="1:13" x14ac:dyDescent="0.25">
      <c r="D4643" s="13">
        <v>6105</v>
      </c>
      <c r="E4643" s="136" t="str">
        <f>INDEX([1]道具配置表!$D:$D,MATCH(D4643,[1]道具配置表!$A:$A,0))</f>
        <v>60分钟通用加速</v>
      </c>
      <c r="F4643" s="13">
        <v>40</v>
      </c>
      <c r="K4643" s="13">
        <v>1</v>
      </c>
      <c r="M4643" s="63" t="b">
        <v>1</v>
      </c>
    </row>
    <row r="4644" spans="1:13" x14ac:dyDescent="0.25">
      <c r="D4644" s="13">
        <v>252</v>
      </c>
      <c r="E4644" s="136" t="str">
        <f>INDEX([1]道具配置表!$D:$D,MATCH(D4644,[1]道具配置表!$A:$A,0))</f>
        <v>10万食物</v>
      </c>
      <c r="F4644" s="13">
        <v>38</v>
      </c>
      <c r="K4644" s="13">
        <v>1</v>
      </c>
      <c r="M4644" s="63" t="b">
        <v>1</v>
      </c>
    </row>
    <row r="4645" spans="1:13" x14ac:dyDescent="0.25">
      <c r="D4645" s="13">
        <v>251</v>
      </c>
      <c r="E4645" s="136" t="str">
        <f>INDEX([1]道具配置表!$D:$D,MATCH(D4645,[1]道具配置表!$A:$A,0))</f>
        <v>10万木材</v>
      </c>
      <c r="F4645" s="13">
        <v>38</v>
      </c>
      <c r="K4645" s="13">
        <v>1</v>
      </c>
      <c r="M4645" s="63" t="b">
        <v>1</v>
      </c>
    </row>
    <row r="4646" spans="1:13" x14ac:dyDescent="0.25">
      <c r="D4646" s="13">
        <v>253</v>
      </c>
      <c r="E4646" s="136" t="str">
        <f>INDEX([1]道具配置表!$D:$D,MATCH(D4646,[1]道具配置表!$A:$A,0))</f>
        <v>10万石头</v>
      </c>
      <c r="F4646" s="13">
        <v>38</v>
      </c>
      <c r="K4646" s="13">
        <v>1</v>
      </c>
      <c r="M4646" s="63" t="b">
        <v>1</v>
      </c>
    </row>
    <row r="4647" spans="1:13" x14ac:dyDescent="0.25">
      <c r="D4647" s="13">
        <v>254</v>
      </c>
      <c r="E4647" s="136" t="str">
        <f>INDEX([1]道具配置表!$D:$D,MATCH(D4647,[1]道具配置表!$A:$A,0))</f>
        <v>10万黄金</v>
      </c>
      <c r="F4647" s="13">
        <v>38</v>
      </c>
      <c r="K4647" s="13">
        <v>1</v>
      </c>
      <c r="M4647" s="63" t="b">
        <v>1</v>
      </c>
    </row>
    <row r="4648" spans="1:13" x14ac:dyDescent="0.25">
      <c r="A4648" s="13">
        <v>6640108</v>
      </c>
      <c r="B4648" s="13" t="s">
        <v>1033</v>
      </c>
      <c r="D4648" s="13">
        <v>7003</v>
      </c>
      <c r="E4648" s="136" t="str">
        <f>INDEX([1]道具配置表!$D:$D,MATCH(D4648,[1]道具配置表!$A:$A,0))</f>
        <v>1银币（立即使用，不进背包）</v>
      </c>
      <c r="F4648" s="13">
        <v>4000</v>
      </c>
      <c r="K4648" s="13">
        <v>1</v>
      </c>
      <c r="M4648" s="63" t="b">
        <v>1</v>
      </c>
    </row>
    <row r="4649" spans="1:13" x14ac:dyDescent="0.25">
      <c r="D4649" s="13">
        <v>6105</v>
      </c>
      <c r="E4649" s="136" t="str">
        <f>INDEX([1]道具配置表!$D:$D,MATCH(D4649,[1]道具配置表!$A:$A,0))</f>
        <v>60分钟通用加速</v>
      </c>
      <c r="F4649" s="13">
        <v>30</v>
      </c>
      <c r="K4649" s="13">
        <v>1</v>
      </c>
      <c r="M4649" s="63" t="b">
        <v>1</v>
      </c>
    </row>
    <row r="4650" spans="1:13" x14ac:dyDescent="0.25">
      <c r="D4650" s="13">
        <v>252</v>
      </c>
      <c r="E4650" s="136" t="str">
        <f>INDEX([1]道具配置表!$D:$D,MATCH(D4650,[1]道具配置表!$A:$A,0))</f>
        <v>10万食物</v>
      </c>
      <c r="F4650" s="13">
        <v>36</v>
      </c>
      <c r="K4650" s="13">
        <v>1</v>
      </c>
      <c r="M4650" s="63" t="b">
        <v>1</v>
      </c>
    </row>
    <row r="4651" spans="1:13" x14ac:dyDescent="0.25">
      <c r="D4651" s="13">
        <v>251</v>
      </c>
      <c r="E4651" s="136" t="str">
        <f>INDEX([1]道具配置表!$D:$D,MATCH(D4651,[1]道具配置表!$A:$A,0))</f>
        <v>10万木材</v>
      </c>
      <c r="F4651" s="13">
        <v>36</v>
      </c>
      <c r="K4651" s="13">
        <v>1</v>
      </c>
      <c r="M4651" s="63" t="b">
        <v>1</v>
      </c>
    </row>
    <row r="4652" spans="1:13" x14ac:dyDescent="0.25">
      <c r="D4652" s="13">
        <v>253</v>
      </c>
      <c r="E4652" s="136" t="str">
        <f>INDEX([1]道具配置表!$D:$D,MATCH(D4652,[1]道具配置表!$A:$A,0))</f>
        <v>10万石头</v>
      </c>
      <c r="F4652" s="13">
        <v>36</v>
      </c>
      <c r="K4652" s="13">
        <v>1</v>
      </c>
      <c r="M4652" s="63" t="b">
        <v>1</v>
      </c>
    </row>
    <row r="4653" spans="1:13" x14ac:dyDescent="0.25">
      <c r="D4653" s="13">
        <v>254</v>
      </c>
      <c r="E4653" s="136" t="str">
        <f>INDEX([1]道具配置表!$D:$D,MATCH(D4653,[1]道具配置表!$A:$A,0))</f>
        <v>10万黄金</v>
      </c>
      <c r="F4653" s="13">
        <v>36</v>
      </c>
      <c r="K4653" s="13">
        <v>1</v>
      </c>
      <c r="M4653" s="63" t="b">
        <v>1</v>
      </c>
    </row>
    <row r="4654" spans="1:13" x14ac:dyDescent="0.25">
      <c r="A4654" s="13">
        <v>6640109</v>
      </c>
      <c r="B4654" s="13" t="s">
        <v>1034</v>
      </c>
      <c r="D4654" s="13">
        <v>7003</v>
      </c>
      <c r="E4654" s="136" t="str">
        <f>INDEX([1]道具配置表!$D:$D,MATCH(D4654,[1]道具配置表!$A:$A,0))</f>
        <v>1银币（立即使用，不进背包）</v>
      </c>
      <c r="F4654" s="13">
        <v>3000</v>
      </c>
      <c r="K4654" s="13">
        <v>1</v>
      </c>
      <c r="M4654" s="63" t="b">
        <v>1</v>
      </c>
    </row>
    <row r="4655" spans="1:13" x14ac:dyDescent="0.25">
      <c r="D4655" s="13">
        <v>6105</v>
      </c>
      <c r="E4655" s="136" t="str">
        <f>INDEX([1]道具配置表!$D:$D,MATCH(D4655,[1]道具配置表!$A:$A,0))</f>
        <v>60分钟通用加速</v>
      </c>
      <c r="F4655" s="13">
        <v>20</v>
      </c>
      <c r="K4655" s="13">
        <v>1</v>
      </c>
      <c r="M4655" s="63" t="b">
        <v>1</v>
      </c>
    </row>
    <row r="4656" spans="1:13" x14ac:dyDescent="0.25">
      <c r="D4656" s="13">
        <v>252</v>
      </c>
      <c r="E4656" s="136" t="str">
        <f>INDEX([1]道具配置表!$D:$D,MATCH(D4656,[1]道具配置表!$A:$A,0))</f>
        <v>10万食物</v>
      </c>
      <c r="F4656" s="13">
        <v>34</v>
      </c>
      <c r="K4656" s="13">
        <v>1</v>
      </c>
      <c r="M4656" s="63" t="b">
        <v>1</v>
      </c>
    </row>
    <row r="4657" spans="1:13" x14ac:dyDescent="0.25">
      <c r="D4657" s="13">
        <v>251</v>
      </c>
      <c r="E4657" s="136" t="str">
        <f>INDEX([1]道具配置表!$D:$D,MATCH(D4657,[1]道具配置表!$A:$A,0))</f>
        <v>10万木材</v>
      </c>
      <c r="F4657" s="13">
        <v>34</v>
      </c>
      <c r="K4657" s="13">
        <v>1</v>
      </c>
      <c r="M4657" s="63" t="b">
        <v>1</v>
      </c>
    </row>
    <row r="4658" spans="1:13" x14ac:dyDescent="0.25">
      <c r="D4658" s="13">
        <v>253</v>
      </c>
      <c r="E4658" s="136" t="str">
        <f>INDEX([1]道具配置表!$D:$D,MATCH(D4658,[1]道具配置表!$A:$A,0))</f>
        <v>10万石头</v>
      </c>
      <c r="F4658" s="13">
        <v>34</v>
      </c>
      <c r="K4658" s="13">
        <v>1</v>
      </c>
      <c r="M4658" s="63" t="b">
        <v>1</v>
      </c>
    </row>
    <row r="4659" spans="1:13" x14ac:dyDescent="0.25">
      <c r="D4659" s="13">
        <v>254</v>
      </c>
      <c r="E4659" s="136" t="str">
        <f>INDEX([1]道具配置表!$D:$D,MATCH(D4659,[1]道具配置表!$A:$A,0))</f>
        <v>10万黄金</v>
      </c>
      <c r="F4659" s="13">
        <v>34</v>
      </c>
      <c r="K4659" s="13">
        <v>1</v>
      </c>
      <c r="M4659" s="63" t="b">
        <v>1</v>
      </c>
    </row>
    <row r="4660" spans="1:13" x14ac:dyDescent="0.25">
      <c r="A4660" s="13">
        <v>6640110</v>
      </c>
      <c r="B4660" s="13" t="s">
        <v>1035</v>
      </c>
      <c r="D4660" s="13">
        <v>7003</v>
      </c>
      <c r="E4660" s="136" t="str">
        <f>INDEX([1]道具配置表!$D:$D,MATCH(D4660,[1]道具配置表!$A:$A,0))</f>
        <v>1银币（立即使用，不进背包）</v>
      </c>
      <c r="F4660" s="13">
        <v>2500</v>
      </c>
      <c r="K4660" s="13">
        <v>1</v>
      </c>
      <c r="M4660" s="63" t="b">
        <v>1</v>
      </c>
    </row>
    <row r="4661" spans="1:13" x14ac:dyDescent="0.25">
      <c r="D4661" s="13">
        <v>6105</v>
      </c>
      <c r="E4661" s="136" t="str">
        <f>INDEX([1]道具配置表!$D:$D,MATCH(D4661,[1]道具配置表!$A:$A,0))</f>
        <v>60分钟通用加速</v>
      </c>
      <c r="F4661" s="13">
        <v>10</v>
      </c>
      <c r="K4661" s="13">
        <v>1</v>
      </c>
      <c r="M4661" s="63" t="b">
        <v>1</v>
      </c>
    </row>
    <row r="4662" spans="1:13" x14ac:dyDescent="0.25">
      <c r="D4662" s="13">
        <v>252</v>
      </c>
      <c r="E4662" s="136" t="str">
        <f>INDEX([1]道具配置表!$D:$D,MATCH(D4662,[1]道具配置表!$A:$A,0))</f>
        <v>10万食物</v>
      </c>
      <c r="F4662" s="13">
        <v>32</v>
      </c>
      <c r="K4662" s="13">
        <v>1</v>
      </c>
      <c r="M4662" s="63" t="b">
        <v>1</v>
      </c>
    </row>
    <row r="4663" spans="1:13" x14ac:dyDescent="0.25">
      <c r="D4663" s="13">
        <v>251</v>
      </c>
      <c r="E4663" s="136" t="str">
        <f>INDEX([1]道具配置表!$D:$D,MATCH(D4663,[1]道具配置表!$A:$A,0))</f>
        <v>10万木材</v>
      </c>
      <c r="F4663" s="13">
        <v>32</v>
      </c>
      <c r="K4663" s="13">
        <v>1</v>
      </c>
      <c r="M4663" s="63" t="b">
        <v>1</v>
      </c>
    </row>
    <row r="4664" spans="1:13" x14ac:dyDescent="0.25">
      <c r="D4664" s="13">
        <v>253</v>
      </c>
      <c r="E4664" s="136" t="str">
        <f>INDEX([1]道具配置表!$D:$D,MATCH(D4664,[1]道具配置表!$A:$A,0))</f>
        <v>10万石头</v>
      </c>
      <c r="F4664" s="13">
        <v>32</v>
      </c>
      <c r="K4664" s="13">
        <v>1</v>
      </c>
      <c r="M4664" s="63" t="b">
        <v>1</v>
      </c>
    </row>
    <row r="4665" spans="1:13" x14ac:dyDescent="0.25">
      <c r="D4665" s="13">
        <v>254</v>
      </c>
      <c r="E4665" s="136" t="str">
        <f>INDEX([1]道具配置表!$D:$D,MATCH(D4665,[1]道具配置表!$A:$A,0))</f>
        <v>10万黄金</v>
      </c>
      <c r="F4665" s="13">
        <v>32</v>
      </c>
      <c r="K4665" s="13">
        <v>1</v>
      </c>
      <c r="M4665" s="63" t="b">
        <v>1</v>
      </c>
    </row>
    <row r="4666" spans="1:13" x14ac:dyDescent="0.25">
      <c r="A4666" s="13">
        <v>6640111</v>
      </c>
      <c r="B4666" s="13" t="s">
        <v>1036</v>
      </c>
      <c r="D4666" s="13">
        <v>7003</v>
      </c>
      <c r="E4666" s="136" t="str">
        <f>INDEX([1]道具配置表!$D:$D,MATCH(D4666,[1]道具配置表!$A:$A,0))</f>
        <v>1银币（立即使用，不进背包）</v>
      </c>
      <c r="F4666" s="13">
        <v>2000</v>
      </c>
      <c r="K4666" s="13">
        <v>1</v>
      </c>
      <c r="M4666" s="63" t="b">
        <v>1</v>
      </c>
    </row>
    <row r="4667" spans="1:13" x14ac:dyDescent="0.25">
      <c r="D4667" s="13">
        <v>6105</v>
      </c>
      <c r="E4667" s="136" t="str">
        <f>INDEX([1]道具配置表!$D:$D,MATCH(D4667,[1]道具配置表!$A:$A,0))</f>
        <v>60分钟通用加速</v>
      </c>
      <c r="F4667" s="13">
        <v>9</v>
      </c>
      <c r="K4667" s="13">
        <v>1</v>
      </c>
      <c r="M4667" s="63" t="b">
        <v>1</v>
      </c>
    </row>
    <row r="4668" spans="1:13" x14ac:dyDescent="0.25">
      <c r="D4668" s="13">
        <v>252</v>
      </c>
      <c r="E4668" s="136" t="str">
        <f>INDEX([1]道具配置表!$D:$D,MATCH(D4668,[1]道具配置表!$A:$A,0))</f>
        <v>10万食物</v>
      </c>
      <c r="F4668" s="13">
        <v>30</v>
      </c>
      <c r="K4668" s="13">
        <v>1</v>
      </c>
      <c r="M4668" s="63" t="b">
        <v>1</v>
      </c>
    </row>
    <row r="4669" spans="1:13" x14ac:dyDescent="0.25">
      <c r="D4669" s="13">
        <v>251</v>
      </c>
      <c r="E4669" s="136" t="str">
        <f>INDEX([1]道具配置表!$D:$D,MATCH(D4669,[1]道具配置表!$A:$A,0))</f>
        <v>10万木材</v>
      </c>
      <c r="F4669" s="13">
        <v>30</v>
      </c>
      <c r="K4669" s="13">
        <v>1</v>
      </c>
      <c r="M4669" s="63" t="b">
        <v>1</v>
      </c>
    </row>
    <row r="4670" spans="1:13" x14ac:dyDescent="0.25">
      <c r="D4670" s="13">
        <v>253</v>
      </c>
      <c r="E4670" s="136" t="str">
        <f>INDEX([1]道具配置表!$D:$D,MATCH(D4670,[1]道具配置表!$A:$A,0))</f>
        <v>10万石头</v>
      </c>
      <c r="F4670" s="13">
        <v>30</v>
      </c>
      <c r="K4670" s="13">
        <v>1</v>
      </c>
      <c r="M4670" s="63" t="b">
        <v>1</v>
      </c>
    </row>
    <row r="4671" spans="1:13" x14ac:dyDescent="0.25">
      <c r="D4671" s="13">
        <v>254</v>
      </c>
      <c r="E4671" s="136" t="str">
        <f>INDEX([1]道具配置表!$D:$D,MATCH(D4671,[1]道具配置表!$A:$A,0))</f>
        <v>10万黄金</v>
      </c>
      <c r="F4671" s="13">
        <v>30</v>
      </c>
      <c r="K4671" s="13">
        <v>1</v>
      </c>
      <c r="M4671" s="63" t="b">
        <v>1</v>
      </c>
    </row>
    <row r="4672" spans="1:13" x14ac:dyDescent="0.25">
      <c r="A4672" s="13">
        <v>6640112</v>
      </c>
      <c r="B4672" s="13" t="s">
        <v>1037</v>
      </c>
      <c r="D4672" s="13">
        <v>7003</v>
      </c>
      <c r="E4672" s="136" t="str">
        <f>INDEX([1]道具配置表!$D:$D,MATCH(D4672,[1]道具配置表!$A:$A,0))</f>
        <v>1银币（立即使用，不进背包）</v>
      </c>
      <c r="F4672" s="13">
        <v>1800</v>
      </c>
      <c r="K4672" s="13">
        <v>1</v>
      </c>
      <c r="M4672" s="63" t="b">
        <v>1</v>
      </c>
    </row>
    <row r="4673" spans="1:13" x14ac:dyDescent="0.25">
      <c r="D4673" s="13">
        <v>6105</v>
      </c>
      <c r="E4673" s="136" t="str">
        <f>INDEX([1]道具配置表!$D:$D,MATCH(D4673,[1]道具配置表!$A:$A,0))</f>
        <v>60分钟通用加速</v>
      </c>
      <c r="F4673" s="13">
        <v>8</v>
      </c>
      <c r="K4673" s="13">
        <v>1</v>
      </c>
      <c r="M4673" s="63" t="b">
        <v>1</v>
      </c>
    </row>
    <row r="4674" spans="1:13" x14ac:dyDescent="0.25">
      <c r="D4674" s="13">
        <v>252</v>
      </c>
      <c r="E4674" s="136" t="str">
        <f>INDEX([1]道具配置表!$D:$D,MATCH(D4674,[1]道具配置表!$A:$A,0))</f>
        <v>10万食物</v>
      </c>
      <c r="F4674" s="13">
        <v>28</v>
      </c>
      <c r="K4674" s="13">
        <v>1</v>
      </c>
      <c r="M4674" s="63" t="b">
        <v>1</v>
      </c>
    </row>
    <row r="4675" spans="1:13" x14ac:dyDescent="0.25">
      <c r="D4675" s="13">
        <v>251</v>
      </c>
      <c r="E4675" s="136" t="str">
        <f>INDEX([1]道具配置表!$D:$D,MATCH(D4675,[1]道具配置表!$A:$A,0))</f>
        <v>10万木材</v>
      </c>
      <c r="F4675" s="13">
        <v>28</v>
      </c>
      <c r="K4675" s="13">
        <v>1</v>
      </c>
      <c r="M4675" s="63" t="b">
        <v>1</v>
      </c>
    </row>
    <row r="4676" spans="1:13" x14ac:dyDescent="0.25">
      <c r="D4676" s="13">
        <v>253</v>
      </c>
      <c r="E4676" s="136" t="str">
        <f>INDEX([1]道具配置表!$D:$D,MATCH(D4676,[1]道具配置表!$A:$A,0))</f>
        <v>10万石头</v>
      </c>
      <c r="F4676" s="13">
        <v>28</v>
      </c>
      <c r="K4676" s="13">
        <v>1</v>
      </c>
      <c r="M4676" s="63" t="b">
        <v>1</v>
      </c>
    </row>
    <row r="4677" spans="1:13" x14ac:dyDescent="0.25">
      <c r="D4677" s="13">
        <v>254</v>
      </c>
      <c r="E4677" s="136" t="str">
        <f>INDEX([1]道具配置表!$D:$D,MATCH(D4677,[1]道具配置表!$A:$A,0))</f>
        <v>10万黄金</v>
      </c>
      <c r="F4677" s="13">
        <v>28</v>
      </c>
      <c r="K4677" s="13">
        <v>1</v>
      </c>
      <c r="M4677" s="63" t="b">
        <v>1</v>
      </c>
    </row>
    <row r="4678" spans="1:13" x14ac:dyDescent="0.25">
      <c r="A4678" s="13">
        <v>6640113</v>
      </c>
      <c r="B4678" s="13" t="s">
        <v>1038</v>
      </c>
      <c r="D4678" s="13">
        <v>7003</v>
      </c>
      <c r="E4678" s="136" t="str">
        <f>INDEX([1]道具配置表!$D:$D,MATCH(D4678,[1]道具配置表!$A:$A,0))</f>
        <v>1银币（立即使用，不进背包）</v>
      </c>
      <c r="F4678" s="13">
        <v>1700</v>
      </c>
      <c r="K4678" s="13">
        <v>1</v>
      </c>
      <c r="M4678" s="63" t="b">
        <v>1</v>
      </c>
    </row>
    <row r="4679" spans="1:13" x14ac:dyDescent="0.25">
      <c r="D4679" s="13">
        <v>6105</v>
      </c>
      <c r="E4679" s="136" t="str">
        <f>INDEX([1]道具配置表!$D:$D,MATCH(D4679,[1]道具配置表!$A:$A,0))</f>
        <v>60分钟通用加速</v>
      </c>
      <c r="F4679" s="13">
        <v>7</v>
      </c>
      <c r="K4679" s="13">
        <v>1</v>
      </c>
      <c r="M4679" s="63" t="b">
        <v>1</v>
      </c>
    </row>
    <row r="4680" spans="1:13" x14ac:dyDescent="0.25">
      <c r="D4680" s="13">
        <v>252</v>
      </c>
      <c r="E4680" s="136" t="str">
        <f>INDEX([1]道具配置表!$D:$D,MATCH(D4680,[1]道具配置表!$A:$A,0))</f>
        <v>10万食物</v>
      </c>
      <c r="F4680" s="13">
        <v>26</v>
      </c>
      <c r="K4680" s="13">
        <v>1</v>
      </c>
      <c r="M4680" s="63" t="b">
        <v>1</v>
      </c>
    </row>
    <row r="4681" spans="1:13" x14ac:dyDescent="0.25">
      <c r="D4681" s="13">
        <v>251</v>
      </c>
      <c r="E4681" s="136" t="str">
        <f>INDEX([1]道具配置表!$D:$D,MATCH(D4681,[1]道具配置表!$A:$A,0))</f>
        <v>10万木材</v>
      </c>
      <c r="F4681" s="13">
        <v>26</v>
      </c>
      <c r="K4681" s="13">
        <v>1</v>
      </c>
      <c r="M4681" s="63" t="b">
        <v>1</v>
      </c>
    </row>
    <row r="4682" spans="1:13" x14ac:dyDescent="0.25">
      <c r="D4682" s="13">
        <v>253</v>
      </c>
      <c r="E4682" s="136" t="str">
        <f>INDEX([1]道具配置表!$D:$D,MATCH(D4682,[1]道具配置表!$A:$A,0))</f>
        <v>10万石头</v>
      </c>
      <c r="F4682" s="13">
        <v>26</v>
      </c>
      <c r="K4682" s="13">
        <v>1</v>
      </c>
      <c r="M4682" s="63" t="b">
        <v>1</v>
      </c>
    </row>
    <row r="4683" spans="1:13" x14ac:dyDescent="0.25">
      <c r="D4683" s="13">
        <v>254</v>
      </c>
      <c r="E4683" s="136" t="str">
        <f>INDEX([1]道具配置表!$D:$D,MATCH(D4683,[1]道具配置表!$A:$A,0))</f>
        <v>10万黄金</v>
      </c>
      <c r="F4683" s="13">
        <v>26</v>
      </c>
      <c r="K4683" s="13">
        <v>1</v>
      </c>
      <c r="M4683" s="63" t="b">
        <v>1</v>
      </c>
    </row>
    <row r="4684" spans="1:13" x14ac:dyDescent="0.25">
      <c r="A4684" s="13">
        <v>6640114</v>
      </c>
      <c r="B4684" s="13" t="s">
        <v>1039</v>
      </c>
      <c r="D4684" s="13">
        <v>7003</v>
      </c>
      <c r="E4684" s="136" t="str">
        <f>INDEX([1]道具配置表!$D:$D,MATCH(D4684,[1]道具配置表!$A:$A,0))</f>
        <v>1银币（立即使用，不进背包）</v>
      </c>
      <c r="F4684" s="13">
        <v>1600</v>
      </c>
      <c r="K4684" s="13">
        <v>1</v>
      </c>
      <c r="M4684" s="63" t="b">
        <v>1</v>
      </c>
    </row>
    <row r="4685" spans="1:13" x14ac:dyDescent="0.25">
      <c r="D4685" s="13">
        <v>6105</v>
      </c>
      <c r="E4685" s="136" t="str">
        <f>INDEX([1]道具配置表!$D:$D,MATCH(D4685,[1]道具配置表!$A:$A,0))</f>
        <v>60分钟通用加速</v>
      </c>
      <c r="F4685" s="13">
        <v>6</v>
      </c>
      <c r="K4685" s="13">
        <v>1</v>
      </c>
      <c r="M4685" s="63" t="b">
        <v>1</v>
      </c>
    </row>
    <row r="4686" spans="1:13" x14ac:dyDescent="0.25">
      <c r="D4686" s="13">
        <v>252</v>
      </c>
      <c r="E4686" s="136" t="str">
        <f>INDEX([1]道具配置表!$D:$D,MATCH(D4686,[1]道具配置表!$A:$A,0))</f>
        <v>10万食物</v>
      </c>
      <c r="F4686" s="13">
        <v>24</v>
      </c>
      <c r="K4686" s="13">
        <v>1</v>
      </c>
      <c r="M4686" s="63" t="b">
        <v>1</v>
      </c>
    </row>
    <row r="4687" spans="1:13" x14ac:dyDescent="0.25">
      <c r="D4687" s="13">
        <v>251</v>
      </c>
      <c r="E4687" s="136" t="str">
        <f>INDEX([1]道具配置表!$D:$D,MATCH(D4687,[1]道具配置表!$A:$A,0))</f>
        <v>10万木材</v>
      </c>
      <c r="F4687" s="13">
        <v>24</v>
      </c>
      <c r="K4687" s="13">
        <v>1</v>
      </c>
      <c r="M4687" s="63" t="b">
        <v>1</v>
      </c>
    </row>
    <row r="4688" spans="1:13" x14ac:dyDescent="0.25">
      <c r="D4688" s="13">
        <v>253</v>
      </c>
      <c r="E4688" s="136" t="str">
        <f>INDEX([1]道具配置表!$D:$D,MATCH(D4688,[1]道具配置表!$A:$A,0))</f>
        <v>10万石头</v>
      </c>
      <c r="F4688" s="13">
        <v>24</v>
      </c>
      <c r="K4688" s="13">
        <v>1</v>
      </c>
      <c r="M4688" s="63" t="b">
        <v>1</v>
      </c>
    </row>
    <row r="4689" spans="1:13" x14ac:dyDescent="0.25">
      <c r="D4689" s="13">
        <v>254</v>
      </c>
      <c r="E4689" s="136" t="str">
        <f>INDEX([1]道具配置表!$D:$D,MATCH(D4689,[1]道具配置表!$A:$A,0))</f>
        <v>10万黄金</v>
      </c>
      <c r="F4689" s="13">
        <v>24</v>
      </c>
      <c r="K4689" s="13">
        <v>1</v>
      </c>
      <c r="M4689" s="63" t="b">
        <v>1</v>
      </c>
    </row>
    <row r="4690" spans="1:13" x14ac:dyDescent="0.25">
      <c r="A4690" s="13">
        <v>6640115</v>
      </c>
      <c r="B4690" s="13" t="s">
        <v>1040</v>
      </c>
      <c r="D4690" s="13">
        <v>7003</v>
      </c>
      <c r="E4690" s="136" t="str">
        <f>INDEX([1]道具配置表!$D:$D,MATCH(D4690,[1]道具配置表!$A:$A,0))</f>
        <v>1银币（立即使用，不进背包）</v>
      </c>
      <c r="F4690" s="13">
        <v>1500</v>
      </c>
      <c r="K4690" s="13">
        <v>1</v>
      </c>
      <c r="M4690" s="63" t="b">
        <v>1</v>
      </c>
    </row>
    <row r="4691" spans="1:13" x14ac:dyDescent="0.25">
      <c r="D4691" s="13">
        <v>6105</v>
      </c>
      <c r="E4691" s="136" t="str">
        <f>INDEX([1]道具配置表!$D:$D,MATCH(D4691,[1]道具配置表!$A:$A,0))</f>
        <v>60分钟通用加速</v>
      </c>
      <c r="F4691" s="13">
        <v>5</v>
      </c>
      <c r="K4691" s="13">
        <v>1</v>
      </c>
      <c r="M4691" s="63" t="b">
        <v>1</v>
      </c>
    </row>
    <row r="4692" spans="1:13" x14ac:dyDescent="0.25">
      <c r="D4692" s="13">
        <v>252</v>
      </c>
      <c r="E4692" s="136" t="str">
        <f>INDEX([1]道具配置表!$D:$D,MATCH(D4692,[1]道具配置表!$A:$A,0))</f>
        <v>10万食物</v>
      </c>
      <c r="F4692" s="13">
        <v>22</v>
      </c>
      <c r="K4692" s="13">
        <v>1</v>
      </c>
      <c r="M4692" s="63" t="b">
        <v>1</v>
      </c>
    </row>
    <row r="4693" spans="1:13" x14ac:dyDescent="0.25">
      <c r="D4693" s="13">
        <v>251</v>
      </c>
      <c r="E4693" s="136" t="str">
        <f>INDEX([1]道具配置表!$D:$D,MATCH(D4693,[1]道具配置表!$A:$A,0))</f>
        <v>10万木材</v>
      </c>
      <c r="F4693" s="13">
        <v>22</v>
      </c>
      <c r="K4693" s="13">
        <v>1</v>
      </c>
      <c r="M4693" s="63" t="b">
        <v>1</v>
      </c>
    </row>
    <row r="4694" spans="1:13" x14ac:dyDescent="0.25">
      <c r="D4694" s="13">
        <v>253</v>
      </c>
      <c r="E4694" s="136" t="str">
        <f>INDEX([1]道具配置表!$D:$D,MATCH(D4694,[1]道具配置表!$A:$A,0))</f>
        <v>10万石头</v>
      </c>
      <c r="F4694" s="13">
        <v>22</v>
      </c>
      <c r="K4694" s="13">
        <v>1</v>
      </c>
      <c r="M4694" s="63" t="b">
        <v>1</v>
      </c>
    </row>
    <row r="4695" spans="1:13" x14ac:dyDescent="0.25">
      <c r="D4695" s="13">
        <v>254</v>
      </c>
      <c r="E4695" s="136" t="str">
        <f>INDEX([1]道具配置表!$D:$D,MATCH(D4695,[1]道具配置表!$A:$A,0))</f>
        <v>10万黄金</v>
      </c>
      <c r="F4695" s="13">
        <v>22</v>
      </c>
      <c r="K4695" s="13">
        <v>1</v>
      </c>
      <c r="M4695" s="63" t="b">
        <v>1</v>
      </c>
    </row>
    <row r="4696" spans="1:13" x14ac:dyDescent="0.25">
      <c r="A4696" s="13">
        <v>6640116</v>
      </c>
      <c r="B4696" s="13" t="s">
        <v>1041</v>
      </c>
      <c r="D4696" s="13">
        <v>7003</v>
      </c>
      <c r="E4696" s="136" t="str">
        <f>INDEX([1]道具配置表!$D:$D,MATCH(D4696,[1]道具配置表!$A:$A,0))</f>
        <v>1银币（立即使用，不进背包）</v>
      </c>
      <c r="F4696" s="13">
        <v>1400</v>
      </c>
      <c r="K4696" s="13">
        <v>1</v>
      </c>
      <c r="M4696" s="63" t="b">
        <v>1</v>
      </c>
    </row>
    <row r="4697" spans="1:13" x14ac:dyDescent="0.25">
      <c r="D4697" s="13">
        <v>6105</v>
      </c>
      <c r="E4697" s="136" t="str">
        <f>INDEX([1]道具配置表!$D:$D,MATCH(D4697,[1]道具配置表!$A:$A,0))</f>
        <v>60分钟通用加速</v>
      </c>
      <c r="F4697" s="13">
        <v>4</v>
      </c>
      <c r="K4697" s="13">
        <v>1</v>
      </c>
      <c r="M4697" s="63" t="b">
        <v>1</v>
      </c>
    </row>
    <row r="4698" spans="1:13" x14ac:dyDescent="0.25">
      <c r="D4698" s="13">
        <v>252</v>
      </c>
      <c r="E4698" s="136" t="str">
        <f>INDEX([1]道具配置表!$D:$D,MATCH(D4698,[1]道具配置表!$A:$A,0))</f>
        <v>10万食物</v>
      </c>
      <c r="F4698" s="13">
        <v>20</v>
      </c>
      <c r="K4698" s="13">
        <v>1</v>
      </c>
      <c r="M4698" s="63" t="b">
        <v>1</v>
      </c>
    </row>
    <row r="4699" spans="1:13" x14ac:dyDescent="0.25">
      <c r="D4699" s="13">
        <v>251</v>
      </c>
      <c r="E4699" s="136" t="str">
        <f>INDEX([1]道具配置表!$D:$D,MATCH(D4699,[1]道具配置表!$A:$A,0))</f>
        <v>10万木材</v>
      </c>
      <c r="F4699" s="13">
        <v>20</v>
      </c>
      <c r="K4699" s="13">
        <v>1</v>
      </c>
      <c r="M4699" s="63" t="b">
        <v>1</v>
      </c>
    </row>
    <row r="4700" spans="1:13" x14ac:dyDescent="0.25">
      <c r="D4700" s="13">
        <v>253</v>
      </c>
      <c r="E4700" s="136" t="str">
        <f>INDEX([1]道具配置表!$D:$D,MATCH(D4700,[1]道具配置表!$A:$A,0))</f>
        <v>10万石头</v>
      </c>
      <c r="F4700" s="13">
        <v>20</v>
      </c>
      <c r="K4700" s="13">
        <v>1</v>
      </c>
      <c r="M4700" s="63" t="b">
        <v>1</v>
      </c>
    </row>
    <row r="4701" spans="1:13" x14ac:dyDescent="0.25">
      <c r="D4701" s="13">
        <v>254</v>
      </c>
      <c r="E4701" s="136" t="str">
        <f>INDEX([1]道具配置表!$D:$D,MATCH(D4701,[1]道具配置表!$A:$A,0))</f>
        <v>10万黄金</v>
      </c>
      <c r="F4701" s="13">
        <v>20</v>
      </c>
      <c r="K4701" s="13">
        <v>1</v>
      </c>
      <c r="M4701" s="63" t="b">
        <v>1</v>
      </c>
    </row>
    <row r="4702" spans="1:13" x14ac:dyDescent="0.25">
      <c r="A4702" s="13">
        <v>6640117</v>
      </c>
      <c r="B4702" s="13" t="s">
        <v>1042</v>
      </c>
      <c r="D4702" s="13">
        <v>7003</v>
      </c>
      <c r="E4702" s="136" t="str">
        <f>INDEX([1]道具配置表!$D:$D,MATCH(D4702,[1]道具配置表!$A:$A,0))</f>
        <v>1银币（立即使用，不进背包）</v>
      </c>
      <c r="F4702" s="13">
        <v>1300</v>
      </c>
      <c r="K4702" s="13">
        <v>1</v>
      </c>
      <c r="M4702" s="63" t="b">
        <v>1</v>
      </c>
    </row>
    <row r="4703" spans="1:13" x14ac:dyDescent="0.25">
      <c r="D4703" s="13">
        <v>6105</v>
      </c>
      <c r="E4703" s="136" t="str">
        <f>INDEX([1]道具配置表!$D:$D,MATCH(D4703,[1]道具配置表!$A:$A,0))</f>
        <v>60分钟通用加速</v>
      </c>
      <c r="F4703" s="13">
        <v>3</v>
      </c>
      <c r="K4703" s="13">
        <v>1</v>
      </c>
      <c r="M4703" s="63" t="b">
        <v>1</v>
      </c>
    </row>
    <row r="4704" spans="1:13" x14ac:dyDescent="0.25">
      <c r="D4704" s="13">
        <v>252</v>
      </c>
      <c r="E4704" s="136" t="str">
        <f>INDEX([1]道具配置表!$D:$D,MATCH(D4704,[1]道具配置表!$A:$A,0))</f>
        <v>10万食物</v>
      </c>
      <c r="F4704" s="13">
        <v>18</v>
      </c>
      <c r="K4704" s="13">
        <v>1</v>
      </c>
      <c r="M4704" s="63" t="b">
        <v>1</v>
      </c>
    </row>
    <row r="4705" spans="1:13" x14ac:dyDescent="0.25">
      <c r="D4705" s="13">
        <v>251</v>
      </c>
      <c r="E4705" s="136" t="str">
        <f>INDEX([1]道具配置表!$D:$D,MATCH(D4705,[1]道具配置表!$A:$A,0))</f>
        <v>10万木材</v>
      </c>
      <c r="F4705" s="13">
        <v>18</v>
      </c>
      <c r="K4705" s="13">
        <v>1</v>
      </c>
      <c r="M4705" s="63" t="b">
        <v>1</v>
      </c>
    </row>
    <row r="4706" spans="1:13" x14ac:dyDescent="0.25">
      <c r="D4706" s="13">
        <v>253</v>
      </c>
      <c r="E4706" s="136" t="str">
        <f>INDEX([1]道具配置表!$D:$D,MATCH(D4706,[1]道具配置表!$A:$A,0))</f>
        <v>10万石头</v>
      </c>
      <c r="F4706" s="13">
        <v>18</v>
      </c>
      <c r="K4706" s="13">
        <v>1</v>
      </c>
      <c r="M4706" s="63" t="b">
        <v>1</v>
      </c>
    </row>
    <row r="4707" spans="1:13" x14ac:dyDescent="0.25">
      <c r="D4707" s="13">
        <v>254</v>
      </c>
      <c r="E4707" s="136" t="str">
        <f>INDEX([1]道具配置表!$D:$D,MATCH(D4707,[1]道具配置表!$A:$A,0))</f>
        <v>10万黄金</v>
      </c>
      <c r="F4707" s="13">
        <v>18</v>
      </c>
      <c r="K4707" s="13">
        <v>1</v>
      </c>
      <c r="M4707" s="63" t="b">
        <v>1</v>
      </c>
    </row>
    <row r="4708" spans="1:13" x14ac:dyDescent="0.25">
      <c r="A4708" s="13">
        <v>6640118</v>
      </c>
      <c r="B4708" s="13" t="s">
        <v>1043</v>
      </c>
      <c r="D4708" s="13">
        <v>7003</v>
      </c>
      <c r="E4708" s="136" t="str">
        <f>INDEX([1]道具配置表!$D:$D,MATCH(D4708,[1]道具配置表!$A:$A,0))</f>
        <v>1银币（立即使用，不进背包）</v>
      </c>
      <c r="F4708" s="13">
        <v>1200</v>
      </c>
      <c r="K4708" s="13">
        <v>1</v>
      </c>
      <c r="M4708" s="63" t="b">
        <v>1</v>
      </c>
    </row>
    <row r="4709" spans="1:13" x14ac:dyDescent="0.25">
      <c r="D4709" s="13">
        <v>6105</v>
      </c>
      <c r="E4709" s="136" t="str">
        <f>INDEX([1]道具配置表!$D:$D,MATCH(D4709,[1]道具配置表!$A:$A,0))</f>
        <v>60分钟通用加速</v>
      </c>
      <c r="F4709" s="13">
        <v>2</v>
      </c>
      <c r="K4709" s="13">
        <v>1</v>
      </c>
      <c r="M4709" s="63" t="b">
        <v>1</v>
      </c>
    </row>
    <row r="4710" spans="1:13" x14ac:dyDescent="0.25">
      <c r="D4710" s="13">
        <v>252</v>
      </c>
      <c r="E4710" s="136" t="str">
        <f>INDEX([1]道具配置表!$D:$D,MATCH(D4710,[1]道具配置表!$A:$A,0))</f>
        <v>10万食物</v>
      </c>
      <c r="F4710" s="13">
        <v>16</v>
      </c>
      <c r="K4710" s="13">
        <v>1</v>
      </c>
      <c r="M4710" s="63" t="b">
        <v>1</v>
      </c>
    </row>
    <row r="4711" spans="1:13" x14ac:dyDescent="0.25">
      <c r="D4711" s="13">
        <v>251</v>
      </c>
      <c r="E4711" s="136" t="str">
        <f>INDEX([1]道具配置表!$D:$D,MATCH(D4711,[1]道具配置表!$A:$A,0))</f>
        <v>10万木材</v>
      </c>
      <c r="F4711" s="13">
        <v>16</v>
      </c>
      <c r="K4711" s="13">
        <v>1</v>
      </c>
      <c r="M4711" s="63" t="b">
        <v>1</v>
      </c>
    </row>
    <row r="4712" spans="1:13" x14ac:dyDescent="0.25">
      <c r="D4712" s="13">
        <v>253</v>
      </c>
      <c r="E4712" s="136" t="str">
        <f>INDEX([1]道具配置表!$D:$D,MATCH(D4712,[1]道具配置表!$A:$A,0))</f>
        <v>10万石头</v>
      </c>
      <c r="F4712" s="13">
        <v>16</v>
      </c>
      <c r="K4712" s="13">
        <v>1</v>
      </c>
      <c r="M4712" s="63" t="b">
        <v>1</v>
      </c>
    </row>
    <row r="4713" spans="1:13" x14ac:dyDescent="0.25">
      <c r="D4713" s="13">
        <v>254</v>
      </c>
      <c r="E4713" s="136" t="str">
        <f>INDEX([1]道具配置表!$D:$D,MATCH(D4713,[1]道具配置表!$A:$A,0))</f>
        <v>10万黄金</v>
      </c>
      <c r="F4713" s="13">
        <v>16</v>
      </c>
      <c r="K4713" s="13">
        <v>1</v>
      </c>
      <c r="M4713" s="63" t="b">
        <v>1</v>
      </c>
    </row>
    <row r="4714" spans="1:13" x14ac:dyDescent="0.25">
      <c r="A4714" s="13">
        <v>6640119</v>
      </c>
      <c r="B4714" s="13" t="s">
        <v>1044</v>
      </c>
      <c r="D4714" s="13">
        <v>7003</v>
      </c>
      <c r="E4714" s="136" t="str">
        <f>INDEX([1]道具配置表!$D:$D,MATCH(D4714,[1]道具配置表!$A:$A,0))</f>
        <v>1银币（立即使用，不进背包）</v>
      </c>
      <c r="F4714" s="13">
        <v>1100</v>
      </c>
      <c r="K4714" s="13">
        <v>1</v>
      </c>
      <c r="M4714" s="63" t="b">
        <v>1</v>
      </c>
    </row>
    <row r="4715" spans="1:13" x14ac:dyDescent="0.25">
      <c r="D4715" s="13">
        <v>6105</v>
      </c>
      <c r="E4715" s="136" t="str">
        <f>INDEX([1]道具配置表!$D:$D,MATCH(D4715,[1]道具配置表!$A:$A,0))</f>
        <v>60分钟通用加速</v>
      </c>
      <c r="F4715" s="13">
        <v>1</v>
      </c>
      <c r="K4715" s="13">
        <v>1</v>
      </c>
      <c r="M4715" s="63" t="b">
        <v>1</v>
      </c>
    </row>
    <row r="4716" spans="1:13" x14ac:dyDescent="0.25">
      <c r="D4716" s="13">
        <v>252</v>
      </c>
      <c r="E4716" s="136" t="str">
        <f>INDEX([1]道具配置表!$D:$D,MATCH(D4716,[1]道具配置表!$A:$A,0))</f>
        <v>10万食物</v>
      </c>
      <c r="F4716" s="13">
        <v>14</v>
      </c>
      <c r="K4716" s="13">
        <v>1</v>
      </c>
      <c r="M4716" s="63" t="b">
        <v>1</v>
      </c>
    </row>
    <row r="4717" spans="1:13" x14ac:dyDescent="0.25">
      <c r="D4717" s="13">
        <v>251</v>
      </c>
      <c r="E4717" s="136" t="str">
        <f>INDEX([1]道具配置表!$D:$D,MATCH(D4717,[1]道具配置表!$A:$A,0))</f>
        <v>10万木材</v>
      </c>
      <c r="F4717" s="13">
        <v>14</v>
      </c>
      <c r="K4717" s="13">
        <v>1</v>
      </c>
      <c r="M4717" s="63" t="b">
        <v>1</v>
      </c>
    </row>
    <row r="4718" spans="1:13" x14ac:dyDescent="0.25">
      <c r="D4718" s="13">
        <v>253</v>
      </c>
      <c r="E4718" s="136" t="str">
        <f>INDEX([1]道具配置表!$D:$D,MATCH(D4718,[1]道具配置表!$A:$A,0))</f>
        <v>10万石头</v>
      </c>
      <c r="F4718" s="13">
        <v>14</v>
      </c>
      <c r="K4718" s="13">
        <v>1</v>
      </c>
      <c r="M4718" s="63" t="b">
        <v>1</v>
      </c>
    </row>
    <row r="4719" spans="1:13" x14ac:dyDescent="0.25">
      <c r="D4719" s="13">
        <v>254</v>
      </c>
      <c r="E4719" s="136" t="str">
        <f>INDEX([1]道具配置表!$D:$D,MATCH(D4719,[1]道具配置表!$A:$A,0))</f>
        <v>10万黄金</v>
      </c>
      <c r="F4719" s="13">
        <v>14</v>
      </c>
      <c r="K4719" s="13">
        <v>1</v>
      </c>
      <c r="M4719" s="63" t="b">
        <v>1</v>
      </c>
    </row>
    <row r="4720" spans="1:13" x14ac:dyDescent="0.25">
      <c r="A4720" s="13">
        <v>6640120</v>
      </c>
      <c r="B4720" s="13" t="s">
        <v>1045</v>
      </c>
      <c r="D4720" s="13">
        <v>7003</v>
      </c>
      <c r="E4720" s="136" t="str">
        <f>INDEX([1]道具配置表!$D:$D,MATCH(D4720,[1]道具配置表!$A:$A,0))</f>
        <v>1银币（立即使用，不进背包）</v>
      </c>
      <c r="F4720" s="13">
        <v>1000</v>
      </c>
      <c r="K4720" s="13">
        <v>1</v>
      </c>
      <c r="M4720" s="63" t="b">
        <v>1</v>
      </c>
    </row>
    <row r="4721" spans="1:13" x14ac:dyDescent="0.25">
      <c r="D4721" s="13">
        <v>6105</v>
      </c>
      <c r="E4721" s="136" t="str">
        <f>INDEX([1]道具配置表!$D:$D,MATCH(D4721,[1]道具配置表!$A:$A,0))</f>
        <v>60分钟通用加速</v>
      </c>
      <c r="F4721" s="13">
        <v>1</v>
      </c>
      <c r="K4721" s="13">
        <v>1</v>
      </c>
      <c r="M4721" s="63" t="b">
        <v>1</v>
      </c>
    </row>
    <row r="4722" spans="1:13" x14ac:dyDescent="0.25">
      <c r="D4722" s="13">
        <v>252</v>
      </c>
      <c r="E4722" s="136" t="str">
        <f>INDEX([1]道具配置表!$D:$D,MATCH(D4722,[1]道具配置表!$A:$A,0))</f>
        <v>10万食物</v>
      </c>
      <c r="F4722" s="13">
        <v>12</v>
      </c>
      <c r="K4722" s="13">
        <v>1</v>
      </c>
      <c r="M4722" s="63" t="b">
        <v>1</v>
      </c>
    </row>
    <row r="4723" spans="1:13" x14ac:dyDescent="0.25">
      <c r="D4723" s="13">
        <v>251</v>
      </c>
      <c r="E4723" s="136" t="str">
        <f>INDEX([1]道具配置表!$D:$D,MATCH(D4723,[1]道具配置表!$A:$A,0))</f>
        <v>10万木材</v>
      </c>
      <c r="F4723" s="13">
        <v>12</v>
      </c>
      <c r="K4723" s="13">
        <v>1</v>
      </c>
      <c r="M4723" s="63" t="b">
        <v>1</v>
      </c>
    </row>
    <row r="4724" spans="1:13" x14ac:dyDescent="0.25">
      <c r="D4724" s="13">
        <v>253</v>
      </c>
      <c r="E4724" s="136" t="str">
        <f>INDEX([1]道具配置表!$D:$D,MATCH(D4724,[1]道具配置表!$A:$A,0))</f>
        <v>10万石头</v>
      </c>
      <c r="F4724" s="13">
        <v>12</v>
      </c>
      <c r="K4724" s="13">
        <v>1</v>
      </c>
      <c r="M4724" s="63" t="b">
        <v>1</v>
      </c>
    </row>
    <row r="4725" spans="1:13" x14ac:dyDescent="0.25">
      <c r="D4725" s="13">
        <v>254</v>
      </c>
      <c r="E4725" s="136" t="str">
        <f>INDEX([1]道具配置表!$D:$D,MATCH(D4725,[1]道具配置表!$A:$A,0))</f>
        <v>10万黄金</v>
      </c>
      <c r="F4725" s="13">
        <v>12</v>
      </c>
      <c r="K4725" s="13">
        <v>1</v>
      </c>
      <c r="M4725" s="63" t="b">
        <v>1</v>
      </c>
    </row>
    <row r="4726" spans="1:13" x14ac:dyDescent="0.25">
      <c r="A4726" s="13">
        <v>6641001</v>
      </c>
      <c r="B4726" s="13" t="s">
        <v>1071</v>
      </c>
      <c r="D4726" s="13">
        <v>6121</v>
      </c>
      <c r="E4726" s="136" t="str">
        <f>INDEX([1]道具配置表!$D:$D,MATCH(D4726,[1]道具配置表!$A:$A,0))</f>
        <v>5分钟建造加速</v>
      </c>
      <c r="F4726" s="13">
        <v>2</v>
      </c>
      <c r="K4726" s="13">
        <v>1</v>
      </c>
      <c r="M4726" s="68" t="b">
        <v>1</v>
      </c>
    </row>
    <row r="4727" spans="1:13" x14ac:dyDescent="0.25">
      <c r="D4727" s="13">
        <v>502</v>
      </c>
      <c r="E4727" s="136" t="str">
        <f>INDEX([1]道具配置表!$D:$D,MATCH(D4727,[1]道具配置表!$A:$A,0))</f>
        <v>1万资源自选宝箱</v>
      </c>
      <c r="F4727" s="13">
        <v>2</v>
      </c>
      <c r="K4727" s="13">
        <v>1</v>
      </c>
      <c r="M4727" s="68" t="b">
        <v>1</v>
      </c>
    </row>
    <row r="4728" spans="1:13" x14ac:dyDescent="0.25">
      <c r="A4728" s="13">
        <v>6641002</v>
      </c>
      <c r="B4728" s="13" t="s">
        <v>1072</v>
      </c>
      <c r="D4728" s="13">
        <v>6121</v>
      </c>
      <c r="E4728" s="136" t="str">
        <f>INDEX([1]道具配置表!$D:$D,MATCH(D4728,[1]道具配置表!$A:$A,0))</f>
        <v>5分钟建造加速</v>
      </c>
      <c r="F4728" s="13">
        <v>3</v>
      </c>
      <c r="K4728" s="13">
        <v>1</v>
      </c>
      <c r="M4728" s="68" t="b">
        <v>1</v>
      </c>
    </row>
    <row r="4729" spans="1:13" x14ac:dyDescent="0.25">
      <c r="D4729" s="13">
        <v>502</v>
      </c>
      <c r="E4729" s="136" t="str">
        <f>INDEX([1]道具配置表!$D:$D,MATCH(D4729,[1]道具配置表!$A:$A,0))</f>
        <v>1万资源自选宝箱</v>
      </c>
      <c r="F4729" s="13">
        <v>3</v>
      </c>
      <c r="K4729" s="13">
        <v>1</v>
      </c>
      <c r="M4729" s="68" t="b">
        <v>1</v>
      </c>
    </row>
    <row r="4730" spans="1:13" x14ac:dyDescent="0.25">
      <c r="A4730" s="13">
        <v>6641003</v>
      </c>
      <c r="B4730" s="13" t="s">
        <v>1073</v>
      </c>
      <c r="D4730" s="13">
        <v>6121</v>
      </c>
      <c r="E4730" s="136" t="str">
        <f>INDEX([1]道具配置表!$D:$D,MATCH(D4730,[1]道具配置表!$A:$A,0))</f>
        <v>5分钟建造加速</v>
      </c>
      <c r="F4730" s="13">
        <v>5</v>
      </c>
      <c r="K4730" s="13">
        <v>1</v>
      </c>
      <c r="M4730" s="68" t="b">
        <v>1</v>
      </c>
    </row>
    <row r="4731" spans="1:13" x14ac:dyDescent="0.25">
      <c r="D4731" s="13">
        <v>502</v>
      </c>
      <c r="E4731" s="136" t="str">
        <f>INDEX([1]道具配置表!$D:$D,MATCH(D4731,[1]道具配置表!$A:$A,0))</f>
        <v>1万资源自选宝箱</v>
      </c>
      <c r="F4731" s="13">
        <v>5</v>
      </c>
      <c r="K4731" s="13">
        <v>1</v>
      </c>
      <c r="M4731" s="68" t="b">
        <v>1</v>
      </c>
    </row>
    <row r="4732" spans="1:13" x14ac:dyDescent="0.25">
      <c r="A4732" s="13">
        <v>6641004</v>
      </c>
      <c r="B4732" s="13" t="s">
        <v>1074</v>
      </c>
      <c r="D4732" s="13">
        <v>6121</v>
      </c>
      <c r="E4732" s="136" t="str">
        <f>INDEX([1]道具配置表!$D:$D,MATCH(D4732,[1]道具配置表!$A:$A,0))</f>
        <v>5分钟建造加速</v>
      </c>
      <c r="F4732" s="13">
        <v>6</v>
      </c>
      <c r="K4732" s="13">
        <v>1</v>
      </c>
      <c r="M4732" s="68" t="b">
        <v>1</v>
      </c>
    </row>
    <row r="4733" spans="1:13" x14ac:dyDescent="0.25">
      <c r="D4733" s="13">
        <v>502</v>
      </c>
      <c r="E4733" s="136" t="str">
        <f>INDEX([1]道具配置表!$D:$D,MATCH(D4733,[1]道具配置表!$A:$A,0))</f>
        <v>1万资源自选宝箱</v>
      </c>
      <c r="F4733" s="13">
        <v>6</v>
      </c>
      <c r="K4733" s="13">
        <v>1</v>
      </c>
      <c r="M4733" s="68" t="b">
        <v>1</v>
      </c>
    </row>
    <row r="4734" spans="1:13" x14ac:dyDescent="0.25">
      <c r="A4734" s="13">
        <v>6641005</v>
      </c>
      <c r="B4734" s="13" t="s">
        <v>1075</v>
      </c>
      <c r="D4734" s="13">
        <v>6121</v>
      </c>
      <c r="E4734" s="136" t="str">
        <f>INDEX([1]道具配置表!$D:$D,MATCH(D4734,[1]道具配置表!$A:$A,0))</f>
        <v>5分钟建造加速</v>
      </c>
      <c r="F4734" s="13">
        <v>7</v>
      </c>
      <c r="K4734" s="13">
        <v>1</v>
      </c>
      <c r="M4734" s="68" t="b">
        <v>1</v>
      </c>
    </row>
    <row r="4735" spans="1:13" x14ac:dyDescent="0.25">
      <c r="D4735" s="13">
        <v>502</v>
      </c>
      <c r="E4735" s="136" t="str">
        <f>INDEX([1]道具配置表!$D:$D,MATCH(D4735,[1]道具配置表!$A:$A,0))</f>
        <v>1万资源自选宝箱</v>
      </c>
      <c r="F4735" s="13">
        <v>7</v>
      </c>
      <c r="K4735" s="13">
        <v>1</v>
      </c>
      <c r="M4735" s="68" t="b">
        <v>1</v>
      </c>
    </row>
    <row r="4736" spans="1:13" x14ac:dyDescent="0.25">
      <c r="A4736" s="13">
        <v>6641006</v>
      </c>
      <c r="B4736" s="13" t="s">
        <v>1076</v>
      </c>
      <c r="D4736" s="13">
        <v>6121</v>
      </c>
      <c r="E4736" s="136" t="str">
        <f>INDEX([1]道具配置表!$D:$D,MATCH(D4736,[1]道具配置表!$A:$A,0))</f>
        <v>5分钟建造加速</v>
      </c>
      <c r="F4736" s="13">
        <v>8</v>
      </c>
      <c r="K4736" s="13">
        <v>1</v>
      </c>
      <c r="M4736" s="68" t="b">
        <v>1</v>
      </c>
    </row>
    <row r="4737" spans="1:13" x14ac:dyDescent="0.25">
      <c r="D4737" s="13">
        <v>502</v>
      </c>
      <c r="E4737" s="136" t="str">
        <f>INDEX([1]道具配置表!$D:$D,MATCH(D4737,[1]道具配置表!$A:$A,0))</f>
        <v>1万资源自选宝箱</v>
      </c>
      <c r="F4737" s="13">
        <v>8</v>
      </c>
      <c r="K4737" s="13">
        <v>1</v>
      </c>
      <c r="M4737" s="68" t="b">
        <v>1</v>
      </c>
    </row>
    <row r="4738" spans="1:13" x14ac:dyDescent="0.25">
      <c r="A4738" s="13">
        <v>6641007</v>
      </c>
      <c r="B4738" s="13" t="s">
        <v>1077</v>
      </c>
      <c r="D4738" s="13">
        <v>6121</v>
      </c>
      <c r="E4738" s="136" t="str">
        <f>INDEX([1]道具配置表!$D:$D,MATCH(D4738,[1]道具配置表!$A:$A,0))</f>
        <v>5分钟建造加速</v>
      </c>
      <c r="F4738" s="13">
        <v>10</v>
      </c>
      <c r="K4738" s="13">
        <v>1</v>
      </c>
      <c r="M4738" s="68" t="b">
        <v>1</v>
      </c>
    </row>
    <row r="4739" spans="1:13" x14ac:dyDescent="0.25">
      <c r="D4739" s="13">
        <v>502</v>
      </c>
      <c r="E4739" s="136" t="str">
        <f>INDEX([1]道具配置表!$D:$D,MATCH(D4739,[1]道具配置表!$A:$A,0))</f>
        <v>1万资源自选宝箱</v>
      </c>
      <c r="F4739" s="13">
        <v>10</v>
      </c>
      <c r="K4739" s="13">
        <v>1</v>
      </c>
      <c r="M4739" s="68" t="b">
        <v>1</v>
      </c>
    </row>
    <row r="4740" spans="1:13" x14ac:dyDescent="0.25">
      <c r="A4740" s="13">
        <v>6641101</v>
      </c>
      <c r="B4740" s="13" t="s">
        <v>1078</v>
      </c>
      <c r="D4740" s="13">
        <v>6121</v>
      </c>
      <c r="E4740" s="136" t="str">
        <f>INDEX([1]道具配置表!$D:$D,MATCH(D4740,[1]道具配置表!$A:$A,0))</f>
        <v>5分钟建造加速</v>
      </c>
      <c r="F4740" s="13">
        <v>3</v>
      </c>
      <c r="K4740" s="13">
        <v>1</v>
      </c>
      <c r="M4740" s="68" t="b">
        <v>1</v>
      </c>
    </row>
    <row r="4741" spans="1:13" x14ac:dyDescent="0.25">
      <c r="D4741" s="13">
        <v>502</v>
      </c>
      <c r="E4741" s="136" t="str">
        <f>INDEX([1]道具配置表!$D:$D,MATCH(D4741,[1]道具配置表!$A:$A,0))</f>
        <v>1万资源自选宝箱</v>
      </c>
      <c r="F4741" s="13">
        <v>4</v>
      </c>
      <c r="K4741" s="13">
        <v>1</v>
      </c>
      <c r="M4741" s="68" t="b">
        <v>1</v>
      </c>
    </row>
    <row r="4742" spans="1:13" x14ac:dyDescent="0.25">
      <c r="A4742" s="13">
        <v>6641102</v>
      </c>
      <c r="B4742" s="13" t="s">
        <v>1079</v>
      </c>
      <c r="D4742" s="13">
        <v>6121</v>
      </c>
      <c r="E4742" s="136" t="str">
        <f>INDEX([1]道具配置表!$D:$D,MATCH(D4742,[1]道具配置表!$A:$A,0))</f>
        <v>5分钟建造加速</v>
      </c>
      <c r="F4742" s="13">
        <v>4</v>
      </c>
      <c r="K4742" s="13">
        <v>1</v>
      </c>
      <c r="M4742" s="68" t="b">
        <v>1</v>
      </c>
    </row>
    <row r="4743" spans="1:13" x14ac:dyDescent="0.25">
      <c r="D4743" s="13">
        <v>502</v>
      </c>
      <c r="E4743" s="136" t="str">
        <f>INDEX([1]道具配置表!$D:$D,MATCH(D4743,[1]道具配置表!$A:$A,0))</f>
        <v>1万资源自选宝箱</v>
      </c>
      <c r="F4743" s="13">
        <v>5</v>
      </c>
      <c r="K4743" s="13">
        <v>1</v>
      </c>
      <c r="M4743" s="68" t="b">
        <v>1</v>
      </c>
    </row>
    <row r="4744" spans="1:13" x14ac:dyDescent="0.25">
      <c r="A4744" s="13">
        <v>6641103</v>
      </c>
      <c r="B4744" s="13" t="s">
        <v>1080</v>
      </c>
      <c r="D4744" s="13">
        <v>6121</v>
      </c>
      <c r="E4744" s="136" t="str">
        <f>INDEX([1]道具配置表!$D:$D,MATCH(D4744,[1]道具配置表!$A:$A,0))</f>
        <v>5分钟建造加速</v>
      </c>
      <c r="F4744" s="13">
        <v>6</v>
      </c>
      <c r="K4744" s="13">
        <v>1</v>
      </c>
      <c r="M4744" s="68" t="b">
        <v>1</v>
      </c>
    </row>
    <row r="4745" spans="1:13" x14ac:dyDescent="0.25">
      <c r="D4745" s="13">
        <v>502</v>
      </c>
      <c r="E4745" s="136" t="str">
        <f>INDEX([1]道具配置表!$D:$D,MATCH(D4745,[1]道具配置表!$A:$A,0))</f>
        <v>1万资源自选宝箱</v>
      </c>
      <c r="F4745" s="13">
        <v>7</v>
      </c>
      <c r="K4745" s="13">
        <v>1</v>
      </c>
      <c r="M4745" s="68" t="b">
        <v>1</v>
      </c>
    </row>
    <row r="4746" spans="1:13" x14ac:dyDescent="0.25">
      <c r="A4746" s="13">
        <v>6641104</v>
      </c>
      <c r="B4746" s="13" t="s">
        <v>1081</v>
      </c>
      <c r="D4746" s="13">
        <v>6121</v>
      </c>
      <c r="E4746" s="136" t="str">
        <f>INDEX([1]道具配置表!$D:$D,MATCH(D4746,[1]道具配置表!$A:$A,0))</f>
        <v>5分钟建造加速</v>
      </c>
      <c r="F4746" s="13">
        <v>7</v>
      </c>
      <c r="K4746" s="13">
        <v>1</v>
      </c>
      <c r="M4746" s="68" t="b">
        <v>1</v>
      </c>
    </row>
    <row r="4747" spans="1:13" x14ac:dyDescent="0.25">
      <c r="D4747" s="13">
        <v>502</v>
      </c>
      <c r="E4747" s="136" t="str">
        <f>INDEX([1]道具配置表!$D:$D,MATCH(D4747,[1]道具配置表!$A:$A,0))</f>
        <v>1万资源自选宝箱</v>
      </c>
      <c r="F4747" s="13">
        <v>8</v>
      </c>
      <c r="K4747" s="13">
        <v>1</v>
      </c>
      <c r="M4747" s="68" t="b">
        <v>1</v>
      </c>
    </row>
    <row r="4748" spans="1:13" x14ac:dyDescent="0.25">
      <c r="A4748" s="13">
        <v>6641105</v>
      </c>
      <c r="B4748" s="13" t="s">
        <v>1082</v>
      </c>
      <c r="D4748" s="13">
        <v>6121</v>
      </c>
      <c r="E4748" s="136" t="str">
        <f>INDEX([1]道具配置表!$D:$D,MATCH(D4748,[1]道具配置表!$A:$A,0))</f>
        <v>5分钟建造加速</v>
      </c>
      <c r="F4748" s="13">
        <v>8</v>
      </c>
      <c r="K4748" s="13">
        <v>1</v>
      </c>
      <c r="M4748" s="68" t="b">
        <v>1</v>
      </c>
    </row>
    <row r="4749" spans="1:13" x14ac:dyDescent="0.25">
      <c r="D4749" s="13">
        <v>502</v>
      </c>
      <c r="E4749" s="136" t="str">
        <f>INDEX([1]道具配置表!$D:$D,MATCH(D4749,[1]道具配置表!$A:$A,0))</f>
        <v>1万资源自选宝箱</v>
      </c>
      <c r="F4749" s="13">
        <v>9</v>
      </c>
      <c r="K4749" s="13">
        <v>1</v>
      </c>
      <c r="M4749" s="68" t="b">
        <v>1</v>
      </c>
    </row>
    <row r="4750" spans="1:13" x14ac:dyDescent="0.25">
      <c r="A4750" s="13">
        <v>6641106</v>
      </c>
      <c r="B4750" s="13" t="s">
        <v>1083</v>
      </c>
      <c r="D4750" s="13">
        <v>6121</v>
      </c>
      <c r="E4750" s="136" t="str">
        <f>INDEX([1]道具配置表!$D:$D,MATCH(D4750,[1]道具配置表!$A:$A,0))</f>
        <v>5分钟建造加速</v>
      </c>
      <c r="F4750" s="13">
        <v>9</v>
      </c>
      <c r="K4750" s="13">
        <v>1</v>
      </c>
      <c r="M4750" s="68" t="b">
        <v>1</v>
      </c>
    </row>
    <row r="4751" spans="1:13" x14ac:dyDescent="0.25">
      <c r="D4751" s="13">
        <v>502</v>
      </c>
      <c r="E4751" s="136" t="str">
        <f>INDEX([1]道具配置表!$D:$D,MATCH(D4751,[1]道具配置表!$A:$A,0))</f>
        <v>1万资源自选宝箱</v>
      </c>
      <c r="F4751" s="13">
        <v>10</v>
      </c>
      <c r="K4751" s="13">
        <v>1</v>
      </c>
      <c r="M4751" s="68" t="b">
        <v>1</v>
      </c>
    </row>
    <row r="4752" spans="1:13" x14ac:dyDescent="0.25">
      <c r="A4752" s="13">
        <v>6641107</v>
      </c>
      <c r="B4752" s="13" t="s">
        <v>1084</v>
      </c>
      <c r="D4752" s="13">
        <v>6121</v>
      </c>
      <c r="E4752" s="136" t="str">
        <f>INDEX([1]道具配置表!$D:$D,MATCH(D4752,[1]道具配置表!$A:$A,0))</f>
        <v>5分钟建造加速</v>
      </c>
      <c r="F4752" s="13">
        <v>11</v>
      </c>
      <c r="K4752" s="13">
        <v>1</v>
      </c>
      <c r="M4752" s="68" t="b">
        <v>1</v>
      </c>
    </row>
    <row r="4753" spans="1:13" x14ac:dyDescent="0.25">
      <c r="D4753" s="13">
        <v>502</v>
      </c>
      <c r="E4753" s="136" t="str">
        <f>INDEX([1]道具配置表!$D:$D,MATCH(D4753,[1]道具配置表!$A:$A,0))</f>
        <v>1万资源自选宝箱</v>
      </c>
      <c r="F4753" s="13">
        <v>12</v>
      </c>
      <c r="K4753" s="13">
        <v>1</v>
      </c>
      <c r="M4753" s="68" t="b">
        <v>1</v>
      </c>
    </row>
    <row r="4754" spans="1:13" x14ac:dyDescent="0.25">
      <c r="A4754" s="13">
        <v>6641201</v>
      </c>
      <c r="B4754" s="13" t="s">
        <v>1085</v>
      </c>
      <c r="D4754" s="13">
        <v>6122</v>
      </c>
      <c r="E4754" s="136" t="str">
        <f>INDEX([1]道具配置表!$D:$D,MATCH(D4754,[1]道具配置表!$A:$A,0))</f>
        <v>10分钟建造加速</v>
      </c>
      <c r="F4754" s="13">
        <v>2</v>
      </c>
      <c r="K4754" s="13">
        <v>1</v>
      </c>
      <c r="M4754" s="68" t="b">
        <v>1</v>
      </c>
    </row>
    <row r="4755" spans="1:13" x14ac:dyDescent="0.25">
      <c r="D4755" s="13">
        <v>502</v>
      </c>
      <c r="E4755" s="136" t="str">
        <f>INDEX([1]道具配置表!$D:$D,MATCH(D4755,[1]道具配置表!$A:$A,0))</f>
        <v>1万资源自选宝箱</v>
      </c>
      <c r="F4755" s="13">
        <v>5</v>
      </c>
      <c r="K4755" s="13">
        <v>1</v>
      </c>
      <c r="M4755" s="68" t="b">
        <v>1</v>
      </c>
    </row>
    <row r="4756" spans="1:13" x14ac:dyDescent="0.25">
      <c r="A4756" s="13">
        <v>6641202</v>
      </c>
      <c r="B4756" s="13" t="s">
        <v>1086</v>
      </c>
      <c r="D4756" s="13">
        <v>6122</v>
      </c>
      <c r="E4756" s="136" t="str">
        <f>INDEX([1]道具配置表!$D:$D,MATCH(D4756,[1]道具配置表!$A:$A,0))</f>
        <v>10分钟建造加速</v>
      </c>
      <c r="F4756" s="13">
        <v>3</v>
      </c>
      <c r="K4756" s="13">
        <v>1</v>
      </c>
      <c r="M4756" s="68" t="b">
        <v>1</v>
      </c>
    </row>
    <row r="4757" spans="1:13" x14ac:dyDescent="0.25">
      <c r="D4757" s="13">
        <v>502</v>
      </c>
      <c r="E4757" s="136" t="str">
        <f>INDEX([1]道具配置表!$D:$D,MATCH(D4757,[1]道具配置表!$A:$A,0))</f>
        <v>1万资源自选宝箱</v>
      </c>
      <c r="F4757" s="13">
        <v>6</v>
      </c>
      <c r="K4757" s="13">
        <v>1</v>
      </c>
      <c r="M4757" s="68" t="b">
        <v>1</v>
      </c>
    </row>
    <row r="4758" spans="1:13" x14ac:dyDescent="0.25">
      <c r="A4758" s="13">
        <v>6641203</v>
      </c>
      <c r="B4758" s="13" t="s">
        <v>1087</v>
      </c>
      <c r="D4758" s="13">
        <v>6122</v>
      </c>
      <c r="E4758" s="136" t="str">
        <f>INDEX([1]道具配置表!$D:$D,MATCH(D4758,[1]道具配置表!$A:$A,0))</f>
        <v>10分钟建造加速</v>
      </c>
      <c r="F4758" s="13">
        <v>5</v>
      </c>
      <c r="K4758" s="13">
        <v>1</v>
      </c>
      <c r="M4758" s="68" t="b">
        <v>1</v>
      </c>
    </row>
    <row r="4759" spans="1:13" x14ac:dyDescent="0.25">
      <c r="D4759" s="13">
        <v>502</v>
      </c>
      <c r="E4759" s="136" t="str">
        <f>INDEX([1]道具配置表!$D:$D,MATCH(D4759,[1]道具配置表!$A:$A,0))</f>
        <v>1万资源自选宝箱</v>
      </c>
      <c r="F4759" s="13">
        <v>8</v>
      </c>
      <c r="K4759" s="13">
        <v>1</v>
      </c>
      <c r="M4759" s="68" t="b">
        <v>1</v>
      </c>
    </row>
    <row r="4760" spans="1:13" x14ac:dyDescent="0.25">
      <c r="A4760" s="13">
        <v>6641204</v>
      </c>
      <c r="B4760" s="13" t="s">
        <v>1088</v>
      </c>
      <c r="D4760" s="13">
        <v>6122</v>
      </c>
      <c r="E4760" s="136" t="str">
        <f>INDEX([1]道具配置表!$D:$D,MATCH(D4760,[1]道具配置表!$A:$A,0))</f>
        <v>10分钟建造加速</v>
      </c>
      <c r="F4760" s="13">
        <v>6</v>
      </c>
      <c r="K4760" s="13">
        <v>1</v>
      </c>
      <c r="M4760" s="68" t="b">
        <v>1</v>
      </c>
    </row>
    <row r="4761" spans="1:13" x14ac:dyDescent="0.25">
      <c r="D4761" s="13">
        <v>502</v>
      </c>
      <c r="E4761" s="136" t="str">
        <f>INDEX([1]道具配置表!$D:$D,MATCH(D4761,[1]道具配置表!$A:$A,0))</f>
        <v>1万资源自选宝箱</v>
      </c>
      <c r="F4761" s="13">
        <v>9</v>
      </c>
      <c r="K4761" s="13">
        <v>1</v>
      </c>
      <c r="M4761" s="68" t="b">
        <v>1</v>
      </c>
    </row>
    <row r="4762" spans="1:13" x14ac:dyDescent="0.25">
      <c r="A4762" s="13">
        <v>6641205</v>
      </c>
      <c r="B4762" s="13" t="s">
        <v>1089</v>
      </c>
      <c r="D4762" s="13">
        <v>6122</v>
      </c>
      <c r="E4762" s="136" t="str">
        <f>INDEX([1]道具配置表!$D:$D,MATCH(D4762,[1]道具配置表!$A:$A,0))</f>
        <v>10分钟建造加速</v>
      </c>
      <c r="F4762" s="13">
        <v>7</v>
      </c>
      <c r="K4762" s="13">
        <v>1</v>
      </c>
      <c r="M4762" s="68" t="b">
        <v>1</v>
      </c>
    </row>
    <row r="4763" spans="1:13" x14ac:dyDescent="0.25">
      <c r="D4763" s="13">
        <v>502</v>
      </c>
      <c r="E4763" s="136" t="str">
        <f>INDEX([1]道具配置表!$D:$D,MATCH(D4763,[1]道具配置表!$A:$A,0))</f>
        <v>1万资源自选宝箱</v>
      </c>
      <c r="F4763" s="13">
        <v>10</v>
      </c>
      <c r="K4763" s="13">
        <v>1</v>
      </c>
      <c r="M4763" s="68" t="b">
        <v>1</v>
      </c>
    </row>
    <row r="4764" spans="1:13" x14ac:dyDescent="0.25">
      <c r="A4764" s="13">
        <v>6641206</v>
      </c>
      <c r="B4764" s="13" t="s">
        <v>1090</v>
      </c>
      <c r="D4764" s="13">
        <v>6122</v>
      </c>
      <c r="E4764" s="136" t="str">
        <f>INDEX([1]道具配置表!$D:$D,MATCH(D4764,[1]道具配置表!$A:$A,0))</f>
        <v>10分钟建造加速</v>
      </c>
      <c r="F4764" s="13">
        <v>8</v>
      </c>
      <c r="K4764" s="13">
        <v>1</v>
      </c>
      <c r="M4764" s="68" t="b">
        <v>1</v>
      </c>
    </row>
    <row r="4765" spans="1:13" x14ac:dyDescent="0.25">
      <c r="D4765" s="13">
        <v>502</v>
      </c>
      <c r="E4765" s="136" t="str">
        <f>INDEX([1]道具配置表!$D:$D,MATCH(D4765,[1]道具配置表!$A:$A,0))</f>
        <v>1万资源自选宝箱</v>
      </c>
      <c r="F4765" s="13">
        <v>11</v>
      </c>
      <c r="K4765" s="13">
        <v>1</v>
      </c>
      <c r="M4765" s="68" t="b">
        <v>1</v>
      </c>
    </row>
    <row r="4766" spans="1:13" x14ac:dyDescent="0.25">
      <c r="A4766" s="13">
        <v>6641207</v>
      </c>
      <c r="B4766" s="13" t="s">
        <v>1091</v>
      </c>
      <c r="D4766" s="13">
        <v>6122</v>
      </c>
      <c r="E4766" s="136" t="str">
        <f>INDEX([1]道具配置表!$D:$D,MATCH(D4766,[1]道具配置表!$A:$A,0))</f>
        <v>10分钟建造加速</v>
      </c>
      <c r="F4766" s="13">
        <v>10</v>
      </c>
      <c r="K4766" s="13">
        <v>1</v>
      </c>
      <c r="M4766" s="68" t="b">
        <v>1</v>
      </c>
    </row>
    <row r="4767" spans="1:13" x14ac:dyDescent="0.25">
      <c r="D4767" s="13">
        <v>502</v>
      </c>
      <c r="E4767" s="136" t="str">
        <f>INDEX([1]道具配置表!$D:$D,MATCH(D4767,[1]道具配置表!$A:$A,0))</f>
        <v>1万资源自选宝箱</v>
      </c>
      <c r="F4767" s="13">
        <v>13</v>
      </c>
      <c r="K4767" s="13">
        <v>1</v>
      </c>
      <c r="M4767" s="68" t="b">
        <v>1</v>
      </c>
    </row>
    <row r="4768" spans="1:13" x14ac:dyDescent="0.25">
      <c r="A4768" s="13">
        <v>6641301</v>
      </c>
      <c r="B4768" s="13" t="s">
        <v>1064</v>
      </c>
      <c r="D4768" s="13">
        <v>7003</v>
      </c>
      <c r="E4768" s="136" t="str">
        <f>INDEX([1]道具配置表!$D:$D,MATCH(D4768,[1]道具配置表!$A:$A,0))</f>
        <v>1银币（立即使用，不进背包）</v>
      </c>
      <c r="F4768" s="13">
        <v>100</v>
      </c>
      <c r="K4768" s="13">
        <v>1</v>
      </c>
      <c r="M4768" s="68" t="b">
        <v>1</v>
      </c>
    </row>
    <row r="4769" spans="1:13" x14ac:dyDescent="0.25">
      <c r="D4769" s="13">
        <v>6122</v>
      </c>
      <c r="E4769" s="136" t="str">
        <f>INDEX([1]道具配置表!$D:$D,MATCH(D4769,[1]道具配置表!$A:$A,0))</f>
        <v>10分钟建造加速</v>
      </c>
      <c r="F4769" s="13">
        <v>4</v>
      </c>
      <c r="K4769" s="13">
        <v>1</v>
      </c>
      <c r="M4769" s="68" t="b">
        <v>1</v>
      </c>
    </row>
    <row r="4770" spans="1:13" x14ac:dyDescent="0.25">
      <c r="D4770" s="13">
        <v>502</v>
      </c>
      <c r="E4770" s="136" t="str">
        <f>INDEX([1]道具配置表!$D:$D,MATCH(D4770,[1]道具配置表!$A:$A,0))</f>
        <v>1万资源自选宝箱</v>
      </c>
      <c r="F4770" s="13">
        <v>6</v>
      </c>
      <c r="K4770" s="13">
        <v>1</v>
      </c>
      <c r="M4770" s="68" t="b">
        <v>1</v>
      </c>
    </row>
    <row r="4771" spans="1:13" x14ac:dyDescent="0.25">
      <c r="A4771" s="13">
        <v>6641302</v>
      </c>
      <c r="B4771" s="13" t="s">
        <v>1065</v>
      </c>
      <c r="D4771" s="13">
        <v>7003</v>
      </c>
      <c r="E4771" s="136" t="str">
        <f>INDEX([1]道具配置表!$D:$D,MATCH(D4771,[1]道具配置表!$A:$A,0))</f>
        <v>1银币（立即使用，不进背包）</v>
      </c>
      <c r="F4771" s="13">
        <v>150</v>
      </c>
      <c r="K4771" s="13">
        <v>1</v>
      </c>
      <c r="M4771" s="68" t="b">
        <v>1</v>
      </c>
    </row>
    <row r="4772" spans="1:13" x14ac:dyDescent="0.25">
      <c r="D4772" s="13">
        <v>6122</v>
      </c>
      <c r="E4772" s="136" t="str">
        <f>INDEX([1]道具配置表!$D:$D,MATCH(D4772,[1]道具配置表!$A:$A,0))</f>
        <v>10分钟建造加速</v>
      </c>
      <c r="F4772" s="13">
        <v>6</v>
      </c>
      <c r="K4772" s="13">
        <v>1</v>
      </c>
      <c r="M4772" s="68" t="b">
        <v>1</v>
      </c>
    </row>
    <row r="4773" spans="1:13" x14ac:dyDescent="0.25">
      <c r="D4773" s="13">
        <v>502</v>
      </c>
      <c r="E4773" s="136" t="str">
        <f>INDEX([1]道具配置表!$D:$D,MATCH(D4773,[1]道具配置表!$A:$A,0))</f>
        <v>1万资源自选宝箱</v>
      </c>
      <c r="F4773" s="13">
        <v>10</v>
      </c>
      <c r="K4773" s="13">
        <v>1</v>
      </c>
      <c r="M4773" s="68" t="b">
        <v>1</v>
      </c>
    </row>
    <row r="4774" spans="1:13" x14ac:dyDescent="0.25">
      <c r="A4774" s="13">
        <v>6641303</v>
      </c>
      <c r="B4774" s="13" t="s">
        <v>1066</v>
      </c>
      <c r="D4774" s="13">
        <v>7003</v>
      </c>
      <c r="E4774" s="136" t="str">
        <f>INDEX([1]道具配置表!$D:$D,MATCH(D4774,[1]道具配置表!$A:$A,0))</f>
        <v>1银币（立即使用，不进背包）</v>
      </c>
      <c r="F4774" s="13">
        <v>200</v>
      </c>
      <c r="K4774" s="13">
        <v>1</v>
      </c>
      <c r="M4774" s="68" t="b">
        <v>1</v>
      </c>
    </row>
    <row r="4775" spans="1:13" x14ac:dyDescent="0.25">
      <c r="D4775" s="13">
        <v>6122</v>
      </c>
      <c r="E4775" s="136" t="str">
        <f>INDEX([1]道具配置表!$D:$D,MATCH(D4775,[1]道具配置表!$A:$A,0))</f>
        <v>10分钟建造加速</v>
      </c>
      <c r="F4775" s="13">
        <v>10</v>
      </c>
      <c r="K4775" s="13">
        <v>1</v>
      </c>
      <c r="M4775" s="68" t="b">
        <v>1</v>
      </c>
    </row>
    <row r="4776" spans="1:13" x14ac:dyDescent="0.25">
      <c r="D4776" s="13">
        <v>502</v>
      </c>
      <c r="E4776" s="136" t="str">
        <f>INDEX([1]道具配置表!$D:$D,MATCH(D4776,[1]道具配置表!$A:$A,0))</f>
        <v>1万资源自选宝箱</v>
      </c>
      <c r="F4776" s="13">
        <v>15</v>
      </c>
      <c r="K4776" s="13">
        <v>1</v>
      </c>
      <c r="M4776" s="68" t="b">
        <v>1</v>
      </c>
    </row>
    <row r="4777" spans="1:13" x14ac:dyDescent="0.25">
      <c r="A4777" s="13">
        <v>6641304</v>
      </c>
      <c r="B4777" s="13" t="s">
        <v>1067</v>
      </c>
      <c r="D4777" s="13">
        <v>7003</v>
      </c>
      <c r="E4777" s="136" t="str">
        <f>INDEX([1]道具配置表!$D:$D,MATCH(D4777,[1]道具配置表!$A:$A,0))</f>
        <v>1银币（立即使用，不进背包）</v>
      </c>
      <c r="F4777" s="13">
        <v>250</v>
      </c>
      <c r="K4777" s="13">
        <v>1</v>
      </c>
      <c r="M4777" s="68" t="b">
        <v>1</v>
      </c>
    </row>
    <row r="4778" spans="1:13" x14ac:dyDescent="0.25">
      <c r="D4778" s="13">
        <v>6122</v>
      </c>
      <c r="E4778" s="136" t="str">
        <f>INDEX([1]道具配置表!$D:$D,MATCH(D4778,[1]道具配置表!$A:$A,0))</f>
        <v>10分钟建造加速</v>
      </c>
      <c r="F4778" s="13">
        <v>12</v>
      </c>
      <c r="K4778" s="13">
        <v>1</v>
      </c>
      <c r="M4778" s="68" t="b">
        <v>1</v>
      </c>
    </row>
    <row r="4779" spans="1:13" x14ac:dyDescent="0.25">
      <c r="D4779" s="13">
        <v>502</v>
      </c>
      <c r="E4779" s="136" t="str">
        <f>INDEX([1]道具配置表!$D:$D,MATCH(D4779,[1]道具配置表!$A:$A,0))</f>
        <v>1万资源自选宝箱</v>
      </c>
      <c r="F4779" s="13">
        <v>20</v>
      </c>
      <c r="K4779" s="13">
        <v>1</v>
      </c>
      <c r="M4779" s="68" t="b">
        <v>1</v>
      </c>
    </row>
    <row r="4780" spans="1:13" x14ac:dyDescent="0.25">
      <c r="A4780" s="13">
        <v>6641305</v>
      </c>
      <c r="B4780" s="13" t="s">
        <v>1068</v>
      </c>
      <c r="D4780" s="13">
        <v>7003</v>
      </c>
      <c r="E4780" s="136" t="str">
        <f>INDEX([1]道具配置表!$D:$D,MATCH(D4780,[1]道具配置表!$A:$A,0))</f>
        <v>1银币（立即使用，不进背包）</v>
      </c>
      <c r="F4780" s="13">
        <v>300</v>
      </c>
      <c r="K4780" s="13">
        <v>1</v>
      </c>
      <c r="M4780" s="68" t="b">
        <v>1</v>
      </c>
    </row>
    <row r="4781" spans="1:13" x14ac:dyDescent="0.25">
      <c r="D4781" s="13">
        <v>6122</v>
      </c>
      <c r="E4781" s="136" t="str">
        <f>INDEX([1]道具配置表!$D:$D,MATCH(D4781,[1]道具配置表!$A:$A,0))</f>
        <v>10分钟建造加速</v>
      </c>
      <c r="F4781" s="13">
        <v>14</v>
      </c>
      <c r="K4781" s="13">
        <v>1</v>
      </c>
      <c r="M4781" s="68" t="b">
        <v>1</v>
      </c>
    </row>
    <row r="4782" spans="1:13" x14ac:dyDescent="0.25">
      <c r="D4782" s="13">
        <v>502</v>
      </c>
      <c r="E4782" s="136" t="str">
        <f>INDEX([1]道具配置表!$D:$D,MATCH(D4782,[1]道具配置表!$A:$A,0))</f>
        <v>1万资源自选宝箱</v>
      </c>
      <c r="F4782" s="13">
        <v>25</v>
      </c>
      <c r="K4782" s="13">
        <v>1</v>
      </c>
      <c r="M4782" s="68" t="b">
        <v>1</v>
      </c>
    </row>
    <row r="4783" spans="1:13" x14ac:dyDescent="0.25">
      <c r="A4783" s="13">
        <v>6641306</v>
      </c>
      <c r="B4783" s="13" t="s">
        <v>1069</v>
      </c>
      <c r="D4783" s="13">
        <v>7003</v>
      </c>
      <c r="E4783" s="136" t="str">
        <f>INDEX([1]道具配置表!$D:$D,MATCH(D4783,[1]道具配置表!$A:$A,0))</f>
        <v>1银币（立即使用，不进背包）</v>
      </c>
      <c r="F4783" s="13">
        <v>400</v>
      </c>
      <c r="K4783" s="13">
        <v>1</v>
      </c>
      <c r="M4783" s="68" t="b">
        <v>1</v>
      </c>
    </row>
    <row r="4784" spans="1:13" x14ac:dyDescent="0.25">
      <c r="D4784" s="13">
        <v>6122</v>
      </c>
      <c r="E4784" s="136" t="str">
        <f>INDEX([1]道具配置表!$D:$D,MATCH(D4784,[1]道具配置表!$A:$A,0))</f>
        <v>10分钟建造加速</v>
      </c>
      <c r="F4784" s="13">
        <v>16</v>
      </c>
      <c r="K4784" s="13">
        <v>1</v>
      </c>
      <c r="M4784" s="68" t="b">
        <v>1</v>
      </c>
    </row>
    <row r="4785" spans="1:13" x14ac:dyDescent="0.25">
      <c r="D4785" s="13">
        <v>502</v>
      </c>
      <c r="E4785" s="136" t="str">
        <f>INDEX([1]道具配置表!$D:$D,MATCH(D4785,[1]道具配置表!$A:$A,0))</f>
        <v>1万资源自选宝箱</v>
      </c>
      <c r="F4785" s="13">
        <v>30</v>
      </c>
      <c r="K4785" s="13">
        <v>1</v>
      </c>
      <c r="M4785" s="68" t="b">
        <v>1</v>
      </c>
    </row>
    <row r="4786" spans="1:13" x14ac:dyDescent="0.25">
      <c r="A4786" s="13">
        <v>6641307</v>
      </c>
      <c r="B4786" s="13" t="s">
        <v>1070</v>
      </c>
      <c r="D4786" s="13">
        <v>7003</v>
      </c>
      <c r="E4786" s="136" t="str">
        <f>INDEX([1]道具配置表!$D:$D,MATCH(D4786,[1]道具配置表!$A:$A,0))</f>
        <v>1银币（立即使用，不进背包）</v>
      </c>
      <c r="F4786" s="13">
        <v>500</v>
      </c>
      <c r="K4786" s="13">
        <v>1</v>
      </c>
      <c r="M4786" s="68" t="b">
        <v>1</v>
      </c>
    </row>
    <row r="4787" spans="1:13" x14ac:dyDescent="0.25">
      <c r="D4787" s="13">
        <v>6122</v>
      </c>
      <c r="E4787" s="136" t="str">
        <f>INDEX([1]道具配置表!$D:$D,MATCH(D4787,[1]道具配置表!$A:$A,0))</f>
        <v>10分钟建造加速</v>
      </c>
      <c r="F4787" s="13">
        <v>20</v>
      </c>
      <c r="K4787" s="13">
        <v>1</v>
      </c>
      <c r="M4787" s="68" t="b">
        <v>1</v>
      </c>
    </row>
    <row r="4788" spans="1:13" x14ac:dyDescent="0.25">
      <c r="D4788" s="13">
        <v>502</v>
      </c>
      <c r="E4788" s="136" t="str">
        <f>INDEX([1]道具配置表!$D:$D,MATCH(D4788,[1]道具配置表!$A:$A,0))</f>
        <v>1万资源自选宝箱</v>
      </c>
      <c r="F4788" s="13">
        <v>35</v>
      </c>
      <c r="K4788" s="13">
        <v>1</v>
      </c>
      <c r="M4788" s="68" t="b">
        <v>1</v>
      </c>
    </row>
    <row r="4789" spans="1:13" x14ac:dyDescent="0.25">
      <c r="A4789" s="13">
        <v>6642001</v>
      </c>
      <c r="B4789" s="13" t="s">
        <v>1435</v>
      </c>
      <c r="D4789" s="13">
        <v>56213</v>
      </c>
      <c r="E4789" s="136" t="str">
        <f>INDEX([1]道具配置表!$D:$D,MATCH(D4789,[1]道具配置表!$A:$A,0))</f>
        <v>白色宝石宝箱-随机</v>
      </c>
      <c r="F4789" s="13">
        <v>1</v>
      </c>
      <c r="K4789" s="13">
        <v>1</v>
      </c>
      <c r="M4789" s="96" t="b">
        <v>1</v>
      </c>
    </row>
    <row r="4790" spans="1:13" x14ac:dyDescent="0.25">
      <c r="D4790" s="13">
        <v>6142</v>
      </c>
      <c r="E4790" s="136" t="str">
        <f>INDEX([1]道具配置表!$D:$D,MATCH(D4790,[1]道具配置表!$A:$A,0))</f>
        <v>10分钟科技加速</v>
      </c>
      <c r="F4790" s="13">
        <v>5</v>
      </c>
      <c r="K4790" s="13">
        <v>1</v>
      </c>
      <c r="M4790" s="96" t="b">
        <v>1</v>
      </c>
    </row>
    <row r="4791" spans="1:13" x14ac:dyDescent="0.25">
      <c r="D4791" s="13">
        <v>232</v>
      </c>
      <c r="E4791" s="136" t="str">
        <f>INDEX([1]道具配置表!$D:$D,MATCH(D4791,[1]道具配置表!$A:$A,0))</f>
        <v>1万食物</v>
      </c>
      <c r="F4791" s="13">
        <v>4</v>
      </c>
      <c r="K4791" s="13">
        <v>1</v>
      </c>
      <c r="M4791" s="96" t="b">
        <v>1</v>
      </c>
    </row>
    <row r="4792" spans="1:13" x14ac:dyDescent="0.25">
      <c r="D4792" s="13">
        <v>231</v>
      </c>
      <c r="E4792" s="136" t="str">
        <f>INDEX([1]道具配置表!$D:$D,MATCH(D4792,[1]道具配置表!$A:$A,0))</f>
        <v>1万木材</v>
      </c>
      <c r="F4792" s="13">
        <v>4</v>
      </c>
      <c r="K4792" s="13">
        <v>1</v>
      </c>
      <c r="M4792" s="96" t="b">
        <v>1</v>
      </c>
    </row>
    <row r="4793" spans="1:13" x14ac:dyDescent="0.25">
      <c r="D4793" s="13">
        <v>233</v>
      </c>
      <c r="E4793" s="136" t="str">
        <f>INDEX([1]道具配置表!$D:$D,MATCH(D4793,[1]道具配置表!$A:$A,0))</f>
        <v>1万石头</v>
      </c>
      <c r="F4793" s="13">
        <v>4</v>
      </c>
      <c r="K4793" s="13">
        <v>1</v>
      </c>
      <c r="M4793" s="96" t="b">
        <v>1</v>
      </c>
    </row>
    <row r="4794" spans="1:13" x14ac:dyDescent="0.25">
      <c r="D4794" s="13">
        <v>234</v>
      </c>
      <c r="E4794" s="136" t="str">
        <f>INDEX([1]道具配置表!$D:$D,MATCH(D4794,[1]道具配置表!$A:$A,0))</f>
        <v>1万黄金</v>
      </c>
      <c r="F4794" s="13">
        <v>4</v>
      </c>
      <c r="K4794" s="13">
        <v>1</v>
      </c>
      <c r="M4794" s="96" t="b">
        <v>1</v>
      </c>
    </row>
    <row r="4795" spans="1:13" x14ac:dyDescent="0.25">
      <c r="A4795" s="13">
        <v>6642002</v>
      </c>
      <c r="B4795" s="13" t="s">
        <v>1436</v>
      </c>
      <c r="D4795" s="13">
        <v>56213</v>
      </c>
      <c r="E4795" s="136" t="str">
        <f>INDEX([1]道具配置表!$D:$D,MATCH(D4795,[1]道具配置表!$A:$A,0))</f>
        <v>白色宝石宝箱-随机</v>
      </c>
      <c r="F4795" s="13">
        <v>1</v>
      </c>
      <c r="K4795" s="13">
        <v>1</v>
      </c>
      <c r="M4795" s="96" t="b">
        <v>1</v>
      </c>
    </row>
    <row r="4796" spans="1:13" x14ac:dyDescent="0.25">
      <c r="D4796" s="13">
        <v>6142</v>
      </c>
      <c r="E4796" s="136" t="str">
        <f>INDEX([1]道具配置表!$D:$D,MATCH(D4796,[1]道具配置表!$A:$A,0))</f>
        <v>10分钟科技加速</v>
      </c>
      <c r="F4796" s="13">
        <v>6</v>
      </c>
      <c r="K4796" s="13">
        <v>1</v>
      </c>
      <c r="M4796" s="96" t="b">
        <v>1</v>
      </c>
    </row>
    <row r="4797" spans="1:13" x14ac:dyDescent="0.25">
      <c r="D4797" s="13">
        <v>232</v>
      </c>
      <c r="E4797" s="136" t="str">
        <f>INDEX([1]道具配置表!$D:$D,MATCH(D4797,[1]道具配置表!$A:$A,0))</f>
        <v>1万食物</v>
      </c>
      <c r="F4797" s="13">
        <v>5</v>
      </c>
      <c r="K4797" s="13">
        <v>1</v>
      </c>
      <c r="M4797" s="96" t="b">
        <v>1</v>
      </c>
    </row>
    <row r="4798" spans="1:13" x14ac:dyDescent="0.25">
      <c r="D4798" s="13">
        <v>231</v>
      </c>
      <c r="E4798" s="136" t="str">
        <f>INDEX([1]道具配置表!$D:$D,MATCH(D4798,[1]道具配置表!$A:$A,0))</f>
        <v>1万木材</v>
      </c>
      <c r="F4798" s="13">
        <v>5</v>
      </c>
      <c r="K4798" s="13">
        <v>1</v>
      </c>
      <c r="M4798" s="96" t="b">
        <v>1</v>
      </c>
    </row>
    <row r="4799" spans="1:13" x14ac:dyDescent="0.25">
      <c r="D4799" s="13">
        <v>233</v>
      </c>
      <c r="E4799" s="136" t="str">
        <f>INDEX([1]道具配置表!$D:$D,MATCH(D4799,[1]道具配置表!$A:$A,0))</f>
        <v>1万石头</v>
      </c>
      <c r="F4799" s="13">
        <v>5</v>
      </c>
      <c r="K4799" s="13">
        <v>1</v>
      </c>
      <c r="M4799" s="96" t="b">
        <v>1</v>
      </c>
    </row>
    <row r="4800" spans="1:13" x14ac:dyDescent="0.25">
      <c r="D4800" s="13">
        <v>234</v>
      </c>
      <c r="E4800" s="136" t="str">
        <f>INDEX([1]道具配置表!$D:$D,MATCH(D4800,[1]道具配置表!$A:$A,0))</f>
        <v>1万黄金</v>
      </c>
      <c r="F4800" s="13">
        <v>5</v>
      </c>
      <c r="K4800" s="13">
        <v>1</v>
      </c>
      <c r="M4800" s="96" t="b">
        <v>1</v>
      </c>
    </row>
    <row r="4801" spans="1:13" x14ac:dyDescent="0.25">
      <c r="A4801" s="13">
        <v>6642003</v>
      </c>
      <c r="B4801" s="13" t="s">
        <v>1437</v>
      </c>
      <c r="D4801" s="13">
        <v>56213</v>
      </c>
      <c r="E4801" s="136" t="str">
        <f>INDEX([1]道具配置表!$D:$D,MATCH(D4801,[1]道具配置表!$A:$A,0))</f>
        <v>白色宝石宝箱-随机</v>
      </c>
      <c r="F4801" s="13">
        <v>1</v>
      </c>
      <c r="K4801" s="13">
        <v>1</v>
      </c>
      <c r="M4801" s="96" t="b">
        <v>1</v>
      </c>
    </row>
    <row r="4802" spans="1:13" x14ac:dyDescent="0.25">
      <c r="D4802" s="13">
        <v>6142</v>
      </c>
      <c r="E4802" s="136" t="str">
        <f>INDEX([1]道具配置表!$D:$D,MATCH(D4802,[1]道具配置表!$A:$A,0))</f>
        <v>10分钟科技加速</v>
      </c>
      <c r="F4802" s="13">
        <v>7</v>
      </c>
      <c r="K4802" s="13">
        <v>1</v>
      </c>
      <c r="M4802" s="96" t="b">
        <v>1</v>
      </c>
    </row>
    <row r="4803" spans="1:13" x14ac:dyDescent="0.25">
      <c r="D4803" s="13">
        <v>232</v>
      </c>
      <c r="E4803" s="136" t="str">
        <f>INDEX([1]道具配置表!$D:$D,MATCH(D4803,[1]道具配置表!$A:$A,0))</f>
        <v>1万食物</v>
      </c>
      <c r="F4803" s="13">
        <v>6</v>
      </c>
      <c r="K4803" s="13">
        <v>1</v>
      </c>
      <c r="M4803" s="96" t="b">
        <v>1</v>
      </c>
    </row>
    <row r="4804" spans="1:13" x14ac:dyDescent="0.25">
      <c r="D4804" s="13">
        <v>231</v>
      </c>
      <c r="E4804" s="136" t="str">
        <f>INDEX([1]道具配置表!$D:$D,MATCH(D4804,[1]道具配置表!$A:$A,0))</f>
        <v>1万木材</v>
      </c>
      <c r="F4804" s="13">
        <v>6</v>
      </c>
      <c r="K4804" s="13">
        <v>1</v>
      </c>
      <c r="M4804" s="96" t="b">
        <v>1</v>
      </c>
    </row>
    <row r="4805" spans="1:13" x14ac:dyDescent="0.25">
      <c r="D4805" s="13">
        <v>233</v>
      </c>
      <c r="E4805" s="136" t="str">
        <f>INDEX([1]道具配置表!$D:$D,MATCH(D4805,[1]道具配置表!$A:$A,0))</f>
        <v>1万石头</v>
      </c>
      <c r="F4805" s="13">
        <v>6</v>
      </c>
      <c r="K4805" s="13">
        <v>1</v>
      </c>
      <c r="M4805" s="96" t="b">
        <v>1</v>
      </c>
    </row>
    <row r="4806" spans="1:13" x14ac:dyDescent="0.25">
      <c r="D4806" s="13">
        <v>234</v>
      </c>
      <c r="E4806" s="136" t="str">
        <f>INDEX([1]道具配置表!$D:$D,MATCH(D4806,[1]道具配置表!$A:$A,0))</f>
        <v>1万黄金</v>
      </c>
      <c r="F4806" s="13">
        <v>6</v>
      </c>
      <c r="K4806" s="13">
        <v>1</v>
      </c>
      <c r="M4806" s="96" t="b">
        <v>1</v>
      </c>
    </row>
    <row r="4807" spans="1:13" x14ac:dyDescent="0.25">
      <c r="A4807" s="13">
        <v>6642004</v>
      </c>
      <c r="B4807" s="13" t="s">
        <v>1438</v>
      </c>
      <c r="D4807" s="13">
        <v>56213</v>
      </c>
      <c r="E4807" s="136" t="str">
        <f>INDEX([1]道具配置表!$D:$D,MATCH(D4807,[1]道具配置表!$A:$A,0))</f>
        <v>白色宝石宝箱-随机</v>
      </c>
      <c r="F4807" s="13">
        <v>2</v>
      </c>
      <c r="K4807" s="13">
        <v>1</v>
      </c>
      <c r="M4807" s="96" t="b">
        <v>1</v>
      </c>
    </row>
    <row r="4808" spans="1:13" x14ac:dyDescent="0.25">
      <c r="D4808" s="13">
        <v>6142</v>
      </c>
      <c r="E4808" s="136" t="str">
        <f>INDEX([1]道具配置表!$D:$D,MATCH(D4808,[1]道具配置表!$A:$A,0))</f>
        <v>10分钟科技加速</v>
      </c>
      <c r="F4808" s="13">
        <v>8</v>
      </c>
      <c r="K4808" s="13">
        <v>1</v>
      </c>
      <c r="M4808" s="96" t="b">
        <v>1</v>
      </c>
    </row>
    <row r="4809" spans="1:13" x14ac:dyDescent="0.25">
      <c r="D4809" s="13">
        <v>232</v>
      </c>
      <c r="E4809" s="136" t="str">
        <f>INDEX([1]道具配置表!$D:$D,MATCH(D4809,[1]道具配置表!$A:$A,0))</f>
        <v>1万食物</v>
      </c>
      <c r="F4809" s="13">
        <v>7</v>
      </c>
      <c r="K4809" s="13">
        <v>1</v>
      </c>
      <c r="M4809" s="96" t="b">
        <v>1</v>
      </c>
    </row>
    <row r="4810" spans="1:13" x14ac:dyDescent="0.25">
      <c r="D4810" s="13">
        <v>231</v>
      </c>
      <c r="E4810" s="136" t="str">
        <f>INDEX([1]道具配置表!$D:$D,MATCH(D4810,[1]道具配置表!$A:$A,0))</f>
        <v>1万木材</v>
      </c>
      <c r="F4810" s="13">
        <v>7</v>
      </c>
      <c r="K4810" s="13">
        <v>1</v>
      </c>
      <c r="M4810" s="96" t="b">
        <v>1</v>
      </c>
    </row>
    <row r="4811" spans="1:13" x14ac:dyDescent="0.25">
      <c r="D4811" s="13">
        <v>233</v>
      </c>
      <c r="E4811" s="136" t="str">
        <f>INDEX([1]道具配置表!$D:$D,MATCH(D4811,[1]道具配置表!$A:$A,0))</f>
        <v>1万石头</v>
      </c>
      <c r="F4811" s="13">
        <v>7</v>
      </c>
      <c r="K4811" s="13">
        <v>1</v>
      </c>
      <c r="M4811" s="96" t="b">
        <v>1</v>
      </c>
    </row>
    <row r="4812" spans="1:13" x14ac:dyDescent="0.25">
      <c r="D4812" s="13">
        <v>234</v>
      </c>
      <c r="E4812" s="136" t="str">
        <f>INDEX([1]道具配置表!$D:$D,MATCH(D4812,[1]道具配置表!$A:$A,0))</f>
        <v>1万黄金</v>
      </c>
      <c r="F4812" s="13">
        <v>7</v>
      </c>
      <c r="K4812" s="13">
        <v>1</v>
      </c>
      <c r="M4812" s="96" t="b">
        <v>1</v>
      </c>
    </row>
    <row r="4813" spans="1:13" x14ac:dyDescent="0.25">
      <c r="A4813" s="13">
        <v>6642005</v>
      </c>
      <c r="B4813" s="13" t="s">
        <v>1439</v>
      </c>
      <c r="D4813" s="13">
        <v>56213</v>
      </c>
      <c r="E4813" s="136" t="str">
        <f>INDEX([1]道具配置表!$D:$D,MATCH(D4813,[1]道具配置表!$A:$A,0))</f>
        <v>白色宝石宝箱-随机</v>
      </c>
      <c r="F4813" s="13">
        <v>2</v>
      </c>
      <c r="K4813" s="13">
        <v>1</v>
      </c>
      <c r="M4813" s="96" t="b">
        <v>1</v>
      </c>
    </row>
    <row r="4814" spans="1:13" x14ac:dyDescent="0.25">
      <c r="D4814" s="13">
        <v>6142</v>
      </c>
      <c r="E4814" s="136" t="str">
        <f>INDEX([1]道具配置表!$D:$D,MATCH(D4814,[1]道具配置表!$A:$A,0))</f>
        <v>10分钟科技加速</v>
      </c>
      <c r="F4814" s="13">
        <v>10</v>
      </c>
      <c r="K4814" s="13">
        <v>1</v>
      </c>
      <c r="M4814" s="96" t="b">
        <v>1</v>
      </c>
    </row>
    <row r="4815" spans="1:13" x14ac:dyDescent="0.25">
      <c r="D4815" s="13">
        <v>232</v>
      </c>
      <c r="E4815" s="136" t="str">
        <f>INDEX([1]道具配置表!$D:$D,MATCH(D4815,[1]道具配置表!$A:$A,0))</f>
        <v>1万食物</v>
      </c>
      <c r="F4815" s="13">
        <v>8</v>
      </c>
      <c r="K4815" s="13">
        <v>1</v>
      </c>
      <c r="M4815" s="96" t="b">
        <v>1</v>
      </c>
    </row>
    <row r="4816" spans="1:13" x14ac:dyDescent="0.25">
      <c r="D4816" s="13">
        <v>231</v>
      </c>
      <c r="E4816" s="136" t="str">
        <f>INDEX([1]道具配置表!$D:$D,MATCH(D4816,[1]道具配置表!$A:$A,0))</f>
        <v>1万木材</v>
      </c>
      <c r="F4816" s="13">
        <v>8</v>
      </c>
      <c r="K4816" s="13">
        <v>1</v>
      </c>
      <c r="M4816" s="96" t="b">
        <v>1</v>
      </c>
    </row>
    <row r="4817" spans="1:13" x14ac:dyDescent="0.25">
      <c r="D4817" s="13">
        <v>233</v>
      </c>
      <c r="E4817" s="136" t="str">
        <f>INDEX([1]道具配置表!$D:$D,MATCH(D4817,[1]道具配置表!$A:$A,0))</f>
        <v>1万石头</v>
      </c>
      <c r="F4817" s="13">
        <v>8</v>
      </c>
      <c r="K4817" s="13">
        <v>1</v>
      </c>
      <c r="M4817" s="96" t="b">
        <v>1</v>
      </c>
    </row>
    <row r="4818" spans="1:13" x14ac:dyDescent="0.25">
      <c r="D4818" s="13">
        <v>234</v>
      </c>
      <c r="E4818" s="136" t="str">
        <f>INDEX([1]道具配置表!$D:$D,MATCH(D4818,[1]道具配置表!$A:$A,0))</f>
        <v>1万黄金</v>
      </c>
      <c r="F4818" s="13">
        <v>8</v>
      </c>
      <c r="K4818" s="13">
        <v>1</v>
      </c>
      <c r="M4818" s="96" t="b">
        <v>1</v>
      </c>
    </row>
    <row r="4819" spans="1:13" x14ac:dyDescent="0.25">
      <c r="A4819" s="13">
        <v>6642006</v>
      </c>
      <c r="B4819" s="13" t="s">
        <v>1440</v>
      </c>
      <c r="D4819" s="13">
        <v>56213</v>
      </c>
      <c r="E4819" s="136" t="str">
        <f>INDEX([1]道具配置表!$D:$D,MATCH(D4819,[1]道具配置表!$A:$A,0))</f>
        <v>白色宝石宝箱-随机</v>
      </c>
      <c r="F4819" s="13">
        <v>2</v>
      </c>
      <c r="K4819" s="13">
        <v>1</v>
      </c>
      <c r="M4819" s="96" t="b">
        <v>1</v>
      </c>
    </row>
    <row r="4820" spans="1:13" x14ac:dyDescent="0.25">
      <c r="D4820" s="13">
        <v>6142</v>
      </c>
      <c r="E4820" s="136" t="str">
        <f>INDEX([1]道具配置表!$D:$D,MATCH(D4820,[1]道具配置表!$A:$A,0))</f>
        <v>10分钟科技加速</v>
      </c>
      <c r="F4820" s="13">
        <v>11</v>
      </c>
      <c r="K4820" s="13">
        <v>1</v>
      </c>
      <c r="M4820" s="96" t="b">
        <v>1</v>
      </c>
    </row>
    <row r="4821" spans="1:13" x14ac:dyDescent="0.25">
      <c r="D4821" s="13">
        <v>232</v>
      </c>
      <c r="E4821" s="136" t="str">
        <f>INDEX([1]道具配置表!$D:$D,MATCH(D4821,[1]道具配置表!$A:$A,0))</f>
        <v>1万食物</v>
      </c>
      <c r="F4821" s="13">
        <v>9</v>
      </c>
      <c r="K4821" s="13">
        <v>1</v>
      </c>
      <c r="M4821" s="96" t="b">
        <v>1</v>
      </c>
    </row>
    <row r="4822" spans="1:13" x14ac:dyDescent="0.25">
      <c r="D4822" s="13">
        <v>231</v>
      </c>
      <c r="E4822" s="136" t="str">
        <f>INDEX([1]道具配置表!$D:$D,MATCH(D4822,[1]道具配置表!$A:$A,0))</f>
        <v>1万木材</v>
      </c>
      <c r="F4822" s="13">
        <v>9</v>
      </c>
      <c r="K4822" s="13">
        <v>1</v>
      </c>
      <c r="M4822" s="96" t="b">
        <v>1</v>
      </c>
    </row>
    <row r="4823" spans="1:13" x14ac:dyDescent="0.25">
      <c r="D4823" s="13">
        <v>233</v>
      </c>
      <c r="E4823" s="136" t="str">
        <f>INDEX([1]道具配置表!$D:$D,MATCH(D4823,[1]道具配置表!$A:$A,0))</f>
        <v>1万石头</v>
      </c>
      <c r="F4823" s="13">
        <v>9</v>
      </c>
      <c r="K4823" s="13">
        <v>1</v>
      </c>
      <c r="M4823" s="96" t="b">
        <v>1</v>
      </c>
    </row>
    <row r="4824" spans="1:13" x14ac:dyDescent="0.25">
      <c r="D4824" s="13">
        <v>234</v>
      </c>
      <c r="E4824" s="136" t="str">
        <f>INDEX([1]道具配置表!$D:$D,MATCH(D4824,[1]道具配置表!$A:$A,0))</f>
        <v>1万黄金</v>
      </c>
      <c r="F4824" s="13">
        <v>9</v>
      </c>
      <c r="K4824" s="13">
        <v>1</v>
      </c>
      <c r="M4824" s="96" t="b">
        <v>1</v>
      </c>
    </row>
    <row r="4825" spans="1:13" x14ac:dyDescent="0.25">
      <c r="A4825" s="13">
        <v>6642007</v>
      </c>
      <c r="B4825" s="13" t="s">
        <v>1441</v>
      </c>
      <c r="D4825" s="13">
        <v>56213</v>
      </c>
      <c r="E4825" s="136" t="str">
        <f>INDEX([1]道具配置表!$D:$D,MATCH(D4825,[1]道具配置表!$A:$A,0))</f>
        <v>白色宝石宝箱-随机</v>
      </c>
      <c r="F4825" s="13">
        <v>2</v>
      </c>
      <c r="K4825" s="13">
        <v>1</v>
      </c>
      <c r="M4825" s="96" t="b">
        <v>1</v>
      </c>
    </row>
    <row r="4826" spans="1:13" x14ac:dyDescent="0.25">
      <c r="D4826" s="13">
        <v>6142</v>
      </c>
      <c r="E4826" s="136" t="str">
        <f>INDEX([1]道具配置表!$D:$D,MATCH(D4826,[1]道具配置表!$A:$A,0))</f>
        <v>10分钟科技加速</v>
      </c>
      <c r="F4826" s="13">
        <v>12</v>
      </c>
      <c r="K4826" s="13">
        <v>1</v>
      </c>
      <c r="M4826" s="96" t="b">
        <v>1</v>
      </c>
    </row>
    <row r="4827" spans="1:13" x14ac:dyDescent="0.25">
      <c r="D4827" s="13">
        <v>232</v>
      </c>
      <c r="E4827" s="136" t="str">
        <f>INDEX([1]道具配置表!$D:$D,MATCH(D4827,[1]道具配置表!$A:$A,0))</f>
        <v>1万食物</v>
      </c>
      <c r="F4827" s="13">
        <v>10</v>
      </c>
      <c r="K4827" s="13">
        <v>1</v>
      </c>
      <c r="M4827" s="96" t="b">
        <v>1</v>
      </c>
    </row>
    <row r="4828" spans="1:13" x14ac:dyDescent="0.25">
      <c r="D4828" s="13">
        <v>231</v>
      </c>
      <c r="E4828" s="136" t="str">
        <f>INDEX([1]道具配置表!$D:$D,MATCH(D4828,[1]道具配置表!$A:$A,0))</f>
        <v>1万木材</v>
      </c>
      <c r="F4828" s="13">
        <v>10</v>
      </c>
      <c r="K4828" s="13">
        <v>1</v>
      </c>
      <c r="M4828" s="96" t="b">
        <v>1</v>
      </c>
    </row>
    <row r="4829" spans="1:13" x14ac:dyDescent="0.25">
      <c r="D4829" s="13">
        <v>233</v>
      </c>
      <c r="E4829" s="136" t="str">
        <f>INDEX([1]道具配置表!$D:$D,MATCH(D4829,[1]道具配置表!$A:$A,0))</f>
        <v>1万石头</v>
      </c>
      <c r="F4829" s="13">
        <v>10</v>
      </c>
      <c r="K4829" s="13">
        <v>1</v>
      </c>
      <c r="M4829" s="96" t="b">
        <v>1</v>
      </c>
    </row>
    <row r="4830" spans="1:13" x14ac:dyDescent="0.25">
      <c r="D4830" s="13">
        <v>234</v>
      </c>
      <c r="E4830" s="136" t="str">
        <f>INDEX([1]道具配置表!$D:$D,MATCH(D4830,[1]道具配置表!$A:$A,0))</f>
        <v>1万黄金</v>
      </c>
      <c r="F4830" s="13">
        <v>10</v>
      </c>
      <c r="K4830" s="13">
        <v>1</v>
      </c>
      <c r="M4830" s="96" t="b">
        <v>1</v>
      </c>
    </row>
    <row r="4831" spans="1:13" x14ac:dyDescent="0.25">
      <c r="A4831" s="13">
        <v>6642008</v>
      </c>
      <c r="B4831" s="13" t="s">
        <v>1442</v>
      </c>
      <c r="D4831" s="13">
        <v>56213</v>
      </c>
      <c r="E4831" s="136" t="str">
        <f>INDEX([1]道具配置表!$D:$D,MATCH(D4831,[1]道具配置表!$A:$A,0))</f>
        <v>白色宝石宝箱-随机</v>
      </c>
      <c r="F4831" s="13">
        <v>3</v>
      </c>
      <c r="K4831" s="13">
        <v>1</v>
      </c>
      <c r="M4831" s="96" t="b">
        <v>1</v>
      </c>
    </row>
    <row r="4832" spans="1:13" x14ac:dyDescent="0.25">
      <c r="D4832" s="13">
        <v>6142</v>
      </c>
      <c r="E4832" s="136" t="str">
        <f>INDEX([1]道具配置表!$D:$D,MATCH(D4832,[1]道具配置表!$A:$A,0))</f>
        <v>10分钟科技加速</v>
      </c>
      <c r="F4832" s="13">
        <v>14</v>
      </c>
      <c r="K4832" s="13">
        <v>1</v>
      </c>
      <c r="M4832" s="96" t="b">
        <v>1</v>
      </c>
    </row>
    <row r="4833" spans="1:13" x14ac:dyDescent="0.25">
      <c r="D4833" s="13">
        <v>232</v>
      </c>
      <c r="E4833" s="136" t="str">
        <f>INDEX([1]道具配置表!$D:$D,MATCH(D4833,[1]道具配置表!$A:$A,0))</f>
        <v>1万食物</v>
      </c>
      <c r="F4833" s="13">
        <v>12</v>
      </c>
      <c r="K4833" s="13">
        <v>1</v>
      </c>
      <c r="M4833" s="96" t="b">
        <v>1</v>
      </c>
    </row>
    <row r="4834" spans="1:13" x14ac:dyDescent="0.25">
      <c r="D4834" s="13">
        <v>231</v>
      </c>
      <c r="E4834" s="136" t="str">
        <f>INDEX([1]道具配置表!$D:$D,MATCH(D4834,[1]道具配置表!$A:$A,0))</f>
        <v>1万木材</v>
      </c>
      <c r="F4834" s="13">
        <v>12</v>
      </c>
      <c r="K4834" s="13">
        <v>1</v>
      </c>
      <c r="M4834" s="96" t="b">
        <v>1</v>
      </c>
    </row>
    <row r="4835" spans="1:13" x14ac:dyDescent="0.25">
      <c r="D4835" s="13">
        <v>233</v>
      </c>
      <c r="E4835" s="136" t="str">
        <f>INDEX([1]道具配置表!$D:$D,MATCH(D4835,[1]道具配置表!$A:$A,0))</f>
        <v>1万石头</v>
      </c>
      <c r="F4835" s="13">
        <v>12</v>
      </c>
      <c r="K4835" s="13">
        <v>1</v>
      </c>
      <c r="M4835" s="96" t="b">
        <v>1</v>
      </c>
    </row>
    <row r="4836" spans="1:13" x14ac:dyDescent="0.25">
      <c r="D4836" s="13">
        <v>234</v>
      </c>
      <c r="E4836" s="136" t="str">
        <f>INDEX([1]道具配置表!$D:$D,MATCH(D4836,[1]道具配置表!$A:$A,0))</f>
        <v>1万黄金</v>
      </c>
      <c r="F4836" s="13">
        <v>12</v>
      </c>
      <c r="K4836" s="13">
        <v>1</v>
      </c>
      <c r="M4836" s="96" t="b">
        <v>1</v>
      </c>
    </row>
    <row r="4837" spans="1:13" x14ac:dyDescent="0.25">
      <c r="A4837" s="13">
        <v>6642009</v>
      </c>
      <c r="B4837" s="13" t="s">
        <v>1443</v>
      </c>
      <c r="D4837" s="13">
        <v>56213</v>
      </c>
      <c r="E4837" s="136" t="str">
        <f>INDEX([1]道具配置表!$D:$D,MATCH(D4837,[1]道具配置表!$A:$A,0))</f>
        <v>白色宝石宝箱-随机</v>
      </c>
      <c r="F4837" s="13">
        <v>3</v>
      </c>
      <c r="K4837" s="13">
        <v>1</v>
      </c>
      <c r="M4837" s="96" t="b">
        <v>1</v>
      </c>
    </row>
    <row r="4838" spans="1:13" x14ac:dyDescent="0.25">
      <c r="D4838" s="13">
        <v>6142</v>
      </c>
      <c r="E4838" s="136" t="str">
        <f>INDEX([1]道具配置表!$D:$D,MATCH(D4838,[1]道具配置表!$A:$A,0))</f>
        <v>10分钟科技加速</v>
      </c>
      <c r="F4838" s="13">
        <v>17</v>
      </c>
      <c r="K4838" s="13">
        <v>1</v>
      </c>
      <c r="M4838" s="96" t="b">
        <v>1</v>
      </c>
    </row>
    <row r="4839" spans="1:13" x14ac:dyDescent="0.25">
      <c r="D4839" s="13">
        <v>232</v>
      </c>
      <c r="E4839" s="136" t="str">
        <f>INDEX([1]道具配置表!$D:$D,MATCH(D4839,[1]道具配置表!$A:$A,0))</f>
        <v>1万食物</v>
      </c>
      <c r="F4839" s="13">
        <v>14</v>
      </c>
      <c r="K4839" s="13">
        <v>1</v>
      </c>
      <c r="M4839" s="96" t="b">
        <v>1</v>
      </c>
    </row>
    <row r="4840" spans="1:13" x14ac:dyDescent="0.25">
      <c r="D4840" s="13">
        <v>231</v>
      </c>
      <c r="E4840" s="136" t="str">
        <f>INDEX([1]道具配置表!$D:$D,MATCH(D4840,[1]道具配置表!$A:$A,0))</f>
        <v>1万木材</v>
      </c>
      <c r="F4840" s="13">
        <v>14</v>
      </c>
      <c r="K4840" s="13">
        <v>1</v>
      </c>
      <c r="M4840" s="96" t="b">
        <v>1</v>
      </c>
    </row>
    <row r="4841" spans="1:13" x14ac:dyDescent="0.25">
      <c r="D4841" s="13">
        <v>233</v>
      </c>
      <c r="E4841" s="136" t="str">
        <f>INDEX([1]道具配置表!$D:$D,MATCH(D4841,[1]道具配置表!$A:$A,0))</f>
        <v>1万石头</v>
      </c>
      <c r="F4841" s="13">
        <v>14</v>
      </c>
      <c r="K4841" s="13">
        <v>1</v>
      </c>
      <c r="M4841" s="96" t="b">
        <v>1</v>
      </c>
    </row>
    <row r="4842" spans="1:13" x14ac:dyDescent="0.25">
      <c r="D4842" s="13">
        <v>234</v>
      </c>
      <c r="E4842" s="136" t="str">
        <f>INDEX([1]道具配置表!$D:$D,MATCH(D4842,[1]道具配置表!$A:$A,0))</f>
        <v>1万黄金</v>
      </c>
      <c r="F4842" s="13">
        <v>14</v>
      </c>
      <c r="K4842" s="13">
        <v>1</v>
      </c>
      <c r="M4842" s="96" t="b">
        <v>1</v>
      </c>
    </row>
    <row r="4843" spans="1:13" x14ac:dyDescent="0.25">
      <c r="A4843" s="13">
        <v>6642010</v>
      </c>
      <c r="B4843" s="13" t="s">
        <v>1444</v>
      </c>
      <c r="D4843" s="13">
        <v>56213</v>
      </c>
      <c r="E4843" s="136" t="str">
        <f>INDEX([1]道具配置表!$D:$D,MATCH(D4843,[1]道具配置表!$A:$A,0))</f>
        <v>白色宝石宝箱-随机</v>
      </c>
      <c r="F4843" s="13">
        <v>3</v>
      </c>
      <c r="K4843" s="13">
        <v>1</v>
      </c>
      <c r="M4843" s="96" t="b">
        <v>1</v>
      </c>
    </row>
    <row r="4844" spans="1:13" x14ac:dyDescent="0.25">
      <c r="D4844" s="13">
        <v>6142</v>
      </c>
      <c r="E4844" s="136" t="str">
        <f>INDEX([1]道具配置表!$D:$D,MATCH(D4844,[1]道具配置表!$A:$A,0))</f>
        <v>10分钟科技加速</v>
      </c>
      <c r="F4844" s="13">
        <v>19</v>
      </c>
      <c r="K4844" s="13">
        <v>1</v>
      </c>
      <c r="M4844" s="96" t="b">
        <v>1</v>
      </c>
    </row>
    <row r="4845" spans="1:13" x14ac:dyDescent="0.25">
      <c r="D4845" s="13">
        <v>232</v>
      </c>
      <c r="E4845" s="136" t="str">
        <f>INDEX([1]道具配置表!$D:$D,MATCH(D4845,[1]道具配置表!$A:$A,0))</f>
        <v>1万食物</v>
      </c>
      <c r="F4845" s="13">
        <v>16</v>
      </c>
      <c r="K4845" s="13">
        <v>1</v>
      </c>
      <c r="M4845" s="96" t="b">
        <v>1</v>
      </c>
    </row>
    <row r="4846" spans="1:13" x14ac:dyDescent="0.25">
      <c r="D4846" s="13">
        <v>231</v>
      </c>
      <c r="E4846" s="136" t="str">
        <f>INDEX([1]道具配置表!$D:$D,MATCH(D4846,[1]道具配置表!$A:$A,0))</f>
        <v>1万木材</v>
      </c>
      <c r="F4846" s="13">
        <v>16</v>
      </c>
      <c r="K4846" s="13">
        <v>1</v>
      </c>
      <c r="M4846" s="96" t="b">
        <v>1</v>
      </c>
    </row>
    <row r="4847" spans="1:13" x14ac:dyDescent="0.25">
      <c r="D4847" s="13">
        <v>233</v>
      </c>
      <c r="E4847" s="136" t="str">
        <f>INDEX([1]道具配置表!$D:$D,MATCH(D4847,[1]道具配置表!$A:$A,0))</f>
        <v>1万石头</v>
      </c>
      <c r="F4847" s="13">
        <v>16</v>
      </c>
      <c r="K4847" s="13">
        <v>1</v>
      </c>
      <c r="M4847" s="96" t="b">
        <v>1</v>
      </c>
    </row>
    <row r="4848" spans="1:13" x14ac:dyDescent="0.25">
      <c r="D4848" s="13">
        <v>234</v>
      </c>
      <c r="E4848" s="136" t="str">
        <f>INDEX([1]道具配置表!$D:$D,MATCH(D4848,[1]道具配置表!$A:$A,0))</f>
        <v>1万黄金</v>
      </c>
      <c r="F4848" s="13">
        <v>16</v>
      </c>
      <c r="K4848" s="13">
        <v>1</v>
      </c>
      <c r="M4848" s="96" t="b">
        <v>1</v>
      </c>
    </row>
    <row r="4849" spans="1:13" x14ac:dyDescent="0.25">
      <c r="A4849" s="13">
        <v>6642011</v>
      </c>
      <c r="B4849" s="13" t="s">
        <v>1445</v>
      </c>
      <c r="D4849" s="13">
        <v>56213</v>
      </c>
      <c r="E4849" s="136" t="str">
        <f>INDEX([1]道具配置表!$D:$D,MATCH(D4849,[1]道具配置表!$A:$A,0))</f>
        <v>白色宝石宝箱-随机</v>
      </c>
      <c r="F4849" s="13">
        <v>3</v>
      </c>
      <c r="K4849" s="13">
        <v>1</v>
      </c>
      <c r="M4849" s="96" t="b">
        <v>1</v>
      </c>
    </row>
    <row r="4850" spans="1:13" x14ac:dyDescent="0.25">
      <c r="D4850" s="13">
        <v>6142</v>
      </c>
      <c r="E4850" s="136" t="str">
        <f>INDEX([1]道具配置表!$D:$D,MATCH(D4850,[1]道具配置表!$A:$A,0))</f>
        <v>10分钟科技加速</v>
      </c>
      <c r="F4850" s="13">
        <v>22</v>
      </c>
      <c r="K4850" s="13">
        <v>1</v>
      </c>
      <c r="M4850" s="96" t="b">
        <v>1</v>
      </c>
    </row>
    <row r="4851" spans="1:13" x14ac:dyDescent="0.25">
      <c r="D4851" s="13">
        <v>232</v>
      </c>
      <c r="E4851" s="136" t="str">
        <f>INDEX([1]道具配置表!$D:$D,MATCH(D4851,[1]道具配置表!$A:$A,0))</f>
        <v>1万食物</v>
      </c>
      <c r="F4851" s="13">
        <v>18</v>
      </c>
      <c r="K4851" s="13">
        <v>1</v>
      </c>
      <c r="M4851" s="96" t="b">
        <v>1</v>
      </c>
    </row>
    <row r="4852" spans="1:13" x14ac:dyDescent="0.25">
      <c r="D4852" s="13">
        <v>231</v>
      </c>
      <c r="E4852" s="136" t="str">
        <f>INDEX([1]道具配置表!$D:$D,MATCH(D4852,[1]道具配置表!$A:$A,0))</f>
        <v>1万木材</v>
      </c>
      <c r="F4852" s="13">
        <v>18</v>
      </c>
      <c r="K4852" s="13">
        <v>1</v>
      </c>
      <c r="M4852" s="96" t="b">
        <v>1</v>
      </c>
    </row>
    <row r="4853" spans="1:13" x14ac:dyDescent="0.25">
      <c r="D4853" s="13">
        <v>233</v>
      </c>
      <c r="E4853" s="136" t="str">
        <f>INDEX([1]道具配置表!$D:$D,MATCH(D4853,[1]道具配置表!$A:$A,0))</f>
        <v>1万石头</v>
      </c>
      <c r="F4853" s="13">
        <v>18</v>
      </c>
      <c r="K4853" s="13">
        <v>1</v>
      </c>
      <c r="M4853" s="96" t="b">
        <v>1</v>
      </c>
    </row>
    <row r="4854" spans="1:13" x14ac:dyDescent="0.25">
      <c r="D4854" s="13">
        <v>234</v>
      </c>
      <c r="E4854" s="136" t="str">
        <f>INDEX([1]道具配置表!$D:$D,MATCH(D4854,[1]道具配置表!$A:$A,0))</f>
        <v>1万黄金</v>
      </c>
      <c r="F4854" s="13">
        <v>18</v>
      </c>
      <c r="K4854" s="13">
        <v>1</v>
      </c>
      <c r="M4854" s="96" t="b">
        <v>1</v>
      </c>
    </row>
    <row r="4855" spans="1:13" x14ac:dyDescent="0.25">
      <c r="A4855" s="13">
        <v>6642012</v>
      </c>
      <c r="B4855" s="13" t="s">
        <v>1446</v>
      </c>
      <c r="D4855" s="13">
        <v>56213</v>
      </c>
      <c r="E4855" s="136" t="str">
        <f>INDEX([1]道具配置表!$D:$D,MATCH(D4855,[1]道具配置表!$A:$A,0))</f>
        <v>白色宝石宝箱-随机</v>
      </c>
      <c r="F4855" s="13">
        <v>4</v>
      </c>
      <c r="K4855" s="13">
        <v>1</v>
      </c>
      <c r="M4855" s="96" t="b">
        <v>1</v>
      </c>
    </row>
    <row r="4856" spans="1:13" x14ac:dyDescent="0.25">
      <c r="D4856" s="13">
        <v>6142</v>
      </c>
      <c r="E4856" s="136" t="str">
        <f>INDEX([1]道具配置表!$D:$D,MATCH(D4856,[1]道具配置表!$A:$A,0))</f>
        <v>10分钟科技加速</v>
      </c>
      <c r="F4856" s="13">
        <v>24</v>
      </c>
      <c r="K4856" s="13">
        <v>1</v>
      </c>
      <c r="M4856" s="96" t="b">
        <v>1</v>
      </c>
    </row>
    <row r="4857" spans="1:13" x14ac:dyDescent="0.25">
      <c r="D4857" s="13">
        <v>232</v>
      </c>
      <c r="E4857" s="136" t="str">
        <f>INDEX([1]道具配置表!$D:$D,MATCH(D4857,[1]道具配置表!$A:$A,0))</f>
        <v>1万食物</v>
      </c>
      <c r="F4857" s="13">
        <v>20</v>
      </c>
      <c r="K4857" s="13">
        <v>1</v>
      </c>
      <c r="M4857" s="96" t="b">
        <v>1</v>
      </c>
    </row>
    <row r="4858" spans="1:13" s="4" customFormat="1" x14ac:dyDescent="0.25">
      <c r="A4858" s="13"/>
      <c r="B4858" s="13"/>
      <c r="C4858" s="13"/>
      <c r="D4858" s="13">
        <v>231</v>
      </c>
      <c r="E4858" s="136" t="str">
        <f>INDEX([1]道具配置表!$D:$D,MATCH(D4858,[1]道具配置表!$A:$A,0))</f>
        <v>1万木材</v>
      </c>
      <c r="F4858" s="13">
        <v>20</v>
      </c>
      <c r="G4858" s="13"/>
      <c r="H4858" s="13"/>
      <c r="I4858" s="13"/>
      <c r="J4858" s="13"/>
      <c r="K4858" s="13">
        <v>1</v>
      </c>
      <c r="L4858" s="13"/>
      <c r="M4858" s="96" t="b">
        <v>1</v>
      </c>
    </row>
    <row r="4859" spans="1:13" s="4" customFormat="1" x14ac:dyDescent="0.25">
      <c r="A4859" s="13"/>
      <c r="B4859" s="13"/>
      <c r="C4859" s="13"/>
      <c r="D4859" s="13">
        <v>233</v>
      </c>
      <c r="E4859" s="136" t="str">
        <f>INDEX([1]道具配置表!$D:$D,MATCH(D4859,[1]道具配置表!$A:$A,0))</f>
        <v>1万石头</v>
      </c>
      <c r="F4859" s="13">
        <v>20</v>
      </c>
      <c r="G4859" s="13"/>
      <c r="H4859" s="13"/>
      <c r="I4859" s="13"/>
      <c r="J4859" s="13"/>
      <c r="K4859" s="13">
        <v>1</v>
      </c>
      <c r="L4859" s="13"/>
      <c r="M4859" s="96" t="b">
        <v>1</v>
      </c>
    </row>
    <row r="4860" spans="1:13" s="4" customFormat="1" x14ac:dyDescent="0.25">
      <c r="A4860" s="13"/>
      <c r="B4860" s="13"/>
      <c r="C4860" s="13"/>
      <c r="D4860" s="13">
        <v>234</v>
      </c>
      <c r="E4860" s="136" t="str">
        <f>INDEX([1]道具配置表!$D:$D,MATCH(D4860,[1]道具配置表!$A:$A,0))</f>
        <v>1万黄金</v>
      </c>
      <c r="F4860" s="13">
        <v>20</v>
      </c>
      <c r="G4860" s="13"/>
      <c r="H4860" s="13"/>
      <c r="I4860" s="13"/>
      <c r="J4860" s="13"/>
      <c r="K4860" s="13">
        <v>1</v>
      </c>
      <c r="L4860" s="13"/>
      <c r="M4860" s="96" t="b">
        <v>1</v>
      </c>
    </row>
    <row r="4861" spans="1:13" s="4" customFormat="1" x14ac:dyDescent="0.25">
      <c r="A4861" s="13">
        <v>6642013</v>
      </c>
      <c r="B4861" s="13" t="s">
        <v>1447</v>
      </c>
      <c r="C4861" s="13"/>
      <c r="D4861" s="13">
        <v>56213</v>
      </c>
      <c r="E4861" s="136" t="str">
        <f>INDEX([1]道具配置表!$D:$D,MATCH(D4861,[1]道具配置表!$A:$A,0))</f>
        <v>白色宝石宝箱-随机</v>
      </c>
      <c r="F4861" s="13">
        <v>4</v>
      </c>
      <c r="G4861" s="13"/>
      <c r="H4861" s="13"/>
      <c r="I4861" s="13"/>
      <c r="J4861" s="13"/>
      <c r="K4861" s="13">
        <v>1</v>
      </c>
      <c r="L4861" s="13"/>
      <c r="M4861" s="96" t="b">
        <v>1</v>
      </c>
    </row>
    <row r="4862" spans="1:13" s="4" customFormat="1" x14ac:dyDescent="0.25">
      <c r="A4862" s="13"/>
      <c r="B4862" s="13"/>
      <c r="C4862" s="13"/>
      <c r="D4862" s="13">
        <v>6142</v>
      </c>
      <c r="E4862" s="136" t="str">
        <f>INDEX([1]道具配置表!$D:$D,MATCH(D4862,[1]道具配置表!$A:$A,0))</f>
        <v>10分钟科技加速</v>
      </c>
      <c r="F4862" s="13">
        <v>26</v>
      </c>
      <c r="G4862" s="13"/>
      <c r="H4862" s="13"/>
      <c r="I4862" s="13"/>
      <c r="J4862" s="13"/>
      <c r="K4862" s="13">
        <v>1</v>
      </c>
      <c r="L4862" s="13"/>
      <c r="M4862" s="96" t="b">
        <v>1</v>
      </c>
    </row>
    <row r="4863" spans="1:13" s="4" customFormat="1" x14ac:dyDescent="0.25">
      <c r="A4863" s="13"/>
      <c r="B4863" s="13"/>
      <c r="C4863" s="13"/>
      <c r="D4863" s="13">
        <v>232</v>
      </c>
      <c r="E4863" s="136" t="str">
        <f>INDEX([1]道具配置表!$D:$D,MATCH(D4863,[1]道具配置表!$A:$A,0))</f>
        <v>1万食物</v>
      </c>
      <c r="F4863" s="13">
        <v>22</v>
      </c>
      <c r="G4863" s="13"/>
      <c r="H4863" s="13"/>
      <c r="I4863" s="13"/>
      <c r="J4863" s="13"/>
      <c r="K4863" s="13">
        <v>1</v>
      </c>
      <c r="L4863" s="13"/>
      <c r="M4863" s="96" t="b">
        <v>1</v>
      </c>
    </row>
    <row r="4864" spans="1:13" s="4" customFormat="1" x14ac:dyDescent="0.25">
      <c r="A4864" s="13"/>
      <c r="B4864" s="13"/>
      <c r="C4864" s="13"/>
      <c r="D4864" s="13">
        <v>231</v>
      </c>
      <c r="E4864" s="136" t="str">
        <f>INDEX([1]道具配置表!$D:$D,MATCH(D4864,[1]道具配置表!$A:$A,0))</f>
        <v>1万木材</v>
      </c>
      <c r="F4864" s="13">
        <v>22</v>
      </c>
      <c r="G4864" s="13"/>
      <c r="H4864" s="13"/>
      <c r="I4864" s="13"/>
      <c r="J4864" s="13"/>
      <c r="K4864" s="13">
        <v>1</v>
      </c>
      <c r="L4864" s="13"/>
      <c r="M4864" s="96" t="b">
        <v>1</v>
      </c>
    </row>
    <row r="4865" spans="1:13" s="4" customFormat="1" x14ac:dyDescent="0.25">
      <c r="A4865" s="13"/>
      <c r="B4865" s="13"/>
      <c r="C4865" s="13"/>
      <c r="D4865" s="13">
        <v>233</v>
      </c>
      <c r="E4865" s="136" t="str">
        <f>INDEX([1]道具配置表!$D:$D,MATCH(D4865,[1]道具配置表!$A:$A,0))</f>
        <v>1万石头</v>
      </c>
      <c r="F4865" s="13">
        <v>22</v>
      </c>
      <c r="G4865" s="13"/>
      <c r="H4865" s="13"/>
      <c r="I4865" s="13"/>
      <c r="J4865" s="13"/>
      <c r="K4865" s="13">
        <v>1</v>
      </c>
      <c r="L4865" s="13"/>
      <c r="M4865" s="96" t="b">
        <v>1</v>
      </c>
    </row>
    <row r="4866" spans="1:13" s="4" customFormat="1" x14ac:dyDescent="0.25">
      <c r="A4866" s="13"/>
      <c r="B4866" s="13"/>
      <c r="C4866" s="13"/>
      <c r="D4866" s="13">
        <v>234</v>
      </c>
      <c r="E4866" s="136" t="str">
        <f>INDEX([1]道具配置表!$D:$D,MATCH(D4866,[1]道具配置表!$A:$A,0))</f>
        <v>1万黄金</v>
      </c>
      <c r="F4866" s="13">
        <v>22</v>
      </c>
      <c r="G4866" s="13"/>
      <c r="H4866" s="13"/>
      <c r="I4866" s="13"/>
      <c r="J4866" s="13"/>
      <c r="K4866" s="13">
        <v>1</v>
      </c>
      <c r="L4866" s="13"/>
      <c r="M4866" s="96" t="b">
        <v>1</v>
      </c>
    </row>
    <row r="4867" spans="1:13" s="4" customFormat="1" x14ac:dyDescent="0.25">
      <c r="A4867" s="13">
        <v>6642014</v>
      </c>
      <c r="B4867" s="13" t="s">
        <v>1448</v>
      </c>
      <c r="C4867" s="13"/>
      <c r="D4867" s="13">
        <v>56213</v>
      </c>
      <c r="E4867" s="136" t="str">
        <f>INDEX([1]道具配置表!$D:$D,MATCH(D4867,[1]道具配置表!$A:$A,0))</f>
        <v>白色宝石宝箱-随机</v>
      </c>
      <c r="F4867" s="13">
        <v>4</v>
      </c>
      <c r="G4867" s="13"/>
      <c r="H4867" s="13"/>
      <c r="I4867" s="13"/>
      <c r="J4867" s="13"/>
      <c r="K4867" s="13">
        <v>1</v>
      </c>
      <c r="L4867" s="13"/>
      <c r="M4867" s="96" t="b">
        <v>1</v>
      </c>
    </row>
    <row r="4868" spans="1:13" s="4" customFormat="1" x14ac:dyDescent="0.25">
      <c r="A4868" s="13"/>
      <c r="B4868" s="13"/>
      <c r="C4868" s="13"/>
      <c r="D4868" s="13">
        <v>6142</v>
      </c>
      <c r="E4868" s="136" t="str">
        <f>INDEX([1]道具配置表!$D:$D,MATCH(D4868,[1]道具配置表!$A:$A,0))</f>
        <v>10分钟科技加速</v>
      </c>
      <c r="F4868" s="13">
        <v>29</v>
      </c>
      <c r="G4868" s="13"/>
      <c r="H4868" s="13"/>
      <c r="I4868" s="13"/>
      <c r="J4868" s="13"/>
      <c r="K4868" s="13">
        <v>1</v>
      </c>
      <c r="L4868" s="13"/>
      <c r="M4868" s="96" t="b">
        <v>1</v>
      </c>
    </row>
    <row r="4869" spans="1:13" s="4" customFormat="1" x14ac:dyDescent="0.25">
      <c r="A4869" s="13"/>
      <c r="B4869" s="13"/>
      <c r="C4869" s="13"/>
      <c r="D4869" s="13">
        <v>232</v>
      </c>
      <c r="E4869" s="136" t="str">
        <f>INDEX([1]道具配置表!$D:$D,MATCH(D4869,[1]道具配置表!$A:$A,0))</f>
        <v>1万食物</v>
      </c>
      <c r="F4869" s="13">
        <v>24</v>
      </c>
      <c r="G4869" s="13"/>
      <c r="H4869" s="13"/>
      <c r="I4869" s="13"/>
      <c r="J4869" s="13"/>
      <c r="K4869" s="13">
        <v>1</v>
      </c>
      <c r="L4869" s="13"/>
      <c r="M4869" s="96" t="b">
        <v>1</v>
      </c>
    </row>
    <row r="4870" spans="1:13" s="4" customFormat="1" x14ac:dyDescent="0.25">
      <c r="A4870" s="13"/>
      <c r="B4870" s="13"/>
      <c r="C4870" s="13"/>
      <c r="D4870" s="13">
        <v>231</v>
      </c>
      <c r="E4870" s="136" t="str">
        <f>INDEX([1]道具配置表!$D:$D,MATCH(D4870,[1]道具配置表!$A:$A,0))</f>
        <v>1万木材</v>
      </c>
      <c r="F4870" s="13">
        <v>24</v>
      </c>
      <c r="G4870" s="13"/>
      <c r="H4870" s="13"/>
      <c r="I4870" s="13"/>
      <c r="J4870" s="13"/>
      <c r="K4870" s="13">
        <v>1</v>
      </c>
      <c r="L4870" s="13"/>
      <c r="M4870" s="96" t="b">
        <v>1</v>
      </c>
    </row>
    <row r="4871" spans="1:13" s="4" customFormat="1" x14ac:dyDescent="0.25">
      <c r="A4871" s="13"/>
      <c r="B4871" s="13"/>
      <c r="C4871" s="13"/>
      <c r="D4871" s="13">
        <v>233</v>
      </c>
      <c r="E4871" s="136" t="str">
        <f>INDEX([1]道具配置表!$D:$D,MATCH(D4871,[1]道具配置表!$A:$A,0))</f>
        <v>1万石头</v>
      </c>
      <c r="F4871" s="13">
        <v>24</v>
      </c>
      <c r="G4871" s="13"/>
      <c r="H4871" s="13"/>
      <c r="I4871" s="13"/>
      <c r="J4871" s="13"/>
      <c r="K4871" s="13">
        <v>1</v>
      </c>
      <c r="L4871" s="13"/>
      <c r="M4871" s="72" t="b">
        <v>1</v>
      </c>
    </row>
    <row r="4872" spans="1:13" s="4" customFormat="1" x14ac:dyDescent="0.25">
      <c r="A4872" s="13"/>
      <c r="B4872" s="13"/>
      <c r="C4872" s="13"/>
      <c r="D4872" s="13">
        <v>234</v>
      </c>
      <c r="E4872" s="136" t="str">
        <f>INDEX([1]道具配置表!$D:$D,MATCH(D4872,[1]道具配置表!$A:$A,0))</f>
        <v>1万黄金</v>
      </c>
      <c r="F4872" s="13">
        <v>24</v>
      </c>
      <c r="G4872" s="13"/>
      <c r="H4872" s="13"/>
      <c r="I4872" s="13"/>
      <c r="J4872" s="13"/>
      <c r="K4872" s="13">
        <v>1</v>
      </c>
      <c r="L4872" s="13"/>
      <c r="M4872" s="72" t="b">
        <v>1</v>
      </c>
    </row>
    <row r="4873" spans="1:13" s="4" customFormat="1" x14ac:dyDescent="0.25">
      <c r="A4873" s="13">
        <v>6642015</v>
      </c>
      <c r="B4873" s="13" t="s">
        <v>1449</v>
      </c>
      <c r="C4873" s="13"/>
      <c r="D4873" s="13">
        <v>56213</v>
      </c>
      <c r="E4873" s="136" t="str">
        <f>INDEX([1]道具配置表!$D:$D,MATCH(D4873,[1]道具配置表!$A:$A,0))</f>
        <v>白色宝石宝箱-随机</v>
      </c>
      <c r="F4873" s="13">
        <v>4</v>
      </c>
      <c r="G4873" s="13"/>
      <c r="H4873" s="13"/>
      <c r="I4873" s="13"/>
      <c r="J4873" s="13"/>
      <c r="K4873" s="13">
        <v>1</v>
      </c>
      <c r="L4873" s="13"/>
      <c r="M4873" s="72" t="b">
        <v>1</v>
      </c>
    </row>
    <row r="4874" spans="1:13" s="4" customFormat="1" x14ac:dyDescent="0.25">
      <c r="A4874" s="13"/>
      <c r="B4874" s="13"/>
      <c r="C4874" s="13"/>
      <c r="D4874" s="13">
        <v>6142</v>
      </c>
      <c r="E4874" s="136" t="str">
        <f>INDEX([1]道具配置表!$D:$D,MATCH(D4874,[1]道具配置表!$A:$A,0))</f>
        <v>10分钟科技加速</v>
      </c>
      <c r="F4874" s="13">
        <v>31</v>
      </c>
      <c r="G4874" s="13"/>
      <c r="H4874" s="13"/>
      <c r="I4874" s="13"/>
      <c r="J4874" s="13"/>
      <c r="K4874" s="13">
        <v>1</v>
      </c>
      <c r="L4874" s="13"/>
      <c r="M4874" s="72" t="b">
        <v>1</v>
      </c>
    </row>
    <row r="4875" spans="1:13" s="4" customFormat="1" x14ac:dyDescent="0.25">
      <c r="A4875" s="13"/>
      <c r="B4875" s="13"/>
      <c r="C4875" s="13"/>
      <c r="D4875" s="13">
        <v>232</v>
      </c>
      <c r="E4875" s="136" t="str">
        <f>INDEX([1]道具配置表!$D:$D,MATCH(D4875,[1]道具配置表!$A:$A,0))</f>
        <v>1万食物</v>
      </c>
      <c r="F4875" s="13">
        <v>26</v>
      </c>
      <c r="G4875" s="13"/>
      <c r="H4875" s="13"/>
      <c r="I4875" s="13"/>
      <c r="J4875" s="13"/>
      <c r="K4875" s="13">
        <v>1</v>
      </c>
      <c r="L4875" s="13"/>
      <c r="M4875" s="72" t="b">
        <v>1</v>
      </c>
    </row>
    <row r="4876" spans="1:13" s="4" customFormat="1" x14ac:dyDescent="0.25">
      <c r="A4876" s="13"/>
      <c r="B4876" s="13"/>
      <c r="C4876" s="13"/>
      <c r="D4876" s="13">
        <v>231</v>
      </c>
      <c r="E4876" s="136" t="str">
        <f>INDEX([1]道具配置表!$D:$D,MATCH(D4876,[1]道具配置表!$A:$A,0))</f>
        <v>1万木材</v>
      </c>
      <c r="F4876" s="13">
        <v>26</v>
      </c>
      <c r="G4876" s="13"/>
      <c r="H4876" s="13"/>
      <c r="I4876" s="13"/>
      <c r="J4876" s="13"/>
      <c r="K4876" s="13">
        <v>1</v>
      </c>
      <c r="L4876" s="13"/>
      <c r="M4876" s="72" t="b">
        <v>1</v>
      </c>
    </row>
    <row r="4877" spans="1:13" s="4" customFormat="1" x14ac:dyDescent="0.25">
      <c r="A4877" s="13"/>
      <c r="B4877" s="13"/>
      <c r="C4877" s="13"/>
      <c r="D4877" s="13">
        <v>233</v>
      </c>
      <c r="E4877" s="136" t="str">
        <f>INDEX([1]道具配置表!$D:$D,MATCH(D4877,[1]道具配置表!$A:$A,0))</f>
        <v>1万石头</v>
      </c>
      <c r="F4877" s="13">
        <v>26</v>
      </c>
      <c r="G4877" s="13"/>
      <c r="H4877" s="13"/>
      <c r="I4877" s="13"/>
      <c r="J4877" s="13"/>
      <c r="K4877" s="13">
        <v>1</v>
      </c>
      <c r="L4877" s="13"/>
      <c r="M4877" s="72" t="b">
        <v>1</v>
      </c>
    </row>
    <row r="4878" spans="1:13" s="4" customFormat="1" x14ac:dyDescent="0.25">
      <c r="A4878" s="13"/>
      <c r="B4878" s="13"/>
      <c r="C4878" s="13"/>
      <c r="D4878" s="13">
        <v>234</v>
      </c>
      <c r="E4878" s="136" t="str">
        <f>INDEX([1]道具配置表!$D:$D,MATCH(D4878,[1]道具配置表!$A:$A,0))</f>
        <v>1万黄金</v>
      </c>
      <c r="F4878" s="13">
        <v>26</v>
      </c>
      <c r="G4878" s="13"/>
      <c r="H4878" s="13"/>
      <c r="I4878" s="13"/>
      <c r="J4878" s="13"/>
      <c r="K4878" s="13">
        <v>1</v>
      </c>
      <c r="L4878" s="13"/>
      <c r="M4878" s="72" t="b">
        <v>1</v>
      </c>
    </row>
    <row r="4879" spans="1:13" s="4" customFormat="1" x14ac:dyDescent="0.25">
      <c r="A4879" s="13">
        <v>6642016</v>
      </c>
      <c r="B4879" s="13" t="s">
        <v>1450</v>
      </c>
      <c r="C4879" s="13"/>
      <c r="D4879" s="13">
        <v>56213</v>
      </c>
      <c r="E4879" s="136" t="str">
        <f>INDEX([1]道具配置表!$D:$D,MATCH(D4879,[1]道具配置表!$A:$A,0))</f>
        <v>白色宝石宝箱-随机</v>
      </c>
      <c r="F4879" s="13">
        <v>5</v>
      </c>
      <c r="G4879" s="13"/>
      <c r="H4879" s="13"/>
      <c r="I4879" s="13"/>
      <c r="J4879" s="13"/>
      <c r="K4879" s="13">
        <v>1</v>
      </c>
      <c r="L4879" s="13"/>
      <c r="M4879" s="72" t="b">
        <v>1</v>
      </c>
    </row>
    <row r="4880" spans="1:13" s="4" customFormat="1" x14ac:dyDescent="0.25">
      <c r="A4880" s="13"/>
      <c r="B4880" s="13"/>
      <c r="C4880" s="13"/>
      <c r="D4880" s="13">
        <v>6142</v>
      </c>
      <c r="E4880" s="136" t="str">
        <f>INDEX([1]道具配置表!$D:$D,MATCH(D4880,[1]道具配置表!$A:$A,0))</f>
        <v>10分钟科技加速</v>
      </c>
      <c r="F4880" s="13">
        <v>34</v>
      </c>
      <c r="G4880" s="13"/>
      <c r="H4880" s="13"/>
      <c r="I4880" s="13"/>
      <c r="J4880" s="13"/>
      <c r="K4880" s="13">
        <v>1</v>
      </c>
      <c r="L4880" s="13"/>
      <c r="M4880" s="72" t="b">
        <v>1</v>
      </c>
    </row>
    <row r="4881" spans="1:13" s="4" customFormat="1" x14ac:dyDescent="0.25">
      <c r="A4881" s="13"/>
      <c r="B4881" s="13"/>
      <c r="C4881" s="13"/>
      <c r="D4881" s="13">
        <v>232</v>
      </c>
      <c r="E4881" s="136" t="str">
        <f>INDEX([1]道具配置表!$D:$D,MATCH(D4881,[1]道具配置表!$A:$A,0))</f>
        <v>1万食物</v>
      </c>
      <c r="F4881" s="13">
        <v>28</v>
      </c>
      <c r="G4881" s="13"/>
      <c r="H4881" s="13"/>
      <c r="I4881" s="13"/>
      <c r="J4881" s="13"/>
      <c r="K4881" s="13">
        <v>1</v>
      </c>
      <c r="L4881" s="13"/>
      <c r="M4881" s="72" t="b">
        <v>1</v>
      </c>
    </row>
    <row r="4882" spans="1:13" s="4" customFormat="1" x14ac:dyDescent="0.25">
      <c r="A4882" s="13"/>
      <c r="B4882" s="13"/>
      <c r="C4882" s="13"/>
      <c r="D4882" s="13">
        <v>231</v>
      </c>
      <c r="E4882" s="136" t="str">
        <f>INDEX([1]道具配置表!$D:$D,MATCH(D4882,[1]道具配置表!$A:$A,0))</f>
        <v>1万木材</v>
      </c>
      <c r="F4882" s="13">
        <v>28</v>
      </c>
      <c r="G4882" s="13"/>
      <c r="H4882" s="13"/>
      <c r="I4882" s="13"/>
      <c r="J4882" s="13"/>
      <c r="K4882" s="13">
        <v>1</v>
      </c>
      <c r="L4882" s="13"/>
      <c r="M4882" s="72" t="b">
        <v>1</v>
      </c>
    </row>
    <row r="4883" spans="1:13" s="4" customFormat="1" x14ac:dyDescent="0.25">
      <c r="A4883" s="13"/>
      <c r="B4883" s="13"/>
      <c r="C4883" s="13"/>
      <c r="D4883" s="13">
        <v>233</v>
      </c>
      <c r="E4883" s="136" t="str">
        <f>INDEX([1]道具配置表!$D:$D,MATCH(D4883,[1]道具配置表!$A:$A,0))</f>
        <v>1万石头</v>
      </c>
      <c r="F4883" s="13">
        <v>28</v>
      </c>
      <c r="G4883" s="13"/>
      <c r="H4883" s="13"/>
      <c r="I4883" s="13"/>
      <c r="J4883" s="13"/>
      <c r="K4883" s="13">
        <v>1</v>
      </c>
      <c r="L4883" s="13"/>
      <c r="M4883" s="72" t="b">
        <v>1</v>
      </c>
    </row>
    <row r="4884" spans="1:13" s="4" customFormat="1" x14ac:dyDescent="0.25">
      <c r="A4884" s="13"/>
      <c r="B4884" s="13"/>
      <c r="C4884" s="13"/>
      <c r="D4884" s="13">
        <v>234</v>
      </c>
      <c r="E4884" s="136" t="str">
        <f>INDEX([1]道具配置表!$D:$D,MATCH(D4884,[1]道具配置表!$A:$A,0))</f>
        <v>1万黄金</v>
      </c>
      <c r="F4884" s="13">
        <v>28</v>
      </c>
      <c r="G4884" s="13"/>
      <c r="H4884" s="13"/>
      <c r="I4884" s="13"/>
      <c r="J4884" s="13"/>
      <c r="K4884" s="13">
        <v>1</v>
      </c>
      <c r="L4884" s="13"/>
      <c r="M4884" s="72" t="b">
        <v>1</v>
      </c>
    </row>
    <row r="4885" spans="1:13" s="4" customFormat="1" x14ac:dyDescent="0.25">
      <c r="A4885" s="13">
        <v>6642017</v>
      </c>
      <c r="B4885" s="13" t="s">
        <v>1451</v>
      </c>
      <c r="C4885" s="13"/>
      <c r="D4885" s="13">
        <v>56213</v>
      </c>
      <c r="E4885" s="136" t="str">
        <f>INDEX([1]道具配置表!$D:$D,MATCH(D4885,[1]道具配置表!$A:$A,0))</f>
        <v>白色宝石宝箱-随机</v>
      </c>
      <c r="F4885" s="13">
        <v>5</v>
      </c>
      <c r="G4885" s="13"/>
      <c r="H4885" s="13"/>
      <c r="I4885" s="13"/>
      <c r="J4885" s="13"/>
      <c r="K4885" s="13">
        <v>1</v>
      </c>
      <c r="L4885" s="13"/>
      <c r="M4885" s="72" t="b">
        <v>1</v>
      </c>
    </row>
    <row r="4886" spans="1:13" s="4" customFormat="1" x14ac:dyDescent="0.25">
      <c r="A4886" s="13"/>
      <c r="B4886" s="13"/>
      <c r="C4886" s="13"/>
      <c r="D4886" s="13">
        <v>6142</v>
      </c>
      <c r="E4886" s="136" t="str">
        <f>INDEX([1]道具配置表!$D:$D,MATCH(D4886,[1]道具配置表!$A:$A,0))</f>
        <v>10分钟科技加速</v>
      </c>
      <c r="F4886" s="13">
        <v>36</v>
      </c>
      <c r="G4886" s="13"/>
      <c r="H4886" s="13"/>
      <c r="I4886" s="13"/>
      <c r="J4886" s="13"/>
      <c r="K4886" s="13">
        <v>1</v>
      </c>
      <c r="L4886" s="13"/>
      <c r="M4886" s="72" t="b">
        <v>1</v>
      </c>
    </row>
    <row r="4887" spans="1:13" s="4" customFormat="1" x14ac:dyDescent="0.25">
      <c r="A4887" s="13"/>
      <c r="B4887" s="13"/>
      <c r="C4887" s="13"/>
      <c r="D4887" s="13">
        <v>232</v>
      </c>
      <c r="E4887" s="136" t="str">
        <f>INDEX([1]道具配置表!$D:$D,MATCH(D4887,[1]道具配置表!$A:$A,0))</f>
        <v>1万食物</v>
      </c>
      <c r="F4887" s="13">
        <v>30</v>
      </c>
      <c r="G4887" s="13"/>
      <c r="H4887" s="13"/>
      <c r="I4887" s="13"/>
      <c r="J4887" s="13"/>
      <c r="K4887" s="13">
        <v>1</v>
      </c>
      <c r="L4887" s="13"/>
      <c r="M4887" s="72" t="b">
        <v>1</v>
      </c>
    </row>
    <row r="4888" spans="1:13" s="4" customFormat="1" x14ac:dyDescent="0.25">
      <c r="A4888" s="13"/>
      <c r="B4888" s="13"/>
      <c r="C4888" s="13"/>
      <c r="D4888" s="13">
        <v>231</v>
      </c>
      <c r="E4888" s="136" t="str">
        <f>INDEX([1]道具配置表!$D:$D,MATCH(D4888,[1]道具配置表!$A:$A,0))</f>
        <v>1万木材</v>
      </c>
      <c r="F4888" s="13">
        <v>30</v>
      </c>
      <c r="G4888" s="13"/>
      <c r="H4888" s="13"/>
      <c r="I4888" s="13"/>
      <c r="J4888" s="13"/>
      <c r="K4888" s="13">
        <v>1</v>
      </c>
      <c r="L4888" s="13"/>
      <c r="M4888" s="72" t="b">
        <v>1</v>
      </c>
    </row>
    <row r="4889" spans="1:13" s="4" customFormat="1" x14ac:dyDescent="0.25">
      <c r="A4889" s="13"/>
      <c r="B4889" s="13"/>
      <c r="C4889" s="13"/>
      <c r="D4889" s="13">
        <v>233</v>
      </c>
      <c r="E4889" s="136" t="str">
        <f>INDEX([1]道具配置表!$D:$D,MATCH(D4889,[1]道具配置表!$A:$A,0))</f>
        <v>1万石头</v>
      </c>
      <c r="F4889" s="13">
        <v>30</v>
      </c>
      <c r="G4889" s="13"/>
      <c r="H4889" s="13"/>
      <c r="I4889" s="13"/>
      <c r="J4889" s="13"/>
      <c r="K4889" s="13">
        <v>1</v>
      </c>
      <c r="L4889" s="13"/>
      <c r="M4889" s="72" t="b">
        <v>1</v>
      </c>
    </row>
    <row r="4890" spans="1:13" s="4" customFormat="1" x14ac:dyDescent="0.25">
      <c r="A4890" s="13"/>
      <c r="B4890" s="13"/>
      <c r="C4890" s="13"/>
      <c r="D4890" s="13">
        <v>234</v>
      </c>
      <c r="E4890" s="136" t="str">
        <f>INDEX([1]道具配置表!$D:$D,MATCH(D4890,[1]道具配置表!$A:$A,0))</f>
        <v>1万黄金</v>
      </c>
      <c r="F4890" s="13">
        <v>30</v>
      </c>
      <c r="G4890" s="13"/>
      <c r="H4890" s="13"/>
      <c r="I4890" s="13"/>
      <c r="J4890" s="13"/>
      <c r="K4890" s="13">
        <v>1</v>
      </c>
      <c r="L4890" s="13"/>
      <c r="M4890" s="72" t="b">
        <v>1</v>
      </c>
    </row>
    <row r="4891" spans="1:13" s="4" customFormat="1" x14ac:dyDescent="0.25">
      <c r="A4891" s="13">
        <v>6642018</v>
      </c>
      <c r="B4891" s="13" t="s">
        <v>1452</v>
      </c>
      <c r="C4891" s="13"/>
      <c r="D4891" s="13">
        <v>56213</v>
      </c>
      <c r="E4891" s="136" t="str">
        <f>INDEX([1]道具配置表!$D:$D,MATCH(D4891,[1]道具配置表!$A:$A,0))</f>
        <v>白色宝石宝箱-随机</v>
      </c>
      <c r="F4891" s="13">
        <v>5</v>
      </c>
      <c r="G4891" s="13"/>
      <c r="H4891" s="13"/>
      <c r="I4891" s="13"/>
      <c r="J4891" s="13"/>
      <c r="K4891" s="13">
        <v>1</v>
      </c>
      <c r="L4891" s="13"/>
      <c r="M4891" s="72" t="b">
        <v>1</v>
      </c>
    </row>
    <row r="4892" spans="1:13" s="4" customFormat="1" x14ac:dyDescent="0.25">
      <c r="A4892" s="13"/>
      <c r="B4892" s="13"/>
      <c r="C4892" s="13"/>
      <c r="D4892" s="13">
        <v>6142</v>
      </c>
      <c r="E4892" s="136" t="str">
        <f>INDEX([1]道具配置表!$D:$D,MATCH(D4892,[1]道具配置表!$A:$A,0))</f>
        <v>10分钟科技加速</v>
      </c>
      <c r="F4892" s="13">
        <v>38</v>
      </c>
      <c r="G4892" s="13"/>
      <c r="H4892" s="13"/>
      <c r="I4892" s="13"/>
      <c r="J4892" s="13"/>
      <c r="K4892" s="13">
        <v>1</v>
      </c>
      <c r="L4892" s="13"/>
      <c r="M4892" s="72" t="b">
        <v>1</v>
      </c>
    </row>
    <row r="4893" spans="1:13" s="4" customFormat="1" x14ac:dyDescent="0.25">
      <c r="A4893" s="13"/>
      <c r="B4893" s="13"/>
      <c r="C4893" s="13"/>
      <c r="D4893" s="13">
        <v>232</v>
      </c>
      <c r="E4893" s="136" t="str">
        <f>INDEX([1]道具配置表!$D:$D,MATCH(D4893,[1]道具配置表!$A:$A,0))</f>
        <v>1万食物</v>
      </c>
      <c r="F4893" s="13">
        <v>32</v>
      </c>
      <c r="G4893" s="13"/>
      <c r="H4893" s="13"/>
      <c r="I4893" s="13"/>
      <c r="J4893" s="13"/>
      <c r="K4893" s="13">
        <v>1</v>
      </c>
      <c r="L4893" s="13"/>
      <c r="M4893" s="72" t="b">
        <v>1</v>
      </c>
    </row>
    <row r="4894" spans="1:13" s="4" customFormat="1" x14ac:dyDescent="0.25">
      <c r="A4894" s="13"/>
      <c r="B4894" s="13"/>
      <c r="C4894" s="13"/>
      <c r="D4894" s="13">
        <v>231</v>
      </c>
      <c r="E4894" s="136" t="str">
        <f>INDEX([1]道具配置表!$D:$D,MATCH(D4894,[1]道具配置表!$A:$A,0))</f>
        <v>1万木材</v>
      </c>
      <c r="F4894" s="13">
        <v>32</v>
      </c>
      <c r="G4894" s="13"/>
      <c r="H4894" s="13"/>
      <c r="I4894" s="13"/>
      <c r="J4894" s="13"/>
      <c r="K4894" s="13">
        <v>1</v>
      </c>
      <c r="L4894" s="13"/>
      <c r="M4894" s="72" t="b">
        <v>1</v>
      </c>
    </row>
    <row r="4895" spans="1:13" s="4" customFormat="1" x14ac:dyDescent="0.25">
      <c r="A4895" s="13"/>
      <c r="B4895" s="13"/>
      <c r="C4895" s="13"/>
      <c r="D4895" s="13">
        <v>233</v>
      </c>
      <c r="E4895" s="136" t="str">
        <f>INDEX([1]道具配置表!$D:$D,MATCH(D4895,[1]道具配置表!$A:$A,0))</f>
        <v>1万石头</v>
      </c>
      <c r="F4895" s="13">
        <v>32</v>
      </c>
      <c r="G4895" s="13"/>
      <c r="H4895" s="13"/>
      <c r="I4895" s="13"/>
      <c r="J4895" s="13"/>
      <c r="K4895" s="13">
        <v>1</v>
      </c>
      <c r="L4895" s="13"/>
      <c r="M4895" s="72" t="b">
        <v>1</v>
      </c>
    </row>
    <row r="4896" spans="1:13" s="4" customFormat="1" x14ac:dyDescent="0.25">
      <c r="A4896" s="13"/>
      <c r="B4896" s="13"/>
      <c r="C4896" s="13"/>
      <c r="D4896" s="13">
        <v>234</v>
      </c>
      <c r="E4896" s="136" t="str">
        <f>INDEX([1]道具配置表!$D:$D,MATCH(D4896,[1]道具配置表!$A:$A,0))</f>
        <v>1万黄金</v>
      </c>
      <c r="F4896" s="13">
        <v>32</v>
      </c>
      <c r="G4896" s="13"/>
      <c r="H4896" s="13"/>
      <c r="I4896" s="13"/>
      <c r="J4896" s="13"/>
      <c r="K4896" s="13">
        <v>1</v>
      </c>
      <c r="L4896" s="13"/>
      <c r="M4896" s="72" t="b">
        <v>1</v>
      </c>
    </row>
    <row r="4897" spans="1:13" s="4" customFormat="1" x14ac:dyDescent="0.25">
      <c r="A4897" s="13">
        <v>6642019</v>
      </c>
      <c r="B4897" s="13" t="s">
        <v>1453</v>
      </c>
      <c r="C4897" s="13"/>
      <c r="D4897" s="13">
        <v>56213</v>
      </c>
      <c r="E4897" s="136" t="str">
        <f>INDEX([1]道具配置表!$D:$D,MATCH(D4897,[1]道具配置表!$A:$A,0))</f>
        <v>白色宝石宝箱-随机</v>
      </c>
      <c r="F4897" s="13">
        <v>5</v>
      </c>
      <c r="G4897" s="13"/>
      <c r="H4897" s="13"/>
      <c r="I4897" s="13"/>
      <c r="J4897" s="13"/>
      <c r="K4897" s="13">
        <v>1</v>
      </c>
      <c r="L4897" s="13"/>
      <c r="M4897" s="72" t="b">
        <v>1</v>
      </c>
    </row>
    <row r="4898" spans="1:13" s="4" customFormat="1" x14ac:dyDescent="0.25">
      <c r="A4898" s="13"/>
      <c r="B4898" s="13"/>
      <c r="C4898" s="13"/>
      <c r="D4898" s="13">
        <v>6142</v>
      </c>
      <c r="E4898" s="136" t="str">
        <f>INDEX([1]道具配置表!$D:$D,MATCH(D4898,[1]道具配置表!$A:$A,0))</f>
        <v>10分钟科技加速</v>
      </c>
      <c r="F4898" s="13">
        <v>41</v>
      </c>
      <c r="G4898" s="13"/>
      <c r="H4898" s="13"/>
      <c r="I4898" s="13"/>
      <c r="J4898" s="13"/>
      <c r="K4898" s="13">
        <v>1</v>
      </c>
      <c r="L4898" s="13"/>
      <c r="M4898" s="72" t="b">
        <v>1</v>
      </c>
    </row>
    <row r="4899" spans="1:13" s="4" customFormat="1" x14ac:dyDescent="0.25">
      <c r="A4899" s="13"/>
      <c r="B4899" s="13"/>
      <c r="C4899" s="13"/>
      <c r="D4899" s="13">
        <v>232</v>
      </c>
      <c r="E4899" s="136" t="str">
        <f>INDEX([1]道具配置表!$D:$D,MATCH(D4899,[1]道具配置表!$A:$A,0))</f>
        <v>1万食物</v>
      </c>
      <c r="F4899" s="13">
        <v>34</v>
      </c>
      <c r="G4899" s="13"/>
      <c r="H4899" s="13"/>
      <c r="I4899" s="13"/>
      <c r="J4899" s="13"/>
      <c r="K4899" s="13">
        <v>1</v>
      </c>
      <c r="L4899" s="13"/>
      <c r="M4899" s="72" t="b">
        <v>1</v>
      </c>
    </row>
    <row r="4900" spans="1:13" s="4" customFormat="1" x14ac:dyDescent="0.25">
      <c r="A4900" s="13"/>
      <c r="B4900" s="13"/>
      <c r="C4900" s="13"/>
      <c r="D4900" s="13">
        <v>231</v>
      </c>
      <c r="E4900" s="136" t="str">
        <f>INDEX([1]道具配置表!$D:$D,MATCH(D4900,[1]道具配置表!$A:$A,0))</f>
        <v>1万木材</v>
      </c>
      <c r="F4900" s="13">
        <v>34</v>
      </c>
      <c r="G4900" s="13"/>
      <c r="H4900" s="13"/>
      <c r="I4900" s="13"/>
      <c r="J4900" s="13"/>
      <c r="K4900" s="13">
        <v>1</v>
      </c>
      <c r="L4900" s="13"/>
      <c r="M4900" s="72" t="b">
        <v>1</v>
      </c>
    </row>
    <row r="4901" spans="1:13" s="4" customFormat="1" x14ac:dyDescent="0.25">
      <c r="A4901" s="13"/>
      <c r="B4901" s="13"/>
      <c r="C4901" s="13"/>
      <c r="D4901" s="13">
        <v>233</v>
      </c>
      <c r="E4901" s="136" t="str">
        <f>INDEX([1]道具配置表!$D:$D,MATCH(D4901,[1]道具配置表!$A:$A,0))</f>
        <v>1万石头</v>
      </c>
      <c r="F4901" s="13">
        <v>34</v>
      </c>
      <c r="G4901" s="13"/>
      <c r="H4901" s="13"/>
      <c r="I4901" s="13"/>
      <c r="J4901" s="13"/>
      <c r="K4901" s="13">
        <v>1</v>
      </c>
      <c r="L4901" s="13"/>
      <c r="M4901" s="72" t="b">
        <v>1</v>
      </c>
    </row>
    <row r="4902" spans="1:13" s="4" customFormat="1" x14ac:dyDescent="0.25">
      <c r="A4902" s="13"/>
      <c r="B4902" s="13"/>
      <c r="C4902" s="13"/>
      <c r="D4902" s="13">
        <v>234</v>
      </c>
      <c r="E4902" s="136" t="str">
        <f>INDEX([1]道具配置表!$D:$D,MATCH(D4902,[1]道具配置表!$A:$A,0))</f>
        <v>1万黄金</v>
      </c>
      <c r="F4902" s="13">
        <v>34</v>
      </c>
      <c r="G4902" s="13"/>
      <c r="H4902" s="13"/>
      <c r="I4902" s="13"/>
      <c r="J4902" s="13"/>
      <c r="K4902" s="13">
        <v>1</v>
      </c>
      <c r="L4902" s="13"/>
      <c r="M4902" s="72" t="b">
        <v>1</v>
      </c>
    </row>
    <row r="4903" spans="1:13" s="4" customFormat="1" x14ac:dyDescent="0.25">
      <c r="A4903" s="13">
        <v>6642020</v>
      </c>
      <c r="B4903" s="13" t="s">
        <v>1454</v>
      </c>
      <c r="C4903" s="13"/>
      <c r="D4903" s="13">
        <v>56213</v>
      </c>
      <c r="E4903" s="136" t="str">
        <f>INDEX([1]道具配置表!$D:$D,MATCH(D4903,[1]道具配置表!$A:$A,0))</f>
        <v>白色宝石宝箱-随机</v>
      </c>
      <c r="F4903" s="13">
        <v>6</v>
      </c>
      <c r="G4903" s="13"/>
      <c r="H4903" s="13"/>
      <c r="I4903" s="13"/>
      <c r="J4903" s="13"/>
      <c r="K4903" s="13">
        <v>1</v>
      </c>
      <c r="L4903" s="13"/>
      <c r="M4903" s="72" t="b">
        <v>1</v>
      </c>
    </row>
    <row r="4904" spans="1:13" s="4" customFormat="1" x14ac:dyDescent="0.25">
      <c r="A4904" s="13"/>
      <c r="B4904" s="13"/>
      <c r="C4904" s="13"/>
      <c r="D4904" s="13">
        <v>6142</v>
      </c>
      <c r="E4904" s="136" t="str">
        <f>INDEX([1]道具配置表!$D:$D,MATCH(D4904,[1]道具配置表!$A:$A,0))</f>
        <v>10分钟科技加速</v>
      </c>
      <c r="F4904" s="13">
        <v>43</v>
      </c>
      <c r="G4904" s="13"/>
      <c r="H4904" s="13"/>
      <c r="I4904" s="13"/>
      <c r="J4904" s="13"/>
      <c r="K4904" s="13">
        <v>1</v>
      </c>
      <c r="L4904" s="13"/>
      <c r="M4904" s="72" t="b">
        <v>1</v>
      </c>
    </row>
    <row r="4905" spans="1:13" s="4" customFormat="1" x14ac:dyDescent="0.25">
      <c r="A4905" s="13"/>
      <c r="B4905" s="13"/>
      <c r="C4905" s="13"/>
      <c r="D4905" s="13">
        <v>232</v>
      </c>
      <c r="E4905" s="136" t="str">
        <f>INDEX([1]道具配置表!$D:$D,MATCH(D4905,[1]道具配置表!$A:$A,0))</f>
        <v>1万食物</v>
      </c>
      <c r="F4905" s="13">
        <v>36</v>
      </c>
      <c r="G4905" s="13"/>
      <c r="H4905" s="13"/>
      <c r="I4905" s="13"/>
      <c r="J4905" s="13"/>
      <c r="K4905" s="13">
        <v>1</v>
      </c>
      <c r="L4905" s="13"/>
      <c r="M4905" s="72" t="b">
        <v>1</v>
      </c>
    </row>
    <row r="4906" spans="1:13" s="4" customFormat="1" x14ac:dyDescent="0.25">
      <c r="A4906" s="13"/>
      <c r="B4906" s="13"/>
      <c r="C4906" s="13"/>
      <c r="D4906" s="13">
        <v>231</v>
      </c>
      <c r="E4906" s="136" t="str">
        <f>INDEX([1]道具配置表!$D:$D,MATCH(D4906,[1]道具配置表!$A:$A,0))</f>
        <v>1万木材</v>
      </c>
      <c r="F4906" s="13">
        <v>36</v>
      </c>
      <c r="G4906" s="13"/>
      <c r="H4906" s="13"/>
      <c r="I4906" s="13"/>
      <c r="J4906" s="13"/>
      <c r="K4906" s="13">
        <v>1</v>
      </c>
      <c r="L4906" s="13"/>
      <c r="M4906" s="72" t="b">
        <v>1</v>
      </c>
    </row>
    <row r="4907" spans="1:13" s="4" customFormat="1" x14ac:dyDescent="0.25">
      <c r="A4907" s="13"/>
      <c r="B4907" s="13"/>
      <c r="C4907" s="13"/>
      <c r="D4907" s="13">
        <v>233</v>
      </c>
      <c r="E4907" s="136" t="str">
        <f>INDEX([1]道具配置表!$D:$D,MATCH(D4907,[1]道具配置表!$A:$A,0))</f>
        <v>1万石头</v>
      </c>
      <c r="F4907" s="13">
        <v>36</v>
      </c>
      <c r="G4907" s="13"/>
      <c r="H4907" s="13"/>
      <c r="I4907" s="13"/>
      <c r="J4907" s="13"/>
      <c r="K4907" s="13">
        <v>1</v>
      </c>
      <c r="L4907" s="13"/>
      <c r="M4907" s="72" t="b">
        <v>1</v>
      </c>
    </row>
    <row r="4908" spans="1:13" s="4" customFormat="1" x14ac:dyDescent="0.25">
      <c r="A4908" s="13"/>
      <c r="B4908" s="13"/>
      <c r="C4908" s="13"/>
      <c r="D4908" s="13">
        <v>234</v>
      </c>
      <c r="E4908" s="136" t="str">
        <f>INDEX([1]道具配置表!$D:$D,MATCH(D4908,[1]道具配置表!$A:$A,0))</f>
        <v>1万黄金</v>
      </c>
      <c r="F4908" s="13">
        <v>36</v>
      </c>
      <c r="G4908" s="13"/>
      <c r="H4908" s="13"/>
      <c r="I4908" s="13"/>
      <c r="J4908" s="13"/>
      <c r="K4908" s="13">
        <v>1</v>
      </c>
      <c r="L4908" s="13"/>
      <c r="M4908" s="72" t="b">
        <v>1</v>
      </c>
    </row>
    <row r="4909" spans="1:13" s="4" customFormat="1" x14ac:dyDescent="0.25">
      <c r="A4909" s="13">
        <v>6642021</v>
      </c>
      <c r="B4909" s="13" t="s">
        <v>1455</v>
      </c>
      <c r="C4909" s="13"/>
      <c r="D4909" s="13">
        <v>56213</v>
      </c>
      <c r="E4909" s="136" t="str">
        <f>INDEX([1]道具配置表!$D:$D,MATCH(D4909,[1]道具配置表!$A:$A,0))</f>
        <v>白色宝石宝箱-随机</v>
      </c>
      <c r="F4909" s="13">
        <v>6</v>
      </c>
      <c r="G4909" s="13"/>
      <c r="H4909" s="13"/>
      <c r="I4909" s="13"/>
      <c r="J4909" s="13"/>
      <c r="K4909" s="13">
        <v>1</v>
      </c>
      <c r="L4909" s="13"/>
      <c r="M4909" s="72" t="b">
        <v>1</v>
      </c>
    </row>
    <row r="4910" spans="1:13" s="4" customFormat="1" x14ac:dyDescent="0.25">
      <c r="A4910" s="13"/>
      <c r="B4910" s="13"/>
      <c r="C4910" s="13"/>
      <c r="D4910" s="13">
        <v>6142</v>
      </c>
      <c r="E4910" s="136" t="str">
        <f>INDEX([1]道具配置表!$D:$D,MATCH(D4910,[1]道具配置表!$A:$A,0))</f>
        <v>10分钟科技加速</v>
      </c>
      <c r="F4910" s="13">
        <v>46</v>
      </c>
      <c r="G4910" s="13"/>
      <c r="H4910" s="13"/>
      <c r="I4910" s="13"/>
      <c r="J4910" s="13"/>
      <c r="K4910" s="13">
        <v>1</v>
      </c>
      <c r="L4910" s="13"/>
      <c r="M4910" s="72" t="b">
        <v>1</v>
      </c>
    </row>
    <row r="4911" spans="1:13" s="4" customFormat="1" x14ac:dyDescent="0.25">
      <c r="A4911" s="13"/>
      <c r="B4911" s="13"/>
      <c r="C4911" s="13"/>
      <c r="D4911" s="13">
        <v>232</v>
      </c>
      <c r="E4911" s="136" t="str">
        <f>INDEX([1]道具配置表!$D:$D,MATCH(D4911,[1]道具配置表!$A:$A,0))</f>
        <v>1万食物</v>
      </c>
      <c r="F4911" s="13">
        <v>38</v>
      </c>
      <c r="G4911" s="13"/>
      <c r="H4911" s="13"/>
      <c r="I4911" s="13"/>
      <c r="J4911" s="13"/>
      <c r="K4911" s="13">
        <v>1</v>
      </c>
      <c r="L4911" s="13"/>
      <c r="M4911" s="72" t="b">
        <v>1</v>
      </c>
    </row>
    <row r="4912" spans="1:13" s="4" customFormat="1" x14ac:dyDescent="0.25">
      <c r="A4912" s="13"/>
      <c r="B4912" s="13"/>
      <c r="C4912" s="13"/>
      <c r="D4912" s="13">
        <v>231</v>
      </c>
      <c r="E4912" s="136" t="str">
        <f>INDEX([1]道具配置表!$D:$D,MATCH(D4912,[1]道具配置表!$A:$A,0))</f>
        <v>1万木材</v>
      </c>
      <c r="F4912" s="13">
        <v>38</v>
      </c>
      <c r="G4912" s="13"/>
      <c r="H4912" s="13"/>
      <c r="I4912" s="13"/>
      <c r="J4912" s="13"/>
      <c r="K4912" s="13">
        <v>1</v>
      </c>
      <c r="L4912" s="13"/>
      <c r="M4912" s="72" t="b">
        <v>1</v>
      </c>
    </row>
    <row r="4913" spans="1:13" s="4" customFormat="1" x14ac:dyDescent="0.25">
      <c r="A4913" s="13"/>
      <c r="B4913" s="13"/>
      <c r="C4913" s="13"/>
      <c r="D4913" s="13">
        <v>233</v>
      </c>
      <c r="E4913" s="136" t="str">
        <f>INDEX([1]道具配置表!$D:$D,MATCH(D4913,[1]道具配置表!$A:$A,0))</f>
        <v>1万石头</v>
      </c>
      <c r="F4913" s="13">
        <v>38</v>
      </c>
      <c r="G4913" s="13"/>
      <c r="H4913" s="13"/>
      <c r="I4913" s="13"/>
      <c r="J4913" s="13"/>
      <c r="K4913" s="13">
        <v>1</v>
      </c>
      <c r="L4913" s="13"/>
      <c r="M4913" s="72" t="b">
        <v>1</v>
      </c>
    </row>
    <row r="4914" spans="1:13" s="4" customFormat="1" x14ac:dyDescent="0.25">
      <c r="A4914" s="13"/>
      <c r="B4914" s="13"/>
      <c r="C4914" s="13"/>
      <c r="D4914" s="13">
        <v>234</v>
      </c>
      <c r="E4914" s="136" t="str">
        <f>INDEX([1]道具配置表!$D:$D,MATCH(D4914,[1]道具配置表!$A:$A,0))</f>
        <v>1万黄金</v>
      </c>
      <c r="F4914" s="13">
        <v>38</v>
      </c>
      <c r="G4914" s="13"/>
      <c r="H4914" s="13"/>
      <c r="I4914" s="13"/>
      <c r="J4914" s="13"/>
      <c r="K4914" s="13">
        <v>1</v>
      </c>
      <c r="L4914" s="13"/>
      <c r="M4914" s="72" t="b">
        <v>1</v>
      </c>
    </row>
    <row r="4915" spans="1:13" s="4" customFormat="1" x14ac:dyDescent="0.25">
      <c r="A4915" s="13">
        <v>6642022</v>
      </c>
      <c r="B4915" s="13" t="s">
        <v>1456</v>
      </c>
      <c r="C4915" s="13"/>
      <c r="D4915" s="13">
        <v>56213</v>
      </c>
      <c r="E4915" s="136" t="str">
        <f>INDEX([1]道具配置表!$D:$D,MATCH(D4915,[1]道具配置表!$A:$A,0))</f>
        <v>白色宝石宝箱-随机</v>
      </c>
      <c r="F4915" s="13">
        <v>6</v>
      </c>
      <c r="G4915" s="13"/>
      <c r="H4915" s="13"/>
      <c r="I4915" s="13"/>
      <c r="J4915" s="13"/>
      <c r="K4915" s="13">
        <v>1</v>
      </c>
      <c r="L4915" s="13"/>
      <c r="M4915" s="72" t="b">
        <v>1</v>
      </c>
    </row>
    <row r="4916" spans="1:13" s="4" customFormat="1" x14ac:dyDescent="0.25">
      <c r="A4916" s="13"/>
      <c r="B4916" s="13"/>
      <c r="C4916" s="13"/>
      <c r="D4916" s="13">
        <v>6142</v>
      </c>
      <c r="E4916" s="136" t="str">
        <f>INDEX([1]道具配置表!$D:$D,MATCH(D4916,[1]道具配置表!$A:$A,0))</f>
        <v>10分钟科技加速</v>
      </c>
      <c r="F4916" s="13">
        <v>48</v>
      </c>
      <c r="G4916" s="13"/>
      <c r="H4916" s="13"/>
      <c r="I4916" s="13"/>
      <c r="J4916" s="13"/>
      <c r="K4916" s="13">
        <v>1</v>
      </c>
      <c r="L4916" s="13"/>
      <c r="M4916" s="72" t="b">
        <v>1</v>
      </c>
    </row>
    <row r="4917" spans="1:13" s="4" customFormat="1" x14ac:dyDescent="0.25">
      <c r="A4917" s="13"/>
      <c r="B4917" s="13"/>
      <c r="C4917" s="13"/>
      <c r="D4917" s="13">
        <v>232</v>
      </c>
      <c r="E4917" s="136" t="str">
        <f>INDEX([1]道具配置表!$D:$D,MATCH(D4917,[1]道具配置表!$A:$A,0))</f>
        <v>1万食物</v>
      </c>
      <c r="F4917" s="13">
        <v>40</v>
      </c>
      <c r="G4917" s="13"/>
      <c r="H4917" s="13"/>
      <c r="I4917" s="13"/>
      <c r="J4917" s="13"/>
      <c r="K4917" s="13">
        <v>1</v>
      </c>
      <c r="L4917" s="13"/>
      <c r="M4917" s="72" t="b">
        <v>1</v>
      </c>
    </row>
    <row r="4918" spans="1:13" s="4" customFormat="1" x14ac:dyDescent="0.25">
      <c r="A4918" s="13"/>
      <c r="B4918" s="13"/>
      <c r="C4918" s="13"/>
      <c r="D4918" s="13">
        <v>231</v>
      </c>
      <c r="E4918" s="136" t="str">
        <f>INDEX([1]道具配置表!$D:$D,MATCH(D4918,[1]道具配置表!$A:$A,0))</f>
        <v>1万木材</v>
      </c>
      <c r="F4918" s="13">
        <v>40</v>
      </c>
      <c r="G4918" s="13"/>
      <c r="H4918" s="13"/>
      <c r="I4918" s="13"/>
      <c r="J4918" s="13"/>
      <c r="K4918" s="13">
        <v>1</v>
      </c>
      <c r="L4918" s="13"/>
      <c r="M4918" s="72" t="b">
        <v>1</v>
      </c>
    </row>
    <row r="4919" spans="1:13" s="4" customFormat="1" x14ac:dyDescent="0.25">
      <c r="A4919" s="13"/>
      <c r="B4919" s="13"/>
      <c r="C4919" s="13"/>
      <c r="D4919" s="13">
        <v>233</v>
      </c>
      <c r="E4919" s="136" t="str">
        <f>INDEX([1]道具配置表!$D:$D,MATCH(D4919,[1]道具配置表!$A:$A,0))</f>
        <v>1万石头</v>
      </c>
      <c r="F4919" s="13">
        <v>40</v>
      </c>
      <c r="G4919" s="13"/>
      <c r="H4919" s="13"/>
      <c r="I4919" s="13"/>
      <c r="J4919" s="13"/>
      <c r="K4919" s="13">
        <v>1</v>
      </c>
      <c r="L4919" s="13"/>
      <c r="M4919" s="72" t="b">
        <v>1</v>
      </c>
    </row>
    <row r="4920" spans="1:13" s="4" customFormat="1" x14ac:dyDescent="0.25">
      <c r="A4920" s="13"/>
      <c r="B4920" s="13"/>
      <c r="C4920" s="13"/>
      <c r="D4920" s="13">
        <v>234</v>
      </c>
      <c r="E4920" s="136" t="str">
        <f>INDEX([1]道具配置表!$D:$D,MATCH(D4920,[1]道具配置表!$A:$A,0))</f>
        <v>1万黄金</v>
      </c>
      <c r="F4920" s="13">
        <v>40</v>
      </c>
      <c r="G4920" s="13"/>
      <c r="H4920" s="13"/>
      <c r="I4920" s="13"/>
      <c r="J4920" s="13"/>
      <c r="K4920" s="13">
        <v>1</v>
      </c>
      <c r="L4920" s="13"/>
      <c r="M4920" s="72" t="b">
        <v>1</v>
      </c>
    </row>
    <row r="4921" spans="1:13" s="4" customFormat="1" x14ac:dyDescent="0.25">
      <c r="A4921" s="13">
        <v>6642023</v>
      </c>
      <c r="B4921" s="13" t="s">
        <v>1457</v>
      </c>
      <c r="C4921" s="13"/>
      <c r="D4921" s="13">
        <v>56213</v>
      </c>
      <c r="E4921" s="136" t="str">
        <f>INDEX([1]道具配置表!$D:$D,MATCH(D4921,[1]道具配置表!$A:$A,0))</f>
        <v>白色宝石宝箱-随机</v>
      </c>
      <c r="F4921" s="13">
        <v>6</v>
      </c>
      <c r="G4921" s="13"/>
      <c r="H4921" s="13"/>
      <c r="I4921" s="13"/>
      <c r="J4921" s="13"/>
      <c r="K4921" s="13">
        <v>1</v>
      </c>
      <c r="L4921" s="13"/>
      <c r="M4921" s="72" t="b">
        <v>1</v>
      </c>
    </row>
    <row r="4922" spans="1:13" s="4" customFormat="1" x14ac:dyDescent="0.25">
      <c r="A4922" s="13"/>
      <c r="B4922" s="13"/>
      <c r="C4922" s="13"/>
      <c r="D4922" s="13">
        <v>6142</v>
      </c>
      <c r="E4922" s="136" t="str">
        <f>INDEX([1]道具配置表!$D:$D,MATCH(D4922,[1]道具配置表!$A:$A,0))</f>
        <v>10分钟科技加速</v>
      </c>
      <c r="F4922" s="13">
        <v>50</v>
      </c>
      <c r="G4922" s="13"/>
      <c r="H4922" s="13"/>
      <c r="I4922" s="13"/>
      <c r="J4922" s="13"/>
      <c r="K4922" s="13">
        <v>1</v>
      </c>
      <c r="L4922" s="13"/>
      <c r="M4922" s="72" t="b">
        <v>1</v>
      </c>
    </row>
    <row r="4923" spans="1:13" s="4" customFormat="1" x14ac:dyDescent="0.25">
      <c r="A4923" s="13"/>
      <c r="B4923" s="13"/>
      <c r="C4923" s="13"/>
      <c r="D4923" s="13">
        <v>232</v>
      </c>
      <c r="E4923" s="136" t="str">
        <f>INDEX([1]道具配置表!$D:$D,MATCH(D4923,[1]道具配置表!$A:$A,0))</f>
        <v>1万食物</v>
      </c>
      <c r="F4923" s="13">
        <v>42</v>
      </c>
      <c r="G4923" s="13"/>
      <c r="H4923" s="13"/>
      <c r="I4923" s="13"/>
      <c r="J4923" s="13"/>
      <c r="K4923" s="13">
        <v>1</v>
      </c>
      <c r="L4923" s="13"/>
      <c r="M4923" s="72" t="b">
        <v>1</v>
      </c>
    </row>
    <row r="4924" spans="1:13" s="4" customFormat="1" x14ac:dyDescent="0.25">
      <c r="A4924" s="13"/>
      <c r="B4924" s="13"/>
      <c r="C4924" s="13"/>
      <c r="D4924" s="13">
        <v>231</v>
      </c>
      <c r="E4924" s="136" t="str">
        <f>INDEX([1]道具配置表!$D:$D,MATCH(D4924,[1]道具配置表!$A:$A,0))</f>
        <v>1万木材</v>
      </c>
      <c r="F4924" s="13">
        <v>42</v>
      </c>
      <c r="G4924" s="13"/>
      <c r="H4924" s="13"/>
      <c r="I4924" s="13"/>
      <c r="J4924" s="13"/>
      <c r="K4924" s="13">
        <v>1</v>
      </c>
      <c r="L4924" s="13"/>
      <c r="M4924" s="72" t="b">
        <v>1</v>
      </c>
    </row>
    <row r="4925" spans="1:13" s="4" customFormat="1" x14ac:dyDescent="0.25">
      <c r="A4925" s="13"/>
      <c r="B4925" s="13"/>
      <c r="C4925" s="13"/>
      <c r="D4925" s="13">
        <v>233</v>
      </c>
      <c r="E4925" s="136" t="str">
        <f>INDEX([1]道具配置表!$D:$D,MATCH(D4925,[1]道具配置表!$A:$A,0))</f>
        <v>1万石头</v>
      </c>
      <c r="F4925" s="13">
        <v>42</v>
      </c>
      <c r="G4925" s="13"/>
      <c r="H4925" s="13"/>
      <c r="I4925" s="13"/>
      <c r="J4925" s="13"/>
      <c r="K4925" s="13">
        <v>1</v>
      </c>
      <c r="L4925" s="13"/>
      <c r="M4925" s="72" t="b">
        <v>1</v>
      </c>
    </row>
    <row r="4926" spans="1:13" s="4" customFormat="1" x14ac:dyDescent="0.25">
      <c r="A4926" s="13"/>
      <c r="B4926" s="13"/>
      <c r="C4926" s="13"/>
      <c r="D4926" s="13">
        <v>234</v>
      </c>
      <c r="E4926" s="136" t="str">
        <f>INDEX([1]道具配置表!$D:$D,MATCH(D4926,[1]道具配置表!$A:$A,0))</f>
        <v>1万黄金</v>
      </c>
      <c r="F4926" s="13">
        <v>42</v>
      </c>
      <c r="G4926" s="13"/>
      <c r="H4926" s="13"/>
      <c r="I4926" s="13"/>
      <c r="J4926" s="13"/>
      <c r="K4926" s="13">
        <v>1</v>
      </c>
      <c r="L4926" s="13"/>
      <c r="M4926" s="72" t="b">
        <v>1</v>
      </c>
    </row>
    <row r="4927" spans="1:13" s="4" customFormat="1" x14ac:dyDescent="0.25">
      <c r="A4927" s="13">
        <v>6642024</v>
      </c>
      <c r="B4927" s="13" t="s">
        <v>1458</v>
      </c>
      <c r="C4927" s="13"/>
      <c r="D4927" s="13">
        <v>56214</v>
      </c>
      <c r="E4927" s="136" t="str">
        <f>INDEX([1]道具配置表!$D:$D,MATCH(D4927,[1]道具配置表!$A:$A,0))</f>
        <v>绿色宝石宝箱-随机</v>
      </c>
      <c r="F4927" s="13">
        <v>1</v>
      </c>
      <c r="G4927" s="13"/>
      <c r="H4927" s="13"/>
      <c r="I4927" s="13"/>
      <c r="J4927" s="13"/>
      <c r="K4927" s="13">
        <v>1</v>
      </c>
      <c r="L4927" s="13"/>
      <c r="M4927" s="72" t="b">
        <v>1</v>
      </c>
    </row>
    <row r="4928" spans="1:13" s="4" customFormat="1" x14ac:dyDescent="0.25">
      <c r="A4928" s="13"/>
      <c r="B4928" s="13"/>
      <c r="C4928" s="13"/>
      <c r="D4928" s="13">
        <v>56213</v>
      </c>
      <c r="E4928" s="136" t="str">
        <f>INDEX([1]道具配置表!$D:$D,MATCH(D4928,[1]道具配置表!$A:$A,0))</f>
        <v>白色宝石宝箱-随机</v>
      </c>
      <c r="F4928" s="13">
        <v>7</v>
      </c>
      <c r="G4928" s="13"/>
      <c r="H4928" s="13"/>
      <c r="I4928" s="13"/>
      <c r="J4928" s="13"/>
      <c r="K4928" s="13">
        <v>1</v>
      </c>
      <c r="L4928" s="13"/>
      <c r="M4928" s="72" t="b">
        <v>1</v>
      </c>
    </row>
    <row r="4929" spans="1:13" s="4" customFormat="1" x14ac:dyDescent="0.25">
      <c r="A4929" s="13"/>
      <c r="B4929" s="13"/>
      <c r="C4929" s="13"/>
      <c r="D4929" s="13">
        <v>6142</v>
      </c>
      <c r="E4929" s="136" t="str">
        <f>INDEX([1]道具配置表!$D:$D,MATCH(D4929,[1]道具配置表!$A:$A,0))</f>
        <v>10分钟科技加速</v>
      </c>
      <c r="F4929" s="13">
        <v>53</v>
      </c>
      <c r="G4929" s="13"/>
      <c r="H4929" s="13"/>
      <c r="I4929" s="13"/>
      <c r="J4929" s="13"/>
      <c r="K4929" s="13">
        <v>1</v>
      </c>
      <c r="L4929" s="13"/>
      <c r="M4929" s="72" t="b">
        <v>1</v>
      </c>
    </row>
    <row r="4930" spans="1:13" s="4" customFormat="1" x14ac:dyDescent="0.25">
      <c r="A4930" s="13"/>
      <c r="B4930" s="13"/>
      <c r="C4930" s="13"/>
      <c r="D4930" s="13">
        <v>232</v>
      </c>
      <c r="E4930" s="136" t="str">
        <f>INDEX([1]道具配置表!$D:$D,MATCH(D4930,[1]道具配置表!$A:$A,0))</f>
        <v>1万食物</v>
      </c>
      <c r="F4930" s="13">
        <v>44</v>
      </c>
      <c r="G4930" s="13"/>
      <c r="H4930" s="13"/>
      <c r="I4930" s="13"/>
      <c r="J4930" s="13"/>
      <c r="K4930" s="13">
        <v>1</v>
      </c>
      <c r="L4930" s="13"/>
      <c r="M4930" s="72" t="b">
        <v>1</v>
      </c>
    </row>
    <row r="4931" spans="1:13" s="4" customFormat="1" x14ac:dyDescent="0.25">
      <c r="A4931" s="13"/>
      <c r="B4931" s="13"/>
      <c r="C4931" s="13"/>
      <c r="D4931" s="13">
        <v>231</v>
      </c>
      <c r="E4931" s="136" t="str">
        <f>INDEX([1]道具配置表!$D:$D,MATCH(D4931,[1]道具配置表!$A:$A,0))</f>
        <v>1万木材</v>
      </c>
      <c r="F4931" s="13">
        <v>44</v>
      </c>
      <c r="G4931" s="13"/>
      <c r="H4931" s="13"/>
      <c r="I4931" s="13"/>
      <c r="J4931" s="13"/>
      <c r="K4931" s="13">
        <v>1</v>
      </c>
      <c r="L4931" s="13"/>
      <c r="M4931" s="72" t="b">
        <v>1</v>
      </c>
    </row>
    <row r="4932" spans="1:13" s="4" customFormat="1" x14ac:dyDescent="0.25">
      <c r="A4932" s="13"/>
      <c r="B4932" s="13"/>
      <c r="C4932" s="13"/>
      <c r="D4932" s="13">
        <v>233</v>
      </c>
      <c r="E4932" s="136" t="str">
        <f>INDEX([1]道具配置表!$D:$D,MATCH(D4932,[1]道具配置表!$A:$A,0))</f>
        <v>1万石头</v>
      </c>
      <c r="F4932" s="13">
        <v>44</v>
      </c>
      <c r="G4932" s="13"/>
      <c r="H4932" s="13"/>
      <c r="I4932" s="13"/>
      <c r="J4932" s="13"/>
      <c r="K4932" s="13">
        <v>1</v>
      </c>
      <c r="L4932" s="13"/>
      <c r="M4932" s="72" t="b">
        <v>1</v>
      </c>
    </row>
    <row r="4933" spans="1:13" s="4" customFormat="1" x14ac:dyDescent="0.25">
      <c r="A4933" s="13"/>
      <c r="B4933" s="13"/>
      <c r="C4933" s="13"/>
      <c r="D4933" s="13">
        <v>234</v>
      </c>
      <c r="E4933" s="136" t="str">
        <f>INDEX([1]道具配置表!$D:$D,MATCH(D4933,[1]道具配置表!$A:$A,0))</f>
        <v>1万黄金</v>
      </c>
      <c r="F4933" s="13">
        <v>44</v>
      </c>
      <c r="G4933" s="13"/>
      <c r="H4933" s="13"/>
      <c r="I4933" s="13"/>
      <c r="J4933" s="13"/>
      <c r="K4933" s="13">
        <v>1</v>
      </c>
      <c r="L4933" s="13"/>
      <c r="M4933" s="72" t="b">
        <v>1</v>
      </c>
    </row>
    <row r="4934" spans="1:13" s="4" customFormat="1" x14ac:dyDescent="0.25">
      <c r="A4934" s="13">
        <v>6642025</v>
      </c>
      <c r="B4934" s="13" t="s">
        <v>1459</v>
      </c>
      <c r="C4934" s="13"/>
      <c r="D4934" s="13">
        <v>56214</v>
      </c>
      <c r="E4934" s="136" t="str">
        <f>INDEX([1]道具配置表!$D:$D,MATCH(D4934,[1]道具配置表!$A:$A,0))</f>
        <v>绿色宝石宝箱-随机</v>
      </c>
      <c r="F4934" s="13">
        <v>1</v>
      </c>
      <c r="G4934" s="13"/>
      <c r="H4934" s="13"/>
      <c r="I4934" s="13"/>
      <c r="J4934" s="13"/>
      <c r="K4934" s="13">
        <v>1</v>
      </c>
      <c r="L4934" s="13"/>
      <c r="M4934" s="72" t="b">
        <v>1</v>
      </c>
    </row>
    <row r="4935" spans="1:13" s="4" customFormat="1" x14ac:dyDescent="0.25">
      <c r="A4935" s="13"/>
      <c r="B4935" s="13"/>
      <c r="C4935" s="13"/>
      <c r="D4935" s="13">
        <v>56213</v>
      </c>
      <c r="E4935" s="136" t="str">
        <f>INDEX([1]道具配置表!$D:$D,MATCH(D4935,[1]道具配置表!$A:$A,0))</f>
        <v>白色宝石宝箱-随机</v>
      </c>
      <c r="F4935" s="13">
        <v>7</v>
      </c>
      <c r="G4935" s="13"/>
      <c r="H4935" s="13"/>
      <c r="I4935" s="13"/>
      <c r="J4935" s="13"/>
      <c r="K4935" s="13">
        <v>1</v>
      </c>
      <c r="L4935" s="13"/>
      <c r="M4935" s="72" t="b">
        <v>1</v>
      </c>
    </row>
    <row r="4936" spans="1:13" s="4" customFormat="1" x14ac:dyDescent="0.25">
      <c r="A4936" s="13"/>
      <c r="B4936" s="13"/>
      <c r="C4936" s="13"/>
      <c r="D4936" s="13">
        <v>6142</v>
      </c>
      <c r="E4936" s="136" t="str">
        <f>INDEX([1]道具配置表!$D:$D,MATCH(D4936,[1]道具配置表!$A:$A,0))</f>
        <v>10分钟科技加速</v>
      </c>
      <c r="F4936" s="13">
        <v>55</v>
      </c>
      <c r="G4936" s="13"/>
      <c r="H4936" s="13"/>
      <c r="I4936" s="13"/>
      <c r="J4936" s="13"/>
      <c r="K4936" s="13">
        <v>1</v>
      </c>
      <c r="L4936" s="13"/>
      <c r="M4936" s="72" t="b">
        <v>1</v>
      </c>
    </row>
    <row r="4937" spans="1:13" s="4" customFormat="1" x14ac:dyDescent="0.25">
      <c r="A4937" s="13"/>
      <c r="B4937" s="13"/>
      <c r="C4937" s="13"/>
      <c r="D4937" s="13">
        <v>232</v>
      </c>
      <c r="E4937" s="136" t="str">
        <f>INDEX([1]道具配置表!$D:$D,MATCH(D4937,[1]道具配置表!$A:$A,0))</f>
        <v>1万食物</v>
      </c>
      <c r="F4937" s="13">
        <v>46</v>
      </c>
      <c r="G4937" s="13"/>
      <c r="H4937" s="13"/>
      <c r="I4937" s="13"/>
      <c r="J4937" s="13"/>
      <c r="K4937" s="13">
        <v>1</v>
      </c>
      <c r="L4937" s="13"/>
      <c r="M4937" s="72" t="b">
        <v>1</v>
      </c>
    </row>
    <row r="4938" spans="1:13" s="4" customFormat="1" x14ac:dyDescent="0.25">
      <c r="A4938" s="13"/>
      <c r="B4938" s="13"/>
      <c r="C4938" s="13"/>
      <c r="D4938" s="13">
        <v>231</v>
      </c>
      <c r="E4938" s="136" t="str">
        <f>INDEX([1]道具配置表!$D:$D,MATCH(D4938,[1]道具配置表!$A:$A,0))</f>
        <v>1万木材</v>
      </c>
      <c r="F4938" s="13">
        <v>46</v>
      </c>
      <c r="G4938" s="13"/>
      <c r="H4938" s="13"/>
      <c r="I4938" s="13"/>
      <c r="J4938" s="13"/>
      <c r="K4938" s="13">
        <v>1</v>
      </c>
      <c r="L4938" s="13"/>
      <c r="M4938" s="72" t="b">
        <v>1</v>
      </c>
    </row>
    <row r="4939" spans="1:13" s="4" customFormat="1" x14ac:dyDescent="0.25">
      <c r="A4939" s="13"/>
      <c r="B4939" s="13"/>
      <c r="C4939" s="13"/>
      <c r="D4939" s="13">
        <v>233</v>
      </c>
      <c r="E4939" s="136" t="str">
        <f>INDEX([1]道具配置表!$D:$D,MATCH(D4939,[1]道具配置表!$A:$A,0))</f>
        <v>1万石头</v>
      </c>
      <c r="F4939" s="13">
        <v>46</v>
      </c>
      <c r="G4939" s="13"/>
      <c r="H4939" s="13"/>
      <c r="I4939" s="13"/>
      <c r="J4939" s="13"/>
      <c r="K4939" s="13">
        <v>1</v>
      </c>
      <c r="L4939" s="13"/>
      <c r="M4939" s="72" t="b">
        <v>1</v>
      </c>
    </row>
    <row r="4940" spans="1:13" s="4" customFormat="1" x14ac:dyDescent="0.25">
      <c r="A4940" s="13"/>
      <c r="B4940" s="13"/>
      <c r="C4940" s="13"/>
      <c r="D4940" s="13">
        <v>234</v>
      </c>
      <c r="E4940" s="136" t="str">
        <f>INDEX([1]道具配置表!$D:$D,MATCH(D4940,[1]道具配置表!$A:$A,0))</f>
        <v>1万黄金</v>
      </c>
      <c r="F4940" s="13">
        <v>46</v>
      </c>
      <c r="G4940" s="13"/>
      <c r="H4940" s="13"/>
      <c r="I4940" s="13"/>
      <c r="J4940" s="13"/>
      <c r="K4940" s="13">
        <v>1</v>
      </c>
      <c r="L4940" s="13"/>
      <c r="M4940" s="72" t="b">
        <v>1</v>
      </c>
    </row>
    <row r="4941" spans="1:13" s="4" customFormat="1" x14ac:dyDescent="0.25">
      <c r="A4941" s="13">
        <v>6642026</v>
      </c>
      <c r="B4941" s="13" t="s">
        <v>1460</v>
      </c>
      <c r="C4941" s="13"/>
      <c r="D4941" s="13">
        <v>56214</v>
      </c>
      <c r="E4941" s="136" t="str">
        <f>INDEX([1]道具配置表!$D:$D,MATCH(D4941,[1]道具配置表!$A:$A,0))</f>
        <v>绿色宝石宝箱-随机</v>
      </c>
      <c r="F4941" s="13">
        <v>1</v>
      </c>
      <c r="G4941" s="13"/>
      <c r="H4941" s="13"/>
      <c r="I4941" s="13"/>
      <c r="J4941" s="13"/>
      <c r="K4941" s="13">
        <v>1</v>
      </c>
      <c r="L4941" s="13"/>
      <c r="M4941" s="72" t="b">
        <v>1</v>
      </c>
    </row>
    <row r="4942" spans="1:13" s="4" customFormat="1" x14ac:dyDescent="0.25">
      <c r="A4942" s="13"/>
      <c r="B4942" s="13"/>
      <c r="C4942" s="13"/>
      <c r="D4942" s="13">
        <v>56213</v>
      </c>
      <c r="E4942" s="136" t="str">
        <f>INDEX([1]道具配置表!$D:$D,MATCH(D4942,[1]道具配置表!$A:$A,0))</f>
        <v>白色宝石宝箱-随机</v>
      </c>
      <c r="F4942" s="13">
        <v>7</v>
      </c>
      <c r="G4942" s="13"/>
      <c r="H4942" s="13"/>
      <c r="I4942" s="13"/>
      <c r="J4942" s="13"/>
      <c r="K4942" s="13">
        <v>1</v>
      </c>
      <c r="L4942" s="13"/>
      <c r="M4942" s="72" t="b">
        <v>1</v>
      </c>
    </row>
    <row r="4943" spans="1:13" s="4" customFormat="1" x14ac:dyDescent="0.25">
      <c r="A4943" s="13"/>
      <c r="B4943" s="13"/>
      <c r="C4943" s="13"/>
      <c r="D4943" s="13">
        <v>6142</v>
      </c>
      <c r="E4943" s="136" t="str">
        <f>INDEX([1]道具配置表!$D:$D,MATCH(D4943,[1]道具配置表!$A:$A,0))</f>
        <v>10分钟科技加速</v>
      </c>
      <c r="F4943" s="13">
        <v>58</v>
      </c>
      <c r="G4943" s="13"/>
      <c r="H4943" s="13"/>
      <c r="I4943" s="13"/>
      <c r="J4943" s="13"/>
      <c r="K4943" s="13">
        <v>1</v>
      </c>
      <c r="L4943" s="13"/>
      <c r="M4943" s="72" t="b">
        <v>1</v>
      </c>
    </row>
    <row r="4944" spans="1:13" s="4" customFormat="1" x14ac:dyDescent="0.25">
      <c r="A4944" s="13"/>
      <c r="B4944" s="13"/>
      <c r="C4944" s="13"/>
      <c r="D4944" s="13">
        <v>232</v>
      </c>
      <c r="E4944" s="136" t="str">
        <f>INDEX([1]道具配置表!$D:$D,MATCH(D4944,[1]道具配置表!$A:$A,0))</f>
        <v>1万食物</v>
      </c>
      <c r="F4944" s="13">
        <v>48</v>
      </c>
      <c r="G4944" s="13"/>
      <c r="H4944" s="13"/>
      <c r="I4944" s="13"/>
      <c r="J4944" s="13"/>
      <c r="K4944" s="13">
        <v>1</v>
      </c>
      <c r="L4944" s="13"/>
      <c r="M4944" s="72" t="b">
        <v>1</v>
      </c>
    </row>
    <row r="4945" spans="1:13" s="4" customFormat="1" x14ac:dyDescent="0.25">
      <c r="A4945" s="13"/>
      <c r="B4945" s="13"/>
      <c r="C4945" s="13"/>
      <c r="D4945" s="13">
        <v>231</v>
      </c>
      <c r="E4945" s="136" t="str">
        <f>INDEX([1]道具配置表!$D:$D,MATCH(D4945,[1]道具配置表!$A:$A,0))</f>
        <v>1万木材</v>
      </c>
      <c r="F4945" s="13">
        <v>48</v>
      </c>
      <c r="G4945" s="13"/>
      <c r="H4945" s="13"/>
      <c r="I4945" s="13"/>
      <c r="J4945" s="13"/>
      <c r="K4945" s="13">
        <v>1</v>
      </c>
      <c r="L4945" s="13"/>
      <c r="M4945" s="72" t="b">
        <v>1</v>
      </c>
    </row>
    <row r="4946" spans="1:13" s="4" customFormat="1" x14ac:dyDescent="0.25">
      <c r="A4946" s="13"/>
      <c r="B4946" s="13"/>
      <c r="C4946" s="13"/>
      <c r="D4946" s="13">
        <v>233</v>
      </c>
      <c r="E4946" s="136" t="str">
        <f>INDEX([1]道具配置表!$D:$D,MATCH(D4946,[1]道具配置表!$A:$A,0))</f>
        <v>1万石头</v>
      </c>
      <c r="F4946" s="13">
        <v>48</v>
      </c>
      <c r="G4946" s="13"/>
      <c r="H4946" s="13"/>
      <c r="I4946" s="13"/>
      <c r="J4946" s="13"/>
      <c r="K4946" s="13">
        <v>1</v>
      </c>
      <c r="L4946" s="13"/>
      <c r="M4946" s="72" t="b">
        <v>1</v>
      </c>
    </row>
    <row r="4947" spans="1:13" s="4" customFormat="1" x14ac:dyDescent="0.25">
      <c r="A4947" s="13"/>
      <c r="B4947" s="13"/>
      <c r="C4947" s="13"/>
      <c r="D4947" s="13">
        <v>234</v>
      </c>
      <c r="E4947" s="136" t="str">
        <f>INDEX([1]道具配置表!$D:$D,MATCH(D4947,[1]道具配置表!$A:$A,0))</f>
        <v>1万黄金</v>
      </c>
      <c r="F4947" s="13">
        <v>48</v>
      </c>
      <c r="G4947" s="13"/>
      <c r="H4947" s="13"/>
      <c r="I4947" s="13"/>
      <c r="J4947" s="13"/>
      <c r="K4947" s="13">
        <v>1</v>
      </c>
      <c r="L4947" s="13"/>
      <c r="M4947" s="72" t="b">
        <v>1</v>
      </c>
    </row>
    <row r="4948" spans="1:13" s="4" customFormat="1" x14ac:dyDescent="0.25">
      <c r="A4948" s="13">
        <v>6642027</v>
      </c>
      <c r="B4948" s="13" t="s">
        <v>1461</v>
      </c>
      <c r="C4948" s="13"/>
      <c r="D4948" s="13">
        <v>56214</v>
      </c>
      <c r="E4948" s="136" t="str">
        <f>INDEX([1]道具配置表!$D:$D,MATCH(D4948,[1]道具配置表!$A:$A,0))</f>
        <v>绿色宝石宝箱-随机</v>
      </c>
      <c r="F4948" s="13">
        <v>1</v>
      </c>
      <c r="G4948" s="13"/>
      <c r="H4948" s="13"/>
      <c r="I4948" s="13"/>
      <c r="J4948" s="13"/>
      <c r="K4948" s="13">
        <v>1</v>
      </c>
      <c r="L4948" s="13"/>
      <c r="M4948" s="72" t="b">
        <v>1</v>
      </c>
    </row>
    <row r="4949" spans="1:13" s="4" customFormat="1" x14ac:dyDescent="0.25">
      <c r="A4949" s="13"/>
      <c r="B4949" s="13"/>
      <c r="C4949" s="13"/>
      <c r="D4949" s="13">
        <v>56213</v>
      </c>
      <c r="E4949" s="136" t="str">
        <f>INDEX([1]道具配置表!$D:$D,MATCH(D4949,[1]道具配置表!$A:$A,0))</f>
        <v>白色宝石宝箱-随机</v>
      </c>
      <c r="F4949" s="13">
        <v>7</v>
      </c>
      <c r="G4949" s="13"/>
      <c r="H4949" s="13"/>
      <c r="I4949" s="13"/>
      <c r="J4949" s="13"/>
      <c r="K4949" s="13">
        <v>1</v>
      </c>
      <c r="L4949" s="13"/>
      <c r="M4949" s="72" t="b">
        <v>1</v>
      </c>
    </row>
    <row r="4950" spans="1:13" s="4" customFormat="1" x14ac:dyDescent="0.25">
      <c r="A4950" s="13"/>
      <c r="B4950" s="13"/>
      <c r="C4950" s="13"/>
      <c r="D4950" s="13">
        <v>6142</v>
      </c>
      <c r="E4950" s="136" t="str">
        <f>INDEX([1]道具配置表!$D:$D,MATCH(D4950,[1]道具配置表!$A:$A,0))</f>
        <v>10分钟科技加速</v>
      </c>
      <c r="F4950" s="13">
        <v>60</v>
      </c>
      <c r="G4950" s="13"/>
      <c r="H4950" s="13"/>
      <c r="I4950" s="13"/>
      <c r="J4950" s="13"/>
      <c r="K4950" s="13">
        <v>1</v>
      </c>
      <c r="L4950" s="13"/>
      <c r="M4950" s="72" t="b">
        <v>1</v>
      </c>
    </row>
    <row r="4951" spans="1:13" s="4" customFormat="1" x14ac:dyDescent="0.25">
      <c r="A4951" s="13"/>
      <c r="B4951" s="13"/>
      <c r="C4951" s="13"/>
      <c r="D4951" s="13">
        <v>232</v>
      </c>
      <c r="E4951" s="136" t="str">
        <f>INDEX([1]道具配置表!$D:$D,MATCH(D4951,[1]道具配置表!$A:$A,0))</f>
        <v>1万食物</v>
      </c>
      <c r="F4951" s="13">
        <v>50</v>
      </c>
      <c r="G4951" s="13"/>
      <c r="H4951" s="13"/>
      <c r="I4951" s="13"/>
      <c r="J4951" s="13"/>
      <c r="K4951" s="13">
        <v>1</v>
      </c>
      <c r="L4951" s="13"/>
      <c r="M4951" s="72" t="b">
        <v>1</v>
      </c>
    </row>
    <row r="4952" spans="1:13" s="4" customFormat="1" x14ac:dyDescent="0.25">
      <c r="A4952" s="13"/>
      <c r="B4952" s="13"/>
      <c r="C4952" s="13"/>
      <c r="D4952" s="13">
        <v>231</v>
      </c>
      <c r="E4952" s="136" t="str">
        <f>INDEX([1]道具配置表!$D:$D,MATCH(D4952,[1]道具配置表!$A:$A,0))</f>
        <v>1万木材</v>
      </c>
      <c r="F4952" s="13">
        <v>50</v>
      </c>
      <c r="G4952" s="13"/>
      <c r="H4952" s="13"/>
      <c r="I4952" s="13"/>
      <c r="J4952" s="13"/>
      <c r="K4952" s="13">
        <v>1</v>
      </c>
      <c r="L4952" s="13"/>
      <c r="M4952" s="72" t="b">
        <v>1</v>
      </c>
    </row>
    <row r="4953" spans="1:13" s="4" customFormat="1" x14ac:dyDescent="0.25">
      <c r="A4953" s="13"/>
      <c r="B4953" s="13"/>
      <c r="C4953" s="13"/>
      <c r="D4953" s="13">
        <v>233</v>
      </c>
      <c r="E4953" s="136" t="str">
        <f>INDEX([1]道具配置表!$D:$D,MATCH(D4953,[1]道具配置表!$A:$A,0))</f>
        <v>1万石头</v>
      </c>
      <c r="F4953" s="13">
        <v>50</v>
      </c>
      <c r="G4953" s="13"/>
      <c r="H4953" s="13"/>
      <c r="I4953" s="13"/>
      <c r="J4953" s="13"/>
      <c r="K4953" s="13">
        <v>1</v>
      </c>
      <c r="L4953" s="13"/>
      <c r="M4953" s="72" t="b">
        <v>1</v>
      </c>
    </row>
    <row r="4954" spans="1:13" s="4" customFormat="1" x14ac:dyDescent="0.25">
      <c r="A4954" s="13"/>
      <c r="B4954" s="13"/>
      <c r="C4954" s="13"/>
      <c r="D4954" s="13">
        <v>234</v>
      </c>
      <c r="E4954" s="136" t="str">
        <f>INDEX([1]道具配置表!$D:$D,MATCH(D4954,[1]道具配置表!$A:$A,0))</f>
        <v>1万黄金</v>
      </c>
      <c r="F4954" s="13">
        <v>50</v>
      </c>
      <c r="G4954" s="13"/>
      <c r="H4954" s="13"/>
      <c r="I4954" s="13"/>
      <c r="J4954" s="13"/>
      <c r="K4954" s="13">
        <v>1</v>
      </c>
      <c r="L4954" s="13"/>
      <c r="M4954" s="72" t="b">
        <v>1</v>
      </c>
    </row>
    <row r="4955" spans="1:13" s="4" customFormat="1" x14ac:dyDescent="0.25">
      <c r="A4955" s="13">
        <v>6642028</v>
      </c>
      <c r="B4955" s="13" t="s">
        <v>1462</v>
      </c>
      <c r="C4955" s="13"/>
      <c r="D4955" s="13">
        <v>56214</v>
      </c>
      <c r="E4955" s="136" t="str">
        <f>INDEX([1]道具配置表!$D:$D,MATCH(D4955,[1]道具配置表!$A:$A,0))</f>
        <v>绿色宝石宝箱-随机</v>
      </c>
      <c r="F4955" s="13">
        <v>1</v>
      </c>
      <c r="G4955" s="13"/>
      <c r="H4955" s="13"/>
      <c r="I4955" s="13"/>
      <c r="J4955" s="13"/>
      <c r="K4955" s="13">
        <v>1</v>
      </c>
      <c r="L4955" s="13"/>
      <c r="M4955" s="72" t="b">
        <v>1</v>
      </c>
    </row>
    <row r="4956" spans="1:13" s="4" customFormat="1" x14ac:dyDescent="0.25">
      <c r="A4956" s="13"/>
      <c r="B4956" s="13"/>
      <c r="C4956" s="13"/>
      <c r="D4956" s="13">
        <v>56213</v>
      </c>
      <c r="E4956" s="136" t="str">
        <f>INDEX([1]道具配置表!$D:$D,MATCH(D4956,[1]道具配置表!$A:$A,0))</f>
        <v>白色宝石宝箱-随机</v>
      </c>
      <c r="F4956" s="13">
        <v>8</v>
      </c>
      <c r="G4956" s="13"/>
      <c r="H4956" s="13"/>
      <c r="I4956" s="13"/>
      <c r="J4956" s="13"/>
      <c r="K4956" s="13">
        <v>1</v>
      </c>
      <c r="L4956" s="13"/>
      <c r="M4956" s="72" t="b">
        <v>1</v>
      </c>
    </row>
    <row r="4957" spans="1:13" s="4" customFormat="1" x14ac:dyDescent="0.25">
      <c r="A4957" s="13"/>
      <c r="B4957" s="13"/>
      <c r="C4957" s="13"/>
      <c r="D4957" s="13">
        <v>6142</v>
      </c>
      <c r="E4957" s="136" t="str">
        <f>INDEX([1]道具配置表!$D:$D,MATCH(D4957,[1]道具配置表!$A:$A,0))</f>
        <v>10分钟科技加速</v>
      </c>
      <c r="F4957" s="13">
        <v>62</v>
      </c>
      <c r="G4957" s="13"/>
      <c r="H4957" s="13"/>
      <c r="I4957" s="13"/>
      <c r="J4957" s="13"/>
      <c r="K4957" s="13">
        <v>1</v>
      </c>
      <c r="L4957" s="13"/>
      <c r="M4957" s="72" t="b">
        <v>1</v>
      </c>
    </row>
    <row r="4958" spans="1:13" s="4" customFormat="1" x14ac:dyDescent="0.25">
      <c r="A4958" s="13"/>
      <c r="B4958" s="13"/>
      <c r="C4958" s="13"/>
      <c r="D4958" s="13">
        <v>232</v>
      </c>
      <c r="E4958" s="136" t="str">
        <f>INDEX([1]道具配置表!$D:$D,MATCH(D4958,[1]道具配置表!$A:$A,0))</f>
        <v>1万食物</v>
      </c>
      <c r="F4958" s="13">
        <v>52</v>
      </c>
      <c r="G4958" s="13"/>
      <c r="H4958" s="13"/>
      <c r="I4958" s="13"/>
      <c r="J4958" s="13"/>
      <c r="K4958" s="13">
        <v>1</v>
      </c>
      <c r="L4958" s="13"/>
      <c r="M4958" s="72" t="b">
        <v>1</v>
      </c>
    </row>
    <row r="4959" spans="1:13" s="4" customFormat="1" x14ac:dyDescent="0.25">
      <c r="A4959" s="13"/>
      <c r="B4959" s="13"/>
      <c r="C4959" s="13"/>
      <c r="D4959" s="13">
        <v>231</v>
      </c>
      <c r="E4959" s="136" t="str">
        <f>INDEX([1]道具配置表!$D:$D,MATCH(D4959,[1]道具配置表!$A:$A,0))</f>
        <v>1万木材</v>
      </c>
      <c r="F4959" s="13">
        <v>52</v>
      </c>
      <c r="G4959" s="13"/>
      <c r="H4959" s="13"/>
      <c r="I4959" s="13"/>
      <c r="J4959" s="13"/>
      <c r="K4959" s="13">
        <v>1</v>
      </c>
      <c r="L4959" s="13"/>
      <c r="M4959" s="72" t="b">
        <v>1</v>
      </c>
    </row>
    <row r="4960" spans="1:13" s="4" customFormat="1" x14ac:dyDescent="0.25">
      <c r="A4960" s="13"/>
      <c r="B4960" s="13"/>
      <c r="C4960" s="13"/>
      <c r="D4960" s="13">
        <v>233</v>
      </c>
      <c r="E4960" s="136" t="str">
        <f>INDEX([1]道具配置表!$D:$D,MATCH(D4960,[1]道具配置表!$A:$A,0))</f>
        <v>1万石头</v>
      </c>
      <c r="F4960" s="13">
        <v>52</v>
      </c>
      <c r="G4960" s="13"/>
      <c r="H4960" s="13"/>
      <c r="I4960" s="13"/>
      <c r="J4960" s="13"/>
      <c r="K4960" s="13">
        <v>1</v>
      </c>
      <c r="L4960" s="13"/>
      <c r="M4960" s="72" t="b">
        <v>1</v>
      </c>
    </row>
    <row r="4961" spans="1:13" s="4" customFormat="1" x14ac:dyDescent="0.25">
      <c r="A4961" s="13"/>
      <c r="B4961" s="13"/>
      <c r="C4961" s="13"/>
      <c r="D4961" s="13">
        <v>234</v>
      </c>
      <c r="E4961" s="136" t="str">
        <f>INDEX([1]道具配置表!$D:$D,MATCH(D4961,[1]道具配置表!$A:$A,0))</f>
        <v>1万黄金</v>
      </c>
      <c r="F4961" s="13">
        <v>52</v>
      </c>
      <c r="G4961" s="13"/>
      <c r="H4961" s="13"/>
      <c r="I4961" s="13"/>
      <c r="J4961" s="13"/>
      <c r="K4961" s="13">
        <v>1</v>
      </c>
      <c r="L4961" s="13"/>
      <c r="M4961" s="72" t="b">
        <v>1</v>
      </c>
    </row>
    <row r="4962" spans="1:13" s="4" customFormat="1" x14ac:dyDescent="0.25">
      <c r="A4962" s="13">
        <v>6642029</v>
      </c>
      <c r="B4962" s="13" t="s">
        <v>1463</v>
      </c>
      <c r="C4962" s="13"/>
      <c r="D4962" s="13">
        <v>56214</v>
      </c>
      <c r="E4962" s="136" t="str">
        <f>INDEX([1]道具配置表!$D:$D,MATCH(D4962,[1]道具配置表!$A:$A,0))</f>
        <v>绿色宝石宝箱-随机</v>
      </c>
      <c r="F4962" s="13">
        <v>1</v>
      </c>
      <c r="G4962" s="13"/>
      <c r="H4962" s="13"/>
      <c r="I4962" s="13"/>
      <c r="J4962" s="13"/>
      <c r="K4962" s="13">
        <v>1</v>
      </c>
      <c r="L4962" s="13"/>
      <c r="M4962" s="72" t="b">
        <v>1</v>
      </c>
    </row>
    <row r="4963" spans="1:13" s="4" customFormat="1" x14ac:dyDescent="0.25">
      <c r="A4963" s="13"/>
      <c r="B4963" s="13"/>
      <c r="C4963" s="13"/>
      <c r="D4963" s="13">
        <v>56213</v>
      </c>
      <c r="E4963" s="136" t="str">
        <f>INDEX([1]道具配置表!$D:$D,MATCH(D4963,[1]道具配置表!$A:$A,0))</f>
        <v>白色宝石宝箱-随机</v>
      </c>
      <c r="F4963" s="13">
        <v>8</v>
      </c>
      <c r="G4963" s="13"/>
      <c r="H4963" s="13"/>
      <c r="I4963" s="13"/>
      <c r="J4963" s="13"/>
      <c r="K4963" s="13">
        <v>1</v>
      </c>
      <c r="L4963" s="13"/>
      <c r="M4963" s="72" t="b">
        <v>1</v>
      </c>
    </row>
    <row r="4964" spans="1:13" s="4" customFormat="1" x14ac:dyDescent="0.25">
      <c r="A4964" s="13"/>
      <c r="B4964" s="13"/>
      <c r="C4964" s="13"/>
      <c r="D4964" s="13">
        <v>6142</v>
      </c>
      <c r="E4964" s="136" t="str">
        <f>INDEX([1]道具配置表!$D:$D,MATCH(D4964,[1]道具配置表!$A:$A,0))</f>
        <v>10分钟科技加速</v>
      </c>
      <c r="F4964" s="13">
        <v>65</v>
      </c>
      <c r="G4964" s="13"/>
      <c r="H4964" s="13"/>
      <c r="I4964" s="13"/>
      <c r="J4964" s="13"/>
      <c r="K4964" s="13">
        <v>1</v>
      </c>
      <c r="L4964" s="13"/>
      <c r="M4964" s="72" t="b">
        <v>1</v>
      </c>
    </row>
    <row r="4965" spans="1:13" s="4" customFormat="1" x14ac:dyDescent="0.25">
      <c r="A4965" s="13"/>
      <c r="B4965" s="13"/>
      <c r="C4965" s="13"/>
      <c r="D4965" s="13">
        <v>232</v>
      </c>
      <c r="E4965" s="136" t="str">
        <f>INDEX([1]道具配置表!$D:$D,MATCH(D4965,[1]道具配置表!$A:$A,0))</f>
        <v>1万食物</v>
      </c>
      <c r="F4965" s="13">
        <v>54</v>
      </c>
      <c r="G4965" s="13"/>
      <c r="H4965" s="13"/>
      <c r="I4965" s="13"/>
      <c r="J4965" s="13"/>
      <c r="K4965" s="13">
        <v>1</v>
      </c>
      <c r="L4965" s="13"/>
      <c r="M4965" s="72" t="b">
        <v>1</v>
      </c>
    </row>
    <row r="4966" spans="1:13" s="4" customFormat="1" x14ac:dyDescent="0.25">
      <c r="A4966" s="13"/>
      <c r="B4966" s="13"/>
      <c r="C4966" s="13"/>
      <c r="D4966" s="13">
        <v>231</v>
      </c>
      <c r="E4966" s="136" t="str">
        <f>INDEX([1]道具配置表!$D:$D,MATCH(D4966,[1]道具配置表!$A:$A,0))</f>
        <v>1万木材</v>
      </c>
      <c r="F4966" s="13">
        <v>54</v>
      </c>
      <c r="G4966" s="13"/>
      <c r="H4966" s="13"/>
      <c r="I4966" s="13"/>
      <c r="J4966" s="13"/>
      <c r="K4966" s="13">
        <v>1</v>
      </c>
      <c r="L4966" s="13"/>
      <c r="M4966" s="72" t="b">
        <v>1</v>
      </c>
    </row>
    <row r="4967" spans="1:13" s="4" customFormat="1" x14ac:dyDescent="0.25">
      <c r="A4967" s="13"/>
      <c r="B4967" s="13"/>
      <c r="C4967" s="13"/>
      <c r="D4967" s="13">
        <v>233</v>
      </c>
      <c r="E4967" s="136" t="str">
        <f>INDEX([1]道具配置表!$D:$D,MATCH(D4967,[1]道具配置表!$A:$A,0))</f>
        <v>1万石头</v>
      </c>
      <c r="F4967" s="13">
        <v>54</v>
      </c>
      <c r="G4967" s="13"/>
      <c r="H4967" s="13"/>
      <c r="I4967" s="13"/>
      <c r="J4967" s="13"/>
      <c r="K4967" s="13">
        <v>1</v>
      </c>
      <c r="L4967" s="13"/>
      <c r="M4967" s="72" t="b">
        <v>1</v>
      </c>
    </row>
    <row r="4968" spans="1:13" s="4" customFormat="1" x14ac:dyDescent="0.25">
      <c r="A4968" s="13"/>
      <c r="B4968" s="13"/>
      <c r="C4968" s="13"/>
      <c r="D4968" s="13">
        <v>234</v>
      </c>
      <c r="E4968" s="136" t="str">
        <f>INDEX([1]道具配置表!$D:$D,MATCH(D4968,[1]道具配置表!$A:$A,0))</f>
        <v>1万黄金</v>
      </c>
      <c r="F4968" s="13">
        <v>54</v>
      </c>
      <c r="G4968" s="13"/>
      <c r="H4968" s="13"/>
      <c r="I4968" s="13"/>
      <c r="J4968" s="13"/>
      <c r="K4968" s="13">
        <v>1</v>
      </c>
      <c r="L4968" s="13"/>
      <c r="M4968" s="72" t="b">
        <v>1</v>
      </c>
    </row>
    <row r="4969" spans="1:13" s="4" customFormat="1" x14ac:dyDescent="0.25">
      <c r="A4969" s="13">
        <v>6642030</v>
      </c>
      <c r="B4969" s="13" t="s">
        <v>1464</v>
      </c>
      <c r="C4969" s="13"/>
      <c r="D4969" s="13">
        <v>56214</v>
      </c>
      <c r="E4969" s="136" t="str">
        <f>INDEX([1]道具配置表!$D:$D,MATCH(D4969,[1]道具配置表!$A:$A,0))</f>
        <v>绿色宝石宝箱-随机</v>
      </c>
      <c r="F4969" s="13">
        <v>1</v>
      </c>
      <c r="G4969" s="13"/>
      <c r="H4969" s="13"/>
      <c r="I4969" s="13"/>
      <c r="J4969" s="13"/>
      <c r="K4969" s="13">
        <v>1</v>
      </c>
      <c r="L4969" s="13"/>
      <c r="M4969" s="72" t="b">
        <v>1</v>
      </c>
    </row>
    <row r="4970" spans="1:13" s="4" customFormat="1" x14ac:dyDescent="0.25">
      <c r="A4970" s="13"/>
      <c r="B4970" s="13"/>
      <c r="C4970" s="13"/>
      <c r="D4970" s="13">
        <v>56213</v>
      </c>
      <c r="E4970" s="136" t="str">
        <f>INDEX([1]道具配置表!$D:$D,MATCH(D4970,[1]道具配置表!$A:$A,0))</f>
        <v>白色宝石宝箱-随机</v>
      </c>
      <c r="F4970" s="13">
        <v>8</v>
      </c>
      <c r="G4970" s="13"/>
      <c r="H4970" s="13"/>
      <c r="I4970" s="13"/>
      <c r="J4970" s="13"/>
      <c r="K4970" s="13">
        <v>1</v>
      </c>
      <c r="L4970" s="13"/>
      <c r="M4970" s="72" t="b">
        <v>1</v>
      </c>
    </row>
    <row r="4971" spans="1:13" s="4" customFormat="1" x14ac:dyDescent="0.25">
      <c r="A4971" s="13"/>
      <c r="B4971" s="13"/>
      <c r="C4971" s="13"/>
      <c r="D4971" s="13">
        <v>6142</v>
      </c>
      <c r="E4971" s="136" t="str">
        <f>INDEX([1]道具配置表!$D:$D,MATCH(D4971,[1]道具配置表!$A:$A,0))</f>
        <v>10分钟科技加速</v>
      </c>
      <c r="F4971" s="13">
        <v>67</v>
      </c>
      <c r="G4971" s="13"/>
      <c r="H4971" s="13"/>
      <c r="I4971" s="13"/>
      <c r="J4971" s="13"/>
      <c r="K4971" s="13">
        <v>1</v>
      </c>
      <c r="L4971" s="13"/>
      <c r="M4971" s="72" t="b">
        <v>1</v>
      </c>
    </row>
    <row r="4972" spans="1:13" s="4" customFormat="1" x14ac:dyDescent="0.25">
      <c r="A4972" s="13"/>
      <c r="B4972" s="13"/>
      <c r="C4972" s="13"/>
      <c r="D4972" s="13">
        <v>232</v>
      </c>
      <c r="E4972" s="136" t="str">
        <f>INDEX([1]道具配置表!$D:$D,MATCH(D4972,[1]道具配置表!$A:$A,0))</f>
        <v>1万食物</v>
      </c>
      <c r="F4972" s="13">
        <v>56</v>
      </c>
      <c r="G4972" s="13"/>
      <c r="H4972" s="13"/>
      <c r="I4972" s="13"/>
      <c r="J4972" s="13"/>
      <c r="K4972" s="13">
        <v>1</v>
      </c>
      <c r="L4972" s="13"/>
      <c r="M4972" s="72" t="b">
        <v>1</v>
      </c>
    </row>
    <row r="4973" spans="1:13" s="4" customFormat="1" x14ac:dyDescent="0.25">
      <c r="A4973" s="13"/>
      <c r="B4973" s="13"/>
      <c r="C4973" s="13"/>
      <c r="D4973" s="13">
        <v>231</v>
      </c>
      <c r="E4973" s="136" t="str">
        <f>INDEX([1]道具配置表!$D:$D,MATCH(D4973,[1]道具配置表!$A:$A,0))</f>
        <v>1万木材</v>
      </c>
      <c r="F4973" s="13">
        <v>56</v>
      </c>
      <c r="G4973" s="13"/>
      <c r="H4973" s="13"/>
      <c r="I4973" s="13"/>
      <c r="J4973" s="13"/>
      <c r="K4973" s="13">
        <v>1</v>
      </c>
      <c r="L4973" s="13"/>
      <c r="M4973" s="72" t="b">
        <v>1</v>
      </c>
    </row>
    <row r="4974" spans="1:13" s="4" customFormat="1" x14ac:dyDescent="0.25">
      <c r="A4974" s="13"/>
      <c r="B4974" s="13"/>
      <c r="C4974" s="13"/>
      <c r="D4974" s="13">
        <v>233</v>
      </c>
      <c r="E4974" s="136" t="str">
        <f>INDEX([1]道具配置表!$D:$D,MATCH(D4974,[1]道具配置表!$A:$A,0))</f>
        <v>1万石头</v>
      </c>
      <c r="F4974" s="13">
        <v>56</v>
      </c>
      <c r="G4974" s="13"/>
      <c r="H4974" s="13"/>
      <c r="I4974" s="13"/>
      <c r="J4974" s="13"/>
      <c r="K4974" s="13">
        <v>1</v>
      </c>
      <c r="L4974" s="13"/>
      <c r="M4974" s="72" t="b">
        <v>1</v>
      </c>
    </row>
    <row r="4975" spans="1:13" s="4" customFormat="1" x14ac:dyDescent="0.25">
      <c r="A4975" s="13"/>
      <c r="B4975" s="13"/>
      <c r="C4975" s="13"/>
      <c r="D4975" s="13">
        <v>234</v>
      </c>
      <c r="E4975" s="136" t="str">
        <f>INDEX([1]道具配置表!$D:$D,MATCH(D4975,[1]道具配置表!$A:$A,0))</f>
        <v>1万黄金</v>
      </c>
      <c r="F4975" s="13">
        <v>56</v>
      </c>
      <c r="G4975" s="13"/>
      <c r="H4975" s="13"/>
      <c r="I4975" s="13"/>
      <c r="J4975" s="13"/>
      <c r="K4975" s="13">
        <v>1</v>
      </c>
      <c r="L4975" s="13"/>
      <c r="M4975" s="72" t="b">
        <v>1</v>
      </c>
    </row>
    <row r="4976" spans="1:13" s="4" customFormat="1" x14ac:dyDescent="0.25">
      <c r="A4976" s="13">
        <v>6642031</v>
      </c>
      <c r="B4976" s="13" t="s">
        <v>1465</v>
      </c>
      <c r="C4976" s="13"/>
      <c r="D4976" s="13">
        <v>56214</v>
      </c>
      <c r="E4976" s="136" t="str">
        <f>INDEX([1]道具配置表!$D:$D,MATCH(D4976,[1]道具配置表!$A:$A,0))</f>
        <v>绿色宝石宝箱-随机</v>
      </c>
      <c r="F4976" s="13">
        <v>1</v>
      </c>
      <c r="G4976" s="13"/>
      <c r="H4976" s="13"/>
      <c r="I4976" s="13"/>
      <c r="J4976" s="13"/>
      <c r="K4976" s="13">
        <v>1</v>
      </c>
      <c r="L4976" s="13"/>
      <c r="M4976" s="72" t="b">
        <v>1</v>
      </c>
    </row>
    <row r="4977" spans="1:13" s="4" customFormat="1" x14ac:dyDescent="0.25">
      <c r="A4977" s="13"/>
      <c r="B4977" s="13"/>
      <c r="C4977" s="13"/>
      <c r="D4977" s="13">
        <v>56213</v>
      </c>
      <c r="E4977" s="136" t="str">
        <f>INDEX([1]道具配置表!$D:$D,MATCH(D4977,[1]道具配置表!$A:$A,0))</f>
        <v>白色宝石宝箱-随机</v>
      </c>
      <c r="F4977" s="13">
        <v>8</v>
      </c>
      <c r="G4977" s="13"/>
      <c r="H4977" s="13"/>
      <c r="I4977" s="13"/>
      <c r="J4977" s="13"/>
      <c r="K4977" s="13">
        <v>1</v>
      </c>
      <c r="L4977" s="13"/>
      <c r="M4977" s="72" t="b">
        <v>1</v>
      </c>
    </row>
    <row r="4978" spans="1:13" s="4" customFormat="1" x14ac:dyDescent="0.25">
      <c r="A4978" s="13"/>
      <c r="B4978" s="13"/>
      <c r="C4978" s="13"/>
      <c r="D4978" s="13">
        <v>6142</v>
      </c>
      <c r="E4978" s="136" t="str">
        <f>INDEX([1]道具配置表!$D:$D,MATCH(D4978,[1]道具配置表!$A:$A,0))</f>
        <v>10分钟科技加速</v>
      </c>
      <c r="F4978" s="13">
        <v>70</v>
      </c>
      <c r="G4978" s="13"/>
      <c r="H4978" s="13"/>
      <c r="I4978" s="13"/>
      <c r="J4978" s="13"/>
      <c r="K4978" s="13">
        <v>1</v>
      </c>
      <c r="L4978" s="13"/>
      <c r="M4978" s="72" t="b">
        <v>1</v>
      </c>
    </row>
    <row r="4979" spans="1:13" s="4" customFormat="1" x14ac:dyDescent="0.25">
      <c r="A4979" s="13"/>
      <c r="B4979" s="13"/>
      <c r="C4979" s="13"/>
      <c r="D4979" s="13">
        <v>232</v>
      </c>
      <c r="E4979" s="136" t="str">
        <f>INDEX([1]道具配置表!$D:$D,MATCH(D4979,[1]道具配置表!$A:$A,0))</f>
        <v>1万食物</v>
      </c>
      <c r="F4979" s="13">
        <v>58</v>
      </c>
      <c r="G4979" s="13"/>
      <c r="H4979" s="13"/>
      <c r="I4979" s="13"/>
      <c r="J4979" s="13"/>
      <c r="K4979" s="13">
        <v>1</v>
      </c>
      <c r="L4979" s="13"/>
      <c r="M4979" s="72" t="b">
        <v>1</v>
      </c>
    </row>
    <row r="4980" spans="1:13" s="4" customFormat="1" x14ac:dyDescent="0.25">
      <c r="A4980" s="13"/>
      <c r="B4980" s="13"/>
      <c r="C4980" s="13"/>
      <c r="D4980" s="13">
        <v>231</v>
      </c>
      <c r="E4980" s="136" t="str">
        <f>INDEX([1]道具配置表!$D:$D,MATCH(D4980,[1]道具配置表!$A:$A,0))</f>
        <v>1万木材</v>
      </c>
      <c r="F4980" s="13">
        <v>58</v>
      </c>
      <c r="G4980" s="13"/>
      <c r="H4980" s="13"/>
      <c r="I4980" s="13"/>
      <c r="J4980" s="13"/>
      <c r="K4980" s="13">
        <v>1</v>
      </c>
      <c r="L4980" s="13"/>
      <c r="M4980" s="72" t="b">
        <v>1</v>
      </c>
    </row>
    <row r="4981" spans="1:13" s="4" customFormat="1" x14ac:dyDescent="0.25">
      <c r="A4981" s="13"/>
      <c r="B4981" s="13"/>
      <c r="C4981" s="13"/>
      <c r="D4981" s="13">
        <v>233</v>
      </c>
      <c r="E4981" s="136" t="str">
        <f>INDEX([1]道具配置表!$D:$D,MATCH(D4981,[1]道具配置表!$A:$A,0))</f>
        <v>1万石头</v>
      </c>
      <c r="F4981" s="13">
        <v>58</v>
      </c>
      <c r="G4981" s="13"/>
      <c r="H4981" s="13"/>
      <c r="I4981" s="13"/>
      <c r="J4981" s="13"/>
      <c r="K4981" s="13">
        <v>1</v>
      </c>
      <c r="L4981" s="13"/>
      <c r="M4981" s="72" t="b">
        <v>1</v>
      </c>
    </row>
    <row r="4982" spans="1:13" s="4" customFormat="1" x14ac:dyDescent="0.25">
      <c r="A4982" s="13"/>
      <c r="B4982" s="13"/>
      <c r="C4982" s="13"/>
      <c r="D4982" s="13">
        <v>234</v>
      </c>
      <c r="E4982" s="136" t="str">
        <f>INDEX([1]道具配置表!$D:$D,MATCH(D4982,[1]道具配置表!$A:$A,0))</f>
        <v>1万黄金</v>
      </c>
      <c r="F4982" s="13">
        <v>58</v>
      </c>
      <c r="G4982" s="13"/>
      <c r="H4982" s="13"/>
      <c r="I4982" s="13"/>
      <c r="J4982" s="13"/>
      <c r="K4982" s="13">
        <v>1</v>
      </c>
      <c r="L4982" s="13"/>
      <c r="M4982" s="72" t="b">
        <v>1</v>
      </c>
    </row>
    <row r="4983" spans="1:13" s="4" customFormat="1" x14ac:dyDescent="0.25">
      <c r="A4983" s="13">
        <v>6642032</v>
      </c>
      <c r="B4983" s="13" t="s">
        <v>1466</v>
      </c>
      <c r="C4983" s="13"/>
      <c r="D4983" s="13">
        <v>56214</v>
      </c>
      <c r="E4983" s="136" t="str">
        <f>INDEX([1]道具配置表!$D:$D,MATCH(D4983,[1]道具配置表!$A:$A,0))</f>
        <v>绿色宝石宝箱-随机</v>
      </c>
      <c r="F4983" s="13">
        <v>2</v>
      </c>
      <c r="G4983" s="13"/>
      <c r="H4983" s="13"/>
      <c r="I4983" s="13"/>
      <c r="J4983" s="13"/>
      <c r="K4983" s="13">
        <v>1</v>
      </c>
      <c r="L4983" s="13"/>
      <c r="M4983" s="72" t="b">
        <v>1</v>
      </c>
    </row>
    <row r="4984" spans="1:13" s="4" customFormat="1" x14ac:dyDescent="0.25">
      <c r="A4984" s="13"/>
      <c r="B4984" s="13"/>
      <c r="C4984" s="13"/>
      <c r="D4984" s="13">
        <v>56213</v>
      </c>
      <c r="E4984" s="136" t="str">
        <f>INDEX([1]道具配置表!$D:$D,MATCH(D4984,[1]道具配置表!$A:$A,0))</f>
        <v>白色宝石宝箱-随机</v>
      </c>
      <c r="F4984" s="13">
        <v>9</v>
      </c>
      <c r="G4984" s="13"/>
      <c r="H4984" s="13"/>
      <c r="I4984" s="13"/>
      <c r="J4984" s="13"/>
      <c r="K4984" s="13">
        <v>1</v>
      </c>
      <c r="L4984" s="13"/>
      <c r="M4984" s="72" t="b">
        <v>1</v>
      </c>
    </row>
    <row r="4985" spans="1:13" s="4" customFormat="1" x14ac:dyDescent="0.25">
      <c r="A4985" s="13"/>
      <c r="B4985" s="13"/>
      <c r="C4985" s="13"/>
      <c r="D4985" s="13">
        <v>6142</v>
      </c>
      <c r="E4985" s="136" t="str">
        <f>INDEX([1]道具配置表!$D:$D,MATCH(D4985,[1]道具配置表!$A:$A,0))</f>
        <v>10分钟科技加速</v>
      </c>
      <c r="F4985" s="13">
        <v>72</v>
      </c>
      <c r="G4985" s="13"/>
      <c r="H4985" s="13"/>
      <c r="I4985" s="13"/>
      <c r="J4985" s="13"/>
      <c r="K4985" s="13">
        <v>1</v>
      </c>
      <c r="L4985" s="13"/>
      <c r="M4985" s="72" t="b">
        <v>1</v>
      </c>
    </row>
    <row r="4986" spans="1:13" s="4" customFormat="1" x14ac:dyDescent="0.25">
      <c r="A4986" s="13"/>
      <c r="B4986" s="13"/>
      <c r="C4986" s="13"/>
      <c r="D4986" s="13">
        <v>232</v>
      </c>
      <c r="E4986" s="136" t="str">
        <f>INDEX([1]道具配置表!$D:$D,MATCH(D4986,[1]道具配置表!$A:$A,0))</f>
        <v>1万食物</v>
      </c>
      <c r="F4986" s="13">
        <v>60</v>
      </c>
      <c r="G4986" s="13"/>
      <c r="H4986" s="13"/>
      <c r="I4986" s="13"/>
      <c r="J4986" s="13"/>
      <c r="K4986" s="13">
        <v>1</v>
      </c>
      <c r="L4986" s="13"/>
      <c r="M4986" s="72" t="b">
        <v>1</v>
      </c>
    </row>
    <row r="4987" spans="1:13" s="4" customFormat="1" x14ac:dyDescent="0.25">
      <c r="A4987" s="13"/>
      <c r="B4987" s="13"/>
      <c r="C4987" s="13"/>
      <c r="D4987" s="13">
        <v>231</v>
      </c>
      <c r="E4987" s="136" t="str">
        <f>INDEX([1]道具配置表!$D:$D,MATCH(D4987,[1]道具配置表!$A:$A,0))</f>
        <v>1万木材</v>
      </c>
      <c r="F4987" s="13">
        <v>60</v>
      </c>
      <c r="G4987" s="13"/>
      <c r="H4987" s="13"/>
      <c r="I4987" s="13"/>
      <c r="J4987" s="13"/>
      <c r="K4987" s="13">
        <v>1</v>
      </c>
      <c r="L4987" s="13"/>
      <c r="M4987" s="72" t="b">
        <v>1</v>
      </c>
    </row>
    <row r="4988" spans="1:13" s="4" customFormat="1" x14ac:dyDescent="0.25">
      <c r="A4988" s="13"/>
      <c r="B4988" s="13"/>
      <c r="C4988" s="13"/>
      <c r="D4988" s="13">
        <v>233</v>
      </c>
      <c r="E4988" s="136" t="str">
        <f>INDEX([1]道具配置表!$D:$D,MATCH(D4988,[1]道具配置表!$A:$A,0))</f>
        <v>1万石头</v>
      </c>
      <c r="F4988" s="13">
        <v>60</v>
      </c>
      <c r="G4988" s="13"/>
      <c r="H4988" s="13"/>
      <c r="I4988" s="13"/>
      <c r="J4988" s="13"/>
      <c r="K4988" s="13">
        <v>1</v>
      </c>
      <c r="L4988" s="13"/>
      <c r="M4988" s="72" t="b">
        <v>1</v>
      </c>
    </row>
    <row r="4989" spans="1:13" s="4" customFormat="1" x14ac:dyDescent="0.25">
      <c r="A4989" s="13"/>
      <c r="B4989" s="13"/>
      <c r="C4989" s="13"/>
      <c r="D4989" s="13">
        <v>234</v>
      </c>
      <c r="E4989" s="136" t="str">
        <f>INDEX([1]道具配置表!$D:$D,MATCH(D4989,[1]道具配置表!$A:$A,0))</f>
        <v>1万黄金</v>
      </c>
      <c r="F4989" s="13">
        <v>60</v>
      </c>
      <c r="G4989" s="13"/>
      <c r="H4989" s="13"/>
      <c r="I4989" s="13"/>
      <c r="J4989" s="13"/>
      <c r="K4989" s="13">
        <v>1</v>
      </c>
      <c r="L4989" s="13"/>
      <c r="M4989" s="72" t="b">
        <v>1</v>
      </c>
    </row>
    <row r="4990" spans="1:13" s="4" customFormat="1" x14ac:dyDescent="0.25">
      <c r="A4990" s="13">
        <v>6642033</v>
      </c>
      <c r="B4990" s="13" t="s">
        <v>1467</v>
      </c>
      <c r="C4990" s="13"/>
      <c r="D4990" s="13">
        <v>56214</v>
      </c>
      <c r="E4990" s="136" t="str">
        <f>INDEX([1]道具配置表!$D:$D,MATCH(D4990,[1]道具配置表!$A:$A,0))</f>
        <v>绿色宝石宝箱-随机</v>
      </c>
      <c r="F4990" s="13">
        <v>2</v>
      </c>
      <c r="G4990" s="13"/>
      <c r="H4990" s="13"/>
      <c r="I4990" s="13"/>
      <c r="J4990" s="13"/>
      <c r="K4990" s="13">
        <v>1</v>
      </c>
      <c r="L4990" s="13"/>
      <c r="M4990" s="72" t="b">
        <v>1</v>
      </c>
    </row>
    <row r="4991" spans="1:13" s="4" customFormat="1" x14ac:dyDescent="0.25">
      <c r="A4991" s="13"/>
      <c r="B4991" s="13"/>
      <c r="C4991" s="13"/>
      <c r="D4991" s="13">
        <v>56213</v>
      </c>
      <c r="E4991" s="136" t="str">
        <f>INDEX([1]道具配置表!$D:$D,MATCH(D4991,[1]道具配置表!$A:$A,0))</f>
        <v>白色宝石宝箱-随机</v>
      </c>
      <c r="F4991" s="13">
        <v>9</v>
      </c>
      <c r="G4991" s="13"/>
      <c r="H4991" s="13"/>
      <c r="I4991" s="13"/>
      <c r="J4991" s="13"/>
      <c r="K4991" s="13">
        <v>1</v>
      </c>
      <c r="L4991" s="13"/>
      <c r="M4991" s="72" t="b">
        <v>1</v>
      </c>
    </row>
    <row r="4992" spans="1:13" s="4" customFormat="1" x14ac:dyDescent="0.25">
      <c r="A4992" s="13"/>
      <c r="B4992" s="13"/>
      <c r="C4992" s="13"/>
      <c r="D4992" s="13">
        <v>6142</v>
      </c>
      <c r="E4992" s="136" t="str">
        <f>INDEX([1]道具配置表!$D:$D,MATCH(D4992,[1]道具配置表!$A:$A,0))</f>
        <v>10分钟科技加速</v>
      </c>
      <c r="F4992" s="13">
        <v>74</v>
      </c>
      <c r="G4992" s="13"/>
      <c r="H4992" s="13"/>
      <c r="I4992" s="13"/>
      <c r="J4992" s="13"/>
      <c r="K4992" s="13">
        <v>1</v>
      </c>
      <c r="L4992" s="13"/>
      <c r="M4992" s="72" t="b">
        <v>1</v>
      </c>
    </row>
    <row r="4993" spans="1:13" s="4" customFormat="1" x14ac:dyDescent="0.25">
      <c r="A4993" s="13"/>
      <c r="B4993" s="13"/>
      <c r="C4993" s="13"/>
      <c r="D4993" s="13">
        <v>232</v>
      </c>
      <c r="E4993" s="136" t="str">
        <f>INDEX([1]道具配置表!$D:$D,MATCH(D4993,[1]道具配置表!$A:$A,0))</f>
        <v>1万食物</v>
      </c>
      <c r="F4993" s="13">
        <v>62</v>
      </c>
      <c r="G4993" s="13"/>
      <c r="H4993" s="13"/>
      <c r="I4993" s="13"/>
      <c r="J4993" s="13"/>
      <c r="K4993" s="13">
        <v>1</v>
      </c>
      <c r="L4993" s="13"/>
      <c r="M4993" s="72" t="b">
        <v>1</v>
      </c>
    </row>
    <row r="4994" spans="1:13" s="4" customFormat="1" x14ac:dyDescent="0.25">
      <c r="A4994" s="13"/>
      <c r="B4994" s="13"/>
      <c r="C4994" s="13"/>
      <c r="D4994" s="13">
        <v>231</v>
      </c>
      <c r="E4994" s="136" t="str">
        <f>INDEX([1]道具配置表!$D:$D,MATCH(D4994,[1]道具配置表!$A:$A,0))</f>
        <v>1万木材</v>
      </c>
      <c r="F4994" s="13">
        <v>62</v>
      </c>
      <c r="G4994" s="13"/>
      <c r="H4994" s="13"/>
      <c r="I4994" s="13"/>
      <c r="J4994" s="13"/>
      <c r="K4994" s="13">
        <v>1</v>
      </c>
      <c r="L4994" s="13"/>
      <c r="M4994" s="72" t="b">
        <v>1</v>
      </c>
    </row>
    <row r="4995" spans="1:13" s="4" customFormat="1" x14ac:dyDescent="0.25">
      <c r="A4995" s="13"/>
      <c r="B4995" s="13"/>
      <c r="C4995" s="13"/>
      <c r="D4995" s="13">
        <v>233</v>
      </c>
      <c r="E4995" s="136" t="str">
        <f>INDEX([1]道具配置表!$D:$D,MATCH(D4995,[1]道具配置表!$A:$A,0))</f>
        <v>1万石头</v>
      </c>
      <c r="F4995" s="13">
        <v>62</v>
      </c>
      <c r="G4995" s="13"/>
      <c r="H4995" s="13"/>
      <c r="I4995" s="13"/>
      <c r="J4995" s="13"/>
      <c r="K4995" s="13">
        <v>1</v>
      </c>
      <c r="L4995" s="13"/>
      <c r="M4995" s="72" t="b">
        <v>1</v>
      </c>
    </row>
    <row r="4996" spans="1:13" s="4" customFormat="1" x14ac:dyDescent="0.25">
      <c r="A4996" s="13"/>
      <c r="B4996" s="13"/>
      <c r="C4996" s="13"/>
      <c r="D4996" s="13">
        <v>234</v>
      </c>
      <c r="E4996" s="136" t="str">
        <f>INDEX([1]道具配置表!$D:$D,MATCH(D4996,[1]道具配置表!$A:$A,0))</f>
        <v>1万黄金</v>
      </c>
      <c r="F4996" s="13">
        <v>62</v>
      </c>
      <c r="G4996" s="13"/>
      <c r="H4996" s="13"/>
      <c r="I4996" s="13"/>
      <c r="J4996" s="13"/>
      <c r="K4996" s="13">
        <v>1</v>
      </c>
      <c r="L4996" s="13"/>
      <c r="M4996" s="72" t="b">
        <v>1</v>
      </c>
    </row>
    <row r="4997" spans="1:13" s="4" customFormat="1" x14ac:dyDescent="0.25">
      <c r="A4997" s="13">
        <v>6642034</v>
      </c>
      <c r="B4997" s="13" t="s">
        <v>1468</v>
      </c>
      <c r="C4997" s="13"/>
      <c r="D4997" s="13">
        <v>56214</v>
      </c>
      <c r="E4997" s="136" t="str">
        <f>INDEX([1]道具配置表!$D:$D,MATCH(D4997,[1]道具配置表!$A:$A,0))</f>
        <v>绿色宝石宝箱-随机</v>
      </c>
      <c r="F4997" s="13">
        <v>2</v>
      </c>
      <c r="G4997" s="13"/>
      <c r="H4997" s="13"/>
      <c r="I4997" s="13"/>
      <c r="J4997" s="13"/>
      <c r="K4997" s="13">
        <v>1</v>
      </c>
      <c r="L4997" s="13"/>
      <c r="M4997" s="72" t="b">
        <v>1</v>
      </c>
    </row>
    <row r="4998" spans="1:13" s="4" customFormat="1" x14ac:dyDescent="0.25">
      <c r="A4998" s="13"/>
      <c r="B4998" s="13"/>
      <c r="C4998" s="13"/>
      <c r="D4998" s="13">
        <v>56213</v>
      </c>
      <c r="E4998" s="136" t="str">
        <f>INDEX([1]道具配置表!$D:$D,MATCH(D4998,[1]道具配置表!$A:$A,0))</f>
        <v>白色宝石宝箱-随机</v>
      </c>
      <c r="F4998" s="13">
        <v>9</v>
      </c>
      <c r="G4998" s="13"/>
      <c r="H4998" s="13"/>
      <c r="I4998" s="13"/>
      <c r="J4998" s="13"/>
      <c r="K4998" s="13">
        <v>1</v>
      </c>
      <c r="L4998" s="13"/>
      <c r="M4998" s="72" t="b">
        <v>1</v>
      </c>
    </row>
    <row r="4999" spans="1:13" s="4" customFormat="1" x14ac:dyDescent="0.25">
      <c r="A4999" s="13"/>
      <c r="B4999" s="13"/>
      <c r="C4999" s="13"/>
      <c r="D4999" s="13">
        <v>6142</v>
      </c>
      <c r="E4999" s="136" t="str">
        <f>INDEX([1]道具配置表!$D:$D,MATCH(D4999,[1]道具配置表!$A:$A,0))</f>
        <v>10分钟科技加速</v>
      </c>
      <c r="F4999" s="13">
        <v>77</v>
      </c>
      <c r="G4999" s="13"/>
      <c r="H4999" s="13"/>
      <c r="I4999" s="13"/>
      <c r="J4999" s="13"/>
      <c r="K4999" s="13">
        <v>1</v>
      </c>
      <c r="L4999" s="13"/>
      <c r="M4999" s="72" t="b">
        <v>1</v>
      </c>
    </row>
    <row r="5000" spans="1:13" s="4" customFormat="1" x14ac:dyDescent="0.25">
      <c r="A5000" s="13"/>
      <c r="B5000" s="13"/>
      <c r="C5000" s="13"/>
      <c r="D5000" s="13">
        <v>232</v>
      </c>
      <c r="E5000" s="136" t="str">
        <f>INDEX([1]道具配置表!$D:$D,MATCH(D5000,[1]道具配置表!$A:$A,0))</f>
        <v>1万食物</v>
      </c>
      <c r="F5000" s="13">
        <v>64</v>
      </c>
      <c r="G5000" s="13"/>
      <c r="H5000" s="13"/>
      <c r="I5000" s="13"/>
      <c r="J5000" s="13"/>
      <c r="K5000" s="13">
        <v>1</v>
      </c>
      <c r="L5000" s="13"/>
      <c r="M5000" s="72" t="b">
        <v>1</v>
      </c>
    </row>
    <row r="5001" spans="1:13" s="4" customFormat="1" x14ac:dyDescent="0.25">
      <c r="A5001" s="13"/>
      <c r="B5001" s="13"/>
      <c r="C5001" s="13"/>
      <c r="D5001" s="13">
        <v>231</v>
      </c>
      <c r="E5001" s="136" t="str">
        <f>INDEX([1]道具配置表!$D:$D,MATCH(D5001,[1]道具配置表!$A:$A,0))</f>
        <v>1万木材</v>
      </c>
      <c r="F5001" s="13">
        <v>64</v>
      </c>
      <c r="G5001" s="13"/>
      <c r="H5001" s="13"/>
      <c r="I5001" s="13"/>
      <c r="J5001" s="13"/>
      <c r="K5001" s="13">
        <v>1</v>
      </c>
      <c r="L5001" s="13"/>
      <c r="M5001" s="72" t="b">
        <v>1</v>
      </c>
    </row>
    <row r="5002" spans="1:13" s="4" customFormat="1" x14ac:dyDescent="0.25">
      <c r="A5002" s="13"/>
      <c r="B5002" s="13"/>
      <c r="C5002" s="13"/>
      <c r="D5002" s="13">
        <v>233</v>
      </c>
      <c r="E5002" s="136" t="str">
        <f>INDEX([1]道具配置表!$D:$D,MATCH(D5002,[1]道具配置表!$A:$A,0))</f>
        <v>1万石头</v>
      </c>
      <c r="F5002" s="13">
        <v>64</v>
      </c>
      <c r="G5002" s="13"/>
      <c r="H5002" s="13"/>
      <c r="I5002" s="13"/>
      <c r="J5002" s="13"/>
      <c r="K5002" s="13">
        <v>1</v>
      </c>
      <c r="L5002" s="13"/>
      <c r="M5002" s="72" t="b">
        <v>1</v>
      </c>
    </row>
    <row r="5003" spans="1:13" s="4" customFormat="1" x14ac:dyDescent="0.25">
      <c r="A5003" s="13"/>
      <c r="B5003" s="13"/>
      <c r="C5003" s="13"/>
      <c r="D5003" s="13">
        <v>234</v>
      </c>
      <c r="E5003" s="136" t="str">
        <f>INDEX([1]道具配置表!$D:$D,MATCH(D5003,[1]道具配置表!$A:$A,0))</f>
        <v>1万黄金</v>
      </c>
      <c r="F5003" s="13">
        <v>64</v>
      </c>
      <c r="G5003" s="13"/>
      <c r="H5003" s="13"/>
      <c r="I5003" s="13"/>
      <c r="J5003" s="13"/>
      <c r="K5003" s="13">
        <v>1</v>
      </c>
      <c r="L5003" s="13"/>
      <c r="M5003" s="72" t="b">
        <v>1</v>
      </c>
    </row>
    <row r="5004" spans="1:13" s="4" customFormat="1" x14ac:dyDescent="0.25">
      <c r="A5004" s="13">
        <v>6642035</v>
      </c>
      <c r="B5004" s="13" t="s">
        <v>1469</v>
      </c>
      <c r="C5004" s="13"/>
      <c r="D5004" s="13">
        <v>56214</v>
      </c>
      <c r="E5004" s="136" t="str">
        <f>INDEX([1]道具配置表!$D:$D,MATCH(D5004,[1]道具配置表!$A:$A,0))</f>
        <v>绿色宝石宝箱-随机</v>
      </c>
      <c r="F5004" s="13">
        <v>2</v>
      </c>
      <c r="G5004" s="13"/>
      <c r="H5004" s="13"/>
      <c r="I5004" s="13"/>
      <c r="J5004" s="13"/>
      <c r="K5004" s="13">
        <v>1</v>
      </c>
      <c r="L5004" s="13"/>
      <c r="M5004" s="72" t="b">
        <v>1</v>
      </c>
    </row>
    <row r="5005" spans="1:13" s="4" customFormat="1" x14ac:dyDescent="0.25">
      <c r="A5005" s="13"/>
      <c r="B5005" s="13"/>
      <c r="C5005" s="13"/>
      <c r="D5005" s="13">
        <v>56213</v>
      </c>
      <c r="E5005" s="136" t="str">
        <f>INDEX([1]道具配置表!$D:$D,MATCH(D5005,[1]道具配置表!$A:$A,0))</f>
        <v>白色宝石宝箱-随机</v>
      </c>
      <c r="F5005" s="13">
        <v>9</v>
      </c>
      <c r="G5005" s="13"/>
      <c r="H5005" s="13"/>
      <c r="I5005" s="13"/>
      <c r="J5005" s="13"/>
      <c r="K5005" s="13">
        <v>1</v>
      </c>
      <c r="L5005" s="13"/>
      <c r="M5005" s="72" t="b">
        <v>1</v>
      </c>
    </row>
    <row r="5006" spans="1:13" s="4" customFormat="1" x14ac:dyDescent="0.25">
      <c r="A5006" s="13"/>
      <c r="B5006" s="13"/>
      <c r="C5006" s="13"/>
      <c r="D5006" s="13">
        <v>6142</v>
      </c>
      <c r="E5006" s="136" t="str">
        <f>INDEX([1]道具配置表!$D:$D,MATCH(D5006,[1]道具配置表!$A:$A,0))</f>
        <v>10分钟科技加速</v>
      </c>
      <c r="F5006" s="13">
        <v>79</v>
      </c>
      <c r="G5006" s="13"/>
      <c r="H5006" s="13"/>
      <c r="I5006" s="13"/>
      <c r="J5006" s="13"/>
      <c r="K5006" s="13">
        <v>1</v>
      </c>
      <c r="L5006" s="13"/>
      <c r="M5006" s="72" t="b">
        <v>1</v>
      </c>
    </row>
    <row r="5007" spans="1:13" s="4" customFormat="1" x14ac:dyDescent="0.25">
      <c r="A5007" s="13"/>
      <c r="B5007" s="13"/>
      <c r="C5007" s="13"/>
      <c r="D5007" s="13">
        <v>232</v>
      </c>
      <c r="E5007" s="136" t="str">
        <f>INDEX([1]道具配置表!$D:$D,MATCH(D5007,[1]道具配置表!$A:$A,0))</f>
        <v>1万食物</v>
      </c>
      <c r="F5007" s="13">
        <v>66</v>
      </c>
      <c r="G5007" s="13"/>
      <c r="H5007" s="13"/>
      <c r="I5007" s="13"/>
      <c r="J5007" s="13"/>
      <c r="K5007" s="13">
        <v>1</v>
      </c>
      <c r="L5007" s="13"/>
      <c r="M5007" s="72" t="b">
        <v>1</v>
      </c>
    </row>
    <row r="5008" spans="1:13" s="4" customFormat="1" x14ac:dyDescent="0.25">
      <c r="A5008" s="13"/>
      <c r="B5008" s="13"/>
      <c r="C5008" s="13"/>
      <c r="D5008" s="13">
        <v>231</v>
      </c>
      <c r="E5008" s="136" t="str">
        <f>INDEX([1]道具配置表!$D:$D,MATCH(D5008,[1]道具配置表!$A:$A,0))</f>
        <v>1万木材</v>
      </c>
      <c r="F5008" s="13">
        <v>66</v>
      </c>
      <c r="G5008" s="13"/>
      <c r="H5008" s="13"/>
      <c r="I5008" s="13"/>
      <c r="J5008" s="13"/>
      <c r="K5008" s="13">
        <v>1</v>
      </c>
      <c r="L5008" s="13"/>
      <c r="M5008" s="72" t="b">
        <v>1</v>
      </c>
    </row>
    <row r="5009" spans="1:13" s="4" customFormat="1" x14ac:dyDescent="0.25">
      <c r="A5009" s="13"/>
      <c r="B5009" s="13"/>
      <c r="C5009" s="13"/>
      <c r="D5009" s="13">
        <v>233</v>
      </c>
      <c r="E5009" s="136" t="str">
        <f>INDEX([1]道具配置表!$D:$D,MATCH(D5009,[1]道具配置表!$A:$A,0))</f>
        <v>1万石头</v>
      </c>
      <c r="F5009" s="13">
        <v>66</v>
      </c>
      <c r="G5009" s="13"/>
      <c r="H5009" s="13"/>
      <c r="I5009" s="13"/>
      <c r="J5009" s="13"/>
      <c r="K5009" s="13">
        <v>1</v>
      </c>
      <c r="L5009" s="13"/>
      <c r="M5009" s="72" t="b">
        <v>1</v>
      </c>
    </row>
    <row r="5010" spans="1:13" s="4" customFormat="1" x14ac:dyDescent="0.25">
      <c r="A5010" s="13"/>
      <c r="B5010" s="13"/>
      <c r="C5010" s="13"/>
      <c r="D5010" s="13">
        <v>234</v>
      </c>
      <c r="E5010" s="136" t="str">
        <f>INDEX([1]道具配置表!$D:$D,MATCH(D5010,[1]道具配置表!$A:$A,0))</f>
        <v>1万黄金</v>
      </c>
      <c r="F5010" s="13">
        <v>66</v>
      </c>
      <c r="G5010" s="13"/>
      <c r="H5010" s="13"/>
      <c r="I5010" s="13"/>
      <c r="J5010" s="13"/>
      <c r="K5010" s="13">
        <v>1</v>
      </c>
      <c r="L5010" s="13"/>
      <c r="M5010" s="72" t="b">
        <v>1</v>
      </c>
    </row>
    <row r="5011" spans="1:13" s="4" customFormat="1" x14ac:dyDescent="0.25">
      <c r="A5011" s="13">
        <v>6642036</v>
      </c>
      <c r="B5011" s="13" t="s">
        <v>1470</v>
      </c>
      <c r="C5011" s="13"/>
      <c r="D5011" s="13">
        <v>56214</v>
      </c>
      <c r="E5011" s="136" t="str">
        <f>INDEX([1]道具配置表!$D:$D,MATCH(D5011,[1]道具配置表!$A:$A,0))</f>
        <v>绿色宝石宝箱-随机</v>
      </c>
      <c r="F5011" s="13">
        <v>3</v>
      </c>
      <c r="G5011" s="13"/>
      <c r="H5011" s="13"/>
      <c r="I5011" s="13"/>
      <c r="J5011" s="13"/>
      <c r="K5011" s="13">
        <v>1</v>
      </c>
      <c r="L5011" s="13"/>
      <c r="M5011" s="72" t="b">
        <v>1</v>
      </c>
    </row>
    <row r="5012" spans="1:13" s="4" customFormat="1" x14ac:dyDescent="0.25">
      <c r="A5012" s="13"/>
      <c r="B5012" s="13"/>
      <c r="C5012" s="13"/>
      <c r="D5012" s="13">
        <v>56213</v>
      </c>
      <c r="E5012" s="136" t="str">
        <f>INDEX([1]道具配置表!$D:$D,MATCH(D5012,[1]道具配置表!$A:$A,0))</f>
        <v>白色宝石宝箱-随机</v>
      </c>
      <c r="F5012" s="13">
        <v>10</v>
      </c>
      <c r="G5012" s="13"/>
      <c r="H5012" s="13"/>
      <c r="I5012" s="13"/>
      <c r="J5012" s="13"/>
      <c r="K5012" s="13">
        <v>1</v>
      </c>
      <c r="L5012" s="13"/>
      <c r="M5012" s="72" t="b">
        <v>1</v>
      </c>
    </row>
    <row r="5013" spans="1:13" s="4" customFormat="1" x14ac:dyDescent="0.25">
      <c r="A5013" s="13"/>
      <c r="B5013" s="13"/>
      <c r="C5013" s="13"/>
      <c r="D5013" s="13">
        <v>6142</v>
      </c>
      <c r="E5013" s="136" t="str">
        <f>INDEX([1]道具配置表!$D:$D,MATCH(D5013,[1]道具配置表!$A:$A,0))</f>
        <v>10分钟科技加速</v>
      </c>
      <c r="F5013" s="13">
        <v>82</v>
      </c>
      <c r="G5013" s="13"/>
      <c r="H5013" s="13"/>
      <c r="I5013" s="13"/>
      <c r="J5013" s="13"/>
      <c r="K5013" s="13">
        <v>1</v>
      </c>
      <c r="L5013" s="13"/>
      <c r="M5013" s="72" t="b">
        <v>1</v>
      </c>
    </row>
    <row r="5014" spans="1:13" s="4" customFormat="1" x14ac:dyDescent="0.25">
      <c r="A5014" s="13"/>
      <c r="B5014" s="13"/>
      <c r="C5014" s="13"/>
      <c r="D5014" s="13">
        <v>232</v>
      </c>
      <c r="E5014" s="136" t="str">
        <f>INDEX([1]道具配置表!$D:$D,MATCH(D5014,[1]道具配置表!$A:$A,0))</f>
        <v>1万食物</v>
      </c>
      <c r="F5014" s="13">
        <v>68</v>
      </c>
      <c r="G5014" s="13"/>
      <c r="H5014" s="13"/>
      <c r="I5014" s="13"/>
      <c r="J5014" s="13"/>
      <c r="K5014" s="13">
        <v>1</v>
      </c>
      <c r="L5014" s="13"/>
      <c r="M5014" s="72" t="b">
        <v>1</v>
      </c>
    </row>
    <row r="5015" spans="1:13" s="4" customFormat="1" x14ac:dyDescent="0.25">
      <c r="A5015" s="13"/>
      <c r="B5015" s="13"/>
      <c r="C5015" s="13"/>
      <c r="D5015" s="13">
        <v>231</v>
      </c>
      <c r="E5015" s="136" t="str">
        <f>INDEX([1]道具配置表!$D:$D,MATCH(D5015,[1]道具配置表!$A:$A,0))</f>
        <v>1万木材</v>
      </c>
      <c r="F5015" s="13">
        <v>68</v>
      </c>
      <c r="G5015" s="13"/>
      <c r="H5015" s="13"/>
      <c r="I5015" s="13"/>
      <c r="J5015" s="13"/>
      <c r="K5015" s="13">
        <v>1</v>
      </c>
      <c r="L5015" s="13"/>
      <c r="M5015" s="72" t="b">
        <v>1</v>
      </c>
    </row>
    <row r="5016" spans="1:13" s="4" customFormat="1" x14ac:dyDescent="0.25">
      <c r="A5016" s="13"/>
      <c r="B5016" s="13"/>
      <c r="C5016" s="13"/>
      <c r="D5016" s="13">
        <v>233</v>
      </c>
      <c r="E5016" s="136" t="str">
        <f>INDEX([1]道具配置表!$D:$D,MATCH(D5016,[1]道具配置表!$A:$A,0))</f>
        <v>1万石头</v>
      </c>
      <c r="F5016" s="13">
        <v>68</v>
      </c>
      <c r="G5016" s="13"/>
      <c r="H5016" s="13"/>
      <c r="I5016" s="13"/>
      <c r="J5016" s="13"/>
      <c r="K5016" s="13">
        <v>1</v>
      </c>
      <c r="L5016" s="13"/>
      <c r="M5016" s="72" t="b">
        <v>1</v>
      </c>
    </row>
    <row r="5017" spans="1:13" s="4" customFormat="1" x14ac:dyDescent="0.25">
      <c r="A5017" s="13"/>
      <c r="B5017" s="13"/>
      <c r="C5017" s="13"/>
      <c r="D5017" s="13">
        <v>234</v>
      </c>
      <c r="E5017" s="136" t="str">
        <f>INDEX([1]道具配置表!$D:$D,MATCH(D5017,[1]道具配置表!$A:$A,0))</f>
        <v>1万黄金</v>
      </c>
      <c r="F5017" s="13">
        <v>68</v>
      </c>
      <c r="G5017" s="13"/>
      <c r="H5017" s="13"/>
      <c r="I5017" s="13"/>
      <c r="J5017" s="13"/>
      <c r="K5017" s="13">
        <v>1</v>
      </c>
      <c r="L5017" s="13"/>
      <c r="M5017" s="72" t="b">
        <v>1</v>
      </c>
    </row>
    <row r="5018" spans="1:13" s="4" customFormat="1" x14ac:dyDescent="0.25">
      <c r="A5018" s="13">
        <v>6642037</v>
      </c>
      <c r="B5018" s="13" t="s">
        <v>1471</v>
      </c>
      <c r="C5018" s="13"/>
      <c r="D5018" s="13">
        <v>56214</v>
      </c>
      <c r="E5018" s="136" t="str">
        <f>INDEX([1]道具配置表!$D:$D,MATCH(D5018,[1]道具配置表!$A:$A,0))</f>
        <v>绿色宝石宝箱-随机</v>
      </c>
      <c r="F5018" s="13">
        <v>3</v>
      </c>
      <c r="G5018" s="13"/>
      <c r="H5018" s="13"/>
      <c r="I5018" s="13"/>
      <c r="J5018" s="13"/>
      <c r="K5018" s="13">
        <v>1</v>
      </c>
      <c r="L5018" s="13"/>
      <c r="M5018" s="72" t="b">
        <v>1</v>
      </c>
    </row>
    <row r="5019" spans="1:13" s="4" customFormat="1" x14ac:dyDescent="0.25">
      <c r="A5019" s="13"/>
      <c r="B5019" s="13"/>
      <c r="C5019" s="13"/>
      <c r="D5019" s="13">
        <v>56213</v>
      </c>
      <c r="E5019" s="136" t="str">
        <f>INDEX([1]道具配置表!$D:$D,MATCH(D5019,[1]道具配置表!$A:$A,0))</f>
        <v>白色宝石宝箱-随机</v>
      </c>
      <c r="F5019" s="13">
        <v>10</v>
      </c>
      <c r="G5019" s="13"/>
      <c r="H5019" s="13"/>
      <c r="I5019" s="13"/>
      <c r="J5019" s="13"/>
      <c r="K5019" s="13">
        <v>1</v>
      </c>
      <c r="L5019" s="13"/>
      <c r="M5019" s="72" t="b">
        <v>1</v>
      </c>
    </row>
    <row r="5020" spans="1:13" s="4" customFormat="1" x14ac:dyDescent="0.25">
      <c r="A5020" s="13"/>
      <c r="B5020" s="13"/>
      <c r="C5020" s="13"/>
      <c r="D5020" s="13">
        <v>6142</v>
      </c>
      <c r="E5020" s="136" t="str">
        <f>INDEX([1]道具配置表!$D:$D,MATCH(D5020,[1]道具配置表!$A:$A,0))</f>
        <v>10分钟科技加速</v>
      </c>
      <c r="F5020" s="13">
        <v>84</v>
      </c>
      <c r="G5020" s="13"/>
      <c r="H5020" s="13"/>
      <c r="I5020" s="13"/>
      <c r="J5020" s="13"/>
      <c r="K5020" s="13">
        <v>1</v>
      </c>
      <c r="L5020" s="13"/>
      <c r="M5020" s="72" t="b">
        <v>1</v>
      </c>
    </row>
    <row r="5021" spans="1:13" s="4" customFormat="1" x14ac:dyDescent="0.25">
      <c r="A5021" s="13"/>
      <c r="B5021" s="13"/>
      <c r="C5021" s="13"/>
      <c r="D5021" s="13">
        <v>232</v>
      </c>
      <c r="E5021" s="136" t="str">
        <f>INDEX([1]道具配置表!$D:$D,MATCH(D5021,[1]道具配置表!$A:$A,0))</f>
        <v>1万食物</v>
      </c>
      <c r="F5021" s="13">
        <v>70</v>
      </c>
      <c r="G5021" s="13"/>
      <c r="H5021" s="13"/>
      <c r="I5021" s="13"/>
      <c r="J5021" s="13"/>
      <c r="K5021" s="13">
        <v>1</v>
      </c>
      <c r="L5021" s="13"/>
      <c r="M5021" s="72" t="b">
        <v>1</v>
      </c>
    </row>
    <row r="5022" spans="1:13" s="4" customFormat="1" x14ac:dyDescent="0.25">
      <c r="A5022" s="13"/>
      <c r="B5022" s="13"/>
      <c r="C5022" s="13"/>
      <c r="D5022" s="13">
        <v>231</v>
      </c>
      <c r="E5022" s="136" t="str">
        <f>INDEX([1]道具配置表!$D:$D,MATCH(D5022,[1]道具配置表!$A:$A,0))</f>
        <v>1万木材</v>
      </c>
      <c r="F5022" s="13">
        <v>70</v>
      </c>
      <c r="G5022" s="13"/>
      <c r="H5022" s="13"/>
      <c r="I5022" s="13"/>
      <c r="J5022" s="13"/>
      <c r="K5022" s="13">
        <v>1</v>
      </c>
      <c r="L5022" s="13"/>
      <c r="M5022" s="72" t="b">
        <v>1</v>
      </c>
    </row>
    <row r="5023" spans="1:13" s="4" customFormat="1" x14ac:dyDescent="0.25">
      <c r="A5023" s="13"/>
      <c r="B5023" s="13"/>
      <c r="C5023" s="13"/>
      <c r="D5023" s="13">
        <v>233</v>
      </c>
      <c r="E5023" s="136" t="str">
        <f>INDEX([1]道具配置表!$D:$D,MATCH(D5023,[1]道具配置表!$A:$A,0))</f>
        <v>1万石头</v>
      </c>
      <c r="F5023" s="13">
        <v>70</v>
      </c>
      <c r="G5023" s="13"/>
      <c r="H5023" s="13"/>
      <c r="I5023" s="13"/>
      <c r="J5023" s="13"/>
      <c r="K5023" s="13">
        <v>1</v>
      </c>
      <c r="L5023" s="13"/>
      <c r="M5023" s="72" t="b">
        <v>1</v>
      </c>
    </row>
    <row r="5024" spans="1:13" s="4" customFormat="1" x14ac:dyDescent="0.25">
      <c r="A5024" s="13"/>
      <c r="B5024" s="13"/>
      <c r="C5024" s="13"/>
      <c r="D5024" s="13">
        <v>234</v>
      </c>
      <c r="E5024" s="136" t="str">
        <f>INDEX([1]道具配置表!$D:$D,MATCH(D5024,[1]道具配置表!$A:$A,0))</f>
        <v>1万黄金</v>
      </c>
      <c r="F5024" s="13">
        <v>70</v>
      </c>
      <c r="G5024" s="13"/>
      <c r="H5024" s="13"/>
      <c r="I5024" s="13"/>
      <c r="J5024" s="13"/>
      <c r="K5024" s="13">
        <v>1</v>
      </c>
      <c r="L5024" s="13"/>
      <c r="M5024" s="72" t="b">
        <v>1</v>
      </c>
    </row>
    <row r="5025" spans="1:13" s="4" customFormat="1" x14ac:dyDescent="0.25">
      <c r="A5025" s="13">
        <v>6642038</v>
      </c>
      <c r="B5025" s="13" t="s">
        <v>1472</v>
      </c>
      <c r="C5025" s="13"/>
      <c r="D5025" s="13">
        <v>56214</v>
      </c>
      <c r="E5025" s="136" t="str">
        <f>INDEX([1]道具配置表!$D:$D,MATCH(D5025,[1]道具配置表!$A:$A,0))</f>
        <v>绿色宝石宝箱-随机</v>
      </c>
      <c r="F5025" s="13">
        <v>3</v>
      </c>
      <c r="G5025" s="13"/>
      <c r="H5025" s="13"/>
      <c r="I5025" s="13"/>
      <c r="J5025" s="13"/>
      <c r="K5025" s="13">
        <v>1</v>
      </c>
      <c r="L5025" s="13"/>
      <c r="M5025" s="72" t="b">
        <v>1</v>
      </c>
    </row>
    <row r="5026" spans="1:13" s="4" customFormat="1" x14ac:dyDescent="0.25">
      <c r="A5026" s="13"/>
      <c r="B5026" s="13"/>
      <c r="C5026" s="13"/>
      <c r="D5026" s="13">
        <v>56213</v>
      </c>
      <c r="E5026" s="136" t="str">
        <f>INDEX([1]道具配置表!$D:$D,MATCH(D5026,[1]道具配置表!$A:$A,0))</f>
        <v>白色宝石宝箱-随机</v>
      </c>
      <c r="F5026" s="13">
        <v>11</v>
      </c>
      <c r="G5026" s="13"/>
      <c r="H5026" s="13"/>
      <c r="I5026" s="13"/>
      <c r="J5026" s="13"/>
      <c r="K5026" s="13">
        <v>1</v>
      </c>
      <c r="L5026" s="13"/>
      <c r="M5026" s="72" t="b">
        <v>1</v>
      </c>
    </row>
    <row r="5027" spans="1:13" s="4" customFormat="1" x14ac:dyDescent="0.25">
      <c r="A5027" s="13"/>
      <c r="B5027" s="13"/>
      <c r="C5027" s="13"/>
      <c r="D5027" s="13">
        <v>6142</v>
      </c>
      <c r="E5027" s="136" t="str">
        <f>INDEX([1]道具配置表!$D:$D,MATCH(D5027,[1]道具配置表!$A:$A,0))</f>
        <v>10分钟科技加速</v>
      </c>
      <c r="F5027" s="13">
        <v>86</v>
      </c>
      <c r="G5027" s="13"/>
      <c r="H5027" s="13"/>
      <c r="I5027" s="13"/>
      <c r="J5027" s="13"/>
      <c r="K5027" s="13">
        <v>1</v>
      </c>
      <c r="L5027" s="13"/>
      <c r="M5027" s="72" t="b">
        <v>1</v>
      </c>
    </row>
    <row r="5028" spans="1:13" s="4" customFormat="1" x14ac:dyDescent="0.25">
      <c r="A5028" s="13"/>
      <c r="B5028" s="13"/>
      <c r="C5028" s="13"/>
      <c r="D5028" s="13">
        <v>232</v>
      </c>
      <c r="E5028" s="136" t="str">
        <f>INDEX([1]道具配置表!$D:$D,MATCH(D5028,[1]道具配置表!$A:$A,0))</f>
        <v>1万食物</v>
      </c>
      <c r="F5028" s="13">
        <v>72</v>
      </c>
      <c r="G5028" s="13"/>
      <c r="H5028" s="13"/>
      <c r="I5028" s="13"/>
      <c r="J5028" s="13"/>
      <c r="K5028" s="13">
        <v>1</v>
      </c>
      <c r="L5028" s="13"/>
      <c r="M5028" s="72" t="b">
        <v>1</v>
      </c>
    </row>
    <row r="5029" spans="1:13" s="4" customFormat="1" x14ac:dyDescent="0.25">
      <c r="A5029" s="13"/>
      <c r="B5029" s="13"/>
      <c r="C5029" s="13"/>
      <c r="D5029" s="13">
        <v>231</v>
      </c>
      <c r="E5029" s="136" t="str">
        <f>INDEX([1]道具配置表!$D:$D,MATCH(D5029,[1]道具配置表!$A:$A,0))</f>
        <v>1万木材</v>
      </c>
      <c r="F5029" s="13">
        <v>72</v>
      </c>
      <c r="G5029" s="13"/>
      <c r="H5029" s="13"/>
      <c r="I5029" s="13"/>
      <c r="J5029" s="13"/>
      <c r="K5029" s="13">
        <v>1</v>
      </c>
      <c r="L5029" s="13"/>
      <c r="M5029" s="72" t="b">
        <v>1</v>
      </c>
    </row>
    <row r="5030" spans="1:13" s="4" customFormat="1" x14ac:dyDescent="0.25">
      <c r="A5030" s="13"/>
      <c r="B5030" s="13"/>
      <c r="C5030" s="13"/>
      <c r="D5030" s="13">
        <v>233</v>
      </c>
      <c r="E5030" s="136" t="str">
        <f>INDEX([1]道具配置表!$D:$D,MATCH(D5030,[1]道具配置表!$A:$A,0))</f>
        <v>1万石头</v>
      </c>
      <c r="F5030" s="13">
        <v>72</v>
      </c>
      <c r="G5030" s="13"/>
      <c r="H5030" s="13"/>
      <c r="I5030" s="13"/>
      <c r="J5030" s="13"/>
      <c r="K5030" s="13">
        <v>1</v>
      </c>
      <c r="L5030" s="13"/>
      <c r="M5030" s="72" t="b">
        <v>1</v>
      </c>
    </row>
    <row r="5031" spans="1:13" s="4" customFormat="1" x14ac:dyDescent="0.25">
      <c r="A5031" s="13"/>
      <c r="B5031" s="13"/>
      <c r="C5031" s="13"/>
      <c r="D5031" s="13">
        <v>234</v>
      </c>
      <c r="E5031" s="136" t="str">
        <f>INDEX([1]道具配置表!$D:$D,MATCH(D5031,[1]道具配置表!$A:$A,0))</f>
        <v>1万黄金</v>
      </c>
      <c r="F5031" s="13">
        <v>72</v>
      </c>
      <c r="G5031" s="13"/>
      <c r="H5031" s="13"/>
      <c r="I5031" s="13"/>
      <c r="J5031" s="13"/>
      <c r="K5031" s="13">
        <v>1</v>
      </c>
      <c r="L5031" s="13"/>
      <c r="M5031" s="72" t="b">
        <v>1</v>
      </c>
    </row>
    <row r="5032" spans="1:13" s="4" customFormat="1" x14ac:dyDescent="0.25">
      <c r="A5032" s="13">
        <v>6642039</v>
      </c>
      <c r="B5032" s="13" t="s">
        <v>1473</v>
      </c>
      <c r="C5032" s="13"/>
      <c r="D5032" s="13">
        <v>56214</v>
      </c>
      <c r="E5032" s="136" t="str">
        <f>INDEX([1]道具配置表!$D:$D,MATCH(D5032,[1]道具配置表!$A:$A,0))</f>
        <v>绿色宝石宝箱-随机</v>
      </c>
      <c r="F5032" s="13">
        <v>3</v>
      </c>
      <c r="G5032" s="13"/>
      <c r="H5032" s="13"/>
      <c r="I5032" s="13"/>
      <c r="J5032" s="13"/>
      <c r="K5032" s="13">
        <v>1</v>
      </c>
      <c r="L5032" s="13"/>
      <c r="M5032" s="72" t="b">
        <v>1</v>
      </c>
    </row>
    <row r="5033" spans="1:13" s="4" customFormat="1" x14ac:dyDescent="0.25">
      <c r="A5033" s="13"/>
      <c r="B5033" s="13"/>
      <c r="C5033" s="13"/>
      <c r="D5033" s="13">
        <v>56213</v>
      </c>
      <c r="E5033" s="136" t="str">
        <f>INDEX([1]道具配置表!$D:$D,MATCH(D5033,[1]道具配置表!$A:$A,0))</f>
        <v>白色宝石宝箱-随机</v>
      </c>
      <c r="F5033" s="13">
        <v>11</v>
      </c>
      <c r="G5033" s="13"/>
      <c r="H5033" s="13"/>
      <c r="I5033" s="13"/>
      <c r="J5033" s="13"/>
      <c r="K5033" s="13">
        <v>1</v>
      </c>
      <c r="L5033" s="13"/>
      <c r="M5033" s="72" t="b">
        <v>1</v>
      </c>
    </row>
    <row r="5034" spans="1:13" s="4" customFormat="1" x14ac:dyDescent="0.25">
      <c r="A5034" s="13"/>
      <c r="B5034" s="13"/>
      <c r="C5034" s="13"/>
      <c r="D5034" s="13">
        <v>6142</v>
      </c>
      <c r="E5034" s="136" t="str">
        <f>INDEX([1]道具配置表!$D:$D,MATCH(D5034,[1]道具配置表!$A:$A,0))</f>
        <v>10分钟科技加速</v>
      </c>
      <c r="F5034" s="13">
        <v>89</v>
      </c>
      <c r="G5034" s="13"/>
      <c r="H5034" s="13"/>
      <c r="I5034" s="13"/>
      <c r="J5034" s="13"/>
      <c r="K5034" s="13">
        <v>1</v>
      </c>
      <c r="L5034" s="13"/>
      <c r="M5034" s="72" t="b">
        <v>1</v>
      </c>
    </row>
    <row r="5035" spans="1:13" s="4" customFormat="1" x14ac:dyDescent="0.25">
      <c r="A5035" s="13"/>
      <c r="B5035" s="13"/>
      <c r="C5035" s="13"/>
      <c r="D5035" s="13">
        <v>232</v>
      </c>
      <c r="E5035" s="136" t="str">
        <f>INDEX([1]道具配置表!$D:$D,MATCH(D5035,[1]道具配置表!$A:$A,0))</f>
        <v>1万食物</v>
      </c>
      <c r="F5035" s="13">
        <v>74</v>
      </c>
      <c r="G5035" s="13"/>
      <c r="H5035" s="13"/>
      <c r="I5035" s="13"/>
      <c r="J5035" s="13"/>
      <c r="K5035" s="13">
        <v>1</v>
      </c>
      <c r="L5035" s="13"/>
      <c r="M5035" s="72" t="b">
        <v>1</v>
      </c>
    </row>
    <row r="5036" spans="1:13" s="4" customFormat="1" x14ac:dyDescent="0.25">
      <c r="A5036" s="13"/>
      <c r="B5036" s="13"/>
      <c r="C5036" s="13"/>
      <c r="D5036" s="13">
        <v>231</v>
      </c>
      <c r="E5036" s="136" t="str">
        <f>INDEX([1]道具配置表!$D:$D,MATCH(D5036,[1]道具配置表!$A:$A,0))</f>
        <v>1万木材</v>
      </c>
      <c r="F5036" s="13">
        <v>74</v>
      </c>
      <c r="G5036" s="13"/>
      <c r="H5036" s="13"/>
      <c r="I5036" s="13"/>
      <c r="J5036" s="13"/>
      <c r="K5036" s="13">
        <v>1</v>
      </c>
      <c r="L5036" s="13"/>
      <c r="M5036" s="72" t="b">
        <v>1</v>
      </c>
    </row>
    <row r="5037" spans="1:13" s="4" customFormat="1" x14ac:dyDescent="0.25">
      <c r="A5037" s="13"/>
      <c r="B5037" s="13"/>
      <c r="C5037" s="13"/>
      <c r="D5037" s="13">
        <v>233</v>
      </c>
      <c r="E5037" s="136" t="str">
        <f>INDEX([1]道具配置表!$D:$D,MATCH(D5037,[1]道具配置表!$A:$A,0))</f>
        <v>1万石头</v>
      </c>
      <c r="F5037" s="13">
        <v>74</v>
      </c>
      <c r="G5037" s="13"/>
      <c r="H5037" s="13"/>
      <c r="I5037" s="13"/>
      <c r="J5037" s="13"/>
      <c r="K5037" s="13">
        <v>1</v>
      </c>
      <c r="L5037" s="13"/>
      <c r="M5037" s="72" t="b">
        <v>1</v>
      </c>
    </row>
    <row r="5038" spans="1:13" s="4" customFormat="1" x14ac:dyDescent="0.25">
      <c r="A5038" s="13"/>
      <c r="B5038" s="13"/>
      <c r="C5038" s="13"/>
      <c r="D5038" s="13">
        <v>234</v>
      </c>
      <c r="E5038" s="136" t="str">
        <f>INDEX([1]道具配置表!$D:$D,MATCH(D5038,[1]道具配置表!$A:$A,0))</f>
        <v>1万黄金</v>
      </c>
      <c r="F5038" s="13">
        <v>74</v>
      </c>
      <c r="G5038" s="13"/>
      <c r="H5038" s="13"/>
      <c r="I5038" s="13"/>
      <c r="J5038" s="13"/>
      <c r="K5038" s="13">
        <v>1</v>
      </c>
      <c r="L5038" s="13"/>
      <c r="M5038" s="72" t="b">
        <v>1</v>
      </c>
    </row>
    <row r="5039" spans="1:13" s="4" customFormat="1" x14ac:dyDescent="0.25">
      <c r="A5039" s="13">
        <v>6642040</v>
      </c>
      <c r="B5039" s="13" t="s">
        <v>1474</v>
      </c>
      <c r="C5039" s="13"/>
      <c r="D5039" s="13">
        <v>56214</v>
      </c>
      <c r="E5039" s="136" t="str">
        <f>INDEX([1]道具配置表!$D:$D,MATCH(D5039,[1]道具配置表!$A:$A,0))</f>
        <v>绿色宝石宝箱-随机</v>
      </c>
      <c r="F5039" s="13">
        <v>3</v>
      </c>
      <c r="G5039" s="13"/>
      <c r="H5039" s="13"/>
      <c r="I5039" s="13"/>
      <c r="J5039" s="13"/>
      <c r="K5039" s="13">
        <v>1</v>
      </c>
      <c r="L5039" s="13"/>
      <c r="M5039" s="72" t="b">
        <v>1</v>
      </c>
    </row>
    <row r="5040" spans="1:13" s="4" customFormat="1" x14ac:dyDescent="0.25">
      <c r="A5040" s="13"/>
      <c r="B5040" s="13"/>
      <c r="C5040" s="13"/>
      <c r="D5040" s="13">
        <v>56213</v>
      </c>
      <c r="E5040" s="136" t="str">
        <f>INDEX([1]道具配置表!$D:$D,MATCH(D5040,[1]道具配置表!$A:$A,0))</f>
        <v>白色宝石宝箱-随机</v>
      </c>
      <c r="F5040" s="13">
        <v>12</v>
      </c>
      <c r="G5040" s="13"/>
      <c r="H5040" s="13"/>
      <c r="I5040" s="13"/>
      <c r="J5040" s="13"/>
      <c r="K5040" s="13">
        <v>1</v>
      </c>
      <c r="L5040" s="13"/>
      <c r="M5040" s="72" t="b">
        <v>1</v>
      </c>
    </row>
    <row r="5041" spans="1:13" s="4" customFormat="1" x14ac:dyDescent="0.25">
      <c r="A5041" s="13"/>
      <c r="B5041" s="13"/>
      <c r="C5041" s="13"/>
      <c r="D5041" s="13">
        <v>6142</v>
      </c>
      <c r="E5041" s="136" t="str">
        <f>INDEX([1]道具配置表!$D:$D,MATCH(D5041,[1]道具配置表!$A:$A,0))</f>
        <v>10分钟科技加速</v>
      </c>
      <c r="F5041" s="13">
        <v>91</v>
      </c>
      <c r="G5041" s="13"/>
      <c r="H5041" s="13"/>
      <c r="I5041" s="13"/>
      <c r="J5041" s="13"/>
      <c r="K5041" s="13">
        <v>1</v>
      </c>
      <c r="L5041" s="13"/>
      <c r="M5041" s="72" t="b">
        <v>1</v>
      </c>
    </row>
    <row r="5042" spans="1:13" s="4" customFormat="1" x14ac:dyDescent="0.25">
      <c r="A5042" s="13"/>
      <c r="B5042" s="13"/>
      <c r="C5042" s="13"/>
      <c r="D5042" s="13">
        <v>232</v>
      </c>
      <c r="E5042" s="136" t="str">
        <f>INDEX([1]道具配置表!$D:$D,MATCH(D5042,[1]道具配置表!$A:$A,0))</f>
        <v>1万食物</v>
      </c>
      <c r="F5042" s="13">
        <v>76</v>
      </c>
      <c r="G5042" s="13"/>
      <c r="H5042" s="13"/>
      <c r="I5042" s="13"/>
      <c r="J5042" s="13"/>
      <c r="K5042" s="13">
        <v>1</v>
      </c>
      <c r="L5042" s="13"/>
      <c r="M5042" s="72" t="b">
        <v>1</v>
      </c>
    </row>
    <row r="5043" spans="1:13" s="4" customFormat="1" x14ac:dyDescent="0.25">
      <c r="A5043" s="13"/>
      <c r="B5043" s="13"/>
      <c r="C5043" s="13"/>
      <c r="D5043" s="13">
        <v>231</v>
      </c>
      <c r="E5043" s="136" t="str">
        <f>INDEX([1]道具配置表!$D:$D,MATCH(D5043,[1]道具配置表!$A:$A,0))</f>
        <v>1万木材</v>
      </c>
      <c r="F5043" s="13">
        <v>76</v>
      </c>
      <c r="G5043" s="13"/>
      <c r="H5043" s="13"/>
      <c r="I5043" s="13"/>
      <c r="J5043" s="13"/>
      <c r="K5043" s="13">
        <v>1</v>
      </c>
      <c r="L5043" s="13"/>
      <c r="M5043" s="72" t="b">
        <v>1</v>
      </c>
    </row>
    <row r="5044" spans="1:13" s="4" customFormat="1" x14ac:dyDescent="0.25">
      <c r="A5044" s="13"/>
      <c r="B5044" s="13"/>
      <c r="C5044" s="13"/>
      <c r="D5044" s="13">
        <v>233</v>
      </c>
      <c r="E5044" s="136" t="str">
        <f>INDEX([1]道具配置表!$D:$D,MATCH(D5044,[1]道具配置表!$A:$A,0))</f>
        <v>1万石头</v>
      </c>
      <c r="F5044" s="13">
        <v>76</v>
      </c>
      <c r="G5044" s="13"/>
      <c r="H5044" s="13"/>
      <c r="I5044" s="13"/>
      <c r="J5044" s="13"/>
      <c r="K5044" s="13">
        <v>1</v>
      </c>
      <c r="L5044" s="13"/>
      <c r="M5044" s="72" t="b">
        <v>1</v>
      </c>
    </row>
    <row r="5045" spans="1:13" s="4" customFormat="1" x14ac:dyDescent="0.25">
      <c r="A5045" s="13"/>
      <c r="B5045" s="13"/>
      <c r="C5045" s="13"/>
      <c r="D5045" s="13">
        <v>234</v>
      </c>
      <c r="E5045" s="136" t="str">
        <f>INDEX([1]道具配置表!$D:$D,MATCH(D5045,[1]道具配置表!$A:$A,0))</f>
        <v>1万黄金</v>
      </c>
      <c r="F5045" s="13">
        <v>76</v>
      </c>
      <c r="G5045" s="13"/>
      <c r="H5045" s="13"/>
      <c r="I5045" s="13"/>
      <c r="J5045" s="13"/>
      <c r="K5045" s="13">
        <v>1</v>
      </c>
      <c r="L5045" s="13"/>
      <c r="M5045" s="72" t="b">
        <v>1</v>
      </c>
    </row>
    <row r="5046" spans="1:13" s="4" customFormat="1" x14ac:dyDescent="0.25">
      <c r="A5046" s="13">
        <v>6642101</v>
      </c>
      <c r="B5046" s="13" t="s">
        <v>1119</v>
      </c>
      <c r="C5046" s="13"/>
      <c r="D5046" s="13">
        <v>6104</v>
      </c>
      <c r="E5046" s="136" t="str">
        <f>INDEX([1]道具配置表!$D:$D,MATCH(D5046,[1]道具配置表!$A:$A,0))</f>
        <v>30分钟通用加速</v>
      </c>
      <c r="F5046" s="13">
        <v>10</v>
      </c>
      <c r="G5046" s="13"/>
      <c r="H5046" s="13"/>
      <c r="I5046" s="13"/>
      <c r="J5046" s="13"/>
      <c r="K5046" s="13">
        <v>1</v>
      </c>
      <c r="L5046" s="13"/>
      <c r="M5046" s="72" t="b">
        <v>1</v>
      </c>
    </row>
    <row r="5047" spans="1:13" s="4" customFormat="1" x14ac:dyDescent="0.25">
      <c r="A5047" s="13"/>
      <c r="B5047" s="13"/>
      <c r="C5047" s="13"/>
      <c r="D5047" s="13">
        <v>504</v>
      </c>
      <c r="E5047" s="136" t="str">
        <f>INDEX([1]道具配置表!$D:$D,MATCH(D5047,[1]道具配置表!$A:$A,0))</f>
        <v>10万资源自选宝箱</v>
      </c>
      <c r="F5047" s="13">
        <v>5</v>
      </c>
      <c r="G5047" s="13"/>
      <c r="H5047" s="13"/>
      <c r="I5047" s="13"/>
      <c r="J5047" s="13"/>
      <c r="K5047" s="13">
        <v>1</v>
      </c>
      <c r="L5047" s="13"/>
      <c r="M5047" s="72" t="b">
        <v>1</v>
      </c>
    </row>
    <row r="5048" spans="1:13" s="4" customFormat="1" x14ac:dyDescent="0.25">
      <c r="A5048" s="13">
        <v>6642102</v>
      </c>
      <c r="B5048" s="13" t="s">
        <v>1120</v>
      </c>
      <c r="C5048" s="13"/>
      <c r="D5048" s="13">
        <v>6104</v>
      </c>
      <c r="E5048" s="136" t="str">
        <f>INDEX([1]道具配置表!$D:$D,MATCH(D5048,[1]道具配置表!$A:$A,0))</f>
        <v>30分钟通用加速</v>
      </c>
      <c r="F5048" s="13">
        <v>8</v>
      </c>
      <c r="G5048" s="13"/>
      <c r="H5048" s="13"/>
      <c r="I5048" s="13"/>
      <c r="J5048" s="13"/>
      <c r="K5048" s="13">
        <v>1</v>
      </c>
      <c r="L5048" s="13"/>
      <c r="M5048" s="72" t="b">
        <v>1</v>
      </c>
    </row>
    <row r="5049" spans="1:13" s="4" customFormat="1" x14ac:dyDescent="0.25">
      <c r="A5049" s="13"/>
      <c r="B5049" s="13"/>
      <c r="C5049" s="13"/>
      <c r="D5049" s="13">
        <v>504</v>
      </c>
      <c r="E5049" s="136" t="str">
        <f>INDEX([1]道具配置表!$D:$D,MATCH(D5049,[1]道具配置表!$A:$A,0))</f>
        <v>10万资源自选宝箱</v>
      </c>
      <c r="F5049" s="13">
        <v>4</v>
      </c>
      <c r="G5049" s="13"/>
      <c r="H5049" s="13"/>
      <c r="I5049" s="13"/>
      <c r="J5049" s="13"/>
      <c r="K5049" s="13">
        <v>1</v>
      </c>
      <c r="L5049" s="13"/>
      <c r="M5049" s="72" t="b">
        <v>1</v>
      </c>
    </row>
    <row r="5050" spans="1:13" s="4" customFormat="1" x14ac:dyDescent="0.25">
      <c r="A5050" s="13">
        <v>6642103</v>
      </c>
      <c r="B5050" s="13" t="s">
        <v>1121</v>
      </c>
      <c r="C5050" s="13"/>
      <c r="D5050" s="13">
        <v>6104</v>
      </c>
      <c r="E5050" s="136" t="str">
        <f>INDEX([1]道具配置表!$D:$D,MATCH(D5050,[1]道具配置表!$A:$A,0))</f>
        <v>30分钟通用加速</v>
      </c>
      <c r="F5050" s="13">
        <v>6</v>
      </c>
      <c r="G5050" s="13"/>
      <c r="H5050" s="13"/>
      <c r="I5050" s="13"/>
      <c r="J5050" s="13"/>
      <c r="K5050" s="13">
        <v>1</v>
      </c>
      <c r="L5050" s="13"/>
      <c r="M5050" s="72" t="b">
        <v>1</v>
      </c>
    </row>
    <row r="5051" spans="1:13" s="4" customFormat="1" x14ac:dyDescent="0.25">
      <c r="A5051" s="13"/>
      <c r="B5051" s="13"/>
      <c r="C5051" s="13"/>
      <c r="D5051" s="13">
        <v>504</v>
      </c>
      <c r="E5051" s="136" t="str">
        <f>INDEX([1]道具配置表!$D:$D,MATCH(D5051,[1]道具配置表!$A:$A,0))</f>
        <v>10万资源自选宝箱</v>
      </c>
      <c r="F5051" s="13">
        <v>3</v>
      </c>
      <c r="G5051" s="13"/>
      <c r="H5051" s="13"/>
      <c r="I5051" s="13"/>
      <c r="J5051" s="13"/>
      <c r="K5051" s="13">
        <v>1</v>
      </c>
      <c r="L5051" s="13"/>
      <c r="M5051" s="72" t="b">
        <v>1</v>
      </c>
    </row>
    <row r="5052" spans="1:13" s="4" customFormat="1" x14ac:dyDescent="0.25">
      <c r="A5052" s="13">
        <v>6642104</v>
      </c>
      <c r="B5052" s="13" t="s">
        <v>1122</v>
      </c>
      <c r="C5052" s="13"/>
      <c r="D5052" s="13">
        <v>6104</v>
      </c>
      <c r="E5052" s="136" t="str">
        <f>INDEX([1]道具配置表!$D:$D,MATCH(D5052,[1]道具配置表!$A:$A,0))</f>
        <v>30分钟通用加速</v>
      </c>
      <c r="F5052" s="13">
        <v>4</v>
      </c>
      <c r="G5052" s="13"/>
      <c r="H5052" s="13"/>
      <c r="I5052" s="13"/>
      <c r="J5052" s="13"/>
      <c r="K5052" s="13">
        <v>1</v>
      </c>
      <c r="L5052" s="13"/>
      <c r="M5052" s="72" t="b">
        <v>1</v>
      </c>
    </row>
    <row r="5053" spans="1:13" s="4" customFormat="1" x14ac:dyDescent="0.25">
      <c r="A5053" s="13"/>
      <c r="B5053" s="13"/>
      <c r="C5053" s="13"/>
      <c r="D5053" s="13">
        <v>504</v>
      </c>
      <c r="E5053" s="136" t="str">
        <f>INDEX([1]道具配置表!$D:$D,MATCH(D5053,[1]道具配置表!$A:$A,0))</f>
        <v>10万资源自选宝箱</v>
      </c>
      <c r="F5053" s="13">
        <v>2</v>
      </c>
      <c r="G5053" s="13"/>
      <c r="H5053" s="13"/>
      <c r="I5053" s="13"/>
      <c r="J5053" s="13"/>
      <c r="K5053" s="13">
        <v>1</v>
      </c>
      <c r="L5053" s="13"/>
      <c r="M5053" s="72" t="b">
        <v>1</v>
      </c>
    </row>
    <row r="5054" spans="1:13" s="4" customFormat="1" x14ac:dyDescent="0.25">
      <c r="A5054" s="13">
        <v>6642105</v>
      </c>
      <c r="B5054" s="13" t="s">
        <v>1123</v>
      </c>
      <c r="C5054" s="13"/>
      <c r="D5054" s="13">
        <v>6104</v>
      </c>
      <c r="E5054" s="136" t="str">
        <f>INDEX([1]道具配置表!$D:$D,MATCH(D5054,[1]道具配置表!$A:$A,0))</f>
        <v>30分钟通用加速</v>
      </c>
      <c r="F5054" s="13">
        <v>2</v>
      </c>
      <c r="G5054" s="13"/>
      <c r="H5054" s="13"/>
      <c r="I5054" s="13"/>
      <c r="J5054" s="13"/>
      <c r="K5054" s="13">
        <v>1</v>
      </c>
      <c r="L5054" s="13"/>
      <c r="M5054" s="72" t="b">
        <v>1</v>
      </c>
    </row>
    <row r="5055" spans="1:13" s="4" customFormat="1" x14ac:dyDescent="0.25">
      <c r="A5055" s="13"/>
      <c r="B5055" s="13"/>
      <c r="C5055" s="13"/>
      <c r="D5055" s="13">
        <v>504</v>
      </c>
      <c r="E5055" s="136" t="str">
        <f>INDEX([1]道具配置表!$D:$D,MATCH(D5055,[1]道具配置表!$A:$A,0))</f>
        <v>10万资源自选宝箱</v>
      </c>
      <c r="F5055" s="13">
        <v>1</v>
      </c>
      <c r="G5055" s="13"/>
      <c r="H5055" s="13"/>
      <c r="I5055" s="13"/>
      <c r="J5055" s="13"/>
      <c r="K5055" s="13">
        <v>1</v>
      </c>
      <c r="L5055" s="13"/>
      <c r="M5055" s="72" t="b">
        <v>1</v>
      </c>
    </row>
    <row r="5056" spans="1:13" s="4" customFormat="1" x14ac:dyDescent="0.25">
      <c r="A5056" s="13">
        <v>6642106</v>
      </c>
      <c r="B5056" s="13" t="s">
        <v>1124</v>
      </c>
      <c r="C5056" s="13"/>
      <c r="D5056" s="13">
        <v>6104</v>
      </c>
      <c r="E5056" s="136" t="str">
        <f>INDEX([1]道具配置表!$D:$D,MATCH(D5056,[1]道具配置表!$A:$A,0))</f>
        <v>30分钟通用加速</v>
      </c>
      <c r="F5056" s="13">
        <v>1</v>
      </c>
      <c r="G5056" s="13"/>
      <c r="H5056" s="13"/>
      <c r="I5056" s="13"/>
      <c r="J5056" s="13"/>
      <c r="K5056" s="13">
        <v>1</v>
      </c>
      <c r="L5056" s="13"/>
      <c r="M5056" s="72" t="b">
        <v>1</v>
      </c>
    </row>
    <row r="5057" spans="1:13" s="4" customFormat="1" x14ac:dyDescent="0.25">
      <c r="A5057" s="13"/>
      <c r="B5057" s="13"/>
      <c r="C5057" s="13"/>
      <c r="D5057" s="13">
        <v>503</v>
      </c>
      <c r="E5057" s="136" t="str">
        <f>INDEX([1]道具配置表!$D:$D,MATCH(D5057,[1]道具配置表!$A:$A,0))</f>
        <v>5万资源自选宝箱</v>
      </c>
      <c r="F5057" s="13">
        <v>1</v>
      </c>
      <c r="G5057" s="13"/>
      <c r="H5057" s="13"/>
      <c r="I5057" s="13"/>
      <c r="J5057" s="13"/>
      <c r="K5057" s="13">
        <v>1</v>
      </c>
      <c r="L5057" s="13"/>
      <c r="M5057" s="72" t="b">
        <v>1</v>
      </c>
    </row>
    <row r="5058" spans="1:13" s="4" customFormat="1" x14ac:dyDescent="0.25">
      <c r="A5058" s="72">
        <v>6643101</v>
      </c>
      <c r="B5058" s="72" t="s">
        <v>1046</v>
      </c>
      <c r="D5058" s="13">
        <v>20000</v>
      </c>
      <c r="E5058" s="136" t="str">
        <f>INDEX([1]道具配置表!$D:$D,MATCH(D5058,[1]道具配置表!$A:$A,0))</f>
        <v>技能点1</v>
      </c>
      <c r="F5058" s="72">
        <v>500</v>
      </c>
      <c r="K5058" s="13">
        <v>1</v>
      </c>
      <c r="L5058" s="13"/>
      <c r="M5058" s="72" t="b">
        <v>1</v>
      </c>
    </row>
    <row r="5059" spans="1:13" s="4" customFormat="1" x14ac:dyDescent="0.25">
      <c r="A5059" s="72"/>
      <c r="B5059" s="72"/>
      <c r="D5059" s="13">
        <v>221</v>
      </c>
      <c r="E5059" s="136" t="str">
        <f>INDEX([1]道具配置表!$D:$D,MATCH(D5059,[1]道具配置表!$A:$A,0))</f>
        <v>1千木材</v>
      </c>
      <c r="F5059" s="72">
        <v>3</v>
      </c>
      <c r="K5059" s="13">
        <v>1</v>
      </c>
      <c r="L5059" s="13"/>
      <c r="M5059" s="72" t="b">
        <v>1</v>
      </c>
    </row>
    <row r="5060" spans="1:13" s="4" customFormat="1" x14ac:dyDescent="0.25">
      <c r="A5060" s="72"/>
      <c r="B5060" s="72"/>
      <c r="D5060" s="13">
        <v>222</v>
      </c>
      <c r="E5060" s="136" t="str">
        <f>INDEX([1]道具配置表!$D:$D,MATCH(D5060,[1]道具配置表!$A:$A,0))</f>
        <v>1千食物</v>
      </c>
      <c r="F5060" s="72">
        <v>3</v>
      </c>
      <c r="K5060" s="13">
        <v>1</v>
      </c>
      <c r="L5060" s="13"/>
      <c r="M5060" s="72" t="b">
        <v>1</v>
      </c>
    </row>
    <row r="5061" spans="1:13" s="4" customFormat="1" x14ac:dyDescent="0.25">
      <c r="A5061" s="72"/>
      <c r="B5061" s="72"/>
      <c r="D5061" s="13">
        <v>223</v>
      </c>
      <c r="E5061" s="136" t="str">
        <f>INDEX([1]道具配置表!$D:$D,MATCH(D5061,[1]道具配置表!$A:$A,0))</f>
        <v>1千石头</v>
      </c>
      <c r="F5061" s="72">
        <v>3</v>
      </c>
      <c r="K5061" s="13">
        <v>1</v>
      </c>
      <c r="L5061" s="13"/>
      <c r="M5061" s="72" t="b">
        <v>1</v>
      </c>
    </row>
    <row r="5062" spans="1:13" s="4" customFormat="1" x14ac:dyDescent="0.25">
      <c r="A5062" s="72"/>
      <c r="B5062" s="72"/>
      <c r="D5062" s="13">
        <v>224</v>
      </c>
      <c r="E5062" s="136" t="str">
        <f>INDEX([1]道具配置表!$D:$D,MATCH(D5062,[1]道具配置表!$A:$A,0))</f>
        <v>1千黄金</v>
      </c>
      <c r="F5062" s="72">
        <v>3</v>
      </c>
      <c r="K5062" s="13">
        <v>1</v>
      </c>
      <c r="L5062" s="13"/>
      <c r="M5062" s="72" t="b">
        <v>1</v>
      </c>
    </row>
    <row r="5063" spans="1:13" s="4" customFormat="1" x14ac:dyDescent="0.25">
      <c r="A5063" s="72">
        <v>6643102</v>
      </c>
      <c r="B5063" s="72" t="s">
        <v>1047</v>
      </c>
      <c r="D5063" s="13">
        <v>20000</v>
      </c>
      <c r="E5063" s="136" t="str">
        <f>INDEX([1]道具配置表!$D:$D,MATCH(D5063,[1]道具配置表!$A:$A,0))</f>
        <v>技能点1</v>
      </c>
      <c r="F5063" s="72">
        <v>650</v>
      </c>
      <c r="K5063" s="13">
        <v>1</v>
      </c>
      <c r="L5063" s="13"/>
      <c r="M5063" s="72" t="b">
        <v>1</v>
      </c>
    </row>
    <row r="5064" spans="1:13" s="4" customFormat="1" x14ac:dyDescent="0.25">
      <c r="A5064" s="72"/>
      <c r="B5064" s="72"/>
      <c r="D5064" s="13">
        <v>221</v>
      </c>
      <c r="E5064" s="136" t="str">
        <f>INDEX([1]道具配置表!$D:$D,MATCH(D5064,[1]道具配置表!$A:$A,0))</f>
        <v>1千木材</v>
      </c>
      <c r="F5064" s="72">
        <v>6</v>
      </c>
      <c r="K5064" s="13">
        <v>1</v>
      </c>
      <c r="L5064" s="13"/>
      <c r="M5064" s="72" t="b">
        <v>1</v>
      </c>
    </row>
    <row r="5065" spans="1:13" s="4" customFormat="1" x14ac:dyDescent="0.25">
      <c r="A5065" s="72"/>
      <c r="B5065" s="72"/>
      <c r="D5065" s="13">
        <v>222</v>
      </c>
      <c r="E5065" s="136" t="str">
        <f>INDEX([1]道具配置表!$D:$D,MATCH(D5065,[1]道具配置表!$A:$A,0))</f>
        <v>1千食物</v>
      </c>
      <c r="F5065" s="72">
        <v>6</v>
      </c>
      <c r="K5065" s="13">
        <v>1</v>
      </c>
      <c r="L5065" s="13"/>
      <c r="M5065" s="72" t="b">
        <v>1</v>
      </c>
    </row>
    <row r="5066" spans="1:13" s="4" customFormat="1" x14ac:dyDescent="0.25">
      <c r="A5066" s="72"/>
      <c r="B5066" s="72"/>
      <c r="D5066" s="13">
        <v>223</v>
      </c>
      <c r="E5066" s="136" t="str">
        <f>INDEX([1]道具配置表!$D:$D,MATCH(D5066,[1]道具配置表!$A:$A,0))</f>
        <v>1千石头</v>
      </c>
      <c r="F5066" s="72">
        <v>6</v>
      </c>
      <c r="K5066" s="13">
        <v>1</v>
      </c>
      <c r="L5066" s="13"/>
      <c r="M5066" s="72" t="b">
        <v>1</v>
      </c>
    </row>
    <row r="5067" spans="1:13" s="4" customFormat="1" x14ac:dyDescent="0.25">
      <c r="A5067" s="72"/>
      <c r="B5067" s="72"/>
      <c r="D5067" s="13">
        <v>224</v>
      </c>
      <c r="E5067" s="136" t="str">
        <f>INDEX([1]道具配置表!$D:$D,MATCH(D5067,[1]道具配置表!$A:$A,0))</f>
        <v>1千黄金</v>
      </c>
      <c r="F5067" s="72">
        <v>6</v>
      </c>
      <c r="K5067" s="13">
        <v>1</v>
      </c>
      <c r="L5067" s="13"/>
      <c r="M5067" s="72" t="b">
        <v>1</v>
      </c>
    </row>
    <row r="5068" spans="1:13" s="4" customFormat="1" x14ac:dyDescent="0.25">
      <c r="A5068" s="72">
        <v>6643103</v>
      </c>
      <c r="B5068" s="72" t="s">
        <v>1048</v>
      </c>
      <c r="D5068" s="13">
        <v>20000</v>
      </c>
      <c r="E5068" s="136" t="str">
        <f>INDEX([1]道具配置表!$D:$D,MATCH(D5068,[1]道具配置表!$A:$A,0))</f>
        <v>技能点1</v>
      </c>
      <c r="F5068" s="72">
        <v>700</v>
      </c>
      <c r="K5068" s="13">
        <v>1</v>
      </c>
      <c r="L5068" s="13"/>
      <c r="M5068" s="72" t="b">
        <v>1</v>
      </c>
    </row>
    <row r="5069" spans="1:13" s="4" customFormat="1" x14ac:dyDescent="0.25">
      <c r="A5069" s="72"/>
      <c r="B5069" s="72"/>
      <c r="D5069" s="13">
        <v>221</v>
      </c>
      <c r="E5069" s="136" t="str">
        <f>INDEX([1]道具配置表!$D:$D,MATCH(D5069,[1]道具配置表!$A:$A,0))</f>
        <v>1千木材</v>
      </c>
      <c r="F5069" s="72">
        <v>9</v>
      </c>
      <c r="K5069" s="13">
        <v>1</v>
      </c>
      <c r="L5069" s="13"/>
      <c r="M5069" s="72" t="b">
        <v>1</v>
      </c>
    </row>
    <row r="5070" spans="1:13" s="4" customFormat="1" x14ac:dyDescent="0.25">
      <c r="A5070" s="72"/>
      <c r="B5070" s="72"/>
      <c r="D5070" s="13">
        <v>222</v>
      </c>
      <c r="E5070" s="136" t="str">
        <f>INDEX([1]道具配置表!$D:$D,MATCH(D5070,[1]道具配置表!$A:$A,0))</f>
        <v>1千食物</v>
      </c>
      <c r="F5070" s="72">
        <v>9</v>
      </c>
      <c r="K5070" s="13">
        <v>1</v>
      </c>
      <c r="L5070" s="13"/>
      <c r="M5070" s="72" t="b">
        <v>1</v>
      </c>
    </row>
    <row r="5071" spans="1:13" s="4" customFormat="1" x14ac:dyDescent="0.25">
      <c r="A5071" s="72"/>
      <c r="B5071" s="72"/>
      <c r="D5071" s="13">
        <v>223</v>
      </c>
      <c r="E5071" s="136" t="str">
        <f>INDEX([1]道具配置表!$D:$D,MATCH(D5071,[1]道具配置表!$A:$A,0))</f>
        <v>1千石头</v>
      </c>
      <c r="F5071" s="72">
        <v>9</v>
      </c>
      <c r="K5071" s="13">
        <v>1</v>
      </c>
      <c r="L5071" s="13"/>
      <c r="M5071" s="72" t="b">
        <v>1</v>
      </c>
    </row>
    <row r="5072" spans="1:13" s="4" customFormat="1" x14ac:dyDescent="0.25">
      <c r="A5072" s="72"/>
      <c r="B5072" s="72"/>
      <c r="D5072" s="13">
        <v>224</v>
      </c>
      <c r="E5072" s="136" t="str">
        <f>INDEX([1]道具配置表!$D:$D,MATCH(D5072,[1]道具配置表!$A:$A,0))</f>
        <v>1千黄金</v>
      </c>
      <c r="F5072" s="72">
        <v>9</v>
      </c>
      <c r="K5072" s="13">
        <v>1</v>
      </c>
      <c r="L5072" s="13"/>
      <c r="M5072" s="72" t="b">
        <v>1</v>
      </c>
    </row>
    <row r="5073" spans="1:13" s="4" customFormat="1" x14ac:dyDescent="0.25">
      <c r="A5073" s="72">
        <v>6643104</v>
      </c>
      <c r="B5073" s="72" t="s">
        <v>1049</v>
      </c>
      <c r="D5073" s="13">
        <v>20000</v>
      </c>
      <c r="E5073" s="136" t="str">
        <f>INDEX([1]道具配置表!$D:$D,MATCH(D5073,[1]道具配置表!$A:$A,0))</f>
        <v>技能点1</v>
      </c>
      <c r="F5073" s="72">
        <v>800</v>
      </c>
      <c r="K5073" s="13">
        <v>1</v>
      </c>
      <c r="L5073" s="13"/>
      <c r="M5073" s="72" t="b">
        <v>1</v>
      </c>
    </row>
    <row r="5074" spans="1:13" s="4" customFormat="1" x14ac:dyDescent="0.25">
      <c r="A5074" s="72"/>
      <c r="B5074" s="72"/>
      <c r="D5074" s="13">
        <v>221</v>
      </c>
      <c r="E5074" s="136" t="str">
        <f>INDEX([1]道具配置表!$D:$D,MATCH(D5074,[1]道具配置表!$A:$A,0))</f>
        <v>1千木材</v>
      </c>
      <c r="F5074" s="72">
        <v>15</v>
      </c>
      <c r="K5074" s="13">
        <v>1</v>
      </c>
      <c r="L5074" s="13"/>
      <c r="M5074" s="72" t="b">
        <v>1</v>
      </c>
    </row>
    <row r="5075" spans="1:13" s="4" customFormat="1" x14ac:dyDescent="0.25">
      <c r="A5075" s="72"/>
      <c r="B5075" s="72"/>
      <c r="D5075" s="13">
        <v>222</v>
      </c>
      <c r="E5075" s="136" t="str">
        <f>INDEX([1]道具配置表!$D:$D,MATCH(D5075,[1]道具配置表!$A:$A,0))</f>
        <v>1千食物</v>
      </c>
      <c r="F5075" s="72">
        <v>15</v>
      </c>
      <c r="K5075" s="13">
        <v>1</v>
      </c>
      <c r="L5075" s="13"/>
      <c r="M5075" s="72" t="b">
        <v>1</v>
      </c>
    </row>
    <row r="5076" spans="1:13" s="4" customFormat="1" x14ac:dyDescent="0.25">
      <c r="A5076" s="72"/>
      <c r="B5076" s="72"/>
      <c r="D5076" s="13">
        <v>223</v>
      </c>
      <c r="E5076" s="136" t="str">
        <f>INDEX([1]道具配置表!$D:$D,MATCH(D5076,[1]道具配置表!$A:$A,0))</f>
        <v>1千石头</v>
      </c>
      <c r="F5076" s="72">
        <v>15</v>
      </c>
      <c r="K5076" s="13">
        <v>1</v>
      </c>
      <c r="L5076" s="13"/>
      <c r="M5076" s="72" t="b">
        <v>1</v>
      </c>
    </row>
    <row r="5077" spans="1:13" s="4" customFormat="1" x14ac:dyDescent="0.25">
      <c r="A5077" s="72"/>
      <c r="B5077" s="72"/>
      <c r="D5077" s="13">
        <v>224</v>
      </c>
      <c r="E5077" s="136" t="str">
        <f>INDEX([1]道具配置表!$D:$D,MATCH(D5077,[1]道具配置表!$A:$A,0))</f>
        <v>1千黄金</v>
      </c>
      <c r="F5077" s="72">
        <v>15</v>
      </c>
      <c r="K5077" s="13">
        <v>1</v>
      </c>
      <c r="L5077" s="13"/>
      <c r="M5077" s="72" t="b">
        <v>1</v>
      </c>
    </row>
    <row r="5078" spans="1:13" s="4" customFormat="1" x14ac:dyDescent="0.25">
      <c r="A5078" s="72">
        <v>6643105</v>
      </c>
      <c r="B5078" s="72" t="s">
        <v>1050</v>
      </c>
      <c r="D5078" s="13">
        <v>20000</v>
      </c>
      <c r="E5078" s="136" t="str">
        <f>INDEX([1]道具配置表!$D:$D,MATCH(D5078,[1]道具配置表!$A:$A,0))</f>
        <v>技能点1</v>
      </c>
      <c r="F5078" s="72">
        <v>1000</v>
      </c>
      <c r="K5078" s="13">
        <v>1</v>
      </c>
      <c r="L5078" s="13"/>
      <c r="M5078" s="72" t="b">
        <v>1</v>
      </c>
    </row>
    <row r="5079" spans="1:13" s="4" customFormat="1" x14ac:dyDescent="0.25">
      <c r="A5079" s="72"/>
      <c r="B5079" s="72"/>
      <c r="D5079" s="13">
        <v>221</v>
      </c>
      <c r="E5079" s="136" t="str">
        <f>INDEX([1]道具配置表!$D:$D,MATCH(D5079,[1]道具配置表!$A:$A,0))</f>
        <v>1千木材</v>
      </c>
      <c r="F5079" s="72">
        <v>25</v>
      </c>
      <c r="K5079" s="13">
        <v>1</v>
      </c>
      <c r="L5079" s="13"/>
      <c r="M5079" s="72" t="b">
        <v>1</v>
      </c>
    </row>
    <row r="5080" spans="1:13" s="4" customFormat="1" x14ac:dyDescent="0.25">
      <c r="A5080" s="72"/>
      <c r="B5080" s="72"/>
      <c r="D5080" s="13">
        <v>222</v>
      </c>
      <c r="E5080" s="136" t="str">
        <f>INDEX([1]道具配置表!$D:$D,MATCH(D5080,[1]道具配置表!$A:$A,0))</f>
        <v>1千食物</v>
      </c>
      <c r="F5080" s="72">
        <v>25</v>
      </c>
      <c r="K5080" s="13">
        <v>1</v>
      </c>
      <c r="L5080" s="13"/>
      <c r="M5080" s="72" t="b">
        <v>1</v>
      </c>
    </row>
    <row r="5081" spans="1:13" s="4" customFormat="1" x14ac:dyDescent="0.25">
      <c r="A5081" s="72"/>
      <c r="B5081" s="72"/>
      <c r="D5081" s="13">
        <v>223</v>
      </c>
      <c r="E5081" s="136" t="str">
        <f>INDEX([1]道具配置表!$D:$D,MATCH(D5081,[1]道具配置表!$A:$A,0))</f>
        <v>1千石头</v>
      </c>
      <c r="F5081" s="72">
        <v>25</v>
      </c>
      <c r="K5081" s="13">
        <v>1</v>
      </c>
      <c r="L5081" s="13"/>
      <c r="M5081" s="72" t="b">
        <v>1</v>
      </c>
    </row>
    <row r="5082" spans="1:13" s="4" customFormat="1" x14ac:dyDescent="0.25">
      <c r="A5082" s="72"/>
      <c r="B5082" s="72"/>
      <c r="D5082" s="13">
        <v>224</v>
      </c>
      <c r="E5082" s="136" t="str">
        <f>INDEX([1]道具配置表!$D:$D,MATCH(D5082,[1]道具配置表!$A:$A,0))</f>
        <v>1千黄金</v>
      </c>
      <c r="F5082" s="72">
        <v>25</v>
      </c>
      <c r="K5082" s="13">
        <v>1</v>
      </c>
      <c r="L5082" s="13"/>
      <c r="M5082" s="72" t="b">
        <v>1</v>
      </c>
    </row>
    <row r="5083" spans="1:13" s="4" customFormat="1" x14ac:dyDescent="0.25">
      <c r="A5083" s="72">
        <v>6643106</v>
      </c>
      <c r="B5083" s="72" t="s">
        <v>1051</v>
      </c>
      <c r="D5083" s="13">
        <v>20000</v>
      </c>
      <c r="E5083" s="136" t="str">
        <f>INDEX([1]道具配置表!$D:$D,MATCH(D5083,[1]道具配置表!$A:$A,0))</f>
        <v>技能点1</v>
      </c>
      <c r="F5083" s="72">
        <v>1200</v>
      </c>
      <c r="K5083" s="13">
        <v>1</v>
      </c>
      <c r="L5083" s="13"/>
      <c r="M5083" s="72" t="b">
        <v>1</v>
      </c>
    </row>
    <row r="5084" spans="1:13" s="4" customFormat="1" x14ac:dyDescent="0.25">
      <c r="A5084" s="72"/>
      <c r="B5084" s="72"/>
      <c r="D5084" s="13">
        <v>221</v>
      </c>
      <c r="E5084" s="136" t="str">
        <f>INDEX([1]道具配置表!$D:$D,MATCH(D5084,[1]道具配置表!$A:$A,0))</f>
        <v>1千木材</v>
      </c>
      <c r="F5084" s="72">
        <v>40</v>
      </c>
      <c r="K5084" s="13">
        <v>1</v>
      </c>
      <c r="L5084" s="13"/>
      <c r="M5084" s="72" t="b">
        <v>1</v>
      </c>
    </row>
    <row r="5085" spans="1:13" s="4" customFormat="1" x14ac:dyDescent="0.25">
      <c r="A5085" s="72"/>
      <c r="B5085" s="72"/>
      <c r="D5085" s="13">
        <v>222</v>
      </c>
      <c r="E5085" s="136" t="str">
        <f>INDEX([1]道具配置表!$D:$D,MATCH(D5085,[1]道具配置表!$A:$A,0))</f>
        <v>1千食物</v>
      </c>
      <c r="F5085" s="72">
        <v>40</v>
      </c>
      <c r="K5085" s="13">
        <v>1</v>
      </c>
      <c r="L5085" s="13"/>
      <c r="M5085" s="72" t="b">
        <v>1</v>
      </c>
    </row>
    <row r="5086" spans="1:13" s="4" customFormat="1" x14ac:dyDescent="0.25">
      <c r="A5086" s="72"/>
      <c r="B5086" s="72"/>
      <c r="D5086" s="13">
        <v>223</v>
      </c>
      <c r="E5086" s="136" t="str">
        <f>INDEX([1]道具配置表!$D:$D,MATCH(D5086,[1]道具配置表!$A:$A,0))</f>
        <v>1千石头</v>
      </c>
      <c r="F5086" s="72">
        <v>40</v>
      </c>
      <c r="K5086" s="13">
        <v>1</v>
      </c>
      <c r="L5086" s="13"/>
      <c r="M5086" s="72" t="b">
        <v>1</v>
      </c>
    </row>
    <row r="5087" spans="1:13" s="4" customFormat="1" x14ac:dyDescent="0.25">
      <c r="A5087" s="72"/>
      <c r="B5087" s="72"/>
      <c r="D5087" s="13">
        <v>224</v>
      </c>
      <c r="E5087" s="136" t="str">
        <f>INDEX([1]道具配置表!$D:$D,MATCH(D5087,[1]道具配置表!$A:$A,0))</f>
        <v>1千黄金</v>
      </c>
      <c r="F5087" s="72">
        <v>40</v>
      </c>
      <c r="K5087" s="13">
        <v>1</v>
      </c>
      <c r="L5087" s="13"/>
      <c r="M5087" s="72" t="b">
        <v>1</v>
      </c>
    </row>
    <row r="5088" spans="1:13" s="4" customFormat="1" x14ac:dyDescent="0.25">
      <c r="A5088" s="72">
        <v>6643201</v>
      </c>
      <c r="B5088" s="72" t="s">
        <v>614</v>
      </c>
      <c r="D5088" s="13">
        <v>20000</v>
      </c>
      <c r="E5088" s="136" t="str">
        <f>INDEX([1]道具配置表!$D:$D,MATCH(D5088,[1]道具配置表!$A:$A,0))</f>
        <v>技能点1</v>
      </c>
      <c r="F5088" s="72">
        <v>100</v>
      </c>
      <c r="K5088" s="13">
        <v>1</v>
      </c>
      <c r="L5088" s="13"/>
      <c r="M5088" s="72" t="b">
        <v>1</v>
      </c>
    </row>
    <row r="5089" spans="1:13" s="4" customFormat="1" x14ac:dyDescent="0.25">
      <c r="A5089" s="72"/>
      <c r="B5089" s="72"/>
      <c r="D5089" s="13">
        <v>231</v>
      </c>
      <c r="E5089" s="136" t="str">
        <f>INDEX([1]道具配置表!$D:$D,MATCH(D5089,[1]道具配置表!$A:$A,0))</f>
        <v>1万木材</v>
      </c>
      <c r="F5089" s="72">
        <v>1</v>
      </c>
      <c r="K5089" s="13">
        <v>1</v>
      </c>
      <c r="L5089" s="13"/>
      <c r="M5089" s="72" t="b">
        <v>1</v>
      </c>
    </row>
    <row r="5090" spans="1:13" s="4" customFormat="1" x14ac:dyDescent="0.25">
      <c r="A5090" s="72"/>
      <c r="B5090" s="72"/>
      <c r="D5090" s="13">
        <v>232</v>
      </c>
      <c r="E5090" s="136" t="str">
        <f>INDEX([1]道具配置表!$D:$D,MATCH(D5090,[1]道具配置表!$A:$A,0))</f>
        <v>1万食物</v>
      </c>
      <c r="F5090" s="72">
        <v>1</v>
      </c>
      <c r="K5090" s="13">
        <v>1</v>
      </c>
      <c r="L5090" s="13"/>
      <c r="M5090" s="72" t="b">
        <v>1</v>
      </c>
    </row>
    <row r="5091" spans="1:13" s="4" customFormat="1" x14ac:dyDescent="0.25">
      <c r="A5091" s="72"/>
      <c r="B5091" s="72"/>
      <c r="D5091" s="13">
        <v>233</v>
      </c>
      <c r="E5091" s="136" t="str">
        <f>INDEX([1]道具配置表!$D:$D,MATCH(D5091,[1]道具配置表!$A:$A,0))</f>
        <v>1万石头</v>
      </c>
      <c r="F5091" s="72">
        <v>1</v>
      </c>
      <c r="K5091" s="13">
        <v>1</v>
      </c>
      <c r="L5091" s="13"/>
      <c r="M5091" s="72" t="b">
        <v>1</v>
      </c>
    </row>
    <row r="5092" spans="1:13" s="4" customFormat="1" x14ac:dyDescent="0.25">
      <c r="A5092" s="72"/>
      <c r="B5092" s="72"/>
      <c r="D5092" s="13">
        <v>234</v>
      </c>
      <c r="E5092" s="136" t="str">
        <f>INDEX([1]道具配置表!$D:$D,MATCH(D5092,[1]道具配置表!$A:$A,0))</f>
        <v>1万黄金</v>
      </c>
      <c r="F5092" s="72">
        <v>1</v>
      </c>
      <c r="K5092" s="13">
        <v>1</v>
      </c>
      <c r="L5092" s="13"/>
      <c r="M5092" s="72" t="b">
        <v>1</v>
      </c>
    </row>
    <row r="5093" spans="1:13" s="4" customFormat="1" x14ac:dyDescent="0.25">
      <c r="A5093" s="72">
        <v>6643202</v>
      </c>
      <c r="B5093" s="72" t="s">
        <v>615</v>
      </c>
      <c r="D5093" s="13">
        <v>20000</v>
      </c>
      <c r="E5093" s="136" t="str">
        <f>INDEX([1]道具配置表!$D:$D,MATCH(D5093,[1]道具配置表!$A:$A,0))</f>
        <v>技能点1</v>
      </c>
      <c r="F5093" s="72">
        <v>150</v>
      </c>
      <c r="K5093" s="13">
        <v>1</v>
      </c>
      <c r="L5093" s="13"/>
      <c r="M5093" s="72" t="b">
        <v>1</v>
      </c>
    </row>
    <row r="5094" spans="1:13" s="4" customFormat="1" x14ac:dyDescent="0.25">
      <c r="A5094" s="72"/>
      <c r="B5094" s="72"/>
      <c r="D5094" s="13">
        <v>231</v>
      </c>
      <c r="E5094" s="136" t="str">
        <f>INDEX([1]道具配置表!$D:$D,MATCH(D5094,[1]道具配置表!$A:$A,0))</f>
        <v>1万木材</v>
      </c>
      <c r="F5094" s="72">
        <v>2</v>
      </c>
      <c r="K5094" s="13">
        <v>1</v>
      </c>
      <c r="L5094" s="13"/>
      <c r="M5094" s="72" t="b">
        <v>1</v>
      </c>
    </row>
    <row r="5095" spans="1:13" s="4" customFormat="1" x14ac:dyDescent="0.25">
      <c r="A5095" s="72"/>
      <c r="B5095" s="72"/>
      <c r="D5095" s="13">
        <v>232</v>
      </c>
      <c r="E5095" s="136" t="str">
        <f>INDEX([1]道具配置表!$D:$D,MATCH(D5095,[1]道具配置表!$A:$A,0))</f>
        <v>1万食物</v>
      </c>
      <c r="F5095" s="72">
        <v>2</v>
      </c>
      <c r="K5095" s="13">
        <v>1</v>
      </c>
      <c r="L5095" s="13"/>
      <c r="M5095" s="72" t="b">
        <v>1</v>
      </c>
    </row>
    <row r="5096" spans="1:13" s="4" customFormat="1" x14ac:dyDescent="0.25">
      <c r="A5096" s="72"/>
      <c r="B5096" s="72"/>
      <c r="D5096" s="13">
        <v>233</v>
      </c>
      <c r="E5096" s="136" t="str">
        <f>INDEX([1]道具配置表!$D:$D,MATCH(D5096,[1]道具配置表!$A:$A,0))</f>
        <v>1万石头</v>
      </c>
      <c r="F5096" s="72">
        <v>2</v>
      </c>
      <c r="K5096" s="13">
        <v>1</v>
      </c>
      <c r="L5096" s="13"/>
      <c r="M5096" s="72" t="b">
        <v>1</v>
      </c>
    </row>
    <row r="5097" spans="1:13" s="4" customFormat="1" x14ac:dyDescent="0.25">
      <c r="A5097" s="72"/>
      <c r="B5097" s="72"/>
      <c r="D5097" s="13">
        <v>234</v>
      </c>
      <c r="E5097" s="136" t="str">
        <f>INDEX([1]道具配置表!$D:$D,MATCH(D5097,[1]道具配置表!$A:$A,0))</f>
        <v>1万黄金</v>
      </c>
      <c r="F5097" s="72">
        <v>2</v>
      </c>
      <c r="K5097" s="13">
        <v>1</v>
      </c>
      <c r="L5097" s="13"/>
      <c r="M5097" s="72" t="b">
        <v>1</v>
      </c>
    </row>
    <row r="5098" spans="1:13" s="4" customFormat="1" x14ac:dyDescent="0.25">
      <c r="A5098" s="72">
        <v>6643203</v>
      </c>
      <c r="B5098" s="72" t="s">
        <v>616</v>
      </c>
      <c r="D5098" s="13">
        <v>20000</v>
      </c>
      <c r="E5098" s="136" t="str">
        <f>INDEX([1]道具配置表!$D:$D,MATCH(D5098,[1]道具配置表!$A:$A,0))</f>
        <v>技能点1</v>
      </c>
      <c r="F5098" s="72">
        <v>200</v>
      </c>
      <c r="K5098" s="13">
        <v>1</v>
      </c>
      <c r="L5098" s="13"/>
      <c r="M5098" s="72" t="b">
        <v>1</v>
      </c>
    </row>
    <row r="5099" spans="1:13" s="4" customFormat="1" x14ac:dyDescent="0.25">
      <c r="A5099" s="72"/>
      <c r="B5099" s="72"/>
      <c r="D5099" s="13">
        <v>231</v>
      </c>
      <c r="E5099" s="136" t="str">
        <f>INDEX([1]道具配置表!$D:$D,MATCH(D5099,[1]道具配置表!$A:$A,0))</f>
        <v>1万木材</v>
      </c>
      <c r="F5099" s="72">
        <v>3</v>
      </c>
      <c r="K5099" s="13">
        <v>1</v>
      </c>
      <c r="L5099" s="13"/>
      <c r="M5099" s="72" t="b">
        <v>1</v>
      </c>
    </row>
    <row r="5100" spans="1:13" s="4" customFormat="1" x14ac:dyDescent="0.25">
      <c r="A5100" s="72"/>
      <c r="B5100" s="72"/>
      <c r="D5100" s="13">
        <v>232</v>
      </c>
      <c r="E5100" s="136" t="str">
        <f>INDEX([1]道具配置表!$D:$D,MATCH(D5100,[1]道具配置表!$A:$A,0))</f>
        <v>1万食物</v>
      </c>
      <c r="F5100" s="72">
        <v>3</v>
      </c>
      <c r="K5100" s="13">
        <v>1</v>
      </c>
      <c r="L5100" s="13"/>
      <c r="M5100" s="72" t="b">
        <v>1</v>
      </c>
    </row>
    <row r="5101" spans="1:13" s="4" customFormat="1" x14ac:dyDescent="0.25">
      <c r="A5101" s="72"/>
      <c r="B5101" s="72"/>
      <c r="D5101" s="13">
        <v>233</v>
      </c>
      <c r="E5101" s="136" t="str">
        <f>INDEX([1]道具配置表!$D:$D,MATCH(D5101,[1]道具配置表!$A:$A,0))</f>
        <v>1万石头</v>
      </c>
      <c r="F5101" s="72">
        <v>3</v>
      </c>
      <c r="K5101" s="13">
        <v>1</v>
      </c>
      <c r="L5101" s="13"/>
      <c r="M5101" s="72" t="b">
        <v>1</v>
      </c>
    </row>
    <row r="5102" spans="1:13" s="4" customFormat="1" x14ac:dyDescent="0.25">
      <c r="A5102" s="72"/>
      <c r="B5102" s="72"/>
      <c r="D5102" s="13">
        <v>234</v>
      </c>
      <c r="E5102" s="136" t="str">
        <f>INDEX([1]道具配置表!$D:$D,MATCH(D5102,[1]道具配置表!$A:$A,0))</f>
        <v>1万黄金</v>
      </c>
      <c r="F5102" s="72">
        <v>3</v>
      </c>
      <c r="K5102" s="13">
        <v>1</v>
      </c>
      <c r="L5102" s="13"/>
      <c r="M5102" s="72" t="b">
        <v>1</v>
      </c>
    </row>
    <row r="5103" spans="1:13" s="4" customFormat="1" x14ac:dyDescent="0.25">
      <c r="A5103" s="72">
        <v>6643204</v>
      </c>
      <c r="B5103" s="72" t="s">
        <v>617</v>
      </c>
      <c r="D5103" s="13">
        <v>20000</v>
      </c>
      <c r="E5103" s="136" t="str">
        <f>INDEX([1]道具配置表!$D:$D,MATCH(D5103,[1]道具配置表!$A:$A,0))</f>
        <v>技能点1</v>
      </c>
      <c r="F5103" s="72">
        <v>250</v>
      </c>
      <c r="K5103" s="13">
        <v>1</v>
      </c>
      <c r="L5103" s="13"/>
      <c r="M5103" s="72" t="b">
        <v>1</v>
      </c>
    </row>
    <row r="5104" spans="1:13" s="4" customFormat="1" x14ac:dyDescent="0.25">
      <c r="A5104" s="72"/>
      <c r="B5104" s="72"/>
      <c r="D5104" s="13">
        <v>231</v>
      </c>
      <c r="E5104" s="136" t="str">
        <f>INDEX([1]道具配置表!$D:$D,MATCH(D5104,[1]道具配置表!$A:$A,0))</f>
        <v>1万木材</v>
      </c>
      <c r="F5104" s="72">
        <v>4</v>
      </c>
      <c r="K5104" s="13">
        <v>1</v>
      </c>
      <c r="L5104" s="13"/>
      <c r="M5104" s="72" t="b">
        <v>1</v>
      </c>
    </row>
    <row r="5105" spans="1:13" s="4" customFormat="1" x14ac:dyDescent="0.25">
      <c r="A5105" s="72"/>
      <c r="B5105" s="72"/>
      <c r="D5105" s="13">
        <v>232</v>
      </c>
      <c r="E5105" s="136" t="str">
        <f>INDEX([1]道具配置表!$D:$D,MATCH(D5105,[1]道具配置表!$A:$A,0))</f>
        <v>1万食物</v>
      </c>
      <c r="F5105" s="72">
        <v>4</v>
      </c>
      <c r="K5105" s="13">
        <v>1</v>
      </c>
      <c r="L5105" s="13"/>
      <c r="M5105" s="72" t="b">
        <v>1</v>
      </c>
    </row>
    <row r="5106" spans="1:13" s="4" customFormat="1" x14ac:dyDescent="0.25">
      <c r="A5106" s="72"/>
      <c r="B5106" s="72"/>
      <c r="D5106" s="13">
        <v>233</v>
      </c>
      <c r="E5106" s="136" t="str">
        <f>INDEX([1]道具配置表!$D:$D,MATCH(D5106,[1]道具配置表!$A:$A,0))</f>
        <v>1万石头</v>
      </c>
      <c r="F5106" s="72">
        <v>4</v>
      </c>
      <c r="K5106" s="13">
        <v>1</v>
      </c>
      <c r="L5106" s="13"/>
      <c r="M5106" s="72" t="b">
        <v>1</v>
      </c>
    </row>
    <row r="5107" spans="1:13" s="4" customFormat="1" x14ac:dyDescent="0.25">
      <c r="A5107" s="72"/>
      <c r="B5107" s="72"/>
      <c r="D5107" s="13">
        <v>234</v>
      </c>
      <c r="E5107" s="136" t="str">
        <f>INDEX([1]道具配置表!$D:$D,MATCH(D5107,[1]道具配置表!$A:$A,0))</f>
        <v>1万黄金</v>
      </c>
      <c r="F5107" s="72">
        <v>4</v>
      </c>
      <c r="K5107" s="13">
        <v>1</v>
      </c>
      <c r="L5107" s="13"/>
      <c r="M5107" s="72" t="b">
        <v>1</v>
      </c>
    </row>
    <row r="5108" spans="1:13" s="4" customFormat="1" x14ac:dyDescent="0.25">
      <c r="A5108" s="72">
        <v>6643205</v>
      </c>
      <c r="B5108" s="72" t="s">
        <v>618</v>
      </c>
      <c r="D5108" s="13">
        <v>20000</v>
      </c>
      <c r="E5108" s="136" t="str">
        <f>INDEX([1]道具配置表!$D:$D,MATCH(D5108,[1]道具配置表!$A:$A,0))</f>
        <v>技能点1</v>
      </c>
      <c r="F5108" s="72">
        <v>300</v>
      </c>
      <c r="K5108" s="13">
        <v>1</v>
      </c>
      <c r="L5108" s="13"/>
      <c r="M5108" s="72" t="b">
        <v>1</v>
      </c>
    </row>
    <row r="5109" spans="1:13" s="4" customFormat="1" x14ac:dyDescent="0.25">
      <c r="A5109" s="72"/>
      <c r="B5109" s="72"/>
      <c r="D5109" s="13">
        <v>231</v>
      </c>
      <c r="E5109" s="136" t="str">
        <f>INDEX([1]道具配置表!$D:$D,MATCH(D5109,[1]道具配置表!$A:$A,0))</f>
        <v>1万木材</v>
      </c>
      <c r="F5109" s="72">
        <v>5</v>
      </c>
      <c r="K5109" s="13">
        <v>1</v>
      </c>
      <c r="L5109" s="13"/>
      <c r="M5109" s="72" t="b">
        <v>1</v>
      </c>
    </row>
    <row r="5110" spans="1:13" s="4" customFormat="1" x14ac:dyDescent="0.25">
      <c r="A5110" s="72"/>
      <c r="B5110" s="72"/>
      <c r="D5110" s="13">
        <v>232</v>
      </c>
      <c r="E5110" s="136" t="str">
        <f>INDEX([1]道具配置表!$D:$D,MATCH(D5110,[1]道具配置表!$A:$A,0))</f>
        <v>1万食物</v>
      </c>
      <c r="F5110" s="72">
        <v>5</v>
      </c>
      <c r="K5110" s="13">
        <v>1</v>
      </c>
      <c r="L5110" s="13"/>
      <c r="M5110" s="72" t="b">
        <v>1</v>
      </c>
    </row>
    <row r="5111" spans="1:13" s="4" customFormat="1" x14ac:dyDescent="0.25">
      <c r="A5111" s="72"/>
      <c r="B5111" s="72"/>
      <c r="D5111" s="13">
        <v>233</v>
      </c>
      <c r="E5111" s="136" t="str">
        <f>INDEX([1]道具配置表!$D:$D,MATCH(D5111,[1]道具配置表!$A:$A,0))</f>
        <v>1万石头</v>
      </c>
      <c r="F5111" s="72">
        <v>5</v>
      </c>
      <c r="K5111" s="13">
        <v>1</v>
      </c>
      <c r="L5111" s="13"/>
      <c r="M5111" s="72" t="b">
        <v>1</v>
      </c>
    </row>
    <row r="5112" spans="1:13" s="4" customFormat="1" x14ac:dyDescent="0.25">
      <c r="A5112" s="72"/>
      <c r="B5112" s="72"/>
      <c r="D5112" s="13">
        <v>234</v>
      </c>
      <c r="E5112" s="136" t="str">
        <f>INDEX([1]道具配置表!$D:$D,MATCH(D5112,[1]道具配置表!$A:$A,0))</f>
        <v>1万黄金</v>
      </c>
      <c r="F5112" s="72">
        <v>5</v>
      </c>
      <c r="K5112" s="13">
        <v>1</v>
      </c>
      <c r="L5112" s="13"/>
      <c r="M5112" s="72" t="b">
        <v>1</v>
      </c>
    </row>
    <row r="5113" spans="1:13" s="4" customFormat="1" x14ac:dyDescent="0.25">
      <c r="A5113" s="72">
        <v>6643206</v>
      </c>
      <c r="B5113" s="72" t="s">
        <v>623</v>
      </c>
      <c r="D5113" s="13">
        <v>20000</v>
      </c>
      <c r="E5113" s="136" t="str">
        <f>INDEX([1]道具配置表!$D:$D,MATCH(D5113,[1]道具配置表!$A:$A,0))</f>
        <v>技能点1</v>
      </c>
      <c r="F5113" s="72">
        <v>150</v>
      </c>
      <c r="K5113" s="13">
        <v>1</v>
      </c>
      <c r="L5113" s="13"/>
      <c r="M5113" s="72" t="b">
        <v>1</v>
      </c>
    </row>
    <row r="5114" spans="1:13" s="4" customFormat="1" x14ac:dyDescent="0.25">
      <c r="A5114" s="72"/>
      <c r="B5114" s="72"/>
      <c r="D5114" s="13">
        <v>231</v>
      </c>
      <c r="E5114" s="136" t="str">
        <f>INDEX([1]道具配置表!$D:$D,MATCH(D5114,[1]道具配置表!$A:$A,0))</f>
        <v>1万木材</v>
      </c>
      <c r="F5114" s="72">
        <v>2</v>
      </c>
      <c r="K5114" s="13">
        <v>1</v>
      </c>
      <c r="L5114" s="13"/>
      <c r="M5114" s="72" t="b">
        <v>1</v>
      </c>
    </row>
    <row r="5115" spans="1:13" s="4" customFormat="1" x14ac:dyDescent="0.25">
      <c r="A5115" s="72"/>
      <c r="B5115" s="72"/>
      <c r="D5115" s="13">
        <v>232</v>
      </c>
      <c r="E5115" s="136" t="str">
        <f>INDEX([1]道具配置表!$D:$D,MATCH(D5115,[1]道具配置表!$A:$A,0))</f>
        <v>1万食物</v>
      </c>
      <c r="F5115" s="72">
        <v>2</v>
      </c>
      <c r="K5115" s="13">
        <v>1</v>
      </c>
      <c r="L5115" s="13"/>
      <c r="M5115" s="72" t="b">
        <v>1</v>
      </c>
    </row>
    <row r="5116" spans="1:13" s="4" customFormat="1" x14ac:dyDescent="0.25">
      <c r="A5116" s="72"/>
      <c r="B5116" s="72"/>
      <c r="D5116" s="13">
        <v>233</v>
      </c>
      <c r="E5116" s="136" t="str">
        <f>INDEX([1]道具配置表!$D:$D,MATCH(D5116,[1]道具配置表!$A:$A,0))</f>
        <v>1万石头</v>
      </c>
      <c r="F5116" s="72">
        <v>2</v>
      </c>
      <c r="K5116" s="13">
        <v>1</v>
      </c>
      <c r="L5116" s="13"/>
      <c r="M5116" s="72" t="b">
        <v>1</v>
      </c>
    </row>
    <row r="5117" spans="1:13" s="4" customFormat="1" x14ac:dyDescent="0.25">
      <c r="A5117" s="72"/>
      <c r="B5117" s="72"/>
      <c r="D5117" s="13">
        <v>234</v>
      </c>
      <c r="E5117" s="136" t="str">
        <f>INDEX([1]道具配置表!$D:$D,MATCH(D5117,[1]道具配置表!$A:$A,0))</f>
        <v>1万黄金</v>
      </c>
      <c r="F5117" s="72">
        <v>2</v>
      </c>
      <c r="K5117" s="13">
        <v>1</v>
      </c>
      <c r="L5117" s="13"/>
      <c r="M5117" s="72" t="b">
        <v>1</v>
      </c>
    </row>
    <row r="5118" spans="1:13" s="4" customFormat="1" x14ac:dyDescent="0.25">
      <c r="A5118" s="72">
        <v>6643207</v>
      </c>
      <c r="B5118" s="72" t="s">
        <v>619</v>
      </c>
      <c r="D5118" s="13">
        <v>20000</v>
      </c>
      <c r="E5118" s="136" t="str">
        <f>INDEX([1]道具配置表!$D:$D,MATCH(D5118,[1]道具配置表!$A:$A,0))</f>
        <v>技能点1</v>
      </c>
      <c r="F5118" s="72">
        <v>200</v>
      </c>
      <c r="K5118" s="13">
        <v>1</v>
      </c>
      <c r="L5118" s="13"/>
      <c r="M5118" s="72" t="b">
        <v>1</v>
      </c>
    </row>
    <row r="5119" spans="1:13" s="4" customFormat="1" x14ac:dyDescent="0.25">
      <c r="A5119" s="72"/>
      <c r="B5119" s="72"/>
      <c r="D5119" s="13">
        <v>231</v>
      </c>
      <c r="E5119" s="136" t="str">
        <f>INDEX([1]道具配置表!$D:$D,MATCH(D5119,[1]道具配置表!$A:$A,0))</f>
        <v>1万木材</v>
      </c>
      <c r="F5119" s="72">
        <v>3</v>
      </c>
      <c r="K5119" s="13">
        <v>1</v>
      </c>
      <c r="L5119" s="13"/>
      <c r="M5119" s="72" t="b">
        <v>1</v>
      </c>
    </row>
    <row r="5120" spans="1:13" s="4" customFormat="1" x14ac:dyDescent="0.25">
      <c r="A5120" s="72"/>
      <c r="B5120" s="72"/>
      <c r="D5120" s="13">
        <v>232</v>
      </c>
      <c r="E5120" s="136" t="str">
        <f>INDEX([1]道具配置表!$D:$D,MATCH(D5120,[1]道具配置表!$A:$A,0))</f>
        <v>1万食物</v>
      </c>
      <c r="F5120" s="72">
        <v>3</v>
      </c>
      <c r="K5120" s="13">
        <v>1</v>
      </c>
      <c r="L5120" s="13"/>
      <c r="M5120" s="72" t="b">
        <v>1</v>
      </c>
    </row>
    <row r="5121" spans="1:13" s="4" customFormat="1" x14ac:dyDescent="0.25">
      <c r="A5121" s="72"/>
      <c r="B5121" s="72"/>
      <c r="D5121" s="13">
        <v>233</v>
      </c>
      <c r="E5121" s="136" t="str">
        <f>INDEX([1]道具配置表!$D:$D,MATCH(D5121,[1]道具配置表!$A:$A,0))</f>
        <v>1万石头</v>
      </c>
      <c r="F5121" s="72">
        <v>3</v>
      </c>
      <c r="K5121" s="13">
        <v>1</v>
      </c>
      <c r="L5121" s="13"/>
      <c r="M5121" s="72" t="b">
        <v>1</v>
      </c>
    </row>
    <row r="5122" spans="1:13" s="4" customFormat="1" x14ac:dyDescent="0.25">
      <c r="A5122" s="72"/>
      <c r="B5122" s="72"/>
      <c r="D5122" s="13">
        <v>234</v>
      </c>
      <c r="E5122" s="136" t="str">
        <f>INDEX([1]道具配置表!$D:$D,MATCH(D5122,[1]道具配置表!$A:$A,0))</f>
        <v>1万黄金</v>
      </c>
      <c r="F5122" s="72">
        <v>3</v>
      </c>
      <c r="K5122" s="13">
        <v>1</v>
      </c>
      <c r="L5122" s="13"/>
      <c r="M5122" s="72" t="b">
        <v>1</v>
      </c>
    </row>
    <row r="5123" spans="1:13" s="4" customFormat="1" x14ac:dyDescent="0.25">
      <c r="A5123" s="72">
        <v>6643208</v>
      </c>
      <c r="B5123" s="72" t="s">
        <v>620</v>
      </c>
      <c r="D5123" s="13">
        <v>20000</v>
      </c>
      <c r="E5123" s="136" t="str">
        <f>INDEX([1]道具配置表!$D:$D,MATCH(D5123,[1]道具配置表!$A:$A,0))</f>
        <v>技能点1</v>
      </c>
      <c r="F5123" s="72">
        <v>250</v>
      </c>
      <c r="K5123" s="13">
        <v>1</v>
      </c>
      <c r="L5123" s="13"/>
      <c r="M5123" s="72" t="b">
        <v>1</v>
      </c>
    </row>
    <row r="5124" spans="1:13" s="4" customFormat="1" x14ac:dyDescent="0.25">
      <c r="A5124" s="72"/>
      <c r="B5124" s="72"/>
      <c r="D5124" s="13">
        <v>231</v>
      </c>
      <c r="E5124" s="136" t="str">
        <f>INDEX([1]道具配置表!$D:$D,MATCH(D5124,[1]道具配置表!$A:$A,0))</f>
        <v>1万木材</v>
      </c>
      <c r="F5124" s="72">
        <v>4</v>
      </c>
      <c r="K5124" s="13">
        <v>1</v>
      </c>
      <c r="L5124" s="13"/>
      <c r="M5124" s="72" t="b">
        <v>1</v>
      </c>
    </row>
    <row r="5125" spans="1:13" s="4" customFormat="1" x14ac:dyDescent="0.25">
      <c r="A5125" s="72"/>
      <c r="B5125" s="72"/>
      <c r="D5125" s="13">
        <v>232</v>
      </c>
      <c r="E5125" s="136" t="str">
        <f>INDEX([1]道具配置表!$D:$D,MATCH(D5125,[1]道具配置表!$A:$A,0))</f>
        <v>1万食物</v>
      </c>
      <c r="F5125" s="72">
        <v>4</v>
      </c>
      <c r="K5125" s="13">
        <v>1</v>
      </c>
      <c r="L5125" s="13"/>
      <c r="M5125" s="72" t="b">
        <v>1</v>
      </c>
    </row>
    <row r="5126" spans="1:13" s="4" customFormat="1" x14ac:dyDescent="0.25">
      <c r="A5126" s="72"/>
      <c r="B5126" s="72"/>
      <c r="D5126" s="13">
        <v>233</v>
      </c>
      <c r="E5126" s="136" t="str">
        <f>INDEX([1]道具配置表!$D:$D,MATCH(D5126,[1]道具配置表!$A:$A,0))</f>
        <v>1万石头</v>
      </c>
      <c r="F5126" s="72">
        <v>4</v>
      </c>
      <c r="K5126" s="13">
        <v>1</v>
      </c>
      <c r="L5126" s="13"/>
      <c r="M5126" s="72" t="b">
        <v>1</v>
      </c>
    </row>
    <row r="5127" spans="1:13" s="4" customFormat="1" x14ac:dyDescent="0.25">
      <c r="A5127" s="72"/>
      <c r="B5127" s="72"/>
      <c r="D5127" s="13">
        <v>234</v>
      </c>
      <c r="E5127" s="136" t="str">
        <f>INDEX([1]道具配置表!$D:$D,MATCH(D5127,[1]道具配置表!$A:$A,0))</f>
        <v>1万黄金</v>
      </c>
      <c r="F5127" s="72">
        <v>4</v>
      </c>
      <c r="K5127" s="13">
        <v>1</v>
      </c>
      <c r="L5127" s="13"/>
      <c r="M5127" s="72" t="b">
        <v>1</v>
      </c>
    </row>
    <row r="5128" spans="1:13" s="4" customFormat="1" x14ac:dyDescent="0.25">
      <c r="A5128" s="72">
        <v>6643209</v>
      </c>
      <c r="B5128" s="72" t="s">
        <v>621</v>
      </c>
      <c r="D5128" s="13">
        <v>20000</v>
      </c>
      <c r="E5128" s="136" t="str">
        <f>INDEX([1]道具配置表!$D:$D,MATCH(D5128,[1]道具配置表!$A:$A,0))</f>
        <v>技能点1</v>
      </c>
      <c r="F5128" s="72">
        <v>300</v>
      </c>
      <c r="K5128" s="13">
        <v>1</v>
      </c>
      <c r="L5128" s="13"/>
      <c r="M5128" s="72" t="b">
        <v>1</v>
      </c>
    </row>
    <row r="5129" spans="1:13" s="4" customFormat="1" x14ac:dyDescent="0.25">
      <c r="A5129" s="72"/>
      <c r="B5129" s="72"/>
      <c r="D5129" s="13">
        <v>231</v>
      </c>
      <c r="E5129" s="136" t="str">
        <f>INDEX([1]道具配置表!$D:$D,MATCH(D5129,[1]道具配置表!$A:$A,0))</f>
        <v>1万木材</v>
      </c>
      <c r="F5129" s="72">
        <v>5</v>
      </c>
      <c r="K5129" s="13">
        <v>1</v>
      </c>
      <c r="L5129" s="13"/>
      <c r="M5129" s="72" t="b">
        <v>1</v>
      </c>
    </row>
    <row r="5130" spans="1:13" s="4" customFormat="1" x14ac:dyDescent="0.25">
      <c r="A5130" s="72"/>
      <c r="B5130" s="72"/>
      <c r="D5130" s="13">
        <v>232</v>
      </c>
      <c r="E5130" s="136" t="str">
        <f>INDEX([1]道具配置表!$D:$D,MATCH(D5130,[1]道具配置表!$A:$A,0))</f>
        <v>1万食物</v>
      </c>
      <c r="F5130" s="72">
        <v>5</v>
      </c>
      <c r="K5130" s="13">
        <v>1</v>
      </c>
      <c r="L5130" s="13"/>
      <c r="M5130" s="72" t="b">
        <v>1</v>
      </c>
    </row>
    <row r="5131" spans="1:13" s="4" customFormat="1" x14ac:dyDescent="0.25">
      <c r="A5131" s="72"/>
      <c r="B5131" s="72"/>
      <c r="D5131" s="13">
        <v>233</v>
      </c>
      <c r="E5131" s="136" t="str">
        <f>INDEX([1]道具配置表!$D:$D,MATCH(D5131,[1]道具配置表!$A:$A,0))</f>
        <v>1万石头</v>
      </c>
      <c r="F5131" s="72">
        <v>5</v>
      </c>
      <c r="K5131" s="13">
        <v>1</v>
      </c>
      <c r="L5131" s="13"/>
      <c r="M5131" s="72" t="b">
        <v>1</v>
      </c>
    </row>
    <row r="5132" spans="1:13" s="4" customFormat="1" x14ac:dyDescent="0.25">
      <c r="A5132" s="72"/>
      <c r="B5132" s="72"/>
      <c r="D5132" s="13">
        <v>234</v>
      </c>
      <c r="E5132" s="136" t="str">
        <f>INDEX([1]道具配置表!$D:$D,MATCH(D5132,[1]道具配置表!$A:$A,0))</f>
        <v>1万黄金</v>
      </c>
      <c r="F5132" s="72">
        <v>5</v>
      </c>
      <c r="K5132" s="13">
        <v>1</v>
      </c>
      <c r="L5132" s="13"/>
      <c r="M5132" s="72" t="b">
        <v>1</v>
      </c>
    </row>
    <row r="5133" spans="1:13" s="4" customFormat="1" x14ac:dyDescent="0.25">
      <c r="A5133" s="72">
        <v>6643210</v>
      </c>
      <c r="B5133" s="72" t="s">
        <v>622</v>
      </c>
      <c r="D5133" s="13">
        <v>20000</v>
      </c>
      <c r="E5133" s="136" t="str">
        <f>INDEX([1]道具配置表!$D:$D,MATCH(D5133,[1]道具配置表!$A:$A,0))</f>
        <v>技能点1</v>
      </c>
      <c r="F5133" s="72">
        <v>350</v>
      </c>
      <c r="K5133" s="13">
        <v>1</v>
      </c>
      <c r="L5133" s="13"/>
      <c r="M5133" s="72" t="b">
        <v>1</v>
      </c>
    </row>
    <row r="5134" spans="1:13" s="4" customFormat="1" x14ac:dyDescent="0.25">
      <c r="A5134" s="72"/>
      <c r="B5134" s="72"/>
      <c r="D5134" s="13">
        <v>231</v>
      </c>
      <c r="E5134" s="136" t="str">
        <f>INDEX([1]道具配置表!$D:$D,MATCH(D5134,[1]道具配置表!$A:$A,0))</f>
        <v>1万木材</v>
      </c>
      <c r="F5134" s="72">
        <v>6</v>
      </c>
      <c r="K5134" s="13">
        <v>1</v>
      </c>
      <c r="L5134" s="13"/>
      <c r="M5134" s="72" t="b">
        <v>1</v>
      </c>
    </row>
    <row r="5135" spans="1:13" s="4" customFormat="1" x14ac:dyDescent="0.25">
      <c r="A5135" s="72"/>
      <c r="B5135" s="72"/>
      <c r="D5135" s="13">
        <v>232</v>
      </c>
      <c r="E5135" s="136" t="str">
        <f>INDEX([1]道具配置表!$D:$D,MATCH(D5135,[1]道具配置表!$A:$A,0))</f>
        <v>1万食物</v>
      </c>
      <c r="F5135" s="72">
        <v>6</v>
      </c>
      <c r="K5135" s="13">
        <v>1</v>
      </c>
      <c r="L5135" s="13"/>
      <c r="M5135" s="72" t="b">
        <v>1</v>
      </c>
    </row>
    <row r="5136" spans="1:13" s="4" customFormat="1" x14ac:dyDescent="0.25">
      <c r="A5136" s="72"/>
      <c r="B5136" s="72"/>
      <c r="D5136" s="13">
        <v>233</v>
      </c>
      <c r="E5136" s="136" t="str">
        <f>INDEX([1]道具配置表!$D:$D,MATCH(D5136,[1]道具配置表!$A:$A,0))</f>
        <v>1万石头</v>
      </c>
      <c r="F5136" s="72">
        <v>6</v>
      </c>
      <c r="K5136" s="13">
        <v>1</v>
      </c>
      <c r="L5136" s="13"/>
      <c r="M5136" s="72" t="b">
        <v>1</v>
      </c>
    </row>
    <row r="5137" spans="1:13" s="4" customFormat="1" x14ac:dyDescent="0.25">
      <c r="A5137" s="72"/>
      <c r="B5137" s="72"/>
      <c r="D5137" s="13">
        <v>234</v>
      </c>
      <c r="E5137" s="136" t="str">
        <f>INDEX([1]道具配置表!$D:$D,MATCH(D5137,[1]道具配置表!$A:$A,0))</f>
        <v>1万黄金</v>
      </c>
      <c r="F5137" s="72">
        <v>6</v>
      </c>
      <c r="K5137" s="13">
        <v>1</v>
      </c>
      <c r="L5137" s="13"/>
      <c r="M5137" s="72" t="b">
        <v>1</v>
      </c>
    </row>
    <row r="5138" spans="1:13" s="4" customFormat="1" x14ac:dyDescent="0.25">
      <c r="A5138" s="72">
        <v>6643211</v>
      </c>
      <c r="B5138" s="72" t="s">
        <v>624</v>
      </c>
      <c r="D5138" s="13">
        <v>20000</v>
      </c>
      <c r="E5138" s="136" t="str">
        <f>INDEX([1]道具配置表!$D:$D,MATCH(D5138,[1]道具配置表!$A:$A,0))</f>
        <v>技能点1</v>
      </c>
      <c r="F5138" s="72">
        <v>200</v>
      </c>
      <c r="K5138" s="13">
        <v>1</v>
      </c>
      <c r="L5138" s="13"/>
      <c r="M5138" s="72" t="b">
        <v>1</v>
      </c>
    </row>
    <row r="5139" spans="1:13" s="4" customFormat="1" x14ac:dyDescent="0.25">
      <c r="A5139" s="72"/>
      <c r="B5139" s="72"/>
      <c r="D5139" s="13">
        <v>231</v>
      </c>
      <c r="E5139" s="136" t="str">
        <f>INDEX([1]道具配置表!$D:$D,MATCH(D5139,[1]道具配置表!$A:$A,0))</f>
        <v>1万木材</v>
      </c>
      <c r="F5139" s="72">
        <v>3</v>
      </c>
      <c r="K5139" s="13">
        <v>1</v>
      </c>
      <c r="L5139" s="13"/>
      <c r="M5139" s="72" t="b">
        <v>1</v>
      </c>
    </row>
    <row r="5140" spans="1:13" s="4" customFormat="1" x14ac:dyDescent="0.25">
      <c r="A5140" s="72"/>
      <c r="B5140" s="72"/>
      <c r="D5140" s="13">
        <v>232</v>
      </c>
      <c r="E5140" s="136" t="str">
        <f>INDEX([1]道具配置表!$D:$D,MATCH(D5140,[1]道具配置表!$A:$A,0))</f>
        <v>1万食物</v>
      </c>
      <c r="F5140" s="72">
        <v>3</v>
      </c>
      <c r="K5140" s="13">
        <v>1</v>
      </c>
      <c r="L5140" s="13"/>
      <c r="M5140" s="72" t="b">
        <v>1</v>
      </c>
    </row>
    <row r="5141" spans="1:13" s="4" customFormat="1" x14ac:dyDescent="0.25">
      <c r="A5141" s="72"/>
      <c r="B5141" s="72"/>
      <c r="D5141" s="13">
        <v>233</v>
      </c>
      <c r="E5141" s="136" t="str">
        <f>INDEX([1]道具配置表!$D:$D,MATCH(D5141,[1]道具配置表!$A:$A,0))</f>
        <v>1万石头</v>
      </c>
      <c r="F5141" s="72">
        <v>3</v>
      </c>
      <c r="K5141" s="13">
        <v>1</v>
      </c>
      <c r="L5141" s="13"/>
      <c r="M5141" s="72" t="b">
        <v>1</v>
      </c>
    </row>
    <row r="5142" spans="1:13" s="4" customFormat="1" x14ac:dyDescent="0.25">
      <c r="A5142" s="72"/>
      <c r="B5142" s="72"/>
      <c r="D5142" s="13">
        <v>234</v>
      </c>
      <c r="E5142" s="136" t="str">
        <f>INDEX([1]道具配置表!$D:$D,MATCH(D5142,[1]道具配置表!$A:$A,0))</f>
        <v>1万黄金</v>
      </c>
      <c r="F5142" s="72">
        <v>3</v>
      </c>
      <c r="K5142" s="13">
        <v>1</v>
      </c>
      <c r="L5142" s="13"/>
      <c r="M5142" s="72" t="b">
        <v>1</v>
      </c>
    </row>
    <row r="5143" spans="1:13" s="4" customFormat="1" x14ac:dyDescent="0.25">
      <c r="A5143" s="72">
        <v>6643212</v>
      </c>
      <c r="B5143" s="72" t="s">
        <v>625</v>
      </c>
      <c r="D5143" s="13">
        <v>20000</v>
      </c>
      <c r="E5143" s="136" t="str">
        <f>INDEX([1]道具配置表!$D:$D,MATCH(D5143,[1]道具配置表!$A:$A,0))</f>
        <v>技能点1</v>
      </c>
      <c r="F5143" s="72">
        <v>250</v>
      </c>
      <c r="K5143" s="13">
        <v>1</v>
      </c>
      <c r="L5143" s="13"/>
      <c r="M5143" s="72" t="b">
        <v>1</v>
      </c>
    </row>
    <row r="5144" spans="1:13" s="4" customFormat="1" x14ac:dyDescent="0.25">
      <c r="A5144" s="72"/>
      <c r="B5144" s="72"/>
      <c r="D5144" s="13">
        <v>231</v>
      </c>
      <c r="E5144" s="136" t="str">
        <f>INDEX([1]道具配置表!$D:$D,MATCH(D5144,[1]道具配置表!$A:$A,0))</f>
        <v>1万木材</v>
      </c>
      <c r="F5144" s="72">
        <v>4</v>
      </c>
      <c r="K5144" s="13">
        <v>1</v>
      </c>
      <c r="L5144" s="13"/>
      <c r="M5144" s="72" t="b">
        <v>1</v>
      </c>
    </row>
    <row r="5145" spans="1:13" s="4" customFormat="1" x14ac:dyDescent="0.25">
      <c r="A5145" s="72"/>
      <c r="B5145" s="72"/>
      <c r="D5145" s="13">
        <v>232</v>
      </c>
      <c r="E5145" s="136" t="str">
        <f>INDEX([1]道具配置表!$D:$D,MATCH(D5145,[1]道具配置表!$A:$A,0))</f>
        <v>1万食物</v>
      </c>
      <c r="F5145" s="72">
        <v>4</v>
      </c>
      <c r="K5145" s="13">
        <v>1</v>
      </c>
      <c r="L5145" s="13"/>
      <c r="M5145" s="72" t="b">
        <v>1</v>
      </c>
    </row>
    <row r="5146" spans="1:13" s="4" customFormat="1" x14ac:dyDescent="0.25">
      <c r="A5146" s="72"/>
      <c r="B5146" s="72"/>
      <c r="D5146" s="13">
        <v>233</v>
      </c>
      <c r="E5146" s="136" t="str">
        <f>INDEX([1]道具配置表!$D:$D,MATCH(D5146,[1]道具配置表!$A:$A,0))</f>
        <v>1万石头</v>
      </c>
      <c r="F5146" s="72">
        <v>4</v>
      </c>
      <c r="K5146" s="13">
        <v>1</v>
      </c>
      <c r="L5146" s="13"/>
      <c r="M5146" s="72" t="b">
        <v>1</v>
      </c>
    </row>
    <row r="5147" spans="1:13" s="4" customFormat="1" x14ac:dyDescent="0.25">
      <c r="A5147" s="72"/>
      <c r="B5147" s="72"/>
      <c r="D5147" s="13">
        <v>234</v>
      </c>
      <c r="E5147" s="136" t="str">
        <f>INDEX([1]道具配置表!$D:$D,MATCH(D5147,[1]道具配置表!$A:$A,0))</f>
        <v>1万黄金</v>
      </c>
      <c r="F5147" s="72">
        <v>4</v>
      </c>
      <c r="K5147" s="13">
        <v>1</v>
      </c>
      <c r="L5147" s="13"/>
      <c r="M5147" s="72" t="b">
        <v>1</v>
      </c>
    </row>
    <row r="5148" spans="1:13" s="4" customFormat="1" x14ac:dyDescent="0.25">
      <c r="A5148" s="72">
        <v>6643213</v>
      </c>
      <c r="B5148" s="72" t="s">
        <v>626</v>
      </c>
      <c r="D5148" s="13">
        <v>20000</v>
      </c>
      <c r="E5148" s="136" t="str">
        <f>INDEX([1]道具配置表!$D:$D,MATCH(D5148,[1]道具配置表!$A:$A,0))</f>
        <v>技能点1</v>
      </c>
      <c r="F5148" s="72">
        <v>300</v>
      </c>
      <c r="K5148" s="13">
        <v>1</v>
      </c>
      <c r="L5148" s="13"/>
      <c r="M5148" s="72" t="b">
        <v>1</v>
      </c>
    </row>
    <row r="5149" spans="1:13" s="4" customFormat="1" x14ac:dyDescent="0.25">
      <c r="A5149" s="72"/>
      <c r="B5149" s="72"/>
      <c r="D5149" s="13">
        <v>231</v>
      </c>
      <c r="E5149" s="136" t="str">
        <f>INDEX([1]道具配置表!$D:$D,MATCH(D5149,[1]道具配置表!$A:$A,0))</f>
        <v>1万木材</v>
      </c>
      <c r="F5149" s="72">
        <v>5</v>
      </c>
      <c r="K5149" s="13">
        <v>1</v>
      </c>
      <c r="L5149" s="13"/>
      <c r="M5149" s="72" t="b">
        <v>1</v>
      </c>
    </row>
    <row r="5150" spans="1:13" s="4" customFormat="1" x14ac:dyDescent="0.25">
      <c r="A5150" s="72"/>
      <c r="B5150" s="72"/>
      <c r="D5150" s="13">
        <v>232</v>
      </c>
      <c r="E5150" s="136" t="str">
        <f>INDEX([1]道具配置表!$D:$D,MATCH(D5150,[1]道具配置表!$A:$A,0))</f>
        <v>1万食物</v>
      </c>
      <c r="F5150" s="72">
        <v>5</v>
      </c>
      <c r="K5150" s="13">
        <v>1</v>
      </c>
      <c r="L5150" s="13"/>
      <c r="M5150" s="72" t="b">
        <v>1</v>
      </c>
    </row>
    <row r="5151" spans="1:13" s="4" customFormat="1" x14ac:dyDescent="0.25">
      <c r="A5151" s="72"/>
      <c r="B5151" s="72"/>
      <c r="D5151" s="13">
        <v>233</v>
      </c>
      <c r="E5151" s="136" t="str">
        <f>INDEX([1]道具配置表!$D:$D,MATCH(D5151,[1]道具配置表!$A:$A,0))</f>
        <v>1万石头</v>
      </c>
      <c r="F5151" s="72">
        <v>5</v>
      </c>
      <c r="K5151" s="13">
        <v>1</v>
      </c>
      <c r="L5151" s="13"/>
      <c r="M5151" s="72" t="b">
        <v>1</v>
      </c>
    </row>
    <row r="5152" spans="1:13" s="4" customFormat="1" x14ac:dyDescent="0.25">
      <c r="A5152" s="72"/>
      <c r="B5152" s="72"/>
      <c r="D5152" s="13">
        <v>234</v>
      </c>
      <c r="E5152" s="136" t="str">
        <f>INDEX([1]道具配置表!$D:$D,MATCH(D5152,[1]道具配置表!$A:$A,0))</f>
        <v>1万黄金</v>
      </c>
      <c r="F5152" s="72">
        <v>5</v>
      </c>
      <c r="K5152" s="13">
        <v>1</v>
      </c>
      <c r="L5152" s="13"/>
      <c r="M5152" s="72" t="b">
        <v>1</v>
      </c>
    </row>
    <row r="5153" spans="1:13" s="4" customFormat="1" x14ac:dyDescent="0.25">
      <c r="A5153" s="72">
        <v>6643214</v>
      </c>
      <c r="B5153" s="72" t="s">
        <v>627</v>
      </c>
      <c r="D5153" s="13">
        <v>20000</v>
      </c>
      <c r="E5153" s="136" t="str">
        <f>INDEX([1]道具配置表!$D:$D,MATCH(D5153,[1]道具配置表!$A:$A,0))</f>
        <v>技能点1</v>
      </c>
      <c r="F5153" s="72">
        <v>350</v>
      </c>
      <c r="K5153" s="13">
        <v>1</v>
      </c>
      <c r="L5153" s="13"/>
      <c r="M5153" s="72" t="b">
        <v>1</v>
      </c>
    </row>
    <row r="5154" spans="1:13" s="4" customFormat="1" x14ac:dyDescent="0.25">
      <c r="A5154" s="72"/>
      <c r="B5154" s="72"/>
      <c r="D5154" s="13">
        <v>231</v>
      </c>
      <c r="E5154" s="136" t="str">
        <f>INDEX([1]道具配置表!$D:$D,MATCH(D5154,[1]道具配置表!$A:$A,0))</f>
        <v>1万木材</v>
      </c>
      <c r="F5154" s="72">
        <v>6</v>
      </c>
      <c r="K5154" s="13">
        <v>1</v>
      </c>
      <c r="L5154" s="13"/>
      <c r="M5154" s="72" t="b">
        <v>1</v>
      </c>
    </row>
    <row r="5155" spans="1:13" s="4" customFormat="1" x14ac:dyDescent="0.25">
      <c r="A5155" s="72"/>
      <c r="B5155" s="72"/>
      <c r="D5155" s="13">
        <v>232</v>
      </c>
      <c r="E5155" s="136" t="str">
        <f>INDEX([1]道具配置表!$D:$D,MATCH(D5155,[1]道具配置表!$A:$A,0))</f>
        <v>1万食物</v>
      </c>
      <c r="F5155" s="72">
        <v>6</v>
      </c>
      <c r="K5155" s="13">
        <v>1</v>
      </c>
      <c r="L5155" s="13"/>
      <c r="M5155" s="72" t="b">
        <v>1</v>
      </c>
    </row>
    <row r="5156" spans="1:13" s="4" customFormat="1" x14ac:dyDescent="0.25">
      <c r="A5156" s="72"/>
      <c r="B5156" s="72"/>
      <c r="D5156" s="13">
        <v>233</v>
      </c>
      <c r="E5156" s="136" t="str">
        <f>INDEX([1]道具配置表!$D:$D,MATCH(D5156,[1]道具配置表!$A:$A,0))</f>
        <v>1万石头</v>
      </c>
      <c r="F5156" s="72">
        <v>6</v>
      </c>
      <c r="K5156" s="13">
        <v>1</v>
      </c>
      <c r="L5156" s="13"/>
      <c r="M5156" s="72" t="b">
        <v>1</v>
      </c>
    </row>
    <row r="5157" spans="1:13" s="4" customFormat="1" x14ac:dyDescent="0.25">
      <c r="A5157" s="72"/>
      <c r="B5157" s="72"/>
      <c r="D5157" s="13">
        <v>234</v>
      </c>
      <c r="E5157" s="136" t="str">
        <f>INDEX([1]道具配置表!$D:$D,MATCH(D5157,[1]道具配置表!$A:$A,0))</f>
        <v>1万黄金</v>
      </c>
      <c r="F5157" s="72">
        <v>6</v>
      </c>
      <c r="K5157" s="13">
        <v>1</v>
      </c>
      <c r="L5157" s="13"/>
      <c r="M5157" s="72" t="b">
        <v>1</v>
      </c>
    </row>
    <row r="5158" spans="1:13" s="4" customFormat="1" x14ac:dyDescent="0.25">
      <c r="A5158" s="72">
        <v>6643215</v>
      </c>
      <c r="B5158" s="72" t="s">
        <v>628</v>
      </c>
      <c r="D5158" s="13">
        <v>20000</v>
      </c>
      <c r="E5158" s="136" t="str">
        <f>INDEX([1]道具配置表!$D:$D,MATCH(D5158,[1]道具配置表!$A:$A,0))</f>
        <v>技能点1</v>
      </c>
      <c r="F5158" s="72">
        <v>400</v>
      </c>
      <c r="K5158" s="13">
        <v>1</v>
      </c>
      <c r="L5158" s="13"/>
      <c r="M5158" s="72" t="b">
        <v>1</v>
      </c>
    </row>
    <row r="5159" spans="1:13" s="4" customFormat="1" x14ac:dyDescent="0.25">
      <c r="A5159" s="72"/>
      <c r="B5159" s="72"/>
      <c r="D5159" s="13">
        <v>231</v>
      </c>
      <c r="E5159" s="136" t="str">
        <f>INDEX([1]道具配置表!$D:$D,MATCH(D5159,[1]道具配置表!$A:$A,0))</f>
        <v>1万木材</v>
      </c>
      <c r="F5159" s="72">
        <v>7</v>
      </c>
      <c r="K5159" s="13">
        <v>1</v>
      </c>
      <c r="L5159" s="13"/>
      <c r="M5159" s="72" t="b">
        <v>1</v>
      </c>
    </row>
    <row r="5160" spans="1:13" s="4" customFormat="1" x14ac:dyDescent="0.25">
      <c r="A5160" s="72"/>
      <c r="B5160" s="72"/>
      <c r="D5160" s="13">
        <v>232</v>
      </c>
      <c r="E5160" s="136" t="str">
        <f>INDEX([1]道具配置表!$D:$D,MATCH(D5160,[1]道具配置表!$A:$A,0))</f>
        <v>1万食物</v>
      </c>
      <c r="F5160" s="72">
        <v>7</v>
      </c>
      <c r="K5160" s="13">
        <v>1</v>
      </c>
      <c r="L5160" s="13"/>
      <c r="M5160" s="72" t="b">
        <v>1</v>
      </c>
    </row>
    <row r="5161" spans="1:13" s="4" customFormat="1" x14ac:dyDescent="0.25">
      <c r="A5161" s="72"/>
      <c r="B5161" s="72"/>
      <c r="D5161" s="13">
        <v>233</v>
      </c>
      <c r="E5161" s="136" t="str">
        <f>INDEX([1]道具配置表!$D:$D,MATCH(D5161,[1]道具配置表!$A:$A,0))</f>
        <v>1万石头</v>
      </c>
      <c r="F5161" s="72">
        <v>7</v>
      </c>
      <c r="K5161" s="13">
        <v>1</v>
      </c>
      <c r="L5161" s="13"/>
      <c r="M5161" s="72" t="b">
        <v>1</v>
      </c>
    </row>
    <row r="5162" spans="1:13" s="4" customFormat="1" x14ac:dyDescent="0.25">
      <c r="A5162" s="72"/>
      <c r="B5162" s="72"/>
      <c r="D5162" s="13">
        <v>234</v>
      </c>
      <c r="E5162" s="136" t="str">
        <f>INDEX([1]道具配置表!$D:$D,MATCH(D5162,[1]道具配置表!$A:$A,0))</f>
        <v>1万黄金</v>
      </c>
      <c r="F5162" s="72">
        <v>7</v>
      </c>
      <c r="K5162" s="13">
        <v>1</v>
      </c>
      <c r="L5162" s="13"/>
      <c r="M5162" s="72" t="b">
        <v>1</v>
      </c>
    </row>
    <row r="5163" spans="1:13" s="4" customFormat="1" x14ac:dyDescent="0.25">
      <c r="A5163" s="72">
        <v>6643216</v>
      </c>
      <c r="B5163" s="72" t="s">
        <v>629</v>
      </c>
      <c r="D5163" s="13">
        <v>20000</v>
      </c>
      <c r="E5163" s="136" t="str">
        <f>INDEX([1]道具配置表!$D:$D,MATCH(D5163,[1]道具配置表!$A:$A,0))</f>
        <v>技能点1</v>
      </c>
      <c r="F5163" s="72">
        <v>250</v>
      </c>
      <c r="K5163" s="13">
        <v>1</v>
      </c>
      <c r="L5163" s="13"/>
      <c r="M5163" s="72" t="b">
        <v>1</v>
      </c>
    </row>
    <row r="5164" spans="1:13" s="4" customFormat="1" x14ac:dyDescent="0.25">
      <c r="A5164" s="72"/>
      <c r="B5164" s="72"/>
      <c r="D5164" s="13">
        <v>231</v>
      </c>
      <c r="E5164" s="136" t="str">
        <f>INDEX([1]道具配置表!$D:$D,MATCH(D5164,[1]道具配置表!$A:$A,0))</f>
        <v>1万木材</v>
      </c>
      <c r="F5164" s="72">
        <v>4</v>
      </c>
      <c r="K5164" s="13">
        <v>1</v>
      </c>
      <c r="L5164" s="13"/>
      <c r="M5164" s="72" t="b">
        <v>1</v>
      </c>
    </row>
    <row r="5165" spans="1:13" s="4" customFormat="1" x14ac:dyDescent="0.25">
      <c r="A5165" s="72"/>
      <c r="B5165" s="72"/>
      <c r="D5165" s="13">
        <v>232</v>
      </c>
      <c r="E5165" s="136" t="str">
        <f>INDEX([1]道具配置表!$D:$D,MATCH(D5165,[1]道具配置表!$A:$A,0))</f>
        <v>1万食物</v>
      </c>
      <c r="F5165" s="72">
        <v>4</v>
      </c>
      <c r="K5165" s="13">
        <v>1</v>
      </c>
      <c r="L5165" s="13"/>
      <c r="M5165" s="72" t="b">
        <v>1</v>
      </c>
    </row>
    <row r="5166" spans="1:13" s="4" customFormat="1" x14ac:dyDescent="0.25">
      <c r="A5166" s="72"/>
      <c r="B5166" s="72"/>
      <c r="D5166" s="13">
        <v>233</v>
      </c>
      <c r="E5166" s="136" t="str">
        <f>INDEX([1]道具配置表!$D:$D,MATCH(D5166,[1]道具配置表!$A:$A,0))</f>
        <v>1万石头</v>
      </c>
      <c r="F5166" s="72">
        <v>4</v>
      </c>
      <c r="K5166" s="13">
        <v>1</v>
      </c>
      <c r="L5166" s="13"/>
      <c r="M5166" s="72" t="b">
        <v>1</v>
      </c>
    </row>
    <row r="5167" spans="1:13" s="4" customFormat="1" x14ac:dyDescent="0.25">
      <c r="A5167" s="72"/>
      <c r="B5167" s="72"/>
      <c r="D5167" s="13">
        <v>234</v>
      </c>
      <c r="E5167" s="136" t="str">
        <f>INDEX([1]道具配置表!$D:$D,MATCH(D5167,[1]道具配置表!$A:$A,0))</f>
        <v>1万黄金</v>
      </c>
      <c r="F5167" s="72">
        <v>4</v>
      </c>
      <c r="K5167" s="13">
        <v>1</v>
      </c>
      <c r="L5167" s="13"/>
      <c r="M5167" s="72" t="b">
        <v>1</v>
      </c>
    </row>
    <row r="5168" spans="1:13" s="4" customFormat="1" x14ac:dyDescent="0.25">
      <c r="A5168" s="72">
        <v>6643217</v>
      </c>
      <c r="B5168" s="72" t="s">
        <v>630</v>
      </c>
      <c r="D5168" s="13">
        <v>20000</v>
      </c>
      <c r="E5168" s="136" t="str">
        <f>INDEX([1]道具配置表!$D:$D,MATCH(D5168,[1]道具配置表!$A:$A,0))</f>
        <v>技能点1</v>
      </c>
      <c r="F5168" s="72">
        <v>300</v>
      </c>
      <c r="K5168" s="13">
        <v>1</v>
      </c>
      <c r="L5168" s="13"/>
      <c r="M5168" s="72" t="b">
        <v>1</v>
      </c>
    </row>
    <row r="5169" spans="1:13" s="4" customFormat="1" x14ac:dyDescent="0.25">
      <c r="A5169" s="72"/>
      <c r="B5169" s="72"/>
      <c r="D5169" s="13">
        <v>231</v>
      </c>
      <c r="E5169" s="136" t="str">
        <f>INDEX([1]道具配置表!$D:$D,MATCH(D5169,[1]道具配置表!$A:$A,0))</f>
        <v>1万木材</v>
      </c>
      <c r="F5169" s="72">
        <v>5</v>
      </c>
      <c r="K5169" s="13">
        <v>1</v>
      </c>
      <c r="L5169" s="13"/>
      <c r="M5169" s="72" t="b">
        <v>1</v>
      </c>
    </row>
    <row r="5170" spans="1:13" s="4" customFormat="1" x14ac:dyDescent="0.25">
      <c r="A5170" s="72"/>
      <c r="B5170" s="72"/>
      <c r="D5170" s="13">
        <v>232</v>
      </c>
      <c r="E5170" s="136" t="str">
        <f>INDEX([1]道具配置表!$D:$D,MATCH(D5170,[1]道具配置表!$A:$A,0))</f>
        <v>1万食物</v>
      </c>
      <c r="F5170" s="72">
        <v>5</v>
      </c>
      <c r="K5170" s="13">
        <v>1</v>
      </c>
      <c r="L5170" s="13"/>
      <c r="M5170" s="72" t="b">
        <v>1</v>
      </c>
    </row>
    <row r="5171" spans="1:13" s="4" customFormat="1" x14ac:dyDescent="0.25">
      <c r="A5171" s="72"/>
      <c r="B5171" s="72"/>
      <c r="D5171" s="13">
        <v>233</v>
      </c>
      <c r="E5171" s="136" t="str">
        <f>INDEX([1]道具配置表!$D:$D,MATCH(D5171,[1]道具配置表!$A:$A,0))</f>
        <v>1万石头</v>
      </c>
      <c r="F5171" s="72">
        <v>5</v>
      </c>
      <c r="K5171" s="13">
        <v>1</v>
      </c>
      <c r="L5171" s="13"/>
      <c r="M5171" s="72" t="b">
        <v>1</v>
      </c>
    </row>
    <row r="5172" spans="1:13" s="4" customFormat="1" x14ac:dyDescent="0.25">
      <c r="A5172" s="72"/>
      <c r="B5172" s="72"/>
      <c r="D5172" s="13">
        <v>234</v>
      </c>
      <c r="E5172" s="136" t="str">
        <f>INDEX([1]道具配置表!$D:$D,MATCH(D5172,[1]道具配置表!$A:$A,0))</f>
        <v>1万黄金</v>
      </c>
      <c r="F5172" s="72">
        <v>5</v>
      </c>
      <c r="K5172" s="13">
        <v>1</v>
      </c>
      <c r="L5172" s="13"/>
      <c r="M5172" s="72" t="b">
        <v>1</v>
      </c>
    </row>
    <row r="5173" spans="1:13" s="4" customFormat="1" x14ac:dyDescent="0.25">
      <c r="A5173" s="72">
        <v>6643218</v>
      </c>
      <c r="B5173" s="72" t="s">
        <v>631</v>
      </c>
      <c r="D5173" s="13">
        <v>20000</v>
      </c>
      <c r="E5173" s="136" t="str">
        <f>INDEX([1]道具配置表!$D:$D,MATCH(D5173,[1]道具配置表!$A:$A,0))</f>
        <v>技能点1</v>
      </c>
      <c r="F5173" s="72">
        <v>350</v>
      </c>
      <c r="K5173" s="13">
        <v>1</v>
      </c>
      <c r="L5173" s="13"/>
      <c r="M5173" s="72" t="b">
        <v>1</v>
      </c>
    </row>
    <row r="5174" spans="1:13" s="4" customFormat="1" x14ac:dyDescent="0.25">
      <c r="A5174" s="72"/>
      <c r="B5174" s="72"/>
      <c r="D5174" s="13">
        <v>231</v>
      </c>
      <c r="E5174" s="136" t="str">
        <f>INDEX([1]道具配置表!$D:$D,MATCH(D5174,[1]道具配置表!$A:$A,0))</f>
        <v>1万木材</v>
      </c>
      <c r="F5174" s="72">
        <v>6</v>
      </c>
      <c r="K5174" s="13">
        <v>1</v>
      </c>
      <c r="L5174" s="13"/>
      <c r="M5174" s="72" t="b">
        <v>1</v>
      </c>
    </row>
    <row r="5175" spans="1:13" s="4" customFormat="1" x14ac:dyDescent="0.25">
      <c r="A5175" s="72"/>
      <c r="B5175" s="72"/>
      <c r="D5175" s="13">
        <v>232</v>
      </c>
      <c r="E5175" s="136" t="str">
        <f>INDEX([1]道具配置表!$D:$D,MATCH(D5175,[1]道具配置表!$A:$A,0))</f>
        <v>1万食物</v>
      </c>
      <c r="F5175" s="72">
        <v>6</v>
      </c>
      <c r="K5175" s="13">
        <v>1</v>
      </c>
      <c r="L5175" s="13"/>
      <c r="M5175" s="72" t="b">
        <v>1</v>
      </c>
    </row>
    <row r="5176" spans="1:13" s="4" customFormat="1" x14ac:dyDescent="0.25">
      <c r="A5176" s="72"/>
      <c r="B5176" s="72"/>
      <c r="D5176" s="13">
        <v>233</v>
      </c>
      <c r="E5176" s="136" t="str">
        <f>INDEX([1]道具配置表!$D:$D,MATCH(D5176,[1]道具配置表!$A:$A,0))</f>
        <v>1万石头</v>
      </c>
      <c r="F5176" s="72">
        <v>6</v>
      </c>
      <c r="K5176" s="13">
        <v>1</v>
      </c>
      <c r="L5176" s="13"/>
      <c r="M5176" s="72" t="b">
        <v>1</v>
      </c>
    </row>
    <row r="5177" spans="1:13" s="4" customFormat="1" x14ac:dyDescent="0.25">
      <c r="A5177" s="72"/>
      <c r="B5177" s="72"/>
      <c r="D5177" s="13">
        <v>234</v>
      </c>
      <c r="E5177" s="136" t="str">
        <f>INDEX([1]道具配置表!$D:$D,MATCH(D5177,[1]道具配置表!$A:$A,0))</f>
        <v>1万黄金</v>
      </c>
      <c r="F5177" s="72">
        <v>6</v>
      </c>
      <c r="K5177" s="13">
        <v>1</v>
      </c>
      <c r="L5177" s="13"/>
      <c r="M5177" s="72" t="b">
        <v>1</v>
      </c>
    </row>
    <row r="5178" spans="1:13" s="4" customFormat="1" x14ac:dyDescent="0.25">
      <c r="A5178" s="72">
        <v>6643219</v>
      </c>
      <c r="B5178" s="72" t="s">
        <v>632</v>
      </c>
      <c r="D5178" s="13">
        <v>20000</v>
      </c>
      <c r="E5178" s="136" t="str">
        <f>INDEX([1]道具配置表!$D:$D,MATCH(D5178,[1]道具配置表!$A:$A,0))</f>
        <v>技能点1</v>
      </c>
      <c r="F5178" s="72">
        <v>400</v>
      </c>
      <c r="K5178" s="13">
        <v>1</v>
      </c>
      <c r="L5178" s="13"/>
      <c r="M5178" s="72" t="b">
        <v>1</v>
      </c>
    </row>
    <row r="5179" spans="1:13" s="4" customFormat="1" x14ac:dyDescent="0.25">
      <c r="A5179" s="72"/>
      <c r="B5179" s="72"/>
      <c r="D5179" s="13">
        <v>231</v>
      </c>
      <c r="E5179" s="136" t="str">
        <f>INDEX([1]道具配置表!$D:$D,MATCH(D5179,[1]道具配置表!$A:$A,0))</f>
        <v>1万木材</v>
      </c>
      <c r="F5179" s="72">
        <v>7</v>
      </c>
      <c r="K5179" s="13">
        <v>1</v>
      </c>
      <c r="L5179" s="13"/>
      <c r="M5179" s="72" t="b">
        <v>1</v>
      </c>
    </row>
    <row r="5180" spans="1:13" s="4" customFormat="1" x14ac:dyDescent="0.25">
      <c r="A5180" s="72"/>
      <c r="B5180" s="72"/>
      <c r="D5180" s="13">
        <v>232</v>
      </c>
      <c r="E5180" s="136" t="str">
        <f>INDEX([1]道具配置表!$D:$D,MATCH(D5180,[1]道具配置表!$A:$A,0))</f>
        <v>1万食物</v>
      </c>
      <c r="F5180" s="72">
        <v>7</v>
      </c>
      <c r="K5180" s="13">
        <v>1</v>
      </c>
      <c r="L5180" s="13"/>
      <c r="M5180" s="72" t="b">
        <v>1</v>
      </c>
    </row>
    <row r="5181" spans="1:13" s="4" customFormat="1" x14ac:dyDescent="0.25">
      <c r="A5181" s="72"/>
      <c r="B5181" s="72"/>
      <c r="D5181" s="13">
        <v>233</v>
      </c>
      <c r="E5181" s="136" t="str">
        <f>INDEX([1]道具配置表!$D:$D,MATCH(D5181,[1]道具配置表!$A:$A,0))</f>
        <v>1万石头</v>
      </c>
      <c r="F5181" s="72">
        <v>7</v>
      </c>
      <c r="K5181" s="13">
        <v>1</v>
      </c>
      <c r="L5181" s="13"/>
      <c r="M5181" s="72" t="b">
        <v>1</v>
      </c>
    </row>
    <row r="5182" spans="1:13" s="4" customFormat="1" x14ac:dyDescent="0.25">
      <c r="A5182" s="72"/>
      <c r="B5182" s="72"/>
      <c r="D5182" s="13">
        <v>234</v>
      </c>
      <c r="E5182" s="136" t="str">
        <f>INDEX([1]道具配置表!$D:$D,MATCH(D5182,[1]道具配置表!$A:$A,0))</f>
        <v>1万黄金</v>
      </c>
      <c r="F5182" s="72">
        <v>7</v>
      </c>
      <c r="K5182" s="13">
        <v>1</v>
      </c>
      <c r="L5182" s="13"/>
      <c r="M5182" s="72" t="b">
        <v>1</v>
      </c>
    </row>
    <row r="5183" spans="1:13" s="4" customFormat="1" x14ac:dyDescent="0.25">
      <c r="A5183" s="72">
        <v>6643220</v>
      </c>
      <c r="B5183" s="72" t="s">
        <v>633</v>
      </c>
      <c r="D5183" s="13">
        <v>20000</v>
      </c>
      <c r="E5183" s="136" t="str">
        <f>INDEX([1]道具配置表!$D:$D,MATCH(D5183,[1]道具配置表!$A:$A,0))</f>
        <v>技能点1</v>
      </c>
      <c r="F5183" s="72">
        <v>450</v>
      </c>
      <c r="K5183" s="13">
        <v>1</v>
      </c>
      <c r="L5183" s="13"/>
      <c r="M5183" s="72" t="b">
        <v>1</v>
      </c>
    </row>
    <row r="5184" spans="1:13" s="4" customFormat="1" x14ac:dyDescent="0.25">
      <c r="A5184" s="72"/>
      <c r="B5184" s="72"/>
      <c r="D5184" s="13">
        <v>231</v>
      </c>
      <c r="E5184" s="136" t="str">
        <f>INDEX([1]道具配置表!$D:$D,MATCH(D5184,[1]道具配置表!$A:$A,0))</f>
        <v>1万木材</v>
      </c>
      <c r="F5184" s="72">
        <v>8</v>
      </c>
      <c r="K5184" s="13">
        <v>1</v>
      </c>
      <c r="L5184" s="13"/>
      <c r="M5184" s="72" t="b">
        <v>1</v>
      </c>
    </row>
    <row r="5185" spans="1:13" s="4" customFormat="1" x14ac:dyDescent="0.25">
      <c r="A5185" s="72"/>
      <c r="B5185" s="72"/>
      <c r="D5185" s="13">
        <v>232</v>
      </c>
      <c r="E5185" s="136" t="str">
        <f>INDEX([1]道具配置表!$D:$D,MATCH(D5185,[1]道具配置表!$A:$A,0))</f>
        <v>1万食物</v>
      </c>
      <c r="F5185" s="72">
        <v>8</v>
      </c>
      <c r="K5185" s="13">
        <v>1</v>
      </c>
      <c r="L5185" s="13"/>
      <c r="M5185" s="72" t="b">
        <v>1</v>
      </c>
    </row>
    <row r="5186" spans="1:13" s="4" customFormat="1" x14ac:dyDescent="0.25">
      <c r="A5186" s="72"/>
      <c r="B5186" s="72"/>
      <c r="D5186" s="13">
        <v>233</v>
      </c>
      <c r="E5186" s="136" t="str">
        <f>INDEX([1]道具配置表!$D:$D,MATCH(D5186,[1]道具配置表!$A:$A,0))</f>
        <v>1万石头</v>
      </c>
      <c r="F5186" s="72">
        <v>8</v>
      </c>
      <c r="K5186" s="13">
        <v>1</v>
      </c>
      <c r="L5186" s="13"/>
      <c r="M5186" s="72" t="b">
        <v>1</v>
      </c>
    </row>
    <row r="5187" spans="1:13" s="4" customFormat="1" x14ac:dyDescent="0.25">
      <c r="A5187" s="72"/>
      <c r="B5187" s="72"/>
      <c r="D5187" s="13">
        <v>234</v>
      </c>
      <c r="E5187" s="136" t="str">
        <f>INDEX([1]道具配置表!$D:$D,MATCH(D5187,[1]道具配置表!$A:$A,0))</f>
        <v>1万黄金</v>
      </c>
      <c r="F5187" s="72">
        <v>8</v>
      </c>
      <c r="K5187" s="13">
        <v>1</v>
      </c>
      <c r="L5187" s="13"/>
      <c r="M5187" s="72" t="b">
        <v>1</v>
      </c>
    </row>
    <row r="5188" spans="1:13" s="4" customFormat="1" x14ac:dyDescent="0.25">
      <c r="A5188" s="72">
        <v>6643221</v>
      </c>
      <c r="B5188" s="72" t="s">
        <v>629</v>
      </c>
      <c r="D5188" s="13">
        <v>20000</v>
      </c>
      <c r="E5188" s="136" t="str">
        <f>INDEX([1]道具配置表!$D:$D,MATCH(D5188,[1]道具配置表!$A:$A,0))</f>
        <v>技能点1</v>
      </c>
      <c r="F5188" s="72">
        <v>300</v>
      </c>
      <c r="K5188" s="13">
        <v>1</v>
      </c>
      <c r="L5188" s="13"/>
      <c r="M5188" s="72" t="b">
        <v>1</v>
      </c>
    </row>
    <row r="5189" spans="1:13" s="4" customFormat="1" x14ac:dyDescent="0.25">
      <c r="A5189" s="72"/>
      <c r="B5189" s="72"/>
      <c r="D5189" s="13">
        <v>231</v>
      </c>
      <c r="E5189" s="136" t="str">
        <f>INDEX([1]道具配置表!$D:$D,MATCH(D5189,[1]道具配置表!$A:$A,0))</f>
        <v>1万木材</v>
      </c>
      <c r="F5189" s="72">
        <v>5</v>
      </c>
      <c r="K5189" s="13">
        <v>1</v>
      </c>
      <c r="L5189" s="13"/>
      <c r="M5189" s="72" t="b">
        <v>1</v>
      </c>
    </row>
    <row r="5190" spans="1:13" s="4" customFormat="1" x14ac:dyDescent="0.25">
      <c r="A5190" s="72"/>
      <c r="B5190" s="72"/>
      <c r="D5190" s="13">
        <v>232</v>
      </c>
      <c r="E5190" s="136" t="str">
        <f>INDEX([1]道具配置表!$D:$D,MATCH(D5190,[1]道具配置表!$A:$A,0))</f>
        <v>1万食物</v>
      </c>
      <c r="F5190" s="72">
        <v>5</v>
      </c>
      <c r="K5190" s="13">
        <v>1</v>
      </c>
      <c r="L5190" s="13"/>
      <c r="M5190" s="72" t="b">
        <v>1</v>
      </c>
    </row>
    <row r="5191" spans="1:13" s="4" customFormat="1" x14ac:dyDescent="0.25">
      <c r="A5191" s="72"/>
      <c r="B5191" s="72"/>
      <c r="D5191" s="13">
        <v>233</v>
      </c>
      <c r="E5191" s="136" t="str">
        <f>INDEX([1]道具配置表!$D:$D,MATCH(D5191,[1]道具配置表!$A:$A,0))</f>
        <v>1万石头</v>
      </c>
      <c r="F5191" s="72">
        <v>5</v>
      </c>
      <c r="K5191" s="13">
        <v>1</v>
      </c>
      <c r="L5191" s="13"/>
      <c r="M5191" s="72" t="b">
        <v>1</v>
      </c>
    </row>
    <row r="5192" spans="1:13" s="4" customFormat="1" x14ac:dyDescent="0.25">
      <c r="A5192" s="72"/>
      <c r="B5192" s="72"/>
      <c r="D5192" s="13">
        <v>234</v>
      </c>
      <c r="E5192" s="136" t="str">
        <f>INDEX([1]道具配置表!$D:$D,MATCH(D5192,[1]道具配置表!$A:$A,0))</f>
        <v>1万黄金</v>
      </c>
      <c r="F5192" s="72">
        <v>5</v>
      </c>
      <c r="K5192" s="13">
        <v>1</v>
      </c>
      <c r="L5192" s="13"/>
      <c r="M5192" s="72" t="b">
        <v>1</v>
      </c>
    </row>
    <row r="5193" spans="1:13" s="4" customFormat="1" x14ac:dyDescent="0.25">
      <c r="A5193" s="72">
        <v>6643222</v>
      </c>
      <c r="B5193" s="72" t="s">
        <v>630</v>
      </c>
      <c r="D5193" s="13">
        <v>20000</v>
      </c>
      <c r="E5193" s="136" t="str">
        <f>INDEX([1]道具配置表!$D:$D,MATCH(D5193,[1]道具配置表!$A:$A,0))</f>
        <v>技能点1</v>
      </c>
      <c r="F5193" s="72">
        <v>350</v>
      </c>
      <c r="K5193" s="13">
        <v>1</v>
      </c>
      <c r="L5193" s="13"/>
      <c r="M5193" s="72" t="b">
        <v>1</v>
      </c>
    </row>
    <row r="5194" spans="1:13" s="4" customFormat="1" x14ac:dyDescent="0.25">
      <c r="A5194" s="72"/>
      <c r="B5194" s="72"/>
      <c r="D5194" s="13">
        <v>231</v>
      </c>
      <c r="E5194" s="136" t="str">
        <f>INDEX([1]道具配置表!$D:$D,MATCH(D5194,[1]道具配置表!$A:$A,0))</f>
        <v>1万木材</v>
      </c>
      <c r="F5194" s="72">
        <v>6</v>
      </c>
      <c r="K5194" s="13">
        <v>1</v>
      </c>
      <c r="L5194" s="13"/>
      <c r="M5194" s="72" t="b">
        <v>1</v>
      </c>
    </row>
    <row r="5195" spans="1:13" s="4" customFormat="1" x14ac:dyDescent="0.25">
      <c r="A5195" s="72"/>
      <c r="B5195" s="72"/>
      <c r="D5195" s="13">
        <v>232</v>
      </c>
      <c r="E5195" s="136" t="str">
        <f>INDEX([1]道具配置表!$D:$D,MATCH(D5195,[1]道具配置表!$A:$A,0))</f>
        <v>1万食物</v>
      </c>
      <c r="F5195" s="72">
        <v>6</v>
      </c>
      <c r="K5195" s="13">
        <v>1</v>
      </c>
      <c r="L5195" s="13"/>
      <c r="M5195" s="72" t="b">
        <v>1</v>
      </c>
    </row>
    <row r="5196" spans="1:13" s="4" customFormat="1" x14ac:dyDescent="0.25">
      <c r="A5196" s="72"/>
      <c r="B5196" s="72"/>
      <c r="D5196" s="13">
        <v>233</v>
      </c>
      <c r="E5196" s="136" t="str">
        <f>INDEX([1]道具配置表!$D:$D,MATCH(D5196,[1]道具配置表!$A:$A,0))</f>
        <v>1万石头</v>
      </c>
      <c r="F5196" s="72">
        <v>6</v>
      </c>
      <c r="K5196" s="13">
        <v>1</v>
      </c>
      <c r="L5196" s="13"/>
      <c r="M5196" s="72" t="b">
        <v>1</v>
      </c>
    </row>
    <row r="5197" spans="1:13" s="4" customFormat="1" x14ac:dyDescent="0.25">
      <c r="A5197" s="72"/>
      <c r="B5197" s="72"/>
      <c r="D5197" s="13">
        <v>234</v>
      </c>
      <c r="E5197" s="136" t="str">
        <f>INDEX([1]道具配置表!$D:$D,MATCH(D5197,[1]道具配置表!$A:$A,0))</f>
        <v>1万黄金</v>
      </c>
      <c r="F5197" s="72">
        <v>6</v>
      </c>
      <c r="K5197" s="13">
        <v>1</v>
      </c>
      <c r="L5197" s="13"/>
      <c r="M5197" s="72" t="b">
        <v>1</v>
      </c>
    </row>
    <row r="5198" spans="1:13" s="4" customFormat="1" x14ac:dyDescent="0.25">
      <c r="A5198" s="72">
        <v>6643223</v>
      </c>
      <c r="B5198" s="72" t="s">
        <v>631</v>
      </c>
      <c r="D5198" s="13">
        <v>20000</v>
      </c>
      <c r="E5198" s="136" t="str">
        <f>INDEX([1]道具配置表!$D:$D,MATCH(D5198,[1]道具配置表!$A:$A,0))</f>
        <v>技能点1</v>
      </c>
      <c r="F5198" s="72">
        <v>400</v>
      </c>
      <c r="K5198" s="13">
        <v>1</v>
      </c>
      <c r="L5198" s="13"/>
      <c r="M5198" s="72" t="b">
        <v>1</v>
      </c>
    </row>
    <row r="5199" spans="1:13" s="4" customFormat="1" x14ac:dyDescent="0.25">
      <c r="A5199" s="72"/>
      <c r="B5199" s="72"/>
      <c r="D5199" s="13">
        <v>231</v>
      </c>
      <c r="E5199" s="136" t="str">
        <f>INDEX([1]道具配置表!$D:$D,MATCH(D5199,[1]道具配置表!$A:$A,0))</f>
        <v>1万木材</v>
      </c>
      <c r="F5199" s="72">
        <v>7</v>
      </c>
      <c r="K5199" s="13">
        <v>1</v>
      </c>
      <c r="L5199" s="13"/>
      <c r="M5199" s="72" t="b">
        <v>1</v>
      </c>
    </row>
    <row r="5200" spans="1:13" s="4" customFormat="1" x14ac:dyDescent="0.25">
      <c r="A5200" s="72"/>
      <c r="B5200" s="72"/>
      <c r="D5200" s="13">
        <v>232</v>
      </c>
      <c r="E5200" s="136" t="str">
        <f>INDEX([1]道具配置表!$D:$D,MATCH(D5200,[1]道具配置表!$A:$A,0))</f>
        <v>1万食物</v>
      </c>
      <c r="F5200" s="72">
        <v>7</v>
      </c>
      <c r="K5200" s="13">
        <v>1</v>
      </c>
      <c r="L5200" s="13"/>
      <c r="M5200" s="72" t="b">
        <v>1</v>
      </c>
    </row>
    <row r="5201" spans="1:13" s="4" customFormat="1" x14ac:dyDescent="0.25">
      <c r="A5201" s="72"/>
      <c r="B5201" s="72"/>
      <c r="D5201" s="13">
        <v>233</v>
      </c>
      <c r="E5201" s="136" t="str">
        <f>INDEX([1]道具配置表!$D:$D,MATCH(D5201,[1]道具配置表!$A:$A,0))</f>
        <v>1万石头</v>
      </c>
      <c r="F5201" s="72">
        <v>7</v>
      </c>
      <c r="K5201" s="13">
        <v>1</v>
      </c>
      <c r="L5201" s="13"/>
      <c r="M5201" s="72" t="b">
        <v>1</v>
      </c>
    </row>
    <row r="5202" spans="1:13" s="4" customFormat="1" x14ac:dyDescent="0.25">
      <c r="A5202" s="72"/>
      <c r="B5202" s="72"/>
      <c r="D5202" s="13">
        <v>234</v>
      </c>
      <c r="E5202" s="136" t="str">
        <f>INDEX([1]道具配置表!$D:$D,MATCH(D5202,[1]道具配置表!$A:$A,0))</f>
        <v>1万黄金</v>
      </c>
      <c r="F5202" s="72">
        <v>7</v>
      </c>
      <c r="K5202" s="13">
        <v>1</v>
      </c>
      <c r="L5202" s="13"/>
      <c r="M5202" s="72" t="b">
        <v>1</v>
      </c>
    </row>
    <row r="5203" spans="1:13" s="4" customFormat="1" x14ac:dyDescent="0.25">
      <c r="A5203" s="72">
        <v>6643224</v>
      </c>
      <c r="B5203" s="72" t="s">
        <v>632</v>
      </c>
      <c r="D5203" s="13">
        <v>20000</v>
      </c>
      <c r="E5203" s="136" t="str">
        <f>INDEX([1]道具配置表!$D:$D,MATCH(D5203,[1]道具配置表!$A:$A,0))</f>
        <v>技能点1</v>
      </c>
      <c r="F5203" s="72">
        <v>450</v>
      </c>
      <c r="K5203" s="13">
        <v>1</v>
      </c>
      <c r="L5203" s="13"/>
      <c r="M5203" s="72" t="b">
        <v>1</v>
      </c>
    </row>
    <row r="5204" spans="1:13" s="4" customFormat="1" x14ac:dyDescent="0.25">
      <c r="A5204" s="72"/>
      <c r="B5204" s="72"/>
      <c r="D5204" s="13">
        <v>231</v>
      </c>
      <c r="E5204" s="136" t="str">
        <f>INDEX([1]道具配置表!$D:$D,MATCH(D5204,[1]道具配置表!$A:$A,0))</f>
        <v>1万木材</v>
      </c>
      <c r="F5204" s="72">
        <v>8</v>
      </c>
      <c r="K5204" s="13">
        <v>1</v>
      </c>
      <c r="L5204" s="13"/>
      <c r="M5204" s="72" t="b">
        <v>1</v>
      </c>
    </row>
    <row r="5205" spans="1:13" s="4" customFormat="1" x14ac:dyDescent="0.25">
      <c r="A5205" s="72"/>
      <c r="B5205" s="72"/>
      <c r="D5205" s="13">
        <v>232</v>
      </c>
      <c r="E5205" s="136" t="str">
        <f>INDEX([1]道具配置表!$D:$D,MATCH(D5205,[1]道具配置表!$A:$A,0))</f>
        <v>1万食物</v>
      </c>
      <c r="F5205" s="72">
        <v>8</v>
      </c>
      <c r="K5205" s="13">
        <v>1</v>
      </c>
      <c r="L5205" s="13"/>
      <c r="M5205" s="72" t="b">
        <v>1</v>
      </c>
    </row>
    <row r="5206" spans="1:13" s="4" customFormat="1" x14ac:dyDescent="0.25">
      <c r="A5206" s="72"/>
      <c r="B5206" s="72"/>
      <c r="D5206" s="13">
        <v>233</v>
      </c>
      <c r="E5206" s="136" t="str">
        <f>INDEX([1]道具配置表!$D:$D,MATCH(D5206,[1]道具配置表!$A:$A,0))</f>
        <v>1万石头</v>
      </c>
      <c r="F5206" s="72">
        <v>8</v>
      </c>
      <c r="K5206" s="13">
        <v>1</v>
      </c>
      <c r="L5206" s="13"/>
      <c r="M5206" s="72" t="b">
        <v>1</v>
      </c>
    </row>
    <row r="5207" spans="1:13" s="4" customFormat="1" x14ac:dyDescent="0.25">
      <c r="A5207" s="72"/>
      <c r="B5207" s="72"/>
      <c r="D5207" s="13">
        <v>234</v>
      </c>
      <c r="E5207" s="136" t="str">
        <f>INDEX([1]道具配置表!$D:$D,MATCH(D5207,[1]道具配置表!$A:$A,0))</f>
        <v>1万黄金</v>
      </c>
      <c r="F5207" s="72">
        <v>8</v>
      </c>
      <c r="K5207" s="13">
        <v>1</v>
      </c>
      <c r="L5207" s="13"/>
      <c r="M5207" s="72" t="b">
        <v>1</v>
      </c>
    </row>
    <row r="5208" spans="1:13" s="4" customFormat="1" x14ac:dyDescent="0.25">
      <c r="A5208" s="72">
        <v>6643225</v>
      </c>
      <c r="B5208" s="72" t="s">
        <v>633</v>
      </c>
      <c r="D5208" s="13">
        <v>20000</v>
      </c>
      <c r="E5208" s="136" t="str">
        <f>INDEX([1]道具配置表!$D:$D,MATCH(D5208,[1]道具配置表!$A:$A,0))</f>
        <v>技能点1</v>
      </c>
      <c r="F5208" s="72">
        <v>500</v>
      </c>
      <c r="K5208" s="13">
        <v>1</v>
      </c>
      <c r="L5208" s="13"/>
      <c r="M5208" s="72" t="b">
        <v>1</v>
      </c>
    </row>
    <row r="5209" spans="1:13" s="4" customFormat="1" x14ac:dyDescent="0.25">
      <c r="A5209" s="72"/>
      <c r="B5209" s="72"/>
      <c r="D5209" s="13">
        <v>231</v>
      </c>
      <c r="E5209" s="136" t="str">
        <f>INDEX([1]道具配置表!$D:$D,MATCH(D5209,[1]道具配置表!$A:$A,0))</f>
        <v>1万木材</v>
      </c>
      <c r="F5209" s="72">
        <v>9</v>
      </c>
      <c r="K5209" s="13">
        <v>1</v>
      </c>
      <c r="L5209" s="13"/>
      <c r="M5209" s="72" t="b">
        <v>1</v>
      </c>
    </row>
    <row r="5210" spans="1:13" s="4" customFormat="1" x14ac:dyDescent="0.25">
      <c r="A5210" s="72"/>
      <c r="B5210" s="72"/>
      <c r="D5210" s="13">
        <v>232</v>
      </c>
      <c r="E5210" s="136" t="str">
        <f>INDEX([1]道具配置表!$D:$D,MATCH(D5210,[1]道具配置表!$A:$A,0))</f>
        <v>1万食物</v>
      </c>
      <c r="F5210" s="72">
        <v>9</v>
      </c>
      <c r="K5210" s="13">
        <v>1</v>
      </c>
      <c r="L5210" s="13"/>
      <c r="M5210" s="72" t="b">
        <v>1</v>
      </c>
    </row>
    <row r="5211" spans="1:13" s="4" customFormat="1" x14ac:dyDescent="0.25">
      <c r="A5211" s="72"/>
      <c r="B5211" s="72"/>
      <c r="D5211" s="13">
        <v>233</v>
      </c>
      <c r="E5211" s="136" t="str">
        <f>INDEX([1]道具配置表!$D:$D,MATCH(D5211,[1]道具配置表!$A:$A,0))</f>
        <v>1万石头</v>
      </c>
      <c r="F5211" s="72">
        <v>9</v>
      </c>
      <c r="K5211" s="13">
        <v>1</v>
      </c>
      <c r="L5211" s="13"/>
      <c r="M5211" s="72" t="b">
        <v>1</v>
      </c>
    </row>
    <row r="5212" spans="1:13" s="4" customFormat="1" x14ac:dyDescent="0.25">
      <c r="A5212" s="72"/>
      <c r="B5212" s="72"/>
      <c r="D5212" s="13">
        <v>234</v>
      </c>
      <c r="E5212" s="136" t="str">
        <f>INDEX([1]道具配置表!$D:$D,MATCH(D5212,[1]道具配置表!$A:$A,0))</f>
        <v>1万黄金</v>
      </c>
      <c r="F5212" s="72">
        <v>9</v>
      </c>
      <c r="K5212" s="13">
        <v>1</v>
      </c>
      <c r="L5212" s="13"/>
      <c r="M5212" s="72" t="b">
        <v>1</v>
      </c>
    </row>
    <row r="5213" spans="1:13" s="4" customFormat="1" x14ac:dyDescent="0.25">
      <c r="A5213" s="72">
        <v>6643226</v>
      </c>
      <c r="B5213" s="72" t="s">
        <v>1052</v>
      </c>
      <c r="D5213" s="13">
        <v>20000</v>
      </c>
      <c r="E5213" s="136" t="str">
        <f>INDEX([1]道具配置表!$D:$D,MATCH(D5213,[1]道具配置表!$A:$A,0))</f>
        <v>技能点1</v>
      </c>
      <c r="F5213" s="72">
        <v>350</v>
      </c>
      <c r="K5213" s="13">
        <v>1</v>
      </c>
      <c r="L5213" s="13"/>
      <c r="M5213" s="72" t="b">
        <v>1</v>
      </c>
    </row>
    <row r="5214" spans="1:13" s="4" customFormat="1" x14ac:dyDescent="0.25">
      <c r="A5214" s="72"/>
      <c r="B5214" s="72"/>
      <c r="D5214" s="13">
        <v>231</v>
      </c>
      <c r="E5214" s="136" t="str">
        <f>INDEX([1]道具配置表!$D:$D,MATCH(D5214,[1]道具配置表!$A:$A,0))</f>
        <v>1万木材</v>
      </c>
      <c r="F5214" s="72">
        <v>6</v>
      </c>
      <c r="K5214" s="13">
        <v>1</v>
      </c>
      <c r="L5214" s="13"/>
      <c r="M5214" s="72" t="b">
        <v>1</v>
      </c>
    </row>
    <row r="5215" spans="1:13" s="4" customFormat="1" x14ac:dyDescent="0.25">
      <c r="A5215" s="72"/>
      <c r="B5215" s="72"/>
      <c r="D5215" s="13">
        <v>232</v>
      </c>
      <c r="E5215" s="136" t="str">
        <f>INDEX([1]道具配置表!$D:$D,MATCH(D5215,[1]道具配置表!$A:$A,0))</f>
        <v>1万食物</v>
      </c>
      <c r="F5215" s="72">
        <v>6</v>
      </c>
      <c r="K5215" s="13">
        <v>1</v>
      </c>
      <c r="L5215" s="13"/>
      <c r="M5215" s="72" t="b">
        <v>1</v>
      </c>
    </row>
    <row r="5216" spans="1:13" s="4" customFormat="1" x14ac:dyDescent="0.25">
      <c r="A5216" s="72"/>
      <c r="B5216" s="72"/>
      <c r="D5216" s="13">
        <v>233</v>
      </c>
      <c r="E5216" s="136" t="str">
        <f>INDEX([1]道具配置表!$D:$D,MATCH(D5216,[1]道具配置表!$A:$A,0))</f>
        <v>1万石头</v>
      </c>
      <c r="F5216" s="72">
        <v>6</v>
      </c>
      <c r="K5216" s="13">
        <v>1</v>
      </c>
      <c r="L5216" s="13"/>
      <c r="M5216" s="72" t="b">
        <v>1</v>
      </c>
    </row>
    <row r="5217" spans="1:13" s="4" customFormat="1" x14ac:dyDescent="0.25">
      <c r="A5217" s="72"/>
      <c r="B5217" s="72"/>
      <c r="D5217" s="13">
        <v>234</v>
      </c>
      <c r="E5217" s="136" t="str">
        <f>INDEX([1]道具配置表!$D:$D,MATCH(D5217,[1]道具配置表!$A:$A,0))</f>
        <v>1万黄金</v>
      </c>
      <c r="F5217" s="72">
        <v>6</v>
      </c>
      <c r="K5217" s="13">
        <v>1</v>
      </c>
      <c r="L5217" s="13"/>
      <c r="M5217" s="72" t="b">
        <v>1</v>
      </c>
    </row>
    <row r="5218" spans="1:13" s="4" customFormat="1" x14ac:dyDescent="0.25">
      <c r="A5218" s="72">
        <v>6643227</v>
      </c>
      <c r="B5218" s="72" t="s">
        <v>1053</v>
      </c>
      <c r="D5218" s="13">
        <v>20000</v>
      </c>
      <c r="E5218" s="136" t="str">
        <f>INDEX([1]道具配置表!$D:$D,MATCH(D5218,[1]道具配置表!$A:$A,0))</f>
        <v>技能点1</v>
      </c>
      <c r="F5218" s="72">
        <v>400</v>
      </c>
      <c r="K5218" s="13">
        <v>1</v>
      </c>
      <c r="L5218" s="13"/>
      <c r="M5218" s="72" t="b">
        <v>1</v>
      </c>
    </row>
    <row r="5219" spans="1:13" s="4" customFormat="1" x14ac:dyDescent="0.25">
      <c r="A5219" s="72"/>
      <c r="B5219" s="72"/>
      <c r="D5219" s="13">
        <v>231</v>
      </c>
      <c r="E5219" s="136" t="str">
        <f>INDEX([1]道具配置表!$D:$D,MATCH(D5219,[1]道具配置表!$A:$A,0))</f>
        <v>1万木材</v>
      </c>
      <c r="F5219" s="72">
        <v>7</v>
      </c>
      <c r="K5219" s="13">
        <v>1</v>
      </c>
      <c r="L5219" s="13"/>
      <c r="M5219" s="72" t="b">
        <v>1</v>
      </c>
    </row>
    <row r="5220" spans="1:13" s="4" customFormat="1" x14ac:dyDescent="0.25">
      <c r="A5220" s="72"/>
      <c r="B5220" s="72"/>
      <c r="D5220" s="13">
        <v>232</v>
      </c>
      <c r="E5220" s="136" t="str">
        <f>INDEX([1]道具配置表!$D:$D,MATCH(D5220,[1]道具配置表!$A:$A,0))</f>
        <v>1万食物</v>
      </c>
      <c r="F5220" s="72">
        <v>7</v>
      </c>
      <c r="K5220" s="13">
        <v>1</v>
      </c>
      <c r="L5220" s="13"/>
      <c r="M5220" s="72" t="b">
        <v>1</v>
      </c>
    </row>
    <row r="5221" spans="1:13" s="4" customFormat="1" x14ac:dyDescent="0.25">
      <c r="A5221" s="72"/>
      <c r="B5221" s="72"/>
      <c r="D5221" s="13">
        <v>233</v>
      </c>
      <c r="E5221" s="136" t="str">
        <f>INDEX([1]道具配置表!$D:$D,MATCH(D5221,[1]道具配置表!$A:$A,0))</f>
        <v>1万石头</v>
      </c>
      <c r="F5221" s="72">
        <v>7</v>
      </c>
      <c r="K5221" s="13">
        <v>1</v>
      </c>
      <c r="L5221" s="13"/>
      <c r="M5221" s="72" t="b">
        <v>1</v>
      </c>
    </row>
    <row r="5222" spans="1:13" s="4" customFormat="1" x14ac:dyDescent="0.25">
      <c r="A5222" s="72"/>
      <c r="B5222" s="72"/>
      <c r="D5222" s="13">
        <v>234</v>
      </c>
      <c r="E5222" s="136" t="str">
        <f>INDEX([1]道具配置表!$D:$D,MATCH(D5222,[1]道具配置表!$A:$A,0))</f>
        <v>1万黄金</v>
      </c>
      <c r="F5222" s="72">
        <v>7</v>
      </c>
      <c r="K5222" s="13">
        <v>1</v>
      </c>
      <c r="L5222" s="13"/>
      <c r="M5222" s="72" t="b">
        <v>1</v>
      </c>
    </row>
    <row r="5223" spans="1:13" s="4" customFormat="1" x14ac:dyDescent="0.25">
      <c r="A5223" s="72">
        <v>6643228</v>
      </c>
      <c r="B5223" s="72" t="s">
        <v>1054</v>
      </c>
      <c r="D5223" s="13">
        <v>20000</v>
      </c>
      <c r="E5223" s="136" t="str">
        <f>INDEX([1]道具配置表!$D:$D,MATCH(D5223,[1]道具配置表!$A:$A,0))</f>
        <v>技能点1</v>
      </c>
      <c r="F5223" s="72">
        <v>450</v>
      </c>
      <c r="K5223" s="13">
        <v>1</v>
      </c>
      <c r="L5223" s="13"/>
      <c r="M5223" s="72" t="b">
        <v>1</v>
      </c>
    </row>
    <row r="5224" spans="1:13" s="4" customFormat="1" x14ac:dyDescent="0.25">
      <c r="A5224" s="72"/>
      <c r="B5224" s="72"/>
      <c r="D5224" s="13">
        <v>231</v>
      </c>
      <c r="E5224" s="136" t="str">
        <f>INDEX([1]道具配置表!$D:$D,MATCH(D5224,[1]道具配置表!$A:$A,0))</f>
        <v>1万木材</v>
      </c>
      <c r="F5224" s="72">
        <v>8</v>
      </c>
      <c r="K5224" s="13">
        <v>1</v>
      </c>
      <c r="L5224" s="13"/>
      <c r="M5224" s="72" t="b">
        <v>1</v>
      </c>
    </row>
    <row r="5225" spans="1:13" s="4" customFormat="1" x14ac:dyDescent="0.25">
      <c r="A5225" s="72"/>
      <c r="B5225" s="72"/>
      <c r="D5225" s="13">
        <v>232</v>
      </c>
      <c r="E5225" s="136" t="str">
        <f>INDEX([1]道具配置表!$D:$D,MATCH(D5225,[1]道具配置表!$A:$A,0))</f>
        <v>1万食物</v>
      </c>
      <c r="F5225" s="72">
        <v>8</v>
      </c>
      <c r="K5225" s="13">
        <v>1</v>
      </c>
      <c r="L5225" s="13"/>
      <c r="M5225" s="72" t="b">
        <v>1</v>
      </c>
    </row>
    <row r="5226" spans="1:13" s="4" customFormat="1" x14ac:dyDescent="0.25">
      <c r="A5226" s="72"/>
      <c r="B5226" s="72"/>
      <c r="D5226" s="13">
        <v>233</v>
      </c>
      <c r="E5226" s="136" t="str">
        <f>INDEX([1]道具配置表!$D:$D,MATCH(D5226,[1]道具配置表!$A:$A,0))</f>
        <v>1万石头</v>
      </c>
      <c r="F5226" s="72">
        <v>8</v>
      </c>
      <c r="K5226" s="13">
        <v>1</v>
      </c>
      <c r="L5226" s="13"/>
      <c r="M5226" s="72" t="b">
        <v>1</v>
      </c>
    </row>
    <row r="5227" spans="1:13" s="4" customFormat="1" x14ac:dyDescent="0.25">
      <c r="A5227" s="72"/>
      <c r="B5227" s="72"/>
      <c r="D5227" s="13">
        <v>234</v>
      </c>
      <c r="E5227" s="136" t="str">
        <f>INDEX([1]道具配置表!$D:$D,MATCH(D5227,[1]道具配置表!$A:$A,0))</f>
        <v>1万黄金</v>
      </c>
      <c r="F5227" s="72">
        <v>8</v>
      </c>
      <c r="K5227" s="13">
        <v>1</v>
      </c>
      <c r="L5227" s="13"/>
      <c r="M5227" s="72" t="b">
        <v>1</v>
      </c>
    </row>
    <row r="5228" spans="1:13" s="4" customFormat="1" x14ac:dyDescent="0.25">
      <c r="A5228" s="72">
        <v>6643229</v>
      </c>
      <c r="B5228" s="72" t="s">
        <v>1055</v>
      </c>
      <c r="D5228" s="13">
        <v>20000</v>
      </c>
      <c r="E5228" s="136" t="str">
        <f>INDEX([1]道具配置表!$D:$D,MATCH(D5228,[1]道具配置表!$A:$A,0))</f>
        <v>技能点1</v>
      </c>
      <c r="F5228" s="72">
        <v>500</v>
      </c>
      <c r="K5228" s="13">
        <v>1</v>
      </c>
      <c r="L5228" s="13"/>
      <c r="M5228" s="72" t="b">
        <v>1</v>
      </c>
    </row>
    <row r="5229" spans="1:13" s="4" customFormat="1" x14ac:dyDescent="0.25">
      <c r="A5229" s="72"/>
      <c r="B5229" s="72"/>
      <c r="D5229" s="13">
        <v>231</v>
      </c>
      <c r="E5229" s="136" t="str">
        <f>INDEX([1]道具配置表!$D:$D,MATCH(D5229,[1]道具配置表!$A:$A,0))</f>
        <v>1万木材</v>
      </c>
      <c r="F5229" s="72">
        <v>9</v>
      </c>
      <c r="K5229" s="13">
        <v>1</v>
      </c>
      <c r="L5229" s="13"/>
      <c r="M5229" s="72" t="b">
        <v>1</v>
      </c>
    </row>
    <row r="5230" spans="1:13" s="4" customFormat="1" x14ac:dyDescent="0.25">
      <c r="A5230" s="72"/>
      <c r="B5230" s="72"/>
      <c r="D5230" s="13">
        <v>232</v>
      </c>
      <c r="E5230" s="136" t="str">
        <f>INDEX([1]道具配置表!$D:$D,MATCH(D5230,[1]道具配置表!$A:$A,0))</f>
        <v>1万食物</v>
      </c>
      <c r="F5230" s="72">
        <v>9</v>
      </c>
      <c r="K5230" s="13">
        <v>1</v>
      </c>
      <c r="L5230" s="13"/>
      <c r="M5230" s="72" t="b">
        <v>1</v>
      </c>
    </row>
    <row r="5231" spans="1:13" s="4" customFormat="1" x14ac:dyDescent="0.25">
      <c r="A5231" s="72"/>
      <c r="B5231" s="72"/>
      <c r="D5231" s="13">
        <v>233</v>
      </c>
      <c r="E5231" s="136" t="str">
        <f>INDEX([1]道具配置表!$D:$D,MATCH(D5231,[1]道具配置表!$A:$A,0))</f>
        <v>1万石头</v>
      </c>
      <c r="F5231" s="72">
        <v>9</v>
      </c>
      <c r="K5231" s="13">
        <v>1</v>
      </c>
      <c r="L5231" s="13"/>
      <c r="M5231" s="72" t="b">
        <v>1</v>
      </c>
    </row>
    <row r="5232" spans="1:13" s="4" customFormat="1" x14ac:dyDescent="0.25">
      <c r="A5232" s="72"/>
      <c r="B5232" s="72"/>
      <c r="D5232" s="13">
        <v>234</v>
      </c>
      <c r="E5232" s="136" t="str">
        <f>INDEX([1]道具配置表!$D:$D,MATCH(D5232,[1]道具配置表!$A:$A,0))</f>
        <v>1万黄金</v>
      </c>
      <c r="F5232" s="72">
        <v>9</v>
      </c>
      <c r="K5232" s="13">
        <v>1</v>
      </c>
      <c r="L5232" s="13"/>
      <c r="M5232" s="72" t="b">
        <v>1</v>
      </c>
    </row>
    <row r="5233" spans="1:13" s="4" customFormat="1" x14ac:dyDescent="0.25">
      <c r="A5233" s="72">
        <v>6643230</v>
      </c>
      <c r="B5233" s="72" t="s">
        <v>1056</v>
      </c>
      <c r="D5233" s="13">
        <v>20000</v>
      </c>
      <c r="E5233" s="136" t="str">
        <f>INDEX([1]道具配置表!$D:$D,MATCH(D5233,[1]道具配置表!$A:$A,0))</f>
        <v>技能点1</v>
      </c>
      <c r="F5233" s="72">
        <v>550</v>
      </c>
      <c r="K5233" s="13">
        <v>1</v>
      </c>
      <c r="L5233" s="13"/>
      <c r="M5233" s="72" t="b">
        <v>1</v>
      </c>
    </row>
    <row r="5234" spans="1:13" s="4" customFormat="1" x14ac:dyDescent="0.25">
      <c r="A5234" s="72"/>
      <c r="B5234" s="72"/>
      <c r="D5234" s="13">
        <v>231</v>
      </c>
      <c r="E5234" s="136" t="str">
        <f>INDEX([1]道具配置表!$D:$D,MATCH(D5234,[1]道具配置表!$A:$A,0))</f>
        <v>1万木材</v>
      </c>
      <c r="F5234" s="72">
        <v>10</v>
      </c>
      <c r="K5234" s="13">
        <v>1</v>
      </c>
      <c r="L5234" s="13"/>
      <c r="M5234" s="72" t="b">
        <v>1</v>
      </c>
    </row>
    <row r="5235" spans="1:13" s="4" customFormat="1" x14ac:dyDescent="0.25">
      <c r="A5235" s="72"/>
      <c r="B5235" s="72"/>
      <c r="D5235" s="13">
        <v>232</v>
      </c>
      <c r="E5235" s="136" t="str">
        <f>INDEX([1]道具配置表!$D:$D,MATCH(D5235,[1]道具配置表!$A:$A,0))</f>
        <v>1万食物</v>
      </c>
      <c r="F5235" s="72">
        <v>10</v>
      </c>
      <c r="K5235" s="13">
        <v>1</v>
      </c>
      <c r="L5235" s="13"/>
      <c r="M5235" s="72" t="b">
        <v>1</v>
      </c>
    </row>
    <row r="5236" spans="1:13" s="4" customFormat="1" x14ac:dyDescent="0.25">
      <c r="A5236" s="72"/>
      <c r="B5236" s="72"/>
      <c r="D5236" s="13">
        <v>233</v>
      </c>
      <c r="E5236" s="136" t="str">
        <f>INDEX([1]道具配置表!$D:$D,MATCH(D5236,[1]道具配置表!$A:$A,0))</f>
        <v>1万石头</v>
      </c>
      <c r="F5236" s="72">
        <v>10</v>
      </c>
      <c r="K5236" s="13">
        <v>1</v>
      </c>
      <c r="L5236" s="13"/>
      <c r="M5236" s="72" t="b">
        <v>1</v>
      </c>
    </row>
    <row r="5237" spans="1:13" s="4" customFormat="1" x14ac:dyDescent="0.25">
      <c r="A5237" s="72"/>
      <c r="B5237" s="72"/>
      <c r="D5237" s="13">
        <v>234</v>
      </c>
      <c r="E5237" s="136" t="str">
        <f>INDEX([1]道具配置表!$D:$D,MATCH(D5237,[1]道具配置表!$A:$A,0))</f>
        <v>1万黄金</v>
      </c>
      <c r="F5237" s="72">
        <v>10</v>
      </c>
      <c r="K5237" s="13">
        <v>1</v>
      </c>
      <c r="L5237" s="13"/>
      <c r="M5237" s="72" t="b">
        <v>1</v>
      </c>
    </row>
    <row r="5238" spans="1:13" s="4" customFormat="1" x14ac:dyDescent="0.25">
      <c r="A5238" s="72">
        <v>6643301</v>
      </c>
      <c r="B5238" s="72" t="s">
        <v>1057</v>
      </c>
      <c r="D5238" s="13">
        <v>7003</v>
      </c>
      <c r="E5238" s="136" t="str">
        <f>INDEX([1]道具配置表!$D:$D,MATCH(D5238,[1]道具配置表!$A:$A,0))</f>
        <v>1银币（立即使用，不进背包）</v>
      </c>
      <c r="F5238" s="72">
        <v>500</v>
      </c>
      <c r="K5238" s="13">
        <v>1</v>
      </c>
      <c r="L5238" s="13"/>
      <c r="M5238" s="72" t="b">
        <v>1</v>
      </c>
    </row>
    <row r="5239" spans="1:13" s="4" customFormat="1" x14ac:dyDescent="0.25">
      <c r="A5239" s="72"/>
      <c r="B5239" s="72"/>
      <c r="D5239" s="13">
        <v>504</v>
      </c>
      <c r="E5239" s="136" t="str">
        <f>INDEX([1]道具配置表!$D:$D,MATCH(D5239,[1]道具配置表!$A:$A,0))</f>
        <v>10万资源自选宝箱</v>
      </c>
      <c r="F5239" s="72">
        <v>7</v>
      </c>
      <c r="K5239" s="13">
        <v>1</v>
      </c>
      <c r="L5239" s="13"/>
      <c r="M5239" s="72" t="b">
        <v>1</v>
      </c>
    </row>
    <row r="5240" spans="1:13" s="4" customFormat="1" x14ac:dyDescent="0.25">
      <c r="A5240" s="72">
        <v>6643302</v>
      </c>
      <c r="B5240" s="72" t="s">
        <v>1058</v>
      </c>
      <c r="D5240" s="13">
        <v>7003</v>
      </c>
      <c r="E5240" s="136" t="str">
        <f>INDEX([1]道具配置表!$D:$D,MATCH(D5240,[1]道具配置表!$A:$A,0))</f>
        <v>1银币（立即使用，不进背包）</v>
      </c>
      <c r="F5240" s="72">
        <v>400</v>
      </c>
      <c r="K5240" s="13">
        <v>1</v>
      </c>
      <c r="L5240" s="13"/>
      <c r="M5240" s="72" t="b">
        <v>1</v>
      </c>
    </row>
    <row r="5241" spans="1:13" s="4" customFormat="1" x14ac:dyDescent="0.25">
      <c r="A5241" s="72"/>
      <c r="B5241" s="72"/>
      <c r="D5241" s="13">
        <v>504</v>
      </c>
      <c r="E5241" s="136" t="str">
        <f>INDEX([1]道具配置表!$D:$D,MATCH(D5241,[1]道具配置表!$A:$A,0))</f>
        <v>10万资源自选宝箱</v>
      </c>
      <c r="F5241" s="72">
        <v>6</v>
      </c>
      <c r="K5241" s="13">
        <v>1</v>
      </c>
      <c r="L5241" s="13"/>
      <c r="M5241" s="72" t="b">
        <v>1</v>
      </c>
    </row>
    <row r="5242" spans="1:13" s="4" customFormat="1" x14ac:dyDescent="0.25">
      <c r="A5242" s="72">
        <v>6643303</v>
      </c>
      <c r="B5242" s="72" t="s">
        <v>1059</v>
      </c>
      <c r="D5242" s="13">
        <v>7003</v>
      </c>
      <c r="E5242" s="136" t="str">
        <f>INDEX([1]道具配置表!$D:$D,MATCH(D5242,[1]道具配置表!$A:$A,0))</f>
        <v>1银币（立即使用，不进背包）</v>
      </c>
      <c r="F5242" s="72">
        <v>300</v>
      </c>
      <c r="K5242" s="13">
        <v>1</v>
      </c>
      <c r="L5242" s="13"/>
      <c r="M5242" s="72" t="b">
        <v>1</v>
      </c>
    </row>
    <row r="5243" spans="1:13" s="4" customFormat="1" x14ac:dyDescent="0.25">
      <c r="A5243" s="72"/>
      <c r="B5243" s="72"/>
      <c r="D5243" s="13">
        <v>504</v>
      </c>
      <c r="E5243" s="136" t="str">
        <f>INDEX([1]道具配置表!$D:$D,MATCH(D5243,[1]道具配置表!$A:$A,0))</f>
        <v>10万资源自选宝箱</v>
      </c>
      <c r="F5243" s="72">
        <v>5</v>
      </c>
      <c r="K5243" s="13">
        <v>1</v>
      </c>
      <c r="L5243" s="13"/>
      <c r="M5243" s="72" t="b">
        <v>1</v>
      </c>
    </row>
    <row r="5244" spans="1:13" s="4" customFormat="1" x14ac:dyDescent="0.25">
      <c r="A5244" s="72">
        <v>6643304</v>
      </c>
      <c r="B5244" s="72" t="s">
        <v>1060</v>
      </c>
      <c r="D5244" s="13">
        <v>7003</v>
      </c>
      <c r="E5244" s="136" t="str">
        <f>INDEX([1]道具配置表!$D:$D,MATCH(D5244,[1]道具配置表!$A:$A,0))</f>
        <v>1银币（立即使用，不进背包）</v>
      </c>
      <c r="F5244" s="72">
        <v>250</v>
      </c>
      <c r="K5244" s="13">
        <v>1</v>
      </c>
      <c r="L5244" s="13"/>
      <c r="M5244" s="72" t="b">
        <v>1</v>
      </c>
    </row>
    <row r="5245" spans="1:13" s="4" customFormat="1" x14ac:dyDescent="0.25">
      <c r="A5245" s="72"/>
      <c r="B5245" s="72"/>
      <c r="D5245" s="13">
        <v>504</v>
      </c>
      <c r="E5245" s="136" t="str">
        <f>INDEX([1]道具配置表!$D:$D,MATCH(D5245,[1]道具配置表!$A:$A,0))</f>
        <v>10万资源自选宝箱</v>
      </c>
      <c r="F5245" s="72">
        <v>4</v>
      </c>
      <c r="K5245" s="13">
        <v>1</v>
      </c>
      <c r="L5245" s="13"/>
      <c r="M5245" s="72" t="b">
        <v>1</v>
      </c>
    </row>
    <row r="5246" spans="1:13" s="4" customFormat="1" x14ac:dyDescent="0.25">
      <c r="A5246" s="72">
        <v>6643305</v>
      </c>
      <c r="B5246" s="72" t="s">
        <v>1061</v>
      </c>
      <c r="D5246" s="13">
        <v>7003</v>
      </c>
      <c r="E5246" s="136" t="str">
        <f>INDEX([1]道具配置表!$D:$D,MATCH(D5246,[1]道具配置表!$A:$A,0))</f>
        <v>1银币（立即使用，不进背包）</v>
      </c>
      <c r="F5246" s="72">
        <v>200</v>
      </c>
      <c r="K5246" s="13">
        <v>1</v>
      </c>
      <c r="L5246" s="13"/>
      <c r="M5246" s="72" t="b">
        <v>1</v>
      </c>
    </row>
    <row r="5247" spans="1:13" s="4" customFormat="1" x14ac:dyDescent="0.25">
      <c r="A5247" s="72"/>
      <c r="B5247" s="72"/>
      <c r="D5247" s="13">
        <v>504</v>
      </c>
      <c r="E5247" s="136" t="str">
        <f>INDEX([1]道具配置表!$D:$D,MATCH(D5247,[1]道具配置表!$A:$A,0))</f>
        <v>10万资源自选宝箱</v>
      </c>
      <c r="F5247" s="72">
        <v>3</v>
      </c>
      <c r="K5247" s="13">
        <v>1</v>
      </c>
      <c r="L5247" s="13"/>
      <c r="M5247" s="72" t="b">
        <v>1</v>
      </c>
    </row>
    <row r="5248" spans="1:13" s="4" customFormat="1" x14ac:dyDescent="0.25">
      <c r="A5248" s="72">
        <v>6643306</v>
      </c>
      <c r="B5248" s="72" t="s">
        <v>1062</v>
      </c>
      <c r="D5248" s="13">
        <v>7003</v>
      </c>
      <c r="E5248" s="136" t="str">
        <f>INDEX([1]道具配置表!$D:$D,MATCH(D5248,[1]道具配置表!$A:$A,0))</f>
        <v>1银币（立即使用，不进背包）</v>
      </c>
      <c r="F5248" s="72">
        <v>150</v>
      </c>
      <c r="K5248" s="13">
        <v>1</v>
      </c>
      <c r="L5248" s="13"/>
      <c r="M5248" s="72" t="b">
        <v>1</v>
      </c>
    </row>
    <row r="5249" spans="1:13" s="4" customFormat="1" x14ac:dyDescent="0.25">
      <c r="A5249" s="72"/>
      <c r="B5249" s="72"/>
      <c r="D5249" s="13">
        <v>504</v>
      </c>
      <c r="E5249" s="136" t="str">
        <f>INDEX([1]道具配置表!$D:$D,MATCH(D5249,[1]道具配置表!$A:$A,0))</f>
        <v>10万资源自选宝箱</v>
      </c>
      <c r="F5249" s="72">
        <v>2</v>
      </c>
      <c r="K5249" s="13">
        <v>1</v>
      </c>
      <c r="L5249" s="13"/>
      <c r="M5249" s="72" t="b">
        <v>1</v>
      </c>
    </row>
    <row r="5250" spans="1:13" s="4" customFormat="1" x14ac:dyDescent="0.25">
      <c r="A5250" s="72">
        <v>6643307</v>
      </c>
      <c r="B5250" s="72" t="s">
        <v>1063</v>
      </c>
      <c r="D5250" s="13">
        <v>7003</v>
      </c>
      <c r="E5250" s="136" t="str">
        <f>INDEX([1]道具配置表!$D:$D,MATCH(D5250,[1]道具配置表!$A:$A,0))</f>
        <v>1银币（立即使用，不进背包）</v>
      </c>
      <c r="F5250" s="72">
        <v>100</v>
      </c>
      <c r="K5250" s="13">
        <v>1</v>
      </c>
      <c r="L5250" s="13"/>
      <c r="M5250" s="72" t="b">
        <v>1</v>
      </c>
    </row>
    <row r="5251" spans="1:13" s="4" customFormat="1" x14ac:dyDescent="0.25">
      <c r="A5251" s="72"/>
      <c r="B5251" s="72"/>
      <c r="D5251" s="13">
        <v>504</v>
      </c>
      <c r="E5251" s="136" t="str">
        <f>INDEX([1]道具配置表!$D:$D,MATCH(D5251,[1]道具配置表!$A:$A,0))</f>
        <v>10万资源自选宝箱</v>
      </c>
      <c r="F5251" s="72">
        <v>1</v>
      </c>
      <c r="K5251" s="13">
        <v>1</v>
      </c>
      <c r="L5251" s="13"/>
      <c r="M5251" s="72" t="b">
        <v>1</v>
      </c>
    </row>
    <row r="5252" spans="1:13" s="4" customFormat="1" x14ac:dyDescent="0.25">
      <c r="A5252" s="102">
        <v>6650001</v>
      </c>
      <c r="B5252" s="102" t="s">
        <v>1223</v>
      </c>
      <c r="D5252" s="102">
        <v>3000001</v>
      </c>
      <c r="E5252" s="136" t="str">
        <f>INDEX([1]道具配置表!$D:$D,MATCH(D5252,[1]道具配置表!$A:$A,0))</f>
        <v>自走棋放置货币</v>
      </c>
      <c r="F5252" s="102">
        <v>20</v>
      </c>
      <c r="K5252" s="102">
        <v>1</v>
      </c>
      <c r="L5252" s="102"/>
      <c r="M5252" s="22" t="b">
        <v>1</v>
      </c>
    </row>
    <row r="5253" spans="1:13" s="4" customFormat="1" x14ac:dyDescent="0.25">
      <c r="A5253" s="102"/>
      <c r="B5253" s="102" t="s">
        <v>119</v>
      </c>
      <c r="D5253" s="102">
        <v>7228</v>
      </c>
      <c r="E5253" s="136" t="str">
        <f>INDEX([1]道具配置表!$D:$D,MATCH(D5253,[1]道具配置表!$A:$A,0))</f>
        <v>经验书*10000</v>
      </c>
      <c r="F5253" s="102">
        <v>1</v>
      </c>
      <c r="K5253" s="102">
        <v>1</v>
      </c>
      <c r="L5253" s="102"/>
      <c r="M5253" s="22" t="b">
        <v>1</v>
      </c>
    </row>
    <row r="5254" spans="1:13" s="4" customFormat="1" x14ac:dyDescent="0.25">
      <c r="A5254" s="102"/>
      <c r="B5254" s="102" t="s">
        <v>119</v>
      </c>
      <c r="D5254" s="102">
        <v>20000</v>
      </c>
      <c r="E5254" s="136" t="str">
        <f>INDEX([1]道具配置表!$D:$D,MATCH(D5254,[1]道具配置表!$A:$A,0))</f>
        <v>技能点1</v>
      </c>
      <c r="F5254" s="102">
        <v>50</v>
      </c>
      <c r="K5254" s="102">
        <v>1</v>
      </c>
      <c r="L5254" s="102"/>
      <c r="M5254" s="22" t="b">
        <v>1</v>
      </c>
    </row>
    <row r="5255" spans="1:13" s="4" customFormat="1" x14ac:dyDescent="0.25">
      <c r="A5255" s="102"/>
      <c r="B5255" s="102" t="s">
        <v>119</v>
      </c>
      <c r="D5255" s="102">
        <v>56001</v>
      </c>
      <c r="E5255" s="136" t="str">
        <f>INDEX([1]道具配置表!$D:$D,MATCH(D5255,[1]道具配置表!$A:$A,0))</f>
        <v>锻造装备消耗材料</v>
      </c>
      <c r="F5255" s="102">
        <v>20</v>
      </c>
      <c r="K5255" s="102">
        <v>1</v>
      </c>
      <c r="L5255" s="102"/>
      <c r="M5255" s="22" t="b">
        <v>1</v>
      </c>
    </row>
    <row r="5256" spans="1:13" s="4" customFormat="1" x14ac:dyDescent="0.25">
      <c r="A5256" s="102"/>
      <c r="B5256" s="102" t="s">
        <v>119</v>
      </c>
      <c r="D5256" s="102">
        <v>6197</v>
      </c>
      <c r="E5256" s="136" t="str">
        <f>INDEX([1]道具配置表!$D:$D,MATCH(D5256,[1]道具配置表!$A:$A,0))</f>
        <v>5分钟锻造加速</v>
      </c>
      <c r="F5256" s="102">
        <v>1</v>
      </c>
      <c r="K5256" s="102">
        <v>1</v>
      </c>
      <c r="L5256" s="102"/>
      <c r="M5256" s="22" t="b">
        <v>1</v>
      </c>
    </row>
    <row r="5257" spans="1:13" s="4" customFormat="1" x14ac:dyDescent="0.25">
      <c r="A5257" s="102">
        <v>6650002</v>
      </c>
      <c r="B5257" s="102" t="s">
        <v>1224</v>
      </c>
      <c r="D5257" s="102">
        <v>56187</v>
      </c>
      <c r="E5257" s="136" t="str">
        <f>INDEX([1]道具配置表!$D:$D,MATCH(D5257,[1]道具配置表!$A:$A,0))</f>
        <v>手工布靴</v>
      </c>
      <c r="F5257" s="102">
        <v>1</v>
      </c>
      <c r="K5257" s="102">
        <v>1</v>
      </c>
      <c r="L5257" s="102"/>
      <c r="M5257" s="22" t="b">
        <v>1</v>
      </c>
    </row>
    <row r="5258" spans="1:13" s="4" customFormat="1" x14ac:dyDescent="0.25">
      <c r="A5258" s="102"/>
      <c r="B5258" s="102"/>
      <c r="D5258" s="102">
        <v>56002</v>
      </c>
      <c r="E5258" s="136" t="str">
        <f>INDEX([1]道具配置表!$D:$D,MATCH(D5258,[1]道具配置表!$A:$A,0))</f>
        <v>强化装备消耗材料</v>
      </c>
      <c r="F5258" s="102">
        <v>20</v>
      </c>
      <c r="K5258" s="102">
        <v>1</v>
      </c>
      <c r="L5258" s="102"/>
      <c r="M5258" s="22" t="b">
        <v>1</v>
      </c>
    </row>
    <row r="5259" spans="1:13" s="4" customFormat="1" x14ac:dyDescent="0.25">
      <c r="A5259" s="102"/>
      <c r="B5259" s="102"/>
      <c r="D5259" s="102">
        <v>3000001</v>
      </c>
      <c r="E5259" s="136" t="str">
        <f>INDEX([1]道具配置表!$D:$D,MATCH(D5259,[1]道具配置表!$A:$A,0))</f>
        <v>自走棋放置货币</v>
      </c>
      <c r="F5259" s="102">
        <v>20</v>
      </c>
      <c r="K5259" s="102">
        <v>1</v>
      </c>
      <c r="L5259" s="102"/>
      <c r="M5259" s="22" t="b">
        <v>1</v>
      </c>
    </row>
    <row r="5260" spans="1:13" s="4" customFormat="1" x14ac:dyDescent="0.25">
      <c r="A5260" s="102"/>
      <c r="B5260" s="102" t="s">
        <v>119</v>
      </c>
      <c r="D5260" s="102">
        <v>7228</v>
      </c>
      <c r="E5260" s="136" t="str">
        <f>INDEX([1]道具配置表!$D:$D,MATCH(D5260,[1]道具配置表!$A:$A,0))</f>
        <v>经验书*10000</v>
      </c>
      <c r="F5260" s="102">
        <v>1</v>
      </c>
      <c r="K5260" s="102">
        <v>1</v>
      </c>
      <c r="L5260" s="102"/>
      <c r="M5260" s="22" t="b">
        <v>1</v>
      </c>
    </row>
    <row r="5261" spans="1:13" s="4" customFormat="1" x14ac:dyDescent="0.25">
      <c r="A5261" s="102"/>
      <c r="B5261" s="102" t="s">
        <v>119</v>
      </c>
      <c r="D5261" s="102">
        <v>20000</v>
      </c>
      <c r="E5261" s="136" t="str">
        <f>INDEX([1]道具配置表!$D:$D,MATCH(D5261,[1]道具配置表!$A:$A,0))</f>
        <v>技能点1</v>
      </c>
      <c r="F5261" s="102">
        <v>50</v>
      </c>
      <c r="K5261" s="102">
        <v>1</v>
      </c>
      <c r="L5261" s="102"/>
      <c r="M5261" s="22" t="b">
        <v>1</v>
      </c>
    </row>
    <row r="5262" spans="1:13" s="4" customFormat="1" x14ac:dyDescent="0.25">
      <c r="A5262" s="102"/>
      <c r="B5262" s="102" t="s">
        <v>119</v>
      </c>
      <c r="D5262" s="102">
        <v>56001</v>
      </c>
      <c r="E5262" s="136" t="str">
        <f>INDEX([1]道具配置表!$D:$D,MATCH(D5262,[1]道具配置表!$A:$A,0))</f>
        <v>锻造装备消耗材料</v>
      </c>
      <c r="F5262" s="102">
        <v>20</v>
      </c>
      <c r="K5262" s="102">
        <v>1</v>
      </c>
      <c r="L5262" s="102"/>
      <c r="M5262" s="22" t="b">
        <v>1</v>
      </c>
    </row>
    <row r="5263" spans="1:13" s="4" customFormat="1" x14ac:dyDescent="0.25">
      <c r="A5263" s="102"/>
      <c r="B5263" s="102" t="s">
        <v>119</v>
      </c>
      <c r="D5263" s="102">
        <v>6201</v>
      </c>
      <c r="E5263" s="136" t="str">
        <f>INDEX([1]道具配置表!$D:$D,MATCH(D5263,[1]道具配置表!$A:$A,0))</f>
        <v>60分钟锻造加速</v>
      </c>
      <c r="F5263" s="102">
        <v>1</v>
      </c>
      <c r="K5263" s="102">
        <v>1</v>
      </c>
      <c r="L5263" s="102"/>
      <c r="M5263" s="22" t="b">
        <v>1</v>
      </c>
    </row>
    <row r="5264" spans="1:13" s="4" customFormat="1" x14ac:dyDescent="0.25">
      <c r="A5264" s="102">
        <v>6650003</v>
      </c>
      <c r="B5264" s="102" t="s">
        <v>1225</v>
      </c>
      <c r="D5264" s="102">
        <v>3000001</v>
      </c>
      <c r="E5264" s="136" t="str">
        <f>INDEX([1]道具配置表!$D:$D,MATCH(D5264,[1]道具配置表!$A:$A,0))</f>
        <v>自走棋放置货币</v>
      </c>
      <c r="F5264" s="102">
        <v>20</v>
      </c>
      <c r="K5264" s="102">
        <v>1</v>
      </c>
      <c r="L5264" s="102"/>
      <c r="M5264" s="22" t="b">
        <v>1</v>
      </c>
    </row>
    <row r="5265" spans="1:13" s="4" customFormat="1" x14ac:dyDescent="0.25">
      <c r="A5265" s="102"/>
      <c r="B5265" s="102" t="s">
        <v>119</v>
      </c>
      <c r="D5265" s="102">
        <v>7228</v>
      </c>
      <c r="E5265" s="136" t="str">
        <f>INDEX([1]道具配置表!$D:$D,MATCH(D5265,[1]道具配置表!$A:$A,0))</f>
        <v>经验书*10000</v>
      </c>
      <c r="F5265" s="102">
        <v>1</v>
      </c>
      <c r="K5265" s="102">
        <v>1</v>
      </c>
      <c r="L5265" s="102"/>
      <c r="M5265" s="22" t="b">
        <v>1</v>
      </c>
    </row>
    <row r="5266" spans="1:13" s="4" customFormat="1" x14ac:dyDescent="0.25">
      <c r="A5266" s="102"/>
      <c r="B5266" s="102" t="s">
        <v>119</v>
      </c>
      <c r="D5266" s="102">
        <v>20000</v>
      </c>
      <c r="E5266" s="136" t="str">
        <f>INDEX([1]道具配置表!$D:$D,MATCH(D5266,[1]道具配置表!$A:$A,0))</f>
        <v>技能点1</v>
      </c>
      <c r="F5266" s="102">
        <v>50</v>
      </c>
      <c r="K5266" s="102">
        <v>1</v>
      </c>
      <c r="L5266" s="102"/>
      <c r="M5266" s="22" t="b">
        <v>1</v>
      </c>
    </row>
    <row r="5267" spans="1:13" s="4" customFormat="1" x14ac:dyDescent="0.25">
      <c r="A5267" s="102"/>
      <c r="B5267" s="102" t="s">
        <v>119</v>
      </c>
      <c r="D5267" s="102">
        <v>56001</v>
      </c>
      <c r="E5267" s="136" t="str">
        <f>INDEX([1]道具配置表!$D:$D,MATCH(D5267,[1]道具配置表!$A:$A,0))</f>
        <v>锻造装备消耗材料</v>
      </c>
      <c r="F5267" s="102">
        <v>20</v>
      </c>
      <c r="K5267" s="102">
        <v>1</v>
      </c>
      <c r="L5267" s="102"/>
      <c r="M5267" s="22" t="b">
        <v>1</v>
      </c>
    </row>
    <row r="5268" spans="1:13" s="4" customFormat="1" x14ac:dyDescent="0.25">
      <c r="A5268" s="102"/>
      <c r="B5268" s="102" t="s">
        <v>119</v>
      </c>
      <c r="D5268" s="102">
        <v>6197</v>
      </c>
      <c r="E5268" s="136" t="str">
        <f>INDEX([1]道具配置表!$D:$D,MATCH(D5268,[1]道具配置表!$A:$A,0))</f>
        <v>5分钟锻造加速</v>
      </c>
      <c r="F5268" s="102">
        <v>1</v>
      </c>
      <c r="K5268" s="102">
        <v>1</v>
      </c>
      <c r="L5268" s="102"/>
      <c r="M5268" s="22" t="b">
        <v>1</v>
      </c>
    </row>
    <row r="5269" spans="1:13" s="4" customFormat="1" x14ac:dyDescent="0.25">
      <c r="A5269" s="102">
        <v>6650004</v>
      </c>
      <c r="B5269" s="102" t="s">
        <v>1226</v>
      </c>
      <c r="D5269" s="102">
        <v>56148</v>
      </c>
      <c r="E5269" s="136" t="str">
        <f>INDEX([1]道具配置表!$D:$D,MATCH(D5269,[1]道具配置表!$A:$A,0))</f>
        <v>粗麻头巾</v>
      </c>
      <c r="F5269" s="102">
        <v>1</v>
      </c>
      <c r="K5269" s="102">
        <v>1</v>
      </c>
      <c r="L5269" s="102"/>
      <c r="M5269" s="22" t="b">
        <v>1</v>
      </c>
    </row>
    <row r="5270" spans="1:13" s="4" customFormat="1" x14ac:dyDescent="0.25">
      <c r="A5270" s="102"/>
      <c r="B5270" s="102"/>
      <c r="D5270" s="102">
        <v>56002</v>
      </c>
      <c r="E5270" s="136" t="str">
        <f>INDEX([1]道具配置表!$D:$D,MATCH(D5270,[1]道具配置表!$A:$A,0))</f>
        <v>强化装备消耗材料</v>
      </c>
      <c r="F5270" s="102">
        <v>20</v>
      </c>
      <c r="K5270" s="102">
        <v>1</v>
      </c>
      <c r="L5270" s="102"/>
      <c r="M5270" s="22" t="b">
        <v>1</v>
      </c>
    </row>
    <row r="5271" spans="1:13" s="4" customFormat="1" x14ac:dyDescent="0.25">
      <c r="A5271" s="102"/>
      <c r="B5271" s="102"/>
      <c r="D5271" s="102">
        <v>3000001</v>
      </c>
      <c r="E5271" s="136" t="str">
        <f>INDEX([1]道具配置表!$D:$D,MATCH(D5271,[1]道具配置表!$A:$A,0))</f>
        <v>自走棋放置货币</v>
      </c>
      <c r="F5271" s="102">
        <v>20</v>
      </c>
      <c r="K5271" s="102">
        <v>1</v>
      </c>
      <c r="L5271" s="102"/>
      <c r="M5271" s="22" t="b">
        <v>1</v>
      </c>
    </row>
    <row r="5272" spans="1:13" s="4" customFormat="1" x14ac:dyDescent="0.25">
      <c r="A5272" s="102"/>
      <c r="B5272" s="102" t="s">
        <v>119</v>
      </c>
      <c r="D5272" s="102">
        <v>7228</v>
      </c>
      <c r="E5272" s="136" t="str">
        <f>INDEX([1]道具配置表!$D:$D,MATCH(D5272,[1]道具配置表!$A:$A,0))</f>
        <v>经验书*10000</v>
      </c>
      <c r="F5272" s="102">
        <v>1</v>
      </c>
      <c r="K5272" s="102">
        <v>1</v>
      </c>
      <c r="L5272" s="102"/>
      <c r="M5272" s="22" t="b">
        <v>1</v>
      </c>
    </row>
    <row r="5273" spans="1:13" s="4" customFormat="1" x14ac:dyDescent="0.25">
      <c r="A5273" s="102"/>
      <c r="B5273" s="102" t="s">
        <v>119</v>
      </c>
      <c r="D5273" s="102">
        <v>20000</v>
      </c>
      <c r="E5273" s="136" t="str">
        <f>INDEX([1]道具配置表!$D:$D,MATCH(D5273,[1]道具配置表!$A:$A,0))</f>
        <v>技能点1</v>
      </c>
      <c r="F5273" s="102">
        <v>50</v>
      </c>
      <c r="K5273" s="102">
        <v>1</v>
      </c>
      <c r="L5273" s="102"/>
      <c r="M5273" s="22" t="b">
        <v>1</v>
      </c>
    </row>
    <row r="5274" spans="1:13" s="4" customFormat="1" x14ac:dyDescent="0.25">
      <c r="A5274" s="102"/>
      <c r="B5274" s="102" t="s">
        <v>119</v>
      </c>
      <c r="D5274" s="102">
        <v>56001</v>
      </c>
      <c r="E5274" s="136" t="str">
        <f>INDEX([1]道具配置表!$D:$D,MATCH(D5274,[1]道具配置表!$A:$A,0))</f>
        <v>锻造装备消耗材料</v>
      </c>
      <c r="F5274" s="102">
        <v>20</v>
      </c>
      <c r="K5274" s="102">
        <v>1</v>
      </c>
      <c r="L5274" s="102"/>
      <c r="M5274" s="22" t="b">
        <v>1</v>
      </c>
    </row>
    <row r="5275" spans="1:13" s="4" customFormat="1" x14ac:dyDescent="0.25">
      <c r="A5275" s="102"/>
      <c r="B5275" s="102" t="s">
        <v>119</v>
      </c>
      <c r="D5275" s="102">
        <v>6201</v>
      </c>
      <c r="E5275" s="136" t="str">
        <f>INDEX([1]道具配置表!$D:$D,MATCH(D5275,[1]道具配置表!$A:$A,0))</f>
        <v>60分钟锻造加速</v>
      </c>
      <c r="F5275" s="102">
        <v>1</v>
      </c>
      <c r="K5275" s="102">
        <v>1</v>
      </c>
      <c r="L5275" s="102"/>
      <c r="M5275" s="22" t="b">
        <v>1</v>
      </c>
    </row>
    <row r="5276" spans="1:13" s="4" customFormat="1" x14ac:dyDescent="0.25">
      <c r="A5276" s="102">
        <v>6650005</v>
      </c>
      <c r="B5276" s="102" t="s">
        <v>1227</v>
      </c>
      <c r="D5276" s="102">
        <v>3000001</v>
      </c>
      <c r="E5276" s="136" t="str">
        <f>INDEX([1]道具配置表!$D:$D,MATCH(D5276,[1]道具配置表!$A:$A,0))</f>
        <v>自走棋放置货币</v>
      </c>
      <c r="F5276" s="102">
        <v>40</v>
      </c>
      <c r="K5276" s="102">
        <v>1</v>
      </c>
      <c r="L5276" s="102"/>
      <c r="M5276" s="22" t="b">
        <v>1</v>
      </c>
    </row>
    <row r="5277" spans="1:13" s="4" customFormat="1" x14ac:dyDescent="0.25">
      <c r="A5277" s="102"/>
      <c r="B5277" s="102" t="s">
        <v>119</v>
      </c>
      <c r="D5277" s="102">
        <v>7228</v>
      </c>
      <c r="E5277" s="136" t="str">
        <f>INDEX([1]道具配置表!$D:$D,MATCH(D5277,[1]道具配置表!$A:$A,0))</f>
        <v>经验书*10000</v>
      </c>
      <c r="F5277" s="102">
        <v>2</v>
      </c>
      <c r="K5277" s="102">
        <v>1</v>
      </c>
      <c r="L5277" s="102"/>
      <c r="M5277" s="22" t="b">
        <v>1</v>
      </c>
    </row>
    <row r="5278" spans="1:13" s="4" customFormat="1" x14ac:dyDescent="0.25">
      <c r="A5278" s="102"/>
      <c r="B5278" s="102" t="s">
        <v>119</v>
      </c>
      <c r="D5278" s="102">
        <v>20000</v>
      </c>
      <c r="E5278" s="136" t="str">
        <f>INDEX([1]道具配置表!$D:$D,MATCH(D5278,[1]道具配置表!$A:$A,0))</f>
        <v>技能点1</v>
      </c>
      <c r="F5278" s="102">
        <v>100</v>
      </c>
      <c r="K5278" s="102">
        <v>1</v>
      </c>
      <c r="L5278" s="102"/>
      <c r="M5278" s="22" t="b">
        <v>1</v>
      </c>
    </row>
    <row r="5279" spans="1:13" s="4" customFormat="1" x14ac:dyDescent="0.25">
      <c r="A5279" s="102"/>
      <c r="B5279" s="102" t="s">
        <v>119</v>
      </c>
      <c r="D5279" s="102">
        <v>56001</v>
      </c>
      <c r="E5279" s="136" t="str">
        <f>INDEX([1]道具配置表!$D:$D,MATCH(D5279,[1]道具配置表!$A:$A,0))</f>
        <v>锻造装备消耗材料</v>
      </c>
      <c r="F5279" s="102">
        <v>50</v>
      </c>
      <c r="K5279" s="102">
        <v>1</v>
      </c>
      <c r="L5279" s="102"/>
      <c r="M5279" s="22" t="b">
        <v>1</v>
      </c>
    </row>
    <row r="5280" spans="1:13" s="4" customFormat="1" x14ac:dyDescent="0.25">
      <c r="A5280" s="102"/>
      <c r="B5280" s="102" t="s">
        <v>119</v>
      </c>
      <c r="D5280" s="102">
        <v>6197</v>
      </c>
      <c r="E5280" s="136" t="str">
        <f>INDEX([1]道具配置表!$D:$D,MATCH(D5280,[1]道具配置表!$A:$A,0))</f>
        <v>5分钟锻造加速</v>
      </c>
      <c r="F5280" s="102">
        <v>1</v>
      </c>
      <c r="K5280" s="102">
        <v>1</v>
      </c>
      <c r="L5280" s="102"/>
      <c r="M5280" s="22" t="b">
        <v>1</v>
      </c>
    </row>
    <row r="5281" spans="1:13" s="4" customFormat="1" x14ac:dyDescent="0.25">
      <c r="A5281" s="102">
        <v>6650006</v>
      </c>
      <c r="B5281" s="102" t="s">
        <v>1228</v>
      </c>
      <c r="D5281" s="102">
        <v>56160</v>
      </c>
      <c r="E5281" s="136" t="str">
        <f>INDEX([1]道具配置表!$D:$D,MATCH(D5281,[1]道具配置表!$A:$A,0))</f>
        <v>鹿皮猎帽</v>
      </c>
      <c r="F5281" s="102">
        <v>1</v>
      </c>
      <c r="K5281" s="102">
        <v>1</v>
      </c>
      <c r="L5281" s="102"/>
      <c r="M5281" s="22" t="b">
        <v>1</v>
      </c>
    </row>
    <row r="5282" spans="1:13" s="4" customFormat="1" x14ac:dyDescent="0.25">
      <c r="A5282" s="102"/>
      <c r="B5282" s="102" t="s">
        <v>119</v>
      </c>
      <c r="D5282" s="102">
        <v>3000001</v>
      </c>
      <c r="E5282" s="136" t="str">
        <f>INDEX([1]道具配置表!$D:$D,MATCH(D5282,[1]道具配置表!$A:$A,0))</f>
        <v>自走棋放置货币</v>
      </c>
      <c r="F5282" s="102">
        <v>20</v>
      </c>
      <c r="K5282" s="102">
        <v>1</v>
      </c>
      <c r="L5282" s="102"/>
      <c r="M5282" s="22" t="b">
        <v>1</v>
      </c>
    </row>
    <row r="5283" spans="1:13" s="4" customFormat="1" x14ac:dyDescent="0.25">
      <c r="A5283" s="102"/>
      <c r="B5283" s="102" t="s">
        <v>119</v>
      </c>
      <c r="D5283" s="102">
        <v>7228</v>
      </c>
      <c r="E5283" s="136" t="str">
        <f>INDEX([1]道具配置表!$D:$D,MATCH(D5283,[1]道具配置表!$A:$A,0))</f>
        <v>经验书*10000</v>
      </c>
      <c r="F5283" s="102">
        <v>1</v>
      </c>
      <c r="K5283" s="102">
        <v>1</v>
      </c>
      <c r="L5283" s="102"/>
      <c r="M5283" s="22" t="b">
        <v>1</v>
      </c>
    </row>
    <row r="5284" spans="1:13" s="4" customFormat="1" x14ac:dyDescent="0.25">
      <c r="A5284" s="102"/>
      <c r="B5284" s="102" t="s">
        <v>119</v>
      </c>
      <c r="D5284" s="102">
        <v>20000</v>
      </c>
      <c r="E5284" s="136" t="str">
        <f>INDEX([1]道具配置表!$D:$D,MATCH(D5284,[1]道具配置表!$A:$A,0))</f>
        <v>技能点1</v>
      </c>
      <c r="F5284" s="102">
        <v>50</v>
      </c>
      <c r="K5284" s="102">
        <v>1</v>
      </c>
      <c r="L5284" s="102"/>
      <c r="M5284" s="22" t="b">
        <v>1</v>
      </c>
    </row>
    <row r="5285" spans="1:13" s="4" customFormat="1" x14ac:dyDescent="0.25">
      <c r="A5285" s="102"/>
      <c r="B5285" s="102" t="s">
        <v>119</v>
      </c>
      <c r="D5285" s="102">
        <v>56001</v>
      </c>
      <c r="E5285" s="136" t="str">
        <f>INDEX([1]道具配置表!$D:$D,MATCH(D5285,[1]道具配置表!$A:$A,0))</f>
        <v>锻造装备消耗材料</v>
      </c>
      <c r="F5285" s="102">
        <v>20</v>
      </c>
      <c r="K5285" s="102">
        <v>1</v>
      </c>
      <c r="L5285" s="102"/>
      <c r="M5285" s="22" t="b">
        <v>1</v>
      </c>
    </row>
    <row r="5286" spans="1:13" s="4" customFormat="1" x14ac:dyDescent="0.25">
      <c r="A5286" s="102"/>
      <c r="B5286" s="102" t="s">
        <v>119</v>
      </c>
      <c r="D5286" s="102">
        <v>6201</v>
      </c>
      <c r="E5286" s="136" t="str">
        <f>INDEX([1]道具配置表!$D:$D,MATCH(D5286,[1]道具配置表!$A:$A,0))</f>
        <v>60分钟锻造加速</v>
      </c>
      <c r="F5286" s="102">
        <v>1</v>
      </c>
      <c r="K5286" s="102">
        <v>1</v>
      </c>
      <c r="L5286" s="102"/>
      <c r="M5286" s="22" t="b">
        <v>1</v>
      </c>
    </row>
    <row r="5287" spans="1:13" s="4" customFormat="1" x14ac:dyDescent="0.25">
      <c r="A5287" s="102"/>
      <c r="B5287" s="102" t="s">
        <v>119</v>
      </c>
      <c r="D5287" s="102">
        <v>56002</v>
      </c>
      <c r="E5287" s="136" t="str">
        <f>INDEX([1]道具配置表!$D:$D,MATCH(D5287,[1]道具配置表!$A:$A,0))</f>
        <v>强化装备消耗材料</v>
      </c>
      <c r="F5287" s="102">
        <v>20</v>
      </c>
      <c r="K5287" s="102">
        <v>1</v>
      </c>
      <c r="L5287" s="102"/>
      <c r="M5287" s="22" t="b">
        <v>1</v>
      </c>
    </row>
    <row r="5288" spans="1:13" s="4" customFormat="1" x14ac:dyDescent="0.25">
      <c r="A5288" s="102">
        <v>6650007</v>
      </c>
      <c r="B5288" s="102" t="s">
        <v>1229</v>
      </c>
      <c r="D5288" s="102">
        <v>3000001</v>
      </c>
      <c r="E5288" s="136" t="str">
        <f>INDEX([1]道具配置表!$D:$D,MATCH(D5288,[1]道具配置表!$A:$A,0))</f>
        <v>自走棋放置货币</v>
      </c>
      <c r="F5288" s="102">
        <v>20</v>
      </c>
      <c r="K5288" s="102">
        <v>1</v>
      </c>
      <c r="L5288" s="102"/>
      <c r="M5288" s="22" t="b">
        <v>1</v>
      </c>
    </row>
    <row r="5289" spans="1:13" s="4" customFormat="1" x14ac:dyDescent="0.25">
      <c r="A5289" s="102"/>
      <c r="B5289" s="102" t="s">
        <v>119</v>
      </c>
      <c r="D5289" s="102">
        <v>7228</v>
      </c>
      <c r="E5289" s="136" t="str">
        <f>INDEX([1]道具配置表!$D:$D,MATCH(D5289,[1]道具配置表!$A:$A,0))</f>
        <v>经验书*10000</v>
      </c>
      <c r="F5289" s="102">
        <v>1</v>
      </c>
      <c r="K5289" s="102">
        <v>1</v>
      </c>
      <c r="L5289" s="102"/>
      <c r="M5289" s="22" t="b">
        <v>1</v>
      </c>
    </row>
    <row r="5290" spans="1:13" s="4" customFormat="1" x14ac:dyDescent="0.25">
      <c r="A5290" s="102"/>
      <c r="B5290" s="102" t="s">
        <v>119</v>
      </c>
      <c r="D5290" s="102">
        <v>20000</v>
      </c>
      <c r="E5290" s="136" t="str">
        <f>INDEX([1]道具配置表!$D:$D,MATCH(D5290,[1]道具配置表!$A:$A,0))</f>
        <v>技能点1</v>
      </c>
      <c r="F5290" s="102">
        <v>50</v>
      </c>
      <c r="K5290" s="102">
        <v>1</v>
      </c>
      <c r="L5290" s="102"/>
      <c r="M5290" s="22" t="b">
        <v>1</v>
      </c>
    </row>
    <row r="5291" spans="1:13" s="4" customFormat="1" x14ac:dyDescent="0.25">
      <c r="A5291" s="102"/>
      <c r="B5291" s="102" t="s">
        <v>119</v>
      </c>
      <c r="D5291" s="102">
        <v>56001</v>
      </c>
      <c r="E5291" s="136" t="str">
        <f>INDEX([1]道具配置表!$D:$D,MATCH(D5291,[1]道具配置表!$A:$A,0))</f>
        <v>锻造装备消耗材料</v>
      </c>
      <c r="F5291" s="102">
        <v>20</v>
      </c>
      <c r="K5291" s="102">
        <v>1</v>
      </c>
      <c r="L5291" s="102"/>
      <c r="M5291" s="22" t="b">
        <v>1</v>
      </c>
    </row>
    <row r="5292" spans="1:13" s="4" customFormat="1" x14ac:dyDescent="0.25">
      <c r="A5292" s="102"/>
      <c r="B5292" s="102" t="s">
        <v>119</v>
      </c>
      <c r="D5292" s="102">
        <v>6197</v>
      </c>
      <c r="E5292" s="136" t="str">
        <f>INDEX([1]道具配置表!$D:$D,MATCH(D5292,[1]道具配置表!$A:$A,0))</f>
        <v>5分钟锻造加速</v>
      </c>
      <c r="F5292" s="102">
        <v>1</v>
      </c>
      <c r="K5292" s="102">
        <v>1</v>
      </c>
      <c r="L5292" s="102"/>
      <c r="M5292" s="22" t="b">
        <v>1</v>
      </c>
    </row>
    <row r="5293" spans="1:13" s="4" customFormat="1" x14ac:dyDescent="0.25">
      <c r="A5293" s="102">
        <v>6650008</v>
      </c>
      <c r="B5293" s="102" t="s">
        <v>1230</v>
      </c>
      <c r="D5293" s="102">
        <v>56172</v>
      </c>
      <c r="E5293" s="136" t="str">
        <f>INDEX([1]道具配置表!$D:$D,MATCH(D5293,[1]道具配置表!$A:$A,0))</f>
        <v>羊毡风帽</v>
      </c>
      <c r="F5293" s="102">
        <v>1</v>
      </c>
      <c r="K5293" s="102">
        <v>1</v>
      </c>
      <c r="L5293" s="102"/>
      <c r="M5293" s="22" t="b">
        <v>1</v>
      </c>
    </row>
    <row r="5294" spans="1:13" s="4" customFormat="1" x14ac:dyDescent="0.25">
      <c r="A5294" s="102"/>
      <c r="B5294" s="102" t="s">
        <v>119</v>
      </c>
      <c r="D5294" s="102">
        <v>3000001</v>
      </c>
      <c r="E5294" s="136" t="str">
        <f>INDEX([1]道具配置表!$D:$D,MATCH(D5294,[1]道具配置表!$A:$A,0))</f>
        <v>自走棋放置货币</v>
      </c>
      <c r="F5294" s="102">
        <v>20</v>
      </c>
      <c r="K5294" s="102">
        <v>1</v>
      </c>
      <c r="L5294" s="102"/>
      <c r="M5294" s="22" t="b">
        <v>1</v>
      </c>
    </row>
    <row r="5295" spans="1:13" s="4" customFormat="1" x14ac:dyDescent="0.25">
      <c r="A5295" s="102"/>
      <c r="B5295" s="102" t="s">
        <v>119</v>
      </c>
      <c r="D5295" s="102">
        <v>7228</v>
      </c>
      <c r="E5295" s="136" t="str">
        <f>INDEX([1]道具配置表!$D:$D,MATCH(D5295,[1]道具配置表!$A:$A,0))</f>
        <v>经验书*10000</v>
      </c>
      <c r="F5295" s="102">
        <v>1</v>
      </c>
      <c r="K5295" s="102">
        <v>1</v>
      </c>
      <c r="L5295" s="102"/>
      <c r="M5295" s="22" t="b">
        <v>1</v>
      </c>
    </row>
    <row r="5296" spans="1:13" s="4" customFormat="1" x14ac:dyDescent="0.25">
      <c r="A5296" s="102"/>
      <c r="B5296" s="102" t="s">
        <v>119</v>
      </c>
      <c r="D5296" s="102">
        <v>20000</v>
      </c>
      <c r="E5296" s="136" t="str">
        <f>INDEX([1]道具配置表!$D:$D,MATCH(D5296,[1]道具配置表!$A:$A,0))</f>
        <v>技能点1</v>
      </c>
      <c r="F5296" s="102">
        <v>50</v>
      </c>
      <c r="K5296" s="102">
        <v>1</v>
      </c>
      <c r="L5296" s="102"/>
      <c r="M5296" s="22" t="b">
        <v>1</v>
      </c>
    </row>
    <row r="5297" spans="1:13" s="4" customFormat="1" x14ac:dyDescent="0.25">
      <c r="A5297" s="102"/>
      <c r="B5297" s="102" t="s">
        <v>119</v>
      </c>
      <c r="D5297" s="102">
        <v>56001</v>
      </c>
      <c r="E5297" s="136" t="str">
        <f>INDEX([1]道具配置表!$D:$D,MATCH(D5297,[1]道具配置表!$A:$A,0))</f>
        <v>锻造装备消耗材料</v>
      </c>
      <c r="F5297" s="102">
        <v>20</v>
      </c>
      <c r="K5297" s="102">
        <v>1</v>
      </c>
      <c r="L5297" s="102"/>
      <c r="M5297" s="22" t="b">
        <v>1</v>
      </c>
    </row>
    <row r="5298" spans="1:13" s="4" customFormat="1" x14ac:dyDescent="0.25">
      <c r="A5298" s="102"/>
      <c r="B5298" s="102" t="s">
        <v>119</v>
      </c>
      <c r="D5298" s="102">
        <v>6201</v>
      </c>
      <c r="E5298" s="136" t="str">
        <f>INDEX([1]道具配置表!$D:$D,MATCH(D5298,[1]道具配置表!$A:$A,0))</f>
        <v>60分钟锻造加速</v>
      </c>
      <c r="F5298" s="102">
        <v>1</v>
      </c>
      <c r="K5298" s="102">
        <v>1</v>
      </c>
      <c r="L5298" s="102"/>
      <c r="M5298" s="22" t="b">
        <v>1</v>
      </c>
    </row>
    <row r="5299" spans="1:13" s="4" customFormat="1" x14ac:dyDescent="0.25">
      <c r="A5299" s="102"/>
      <c r="B5299" s="102" t="s">
        <v>119</v>
      </c>
      <c r="D5299" s="102">
        <v>56002</v>
      </c>
      <c r="E5299" s="136" t="str">
        <f>INDEX([1]道具配置表!$D:$D,MATCH(D5299,[1]道具配置表!$A:$A,0))</f>
        <v>强化装备消耗材料</v>
      </c>
      <c r="F5299" s="102">
        <v>20</v>
      </c>
      <c r="K5299" s="102">
        <v>1</v>
      </c>
      <c r="L5299" s="102"/>
      <c r="M5299" s="22" t="b">
        <v>1</v>
      </c>
    </row>
    <row r="5300" spans="1:13" s="4" customFormat="1" x14ac:dyDescent="0.25">
      <c r="A5300" s="102">
        <v>6650009</v>
      </c>
      <c r="B5300" s="102" t="s">
        <v>1231</v>
      </c>
      <c r="D5300" s="102">
        <v>3000001</v>
      </c>
      <c r="E5300" s="136" t="str">
        <f>INDEX([1]道具配置表!$D:$D,MATCH(D5300,[1]道具配置表!$A:$A,0))</f>
        <v>自走棋放置货币</v>
      </c>
      <c r="F5300" s="102">
        <v>20</v>
      </c>
      <c r="K5300" s="102">
        <v>1</v>
      </c>
      <c r="L5300" s="102"/>
      <c r="M5300" s="22" t="b">
        <v>1</v>
      </c>
    </row>
    <row r="5301" spans="1:13" s="4" customFormat="1" x14ac:dyDescent="0.25">
      <c r="A5301" s="102"/>
      <c r="B5301" s="102" t="s">
        <v>119</v>
      </c>
      <c r="D5301" s="102">
        <v>7228</v>
      </c>
      <c r="E5301" s="136" t="str">
        <f>INDEX([1]道具配置表!$D:$D,MATCH(D5301,[1]道具配置表!$A:$A,0))</f>
        <v>经验书*10000</v>
      </c>
      <c r="F5301" s="102">
        <v>1</v>
      </c>
      <c r="K5301" s="102">
        <v>1</v>
      </c>
      <c r="L5301" s="102"/>
      <c r="M5301" s="22" t="b">
        <v>1</v>
      </c>
    </row>
    <row r="5302" spans="1:13" s="4" customFormat="1" x14ac:dyDescent="0.25">
      <c r="A5302" s="102"/>
      <c r="B5302" s="102" t="s">
        <v>119</v>
      </c>
      <c r="D5302" s="102">
        <v>20000</v>
      </c>
      <c r="E5302" s="136" t="str">
        <f>INDEX([1]道具配置表!$D:$D,MATCH(D5302,[1]道具配置表!$A:$A,0))</f>
        <v>技能点1</v>
      </c>
      <c r="F5302" s="102">
        <v>50</v>
      </c>
      <c r="K5302" s="102">
        <v>1</v>
      </c>
      <c r="L5302" s="102"/>
      <c r="M5302" s="22" t="b">
        <v>1</v>
      </c>
    </row>
    <row r="5303" spans="1:13" s="4" customFormat="1" x14ac:dyDescent="0.25">
      <c r="A5303" s="102"/>
      <c r="B5303" s="102" t="s">
        <v>119</v>
      </c>
      <c r="D5303" s="102">
        <v>56001</v>
      </c>
      <c r="E5303" s="136" t="str">
        <f>INDEX([1]道具配置表!$D:$D,MATCH(D5303,[1]道具配置表!$A:$A,0))</f>
        <v>锻造装备消耗材料</v>
      </c>
      <c r="F5303" s="102">
        <v>20</v>
      </c>
      <c r="K5303" s="102">
        <v>1</v>
      </c>
      <c r="L5303" s="102"/>
      <c r="M5303" s="22" t="b">
        <v>1</v>
      </c>
    </row>
    <row r="5304" spans="1:13" s="4" customFormat="1" x14ac:dyDescent="0.25">
      <c r="A5304" s="102"/>
      <c r="B5304" s="102" t="s">
        <v>119</v>
      </c>
      <c r="D5304" s="102">
        <v>6197</v>
      </c>
      <c r="E5304" s="136" t="str">
        <f>INDEX([1]道具配置表!$D:$D,MATCH(D5304,[1]道具配置表!$A:$A,0))</f>
        <v>5分钟锻造加速</v>
      </c>
      <c r="F5304" s="102">
        <v>1</v>
      </c>
      <c r="K5304" s="102">
        <v>1</v>
      </c>
      <c r="L5304" s="102"/>
      <c r="M5304" s="22" t="b">
        <v>1</v>
      </c>
    </row>
    <row r="5305" spans="1:13" s="4" customFormat="1" x14ac:dyDescent="0.25">
      <c r="A5305" s="102">
        <v>6650010</v>
      </c>
      <c r="B5305" s="102" t="s">
        <v>1126</v>
      </c>
      <c r="D5305" s="102">
        <v>56184</v>
      </c>
      <c r="E5305" s="136" t="str">
        <f>INDEX([1]道具配置表!$D:$D,MATCH(D5305,[1]道具配置表!$A:$A,0))</f>
        <v>简易草帽</v>
      </c>
      <c r="F5305" s="102">
        <v>1</v>
      </c>
      <c r="K5305" s="102">
        <v>1</v>
      </c>
      <c r="L5305" s="102"/>
      <c r="M5305" s="22" t="b">
        <v>1</v>
      </c>
    </row>
    <row r="5306" spans="1:13" s="4" customFormat="1" x14ac:dyDescent="0.25">
      <c r="A5306" s="102"/>
      <c r="B5306" s="102" t="s">
        <v>119</v>
      </c>
      <c r="D5306" s="102">
        <v>3000001</v>
      </c>
      <c r="E5306" s="136" t="str">
        <f>INDEX([1]道具配置表!$D:$D,MATCH(D5306,[1]道具配置表!$A:$A,0))</f>
        <v>自走棋放置货币</v>
      </c>
      <c r="F5306" s="102">
        <v>40</v>
      </c>
      <c r="K5306" s="102">
        <v>1</v>
      </c>
      <c r="L5306" s="102"/>
      <c r="M5306" s="22" t="b">
        <v>1</v>
      </c>
    </row>
    <row r="5307" spans="1:13" s="4" customFormat="1" x14ac:dyDescent="0.25">
      <c r="A5307" s="102"/>
      <c r="B5307" s="102" t="s">
        <v>119</v>
      </c>
      <c r="D5307" s="102">
        <v>7228</v>
      </c>
      <c r="E5307" s="136" t="str">
        <f>INDEX([1]道具配置表!$D:$D,MATCH(D5307,[1]道具配置表!$A:$A,0))</f>
        <v>经验书*10000</v>
      </c>
      <c r="F5307" s="102">
        <v>2</v>
      </c>
      <c r="K5307" s="102">
        <v>1</v>
      </c>
      <c r="L5307" s="102"/>
      <c r="M5307" s="22" t="b">
        <v>1</v>
      </c>
    </row>
    <row r="5308" spans="1:13" s="4" customFormat="1" x14ac:dyDescent="0.25">
      <c r="A5308" s="102"/>
      <c r="B5308" s="102" t="s">
        <v>119</v>
      </c>
      <c r="D5308" s="102">
        <v>20000</v>
      </c>
      <c r="E5308" s="136" t="str">
        <f>INDEX([1]道具配置表!$D:$D,MATCH(D5308,[1]道具配置表!$A:$A,0))</f>
        <v>技能点1</v>
      </c>
      <c r="F5308" s="102">
        <v>100</v>
      </c>
      <c r="K5308" s="102">
        <v>1</v>
      </c>
      <c r="L5308" s="102"/>
      <c r="M5308" s="22" t="b">
        <v>1</v>
      </c>
    </row>
    <row r="5309" spans="1:13" s="4" customFormat="1" x14ac:dyDescent="0.25">
      <c r="A5309" s="102"/>
      <c r="B5309" s="102" t="s">
        <v>119</v>
      </c>
      <c r="D5309" s="102">
        <v>56001</v>
      </c>
      <c r="E5309" s="136" t="str">
        <f>INDEX([1]道具配置表!$D:$D,MATCH(D5309,[1]道具配置表!$A:$A,0))</f>
        <v>锻造装备消耗材料</v>
      </c>
      <c r="F5309" s="102">
        <v>50</v>
      </c>
      <c r="K5309" s="102">
        <v>1</v>
      </c>
      <c r="L5309" s="102"/>
      <c r="M5309" s="22" t="b">
        <v>1</v>
      </c>
    </row>
    <row r="5310" spans="1:13" s="4" customFormat="1" x14ac:dyDescent="0.25">
      <c r="A5310" s="102"/>
      <c r="B5310" s="102" t="s">
        <v>119</v>
      </c>
      <c r="D5310" s="102">
        <v>6201</v>
      </c>
      <c r="E5310" s="136" t="str">
        <f>INDEX([1]道具配置表!$D:$D,MATCH(D5310,[1]道具配置表!$A:$A,0))</f>
        <v>60分钟锻造加速</v>
      </c>
      <c r="F5310" s="102">
        <v>1</v>
      </c>
      <c r="K5310" s="102">
        <v>1</v>
      </c>
      <c r="L5310" s="102"/>
      <c r="M5310" s="22" t="b">
        <v>1</v>
      </c>
    </row>
    <row r="5311" spans="1:13" s="4" customFormat="1" x14ac:dyDescent="0.25">
      <c r="A5311" s="102"/>
      <c r="B5311" s="102" t="s">
        <v>119</v>
      </c>
      <c r="D5311" s="102">
        <v>56002</v>
      </c>
      <c r="E5311" s="136" t="str">
        <f>INDEX([1]道具配置表!$D:$D,MATCH(D5311,[1]道具配置表!$A:$A,0))</f>
        <v>强化装备消耗材料</v>
      </c>
      <c r="F5311" s="102">
        <v>20</v>
      </c>
      <c r="K5311" s="102">
        <v>1</v>
      </c>
      <c r="L5311" s="102"/>
      <c r="M5311" s="22" t="b">
        <v>1</v>
      </c>
    </row>
    <row r="5312" spans="1:13" s="4" customFormat="1" x14ac:dyDescent="0.25">
      <c r="A5312" s="102">
        <v>6650011</v>
      </c>
      <c r="B5312" s="102" t="s">
        <v>1127</v>
      </c>
      <c r="D5312" s="102">
        <v>3000001</v>
      </c>
      <c r="E5312" s="136" t="str">
        <f>INDEX([1]道具配置表!$D:$D,MATCH(D5312,[1]道具配置表!$A:$A,0))</f>
        <v>自走棋放置货币</v>
      </c>
      <c r="F5312" s="102">
        <v>20</v>
      </c>
      <c r="K5312" s="102">
        <v>1</v>
      </c>
      <c r="L5312" s="102"/>
      <c r="M5312" s="22" t="b">
        <v>1</v>
      </c>
    </row>
    <row r="5313" spans="1:13" s="4" customFormat="1" x14ac:dyDescent="0.25">
      <c r="A5313" s="102"/>
      <c r="B5313" s="102" t="s">
        <v>119</v>
      </c>
      <c r="D5313" s="102">
        <v>7228</v>
      </c>
      <c r="E5313" s="136" t="str">
        <f>INDEX([1]道具配置表!$D:$D,MATCH(D5313,[1]道具配置表!$A:$A,0))</f>
        <v>经验书*10000</v>
      </c>
      <c r="F5313" s="102">
        <v>1</v>
      </c>
      <c r="K5313" s="102">
        <v>1</v>
      </c>
      <c r="L5313" s="102"/>
      <c r="M5313" s="22" t="b">
        <v>1</v>
      </c>
    </row>
    <row r="5314" spans="1:13" s="4" customFormat="1" x14ac:dyDescent="0.25">
      <c r="A5314" s="102"/>
      <c r="B5314" s="102" t="s">
        <v>119</v>
      </c>
      <c r="D5314" s="102">
        <v>20000</v>
      </c>
      <c r="E5314" s="136" t="str">
        <f>INDEX([1]道具配置表!$D:$D,MATCH(D5314,[1]道具配置表!$A:$A,0))</f>
        <v>技能点1</v>
      </c>
      <c r="F5314" s="102">
        <v>50</v>
      </c>
      <c r="K5314" s="102">
        <v>1</v>
      </c>
      <c r="L5314" s="102"/>
      <c r="M5314" s="22" t="b">
        <v>1</v>
      </c>
    </row>
    <row r="5315" spans="1:13" s="4" customFormat="1" x14ac:dyDescent="0.25">
      <c r="A5315" s="102"/>
      <c r="B5315" s="102" t="s">
        <v>119</v>
      </c>
      <c r="D5315" s="102">
        <v>56001</v>
      </c>
      <c r="E5315" s="136" t="str">
        <f>INDEX([1]道具配置表!$D:$D,MATCH(D5315,[1]道具配置表!$A:$A,0))</f>
        <v>锻造装备消耗材料</v>
      </c>
      <c r="F5315" s="102">
        <v>20</v>
      </c>
      <c r="K5315" s="102">
        <v>1</v>
      </c>
      <c r="L5315" s="102"/>
      <c r="M5315" s="22" t="b">
        <v>1</v>
      </c>
    </row>
    <row r="5316" spans="1:13" s="4" customFormat="1" x14ac:dyDescent="0.25">
      <c r="A5316" s="102"/>
      <c r="B5316" s="102" t="s">
        <v>119</v>
      </c>
      <c r="D5316" s="102">
        <v>6197</v>
      </c>
      <c r="E5316" s="136" t="str">
        <f>INDEX([1]道具配置表!$D:$D,MATCH(D5316,[1]道具配置表!$A:$A,0))</f>
        <v>5分钟锻造加速</v>
      </c>
      <c r="F5316" s="102">
        <v>1</v>
      </c>
      <c r="K5316" s="102">
        <v>1</v>
      </c>
      <c r="L5316" s="102"/>
      <c r="M5316" s="22" t="b">
        <v>1</v>
      </c>
    </row>
    <row r="5317" spans="1:13" s="4" customFormat="1" x14ac:dyDescent="0.25">
      <c r="A5317" s="102">
        <v>6650012</v>
      </c>
      <c r="B5317" s="102" t="s">
        <v>1128</v>
      </c>
      <c r="D5317" s="102">
        <v>56160</v>
      </c>
      <c r="E5317" s="136" t="str">
        <f>INDEX([1]道具配置表!$D:$D,MATCH(D5317,[1]道具配置表!$A:$A,0))</f>
        <v>鹿皮猎帽</v>
      </c>
      <c r="F5317" s="102">
        <v>1</v>
      </c>
      <c r="K5317" s="102">
        <v>1</v>
      </c>
      <c r="L5317" s="102"/>
      <c r="M5317" s="22" t="b">
        <v>1</v>
      </c>
    </row>
    <row r="5318" spans="1:13" s="4" customFormat="1" x14ac:dyDescent="0.25">
      <c r="A5318" s="102"/>
      <c r="B5318" s="102"/>
      <c r="D5318" s="102">
        <v>56002</v>
      </c>
      <c r="E5318" s="136" t="str">
        <f>INDEX([1]道具配置表!$D:$D,MATCH(D5318,[1]道具配置表!$A:$A,0))</f>
        <v>强化装备消耗材料</v>
      </c>
      <c r="F5318" s="102">
        <v>20</v>
      </c>
      <c r="K5318" s="102">
        <v>1</v>
      </c>
      <c r="L5318" s="102"/>
      <c r="M5318" s="22" t="b">
        <v>1</v>
      </c>
    </row>
    <row r="5319" spans="1:13" s="4" customFormat="1" x14ac:dyDescent="0.25">
      <c r="A5319" s="102"/>
      <c r="B5319" s="102"/>
      <c r="D5319" s="102">
        <v>3000001</v>
      </c>
      <c r="E5319" s="136" t="str">
        <f>INDEX([1]道具配置表!$D:$D,MATCH(D5319,[1]道具配置表!$A:$A,0))</f>
        <v>自走棋放置货币</v>
      </c>
      <c r="F5319" s="102">
        <v>20</v>
      </c>
      <c r="K5319" s="102">
        <v>1</v>
      </c>
      <c r="L5319" s="102"/>
      <c r="M5319" s="22" t="b">
        <v>1</v>
      </c>
    </row>
    <row r="5320" spans="1:13" s="4" customFormat="1" x14ac:dyDescent="0.25">
      <c r="A5320" s="102"/>
      <c r="B5320" s="102" t="s">
        <v>119</v>
      </c>
      <c r="D5320" s="102">
        <v>7228</v>
      </c>
      <c r="E5320" s="136" t="str">
        <f>INDEX([1]道具配置表!$D:$D,MATCH(D5320,[1]道具配置表!$A:$A,0))</f>
        <v>经验书*10000</v>
      </c>
      <c r="F5320" s="102">
        <v>1</v>
      </c>
      <c r="K5320" s="102">
        <v>1</v>
      </c>
      <c r="L5320" s="102"/>
      <c r="M5320" s="22" t="b">
        <v>1</v>
      </c>
    </row>
    <row r="5321" spans="1:13" s="4" customFormat="1" x14ac:dyDescent="0.25">
      <c r="A5321" s="102"/>
      <c r="B5321" s="102" t="s">
        <v>119</v>
      </c>
      <c r="D5321" s="102">
        <v>20000</v>
      </c>
      <c r="E5321" s="136" t="str">
        <f>INDEX([1]道具配置表!$D:$D,MATCH(D5321,[1]道具配置表!$A:$A,0))</f>
        <v>技能点1</v>
      </c>
      <c r="F5321" s="102">
        <v>50</v>
      </c>
      <c r="K5321" s="102">
        <v>1</v>
      </c>
      <c r="L5321" s="102"/>
      <c r="M5321" s="22" t="b">
        <v>1</v>
      </c>
    </row>
    <row r="5322" spans="1:13" s="4" customFormat="1" x14ac:dyDescent="0.25">
      <c r="A5322" s="102"/>
      <c r="B5322" s="102" t="s">
        <v>119</v>
      </c>
      <c r="D5322" s="102">
        <v>56001</v>
      </c>
      <c r="E5322" s="136" t="str">
        <f>INDEX([1]道具配置表!$D:$D,MATCH(D5322,[1]道具配置表!$A:$A,0))</f>
        <v>锻造装备消耗材料</v>
      </c>
      <c r="F5322" s="102">
        <v>20</v>
      </c>
      <c r="K5322" s="102">
        <v>1</v>
      </c>
      <c r="L5322" s="102"/>
      <c r="M5322" s="22" t="b">
        <v>1</v>
      </c>
    </row>
    <row r="5323" spans="1:13" s="4" customFormat="1" x14ac:dyDescent="0.25">
      <c r="A5323" s="102"/>
      <c r="B5323" s="102" t="s">
        <v>119</v>
      </c>
      <c r="D5323" s="102">
        <v>6201</v>
      </c>
      <c r="E5323" s="136" t="str">
        <f>INDEX([1]道具配置表!$D:$D,MATCH(D5323,[1]道具配置表!$A:$A,0))</f>
        <v>60分钟锻造加速</v>
      </c>
      <c r="F5323" s="102">
        <v>1</v>
      </c>
      <c r="K5323" s="102">
        <v>1</v>
      </c>
      <c r="L5323" s="102"/>
      <c r="M5323" s="22" t="b">
        <v>1</v>
      </c>
    </row>
    <row r="5324" spans="1:13" s="4" customFormat="1" x14ac:dyDescent="0.25">
      <c r="A5324" s="102">
        <v>6650013</v>
      </c>
      <c r="B5324" s="102" t="s">
        <v>1129</v>
      </c>
      <c r="D5324" s="102">
        <v>3000001</v>
      </c>
      <c r="E5324" s="136" t="str">
        <f>INDEX([1]道具配置表!$D:$D,MATCH(D5324,[1]道具配置表!$A:$A,0))</f>
        <v>自走棋放置货币</v>
      </c>
      <c r="F5324" s="102">
        <v>20</v>
      </c>
      <c r="K5324" s="102">
        <v>1</v>
      </c>
      <c r="L5324" s="102"/>
      <c r="M5324" s="22" t="b">
        <v>1</v>
      </c>
    </row>
    <row r="5325" spans="1:13" s="4" customFormat="1" x14ac:dyDescent="0.25">
      <c r="A5325" s="102"/>
      <c r="B5325" s="102" t="s">
        <v>119</v>
      </c>
      <c r="D5325" s="102">
        <v>7228</v>
      </c>
      <c r="E5325" s="136" t="str">
        <f>INDEX([1]道具配置表!$D:$D,MATCH(D5325,[1]道具配置表!$A:$A,0))</f>
        <v>经验书*10000</v>
      </c>
      <c r="F5325" s="102">
        <v>1</v>
      </c>
      <c r="K5325" s="102">
        <v>1</v>
      </c>
      <c r="L5325" s="102"/>
      <c r="M5325" s="22" t="b">
        <v>1</v>
      </c>
    </row>
    <row r="5326" spans="1:13" s="4" customFormat="1" x14ac:dyDescent="0.25">
      <c r="A5326" s="102"/>
      <c r="B5326" s="102" t="s">
        <v>119</v>
      </c>
      <c r="D5326" s="102">
        <v>20000</v>
      </c>
      <c r="E5326" s="136" t="str">
        <f>INDEX([1]道具配置表!$D:$D,MATCH(D5326,[1]道具配置表!$A:$A,0))</f>
        <v>技能点1</v>
      </c>
      <c r="F5326" s="102">
        <v>50</v>
      </c>
      <c r="K5326" s="102">
        <v>1</v>
      </c>
      <c r="L5326" s="102"/>
      <c r="M5326" s="22" t="b">
        <v>1</v>
      </c>
    </row>
    <row r="5327" spans="1:13" s="4" customFormat="1" x14ac:dyDescent="0.25">
      <c r="A5327" s="102"/>
      <c r="B5327" s="102" t="s">
        <v>119</v>
      </c>
      <c r="D5327" s="102">
        <v>56001</v>
      </c>
      <c r="E5327" s="136" t="str">
        <f>INDEX([1]道具配置表!$D:$D,MATCH(D5327,[1]道具配置表!$A:$A,0))</f>
        <v>锻造装备消耗材料</v>
      </c>
      <c r="F5327" s="102">
        <v>20</v>
      </c>
      <c r="K5327" s="102">
        <v>1</v>
      </c>
      <c r="L5327" s="102"/>
      <c r="M5327" s="22" t="b">
        <v>1</v>
      </c>
    </row>
    <row r="5328" spans="1:13" s="4" customFormat="1" x14ac:dyDescent="0.25">
      <c r="A5328" s="102"/>
      <c r="B5328" s="102" t="s">
        <v>119</v>
      </c>
      <c r="D5328" s="102">
        <v>6197</v>
      </c>
      <c r="E5328" s="136" t="str">
        <f>INDEX([1]道具配置表!$D:$D,MATCH(D5328,[1]道具配置表!$A:$A,0))</f>
        <v>5分钟锻造加速</v>
      </c>
      <c r="F5328" s="102">
        <v>1</v>
      </c>
      <c r="K5328" s="102">
        <v>1</v>
      </c>
      <c r="L5328" s="102"/>
      <c r="M5328" s="22" t="b">
        <v>1</v>
      </c>
    </row>
    <row r="5329" spans="1:13" s="4" customFormat="1" x14ac:dyDescent="0.25">
      <c r="A5329" s="102">
        <v>6650014</v>
      </c>
      <c r="B5329" s="102" t="s">
        <v>1130</v>
      </c>
      <c r="D5329" s="102">
        <v>56162</v>
      </c>
      <c r="E5329" s="136" t="str">
        <f>INDEX([1]道具配置表!$D:$D,MATCH(D5329,[1]道具配置表!$A:$A,0))</f>
        <v>熊革护胸</v>
      </c>
      <c r="F5329" s="102">
        <v>1</v>
      </c>
      <c r="K5329" s="102">
        <v>1</v>
      </c>
      <c r="L5329" s="102"/>
      <c r="M5329" s="22" t="b">
        <v>1</v>
      </c>
    </row>
    <row r="5330" spans="1:13" s="4" customFormat="1" x14ac:dyDescent="0.25">
      <c r="A5330" s="102"/>
      <c r="B5330" s="102"/>
      <c r="D5330" s="102">
        <v>56002</v>
      </c>
      <c r="E5330" s="136" t="str">
        <f>INDEX([1]道具配置表!$D:$D,MATCH(D5330,[1]道具配置表!$A:$A,0))</f>
        <v>强化装备消耗材料</v>
      </c>
      <c r="F5330" s="102">
        <v>20</v>
      </c>
      <c r="K5330" s="102">
        <v>1</v>
      </c>
      <c r="L5330" s="102"/>
      <c r="M5330" s="22" t="b">
        <v>1</v>
      </c>
    </row>
    <row r="5331" spans="1:13" s="4" customFormat="1" x14ac:dyDescent="0.25">
      <c r="A5331" s="102"/>
      <c r="B5331" s="102"/>
      <c r="D5331" s="102">
        <v>3000001</v>
      </c>
      <c r="E5331" s="136" t="str">
        <f>INDEX([1]道具配置表!$D:$D,MATCH(D5331,[1]道具配置表!$A:$A,0))</f>
        <v>自走棋放置货币</v>
      </c>
      <c r="F5331" s="102">
        <v>20</v>
      </c>
      <c r="K5331" s="102">
        <v>1</v>
      </c>
      <c r="L5331" s="102"/>
      <c r="M5331" s="22" t="b">
        <v>1</v>
      </c>
    </row>
    <row r="5332" spans="1:13" s="4" customFormat="1" x14ac:dyDescent="0.25">
      <c r="A5332" s="102"/>
      <c r="B5332" s="102" t="s">
        <v>119</v>
      </c>
      <c r="D5332" s="102">
        <v>7228</v>
      </c>
      <c r="E5332" s="136" t="str">
        <f>INDEX([1]道具配置表!$D:$D,MATCH(D5332,[1]道具配置表!$A:$A,0))</f>
        <v>经验书*10000</v>
      </c>
      <c r="F5332" s="102">
        <v>1</v>
      </c>
      <c r="K5332" s="102">
        <v>1</v>
      </c>
      <c r="L5332" s="102"/>
      <c r="M5332" s="22" t="b">
        <v>1</v>
      </c>
    </row>
    <row r="5333" spans="1:13" s="4" customFormat="1" x14ac:dyDescent="0.25">
      <c r="A5333" s="102"/>
      <c r="B5333" s="102" t="s">
        <v>119</v>
      </c>
      <c r="D5333" s="102">
        <v>20000</v>
      </c>
      <c r="E5333" s="136" t="str">
        <f>INDEX([1]道具配置表!$D:$D,MATCH(D5333,[1]道具配置表!$A:$A,0))</f>
        <v>技能点1</v>
      </c>
      <c r="F5333" s="102">
        <v>50</v>
      </c>
      <c r="K5333" s="102">
        <v>1</v>
      </c>
      <c r="L5333" s="102"/>
      <c r="M5333" s="22" t="b">
        <v>1</v>
      </c>
    </row>
    <row r="5334" spans="1:13" s="4" customFormat="1" x14ac:dyDescent="0.25">
      <c r="A5334" s="102"/>
      <c r="B5334" s="102" t="s">
        <v>119</v>
      </c>
      <c r="D5334" s="102">
        <v>56001</v>
      </c>
      <c r="E5334" s="136" t="str">
        <f>INDEX([1]道具配置表!$D:$D,MATCH(D5334,[1]道具配置表!$A:$A,0))</f>
        <v>锻造装备消耗材料</v>
      </c>
      <c r="F5334" s="102">
        <v>20</v>
      </c>
      <c r="K5334" s="102">
        <v>1</v>
      </c>
      <c r="L5334" s="102"/>
      <c r="M5334" s="22" t="b">
        <v>1</v>
      </c>
    </row>
    <row r="5335" spans="1:13" s="4" customFormat="1" x14ac:dyDescent="0.25">
      <c r="A5335" s="102"/>
      <c r="B5335" s="102" t="s">
        <v>119</v>
      </c>
      <c r="D5335" s="102">
        <v>6201</v>
      </c>
      <c r="E5335" s="136" t="str">
        <f>INDEX([1]道具配置表!$D:$D,MATCH(D5335,[1]道具配置表!$A:$A,0))</f>
        <v>60分钟锻造加速</v>
      </c>
      <c r="F5335" s="102">
        <v>1</v>
      </c>
      <c r="K5335" s="102">
        <v>1</v>
      </c>
      <c r="L5335" s="102"/>
      <c r="M5335" s="22" t="b">
        <v>1</v>
      </c>
    </row>
    <row r="5336" spans="1:13" s="4" customFormat="1" x14ac:dyDescent="0.25">
      <c r="A5336" s="102">
        <v>6650015</v>
      </c>
      <c r="B5336" s="102" t="s">
        <v>1131</v>
      </c>
      <c r="D5336" s="102">
        <v>3000001</v>
      </c>
      <c r="E5336" s="136" t="str">
        <f>INDEX([1]道具配置表!$D:$D,MATCH(D5336,[1]道具配置表!$A:$A,0))</f>
        <v>自走棋放置货币</v>
      </c>
      <c r="F5336" s="102">
        <v>40</v>
      </c>
      <c r="K5336" s="102">
        <v>1</v>
      </c>
      <c r="L5336" s="102"/>
      <c r="M5336" s="22" t="b">
        <v>1</v>
      </c>
    </row>
    <row r="5337" spans="1:13" s="4" customFormat="1" x14ac:dyDescent="0.25">
      <c r="A5337" s="102"/>
      <c r="B5337" s="102" t="s">
        <v>119</v>
      </c>
      <c r="D5337" s="102">
        <v>7228</v>
      </c>
      <c r="E5337" s="136" t="str">
        <f>INDEX([1]道具配置表!$D:$D,MATCH(D5337,[1]道具配置表!$A:$A,0))</f>
        <v>经验书*10000</v>
      </c>
      <c r="F5337" s="102">
        <v>2</v>
      </c>
      <c r="K5337" s="102">
        <v>1</v>
      </c>
      <c r="L5337" s="102"/>
      <c r="M5337" s="22" t="b">
        <v>1</v>
      </c>
    </row>
    <row r="5338" spans="1:13" s="4" customFormat="1" x14ac:dyDescent="0.25">
      <c r="A5338" s="102"/>
      <c r="B5338" s="102" t="s">
        <v>119</v>
      </c>
      <c r="D5338" s="102">
        <v>20000</v>
      </c>
      <c r="E5338" s="136" t="str">
        <f>INDEX([1]道具配置表!$D:$D,MATCH(D5338,[1]道具配置表!$A:$A,0))</f>
        <v>技能点1</v>
      </c>
      <c r="F5338" s="102">
        <v>100</v>
      </c>
      <c r="K5338" s="102">
        <v>1</v>
      </c>
      <c r="L5338" s="102"/>
      <c r="M5338" s="22" t="b">
        <v>1</v>
      </c>
    </row>
    <row r="5339" spans="1:13" s="4" customFormat="1" x14ac:dyDescent="0.25">
      <c r="A5339" s="102"/>
      <c r="B5339" s="102" t="s">
        <v>119</v>
      </c>
      <c r="D5339" s="102">
        <v>56001</v>
      </c>
      <c r="E5339" s="136" t="str">
        <f>INDEX([1]道具配置表!$D:$D,MATCH(D5339,[1]道具配置表!$A:$A,0))</f>
        <v>锻造装备消耗材料</v>
      </c>
      <c r="F5339" s="102">
        <v>50</v>
      </c>
      <c r="K5339" s="102">
        <v>1</v>
      </c>
      <c r="L5339" s="102"/>
      <c r="M5339" s="22" t="b">
        <v>1</v>
      </c>
    </row>
    <row r="5340" spans="1:13" s="4" customFormat="1" x14ac:dyDescent="0.25">
      <c r="A5340" s="102"/>
      <c r="B5340" s="102" t="s">
        <v>119</v>
      </c>
      <c r="D5340" s="102">
        <v>6197</v>
      </c>
      <c r="E5340" s="136" t="str">
        <f>INDEX([1]道具配置表!$D:$D,MATCH(D5340,[1]道具配置表!$A:$A,0))</f>
        <v>5分钟锻造加速</v>
      </c>
      <c r="F5340" s="102">
        <v>1</v>
      </c>
      <c r="K5340" s="102">
        <v>1</v>
      </c>
      <c r="L5340" s="102"/>
      <c r="M5340" s="22" t="b">
        <v>1</v>
      </c>
    </row>
    <row r="5341" spans="1:13" s="4" customFormat="1" x14ac:dyDescent="0.25">
      <c r="A5341" s="102">
        <v>6650016</v>
      </c>
      <c r="B5341" s="102" t="s">
        <v>1132</v>
      </c>
      <c r="D5341" s="102">
        <v>56174</v>
      </c>
      <c r="E5341" s="136" t="str">
        <f>INDEX([1]道具配置表!$D:$D,MATCH(D5341,[1]道具配置表!$A:$A,0))</f>
        <v>麂皮短衫</v>
      </c>
      <c r="F5341" s="102">
        <v>1</v>
      </c>
      <c r="K5341" s="102">
        <v>1</v>
      </c>
      <c r="L5341" s="102"/>
      <c r="M5341" s="22" t="b">
        <v>1</v>
      </c>
    </row>
    <row r="5342" spans="1:13" s="4" customFormat="1" x14ac:dyDescent="0.25">
      <c r="A5342" s="102"/>
      <c r="B5342" s="102" t="s">
        <v>119</v>
      </c>
      <c r="D5342" s="102">
        <v>3000001</v>
      </c>
      <c r="E5342" s="136" t="str">
        <f>INDEX([1]道具配置表!$D:$D,MATCH(D5342,[1]道具配置表!$A:$A,0))</f>
        <v>自走棋放置货币</v>
      </c>
      <c r="F5342" s="102">
        <v>20</v>
      </c>
      <c r="K5342" s="102">
        <v>1</v>
      </c>
      <c r="L5342" s="102"/>
      <c r="M5342" s="22" t="b">
        <v>1</v>
      </c>
    </row>
    <row r="5343" spans="1:13" s="4" customFormat="1" x14ac:dyDescent="0.25">
      <c r="A5343" s="102"/>
      <c r="B5343" s="102" t="s">
        <v>119</v>
      </c>
      <c r="D5343" s="102">
        <v>7228</v>
      </c>
      <c r="E5343" s="136" t="str">
        <f>INDEX([1]道具配置表!$D:$D,MATCH(D5343,[1]道具配置表!$A:$A,0))</f>
        <v>经验书*10000</v>
      </c>
      <c r="F5343" s="102">
        <v>1</v>
      </c>
      <c r="K5343" s="102">
        <v>1</v>
      </c>
      <c r="L5343" s="102"/>
      <c r="M5343" s="22" t="b">
        <v>1</v>
      </c>
    </row>
    <row r="5344" spans="1:13" s="4" customFormat="1" x14ac:dyDescent="0.25">
      <c r="A5344" s="102"/>
      <c r="B5344" s="102" t="s">
        <v>119</v>
      </c>
      <c r="D5344" s="102">
        <v>20000</v>
      </c>
      <c r="E5344" s="136" t="str">
        <f>INDEX([1]道具配置表!$D:$D,MATCH(D5344,[1]道具配置表!$A:$A,0))</f>
        <v>技能点1</v>
      </c>
      <c r="F5344" s="102">
        <v>50</v>
      </c>
      <c r="K5344" s="102">
        <v>1</v>
      </c>
      <c r="L5344" s="102"/>
      <c r="M5344" s="22" t="b">
        <v>1</v>
      </c>
    </row>
    <row r="5345" spans="1:13" s="4" customFormat="1" x14ac:dyDescent="0.25">
      <c r="A5345" s="102"/>
      <c r="B5345" s="102" t="s">
        <v>119</v>
      </c>
      <c r="D5345" s="102">
        <v>56001</v>
      </c>
      <c r="E5345" s="136" t="str">
        <f>INDEX([1]道具配置表!$D:$D,MATCH(D5345,[1]道具配置表!$A:$A,0))</f>
        <v>锻造装备消耗材料</v>
      </c>
      <c r="F5345" s="102">
        <v>20</v>
      </c>
      <c r="K5345" s="102">
        <v>1</v>
      </c>
      <c r="L5345" s="102"/>
      <c r="M5345" s="22" t="b">
        <v>1</v>
      </c>
    </row>
    <row r="5346" spans="1:13" s="4" customFormat="1" x14ac:dyDescent="0.25">
      <c r="A5346" s="102"/>
      <c r="B5346" s="102" t="s">
        <v>119</v>
      </c>
      <c r="D5346" s="102">
        <v>6201</v>
      </c>
      <c r="E5346" s="136" t="str">
        <f>INDEX([1]道具配置表!$D:$D,MATCH(D5346,[1]道具配置表!$A:$A,0))</f>
        <v>60分钟锻造加速</v>
      </c>
      <c r="F5346" s="102">
        <v>1</v>
      </c>
      <c r="K5346" s="102">
        <v>1</v>
      </c>
      <c r="L5346" s="102"/>
      <c r="M5346" s="22" t="b">
        <v>1</v>
      </c>
    </row>
    <row r="5347" spans="1:13" s="4" customFormat="1" x14ac:dyDescent="0.25">
      <c r="A5347" s="102"/>
      <c r="B5347" s="102" t="s">
        <v>119</v>
      </c>
      <c r="D5347" s="102">
        <v>56002</v>
      </c>
      <c r="E5347" s="136" t="str">
        <f>INDEX([1]道具配置表!$D:$D,MATCH(D5347,[1]道具配置表!$A:$A,0))</f>
        <v>强化装备消耗材料</v>
      </c>
      <c r="F5347" s="102">
        <v>20</v>
      </c>
      <c r="K5347" s="102">
        <v>1</v>
      </c>
      <c r="L5347" s="102"/>
      <c r="M5347" s="22" t="b">
        <v>1</v>
      </c>
    </row>
    <row r="5348" spans="1:13" s="4" customFormat="1" x14ac:dyDescent="0.25">
      <c r="A5348" s="102">
        <v>6650017</v>
      </c>
      <c r="B5348" s="102" t="s">
        <v>1133</v>
      </c>
      <c r="D5348" s="102">
        <v>3000001</v>
      </c>
      <c r="E5348" s="136" t="str">
        <f>INDEX([1]道具配置表!$D:$D,MATCH(D5348,[1]道具配置表!$A:$A,0))</f>
        <v>自走棋放置货币</v>
      </c>
      <c r="F5348" s="102">
        <v>20</v>
      </c>
      <c r="K5348" s="102">
        <v>1</v>
      </c>
      <c r="L5348" s="102"/>
      <c r="M5348" s="22" t="b">
        <v>1</v>
      </c>
    </row>
    <row r="5349" spans="1:13" s="4" customFormat="1" x14ac:dyDescent="0.25">
      <c r="A5349" s="102"/>
      <c r="B5349" s="102" t="s">
        <v>119</v>
      </c>
      <c r="D5349" s="102">
        <v>7228</v>
      </c>
      <c r="E5349" s="136" t="str">
        <f>INDEX([1]道具配置表!$D:$D,MATCH(D5349,[1]道具配置表!$A:$A,0))</f>
        <v>经验书*10000</v>
      </c>
      <c r="F5349" s="102">
        <v>1</v>
      </c>
      <c r="K5349" s="102">
        <v>1</v>
      </c>
      <c r="L5349" s="102"/>
      <c r="M5349" s="22" t="b">
        <v>1</v>
      </c>
    </row>
    <row r="5350" spans="1:13" s="4" customFormat="1" x14ac:dyDescent="0.25">
      <c r="A5350" s="102"/>
      <c r="B5350" s="102" t="s">
        <v>119</v>
      </c>
      <c r="D5350" s="102">
        <v>20000</v>
      </c>
      <c r="E5350" s="136" t="str">
        <f>INDEX([1]道具配置表!$D:$D,MATCH(D5350,[1]道具配置表!$A:$A,0))</f>
        <v>技能点1</v>
      </c>
      <c r="F5350" s="102">
        <v>50</v>
      </c>
      <c r="K5350" s="102">
        <v>1</v>
      </c>
      <c r="L5350" s="102"/>
      <c r="M5350" s="22" t="b">
        <v>1</v>
      </c>
    </row>
    <row r="5351" spans="1:13" s="4" customFormat="1" x14ac:dyDescent="0.25">
      <c r="A5351" s="102"/>
      <c r="B5351" s="102" t="s">
        <v>119</v>
      </c>
      <c r="D5351" s="102">
        <v>56001</v>
      </c>
      <c r="E5351" s="136" t="str">
        <f>INDEX([1]道具配置表!$D:$D,MATCH(D5351,[1]道具配置表!$A:$A,0))</f>
        <v>锻造装备消耗材料</v>
      </c>
      <c r="F5351" s="102">
        <v>20</v>
      </c>
      <c r="K5351" s="102">
        <v>1</v>
      </c>
      <c r="L5351" s="102"/>
      <c r="M5351" s="22" t="b">
        <v>1</v>
      </c>
    </row>
    <row r="5352" spans="1:13" s="4" customFormat="1" x14ac:dyDescent="0.25">
      <c r="A5352" s="102"/>
      <c r="B5352" s="102" t="s">
        <v>119</v>
      </c>
      <c r="D5352" s="102">
        <v>6197</v>
      </c>
      <c r="E5352" s="136" t="str">
        <f>INDEX([1]道具配置表!$D:$D,MATCH(D5352,[1]道具配置表!$A:$A,0))</f>
        <v>5分钟锻造加速</v>
      </c>
      <c r="F5352" s="102">
        <v>1</v>
      </c>
      <c r="K5352" s="102">
        <v>1</v>
      </c>
      <c r="L5352" s="102"/>
      <c r="M5352" s="22" t="b">
        <v>1</v>
      </c>
    </row>
    <row r="5353" spans="1:13" s="4" customFormat="1" x14ac:dyDescent="0.25">
      <c r="A5353" s="102">
        <v>6650018</v>
      </c>
      <c r="B5353" s="102" t="s">
        <v>1134</v>
      </c>
      <c r="D5353" s="102">
        <v>56186</v>
      </c>
      <c r="E5353" s="136" t="str">
        <f>INDEX([1]道具配置表!$D:$D,MATCH(D5353,[1]道具配置表!$A:$A,0))</f>
        <v>棉布上衣</v>
      </c>
      <c r="F5353" s="102">
        <v>1</v>
      </c>
      <c r="K5353" s="102">
        <v>1</v>
      </c>
      <c r="L5353" s="102"/>
      <c r="M5353" s="22" t="b">
        <v>1</v>
      </c>
    </row>
    <row r="5354" spans="1:13" s="4" customFormat="1" x14ac:dyDescent="0.25">
      <c r="A5354" s="102"/>
      <c r="B5354" s="102" t="s">
        <v>119</v>
      </c>
      <c r="D5354" s="102">
        <v>3000001</v>
      </c>
      <c r="E5354" s="136" t="str">
        <f>INDEX([1]道具配置表!$D:$D,MATCH(D5354,[1]道具配置表!$A:$A,0))</f>
        <v>自走棋放置货币</v>
      </c>
      <c r="F5354" s="102">
        <v>20</v>
      </c>
      <c r="K5354" s="102">
        <v>1</v>
      </c>
      <c r="L5354" s="102"/>
      <c r="M5354" s="22" t="b">
        <v>1</v>
      </c>
    </row>
    <row r="5355" spans="1:13" s="4" customFormat="1" x14ac:dyDescent="0.25">
      <c r="A5355" s="102"/>
      <c r="B5355" s="102" t="s">
        <v>119</v>
      </c>
      <c r="D5355" s="102">
        <v>7228</v>
      </c>
      <c r="E5355" s="136" t="str">
        <f>INDEX([1]道具配置表!$D:$D,MATCH(D5355,[1]道具配置表!$A:$A,0))</f>
        <v>经验书*10000</v>
      </c>
      <c r="F5355" s="102">
        <v>1</v>
      </c>
      <c r="K5355" s="102">
        <v>1</v>
      </c>
      <c r="L5355" s="102"/>
      <c r="M5355" s="22" t="b">
        <v>1</v>
      </c>
    </row>
    <row r="5356" spans="1:13" s="4" customFormat="1" x14ac:dyDescent="0.25">
      <c r="A5356" s="102"/>
      <c r="B5356" s="102" t="s">
        <v>119</v>
      </c>
      <c r="D5356" s="102">
        <v>20000</v>
      </c>
      <c r="E5356" s="136" t="str">
        <f>INDEX([1]道具配置表!$D:$D,MATCH(D5356,[1]道具配置表!$A:$A,0))</f>
        <v>技能点1</v>
      </c>
      <c r="F5356" s="102">
        <v>50</v>
      </c>
      <c r="K5356" s="102">
        <v>1</v>
      </c>
      <c r="L5356" s="102"/>
      <c r="M5356" s="22" t="b">
        <v>1</v>
      </c>
    </row>
    <row r="5357" spans="1:13" s="4" customFormat="1" x14ac:dyDescent="0.25">
      <c r="A5357" s="102"/>
      <c r="B5357" s="102" t="s">
        <v>119</v>
      </c>
      <c r="D5357" s="102">
        <v>56001</v>
      </c>
      <c r="E5357" s="136" t="str">
        <f>INDEX([1]道具配置表!$D:$D,MATCH(D5357,[1]道具配置表!$A:$A,0))</f>
        <v>锻造装备消耗材料</v>
      </c>
      <c r="F5357" s="102">
        <v>20</v>
      </c>
      <c r="K5357" s="102">
        <v>1</v>
      </c>
      <c r="L5357" s="102"/>
      <c r="M5357" s="22" t="b">
        <v>1</v>
      </c>
    </row>
    <row r="5358" spans="1:13" s="4" customFormat="1" x14ac:dyDescent="0.25">
      <c r="A5358" s="102"/>
      <c r="B5358" s="102" t="s">
        <v>119</v>
      </c>
      <c r="D5358" s="102">
        <v>6201</v>
      </c>
      <c r="E5358" s="136" t="str">
        <f>INDEX([1]道具配置表!$D:$D,MATCH(D5358,[1]道具配置表!$A:$A,0))</f>
        <v>60分钟锻造加速</v>
      </c>
      <c r="F5358" s="102">
        <v>1</v>
      </c>
      <c r="K5358" s="102">
        <v>1</v>
      </c>
      <c r="L5358" s="102"/>
      <c r="M5358" s="22" t="b">
        <v>1</v>
      </c>
    </row>
    <row r="5359" spans="1:13" s="4" customFormat="1" x14ac:dyDescent="0.25">
      <c r="A5359" s="102"/>
      <c r="B5359" s="102" t="s">
        <v>119</v>
      </c>
      <c r="D5359" s="102">
        <v>56002</v>
      </c>
      <c r="E5359" s="136" t="str">
        <f>INDEX([1]道具配置表!$D:$D,MATCH(D5359,[1]道具配置表!$A:$A,0))</f>
        <v>强化装备消耗材料</v>
      </c>
      <c r="F5359" s="102">
        <v>20</v>
      </c>
      <c r="K5359" s="102">
        <v>1</v>
      </c>
      <c r="L5359" s="102"/>
      <c r="M5359" s="22" t="b">
        <v>1</v>
      </c>
    </row>
    <row r="5360" spans="1:13" s="4" customFormat="1" x14ac:dyDescent="0.25">
      <c r="A5360" s="102">
        <v>6650019</v>
      </c>
      <c r="B5360" s="102" t="s">
        <v>1135</v>
      </c>
      <c r="D5360" s="102">
        <v>3000001</v>
      </c>
      <c r="E5360" s="136" t="str">
        <f>INDEX([1]道具配置表!$D:$D,MATCH(D5360,[1]道具配置表!$A:$A,0))</f>
        <v>自走棋放置货币</v>
      </c>
      <c r="F5360" s="102">
        <v>20</v>
      </c>
      <c r="K5360" s="102">
        <v>1</v>
      </c>
      <c r="L5360" s="102"/>
      <c r="M5360" s="22" t="b">
        <v>1</v>
      </c>
    </row>
    <row r="5361" spans="1:13" s="4" customFormat="1" x14ac:dyDescent="0.25">
      <c r="A5361" s="102"/>
      <c r="B5361" s="102" t="s">
        <v>119</v>
      </c>
      <c r="D5361" s="102">
        <v>7228</v>
      </c>
      <c r="E5361" s="136" t="str">
        <f>INDEX([1]道具配置表!$D:$D,MATCH(D5361,[1]道具配置表!$A:$A,0))</f>
        <v>经验书*10000</v>
      </c>
      <c r="F5361" s="102">
        <v>1</v>
      </c>
      <c r="K5361" s="102">
        <v>1</v>
      </c>
      <c r="L5361" s="102"/>
      <c r="M5361" s="22" t="b">
        <v>1</v>
      </c>
    </row>
    <row r="5362" spans="1:13" s="4" customFormat="1" x14ac:dyDescent="0.25">
      <c r="A5362" s="102"/>
      <c r="B5362" s="102" t="s">
        <v>119</v>
      </c>
      <c r="D5362" s="102">
        <v>20000</v>
      </c>
      <c r="E5362" s="136" t="str">
        <f>INDEX([1]道具配置表!$D:$D,MATCH(D5362,[1]道具配置表!$A:$A,0))</f>
        <v>技能点1</v>
      </c>
      <c r="F5362" s="102">
        <v>50</v>
      </c>
      <c r="K5362" s="102">
        <v>1</v>
      </c>
      <c r="L5362" s="102"/>
      <c r="M5362" s="22" t="b">
        <v>1</v>
      </c>
    </row>
    <row r="5363" spans="1:13" s="4" customFormat="1" x14ac:dyDescent="0.25">
      <c r="A5363" s="102"/>
      <c r="B5363" s="102" t="s">
        <v>119</v>
      </c>
      <c r="D5363" s="102">
        <v>56001</v>
      </c>
      <c r="E5363" s="136" t="str">
        <f>INDEX([1]道具配置表!$D:$D,MATCH(D5363,[1]道具配置表!$A:$A,0))</f>
        <v>锻造装备消耗材料</v>
      </c>
      <c r="F5363" s="102">
        <v>20</v>
      </c>
      <c r="K5363" s="102">
        <v>1</v>
      </c>
      <c r="L5363" s="102"/>
      <c r="M5363" s="22" t="b">
        <v>1</v>
      </c>
    </row>
    <row r="5364" spans="1:13" s="4" customFormat="1" x14ac:dyDescent="0.25">
      <c r="A5364" s="102"/>
      <c r="B5364" s="102" t="s">
        <v>119</v>
      </c>
      <c r="D5364" s="102">
        <v>6197</v>
      </c>
      <c r="E5364" s="136" t="str">
        <f>INDEX([1]道具配置表!$D:$D,MATCH(D5364,[1]道具配置表!$A:$A,0))</f>
        <v>5分钟锻造加速</v>
      </c>
      <c r="F5364" s="102">
        <v>1</v>
      </c>
      <c r="K5364" s="102">
        <v>1</v>
      </c>
      <c r="L5364" s="102"/>
      <c r="M5364" s="22" t="b">
        <v>1</v>
      </c>
    </row>
    <row r="5365" spans="1:13" s="4" customFormat="1" x14ac:dyDescent="0.25">
      <c r="A5365" s="102">
        <v>6650020</v>
      </c>
      <c r="B5365" s="102" t="s">
        <v>1136</v>
      </c>
      <c r="D5365" s="102">
        <v>56149</v>
      </c>
      <c r="E5365" s="136" t="str">
        <f>INDEX([1]道具配置表!$D:$D,MATCH(D5365,[1]道具配置表!$A:$A,0))</f>
        <v>编绳护腕</v>
      </c>
      <c r="F5365" s="102">
        <v>1</v>
      </c>
      <c r="K5365" s="102">
        <v>1</v>
      </c>
      <c r="L5365" s="102"/>
      <c r="M5365" s="22" t="b">
        <v>1</v>
      </c>
    </row>
    <row r="5366" spans="1:13" s="4" customFormat="1" x14ac:dyDescent="0.25">
      <c r="A5366" s="102"/>
      <c r="B5366" s="102" t="s">
        <v>119</v>
      </c>
      <c r="D5366" s="102">
        <v>3000001</v>
      </c>
      <c r="E5366" s="136" t="str">
        <f>INDEX([1]道具配置表!$D:$D,MATCH(D5366,[1]道具配置表!$A:$A,0))</f>
        <v>自走棋放置货币</v>
      </c>
      <c r="F5366" s="102">
        <v>40</v>
      </c>
      <c r="K5366" s="102">
        <v>1</v>
      </c>
      <c r="L5366" s="102"/>
      <c r="M5366" s="22" t="b">
        <v>1</v>
      </c>
    </row>
    <row r="5367" spans="1:13" s="4" customFormat="1" x14ac:dyDescent="0.25">
      <c r="A5367" s="102"/>
      <c r="B5367" s="102" t="s">
        <v>119</v>
      </c>
      <c r="D5367" s="102">
        <v>7228</v>
      </c>
      <c r="E5367" s="136" t="str">
        <f>INDEX([1]道具配置表!$D:$D,MATCH(D5367,[1]道具配置表!$A:$A,0))</f>
        <v>经验书*10000</v>
      </c>
      <c r="F5367" s="102">
        <v>2</v>
      </c>
      <c r="K5367" s="102">
        <v>1</v>
      </c>
      <c r="L5367" s="102"/>
      <c r="M5367" s="22" t="b">
        <v>1</v>
      </c>
    </row>
    <row r="5368" spans="1:13" x14ac:dyDescent="0.25">
      <c r="A5368" s="102"/>
      <c r="B5368" s="102" t="s">
        <v>119</v>
      </c>
      <c r="C5368" s="4"/>
      <c r="D5368" s="102">
        <v>20000</v>
      </c>
      <c r="E5368" s="136" t="str">
        <f>INDEX([1]道具配置表!$D:$D,MATCH(D5368,[1]道具配置表!$A:$A,0))</f>
        <v>技能点1</v>
      </c>
      <c r="F5368" s="102">
        <v>100</v>
      </c>
      <c r="G5368" s="4"/>
      <c r="H5368" s="4"/>
      <c r="I5368" s="4"/>
      <c r="J5368" s="4"/>
      <c r="K5368" s="102">
        <v>1</v>
      </c>
      <c r="L5368" s="102"/>
      <c r="M5368" s="22" t="b">
        <v>1</v>
      </c>
    </row>
    <row r="5369" spans="1:13" x14ac:dyDescent="0.25">
      <c r="A5369" s="102"/>
      <c r="B5369" s="102" t="s">
        <v>119</v>
      </c>
      <c r="C5369" s="4"/>
      <c r="D5369" s="102">
        <v>56001</v>
      </c>
      <c r="E5369" s="136" t="str">
        <f>INDEX([1]道具配置表!$D:$D,MATCH(D5369,[1]道具配置表!$A:$A,0))</f>
        <v>锻造装备消耗材料</v>
      </c>
      <c r="F5369" s="102">
        <v>50</v>
      </c>
      <c r="G5369" s="4"/>
      <c r="H5369" s="4"/>
      <c r="I5369" s="4"/>
      <c r="J5369" s="4"/>
      <c r="K5369" s="102">
        <v>1</v>
      </c>
      <c r="L5369" s="102"/>
      <c r="M5369" s="22" t="b">
        <v>1</v>
      </c>
    </row>
    <row r="5370" spans="1:13" x14ac:dyDescent="0.25">
      <c r="A5370" s="102"/>
      <c r="B5370" s="102" t="s">
        <v>119</v>
      </c>
      <c r="C5370" s="4"/>
      <c r="D5370" s="102">
        <v>6201</v>
      </c>
      <c r="E5370" s="136" t="str">
        <f>INDEX([1]道具配置表!$D:$D,MATCH(D5370,[1]道具配置表!$A:$A,0))</f>
        <v>60分钟锻造加速</v>
      </c>
      <c r="F5370" s="102">
        <v>1</v>
      </c>
      <c r="G5370" s="4"/>
      <c r="H5370" s="4"/>
      <c r="I5370" s="4"/>
      <c r="J5370" s="4"/>
      <c r="K5370" s="102">
        <v>1</v>
      </c>
      <c r="L5370" s="102"/>
      <c r="M5370" s="22" t="b">
        <v>1</v>
      </c>
    </row>
    <row r="5371" spans="1:13" x14ac:dyDescent="0.25">
      <c r="A5371" s="102"/>
      <c r="B5371" s="102" t="s">
        <v>119</v>
      </c>
      <c r="C5371" s="4"/>
      <c r="D5371" s="102">
        <v>56002</v>
      </c>
      <c r="E5371" s="136" t="str">
        <f>INDEX([1]道具配置表!$D:$D,MATCH(D5371,[1]道具配置表!$A:$A,0))</f>
        <v>强化装备消耗材料</v>
      </c>
      <c r="F5371" s="102">
        <v>20</v>
      </c>
      <c r="G5371" s="4"/>
      <c r="H5371" s="4"/>
      <c r="I5371" s="4"/>
      <c r="J5371" s="4"/>
      <c r="K5371" s="102">
        <v>1</v>
      </c>
      <c r="L5371" s="102"/>
      <c r="M5371" s="22" t="b">
        <v>1</v>
      </c>
    </row>
    <row r="5372" spans="1:13" x14ac:dyDescent="0.25">
      <c r="A5372" s="102">
        <v>6650021</v>
      </c>
      <c r="B5372" s="102" t="s">
        <v>1137</v>
      </c>
      <c r="C5372" s="4"/>
      <c r="D5372" s="102">
        <v>3000001</v>
      </c>
      <c r="E5372" s="136" t="str">
        <f>INDEX([1]道具配置表!$D:$D,MATCH(D5372,[1]道具配置表!$A:$A,0))</f>
        <v>自走棋放置货币</v>
      </c>
      <c r="F5372" s="102">
        <v>20</v>
      </c>
      <c r="G5372" s="4"/>
      <c r="H5372" s="4"/>
      <c r="I5372" s="4"/>
      <c r="J5372" s="4"/>
      <c r="K5372" s="102">
        <v>1</v>
      </c>
      <c r="L5372" s="102"/>
      <c r="M5372" s="22" t="b">
        <v>1</v>
      </c>
    </row>
    <row r="5373" spans="1:13" x14ac:dyDescent="0.25">
      <c r="A5373" s="102"/>
      <c r="B5373" s="102" t="s">
        <v>119</v>
      </c>
      <c r="C5373" s="4"/>
      <c r="D5373" s="102">
        <v>7228</v>
      </c>
      <c r="E5373" s="136" t="str">
        <f>INDEX([1]道具配置表!$D:$D,MATCH(D5373,[1]道具配置表!$A:$A,0))</f>
        <v>经验书*10000</v>
      </c>
      <c r="F5373" s="102">
        <v>1</v>
      </c>
      <c r="G5373" s="4"/>
      <c r="H5373" s="4"/>
      <c r="I5373" s="4"/>
      <c r="J5373" s="4"/>
      <c r="K5373" s="102">
        <v>1</v>
      </c>
      <c r="L5373" s="102"/>
      <c r="M5373" s="22" t="b">
        <v>1</v>
      </c>
    </row>
    <row r="5374" spans="1:13" x14ac:dyDescent="0.25">
      <c r="A5374" s="102"/>
      <c r="B5374" s="102" t="s">
        <v>119</v>
      </c>
      <c r="C5374" s="4"/>
      <c r="D5374" s="102">
        <v>20000</v>
      </c>
      <c r="E5374" s="136" t="str">
        <f>INDEX([1]道具配置表!$D:$D,MATCH(D5374,[1]道具配置表!$A:$A,0))</f>
        <v>技能点1</v>
      </c>
      <c r="F5374" s="102">
        <v>50</v>
      </c>
      <c r="G5374" s="4"/>
      <c r="H5374" s="4"/>
      <c r="I5374" s="4"/>
      <c r="J5374" s="4"/>
      <c r="K5374" s="102">
        <v>1</v>
      </c>
      <c r="L5374" s="102"/>
      <c r="M5374" s="22" t="b">
        <v>1</v>
      </c>
    </row>
    <row r="5375" spans="1:13" x14ac:dyDescent="0.25">
      <c r="A5375" s="102"/>
      <c r="B5375" s="102" t="s">
        <v>119</v>
      </c>
      <c r="C5375" s="4"/>
      <c r="D5375" s="102">
        <v>56001</v>
      </c>
      <c r="E5375" s="136" t="str">
        <f>INDEX([1]道具配置表!$D:$D,MATCH(D5375,[1]道具配置表!$A:$A,0))</f>
        <v>锻造装备消耗材料</v>
      </c>
      <c r="F5375" s="102">
        <v>20</v>
      </c>
      <c r="G5375" s="4"/>
      <c r="H5375" s="4"/>
      <c r="I5375" s="4"/>
      <c r="J5375" s="4"/>
      <c r="K5375" s="102">
        <v>1</v>
      </c>
      <c r="L5375" s="102"/>
      <c r="M5375" s="22" t="b">
        <v>1</v>
      </c>
    </row>
    <row r="5376" spans="1:13" x14ac:dyDescent="0.25">
      <c r="A5376" s="102"/>
      <c r="B5376" s="102" t="s">
        <v>119</v>
      </c>
      <c r="C5376" s="4"/>
      <c r="D5376" s="102">
        <v>6197</v>
      </c>
      <c r="E5376" s="136" t="str">
        <f>INDEX([1]道具配置表!$D:$D,MATCH(D5376,[1]道具配置表!$A:$A,0))</f>
        <v>5分钟锻造加速</v>
      </c>
      <c r="F5376" s="102">
        <v>1</v>
      </c>
      <c r="G5376" s="4"/>
      <c r="H5376" s="4"/>
      <c r="I5376" s="4"/>
      <c r="J5376" s="4"/>
      <c r="K5376" s="102">
        <v>1</v>
      </c>
      <c r="L5376" s="102"/>
      <c r="M5376" s="22" t="b">
        <v>1</v>
      </c>
    </row>
    <row r="5377" spans="1:13" x14ac:dyDescent="0.25">
      <c r="A5377" s="102">
        <v>6650022</v>
      </c>
      <c r="B5377" s="102" t="s">
        <v>1138</v>
      </c>
      <c r="C5377" s="4"/>
      <c r="D5377" s="102">
        <v>56161</v>
      </c>
      <c r="E5377" s="136" t="str">
        <f>INDEX([1]道具配置表!$D:$D,MATCH(D5377,[1]道具配置表!$A:$A,0))</f>
        <v>松木扳指</v>
      </c>
      <c r="F5377" s="102">
        <v>1</v>
      </c>
      <c r="G5377" s="4"/>
      <c r="H5377" s="4"/>
      <c r="I5377" s="4"/>
      <c r="J5377" s="4"/>
      <c r="K5377" s="102">
        <v>1</v>
      </c>
      <c r="L5377" s="102"/>
      <c r="M5377" s="22" t="b">
        <v>1</v>
      </c>
    </row>
    <row r="5378" spans="1:13" x14ac:dyDescent="0.25">
      <c r="A5378" s="102"/>
      <c r="B5378" s="102"/>
      <c r="C5378" s="4"/>
      <c r="D5378" s="102">
        <v>56002</v>
      </c>
      <c r="E5378" s="136" t="str">
        <f>INDEX([1]道具配置表!$D:$D,MATCH(D5378,[1]道具配置表!$A:$A,0))</f>
        <v>强化装备消耗材料</v>
      </c>
      <c r="F5378" s="102">
        <v>20</v>
      </c>
      <c r="G5378" s="4"/>
      <c r="H5378" s="4"/>
      <c r="I5378" s="4"/>
      <c r="J5378" s="4"/>
      <c r="K5378" s="102">
        <v>1</v>
      </c>
      <c r="L5378" s="102"/>
      <c r="M5378" s="22" t="b">
        <v>1</v>
      </c>
    </row>
    <row r="5379" spans="1:13" x14ac:dyDescent="0.25">
      <c r="A5379" s="102"/>
      <c r="B5379" s="102"/>
      <c r="C5379" s="4"/>
      <c r="D5379" s="102">
        <v>3000001</v>
      </c>
      <c r="E5379" s="136" t="str">
        <f>INDEX([1]道具配置表!$D:$D,MATCH(D5379,[1]道具配置表!$A:$A,0))</f>
        <v>自走棋放置货币</v>
      </c>
      <c r="F5379" s="102">
        <v>20</v>
      </c>
      <c r="G5379" s="4"/>
      <c r="H5379" s="4"/>
      <c r="I5379" s="4"/>
      <c r="J5379" s="4"/>
      <c r="K5379" s="102">
        <v>1</v>
      </c>
      <c r="L5379" s="102"/>
      <c r="M5379" s="22" t="b">
        <v>1</v>
      </c>
    </row>
    <row r="5380" spans="1:13" x14ac:dyDescent="0.25">
      <c r="A5380" s="102"/>
      <c r="B5380" s="102" t="s">
        <v>119</v>
      </c>
      <c r="C5380" s="4"/>
      <c r="D5380" s="102">
        <v>7228</v>
      </c>
      <c r="E5380" s="136" t="str">
        <f>INDEX([1]道具配置表!$D:$D,MATCH(D5380,[1]道具配置表!$A:$A,0))</f>
        <v>经验书*10000</v>
      </c>
      <c r="F5380" s="102">
        <v>1</v>
      </c>
      <c r="G5380" s="4"/>
      <c r="H5380" s="4"/>
      <c r="I5380" s="4"/>
      <c r="J5380" s="4"/>
      <c r="K5380" s="102">
        <v>1</v>
      </c>
      <c r="L5380" s="102"/>
      <c r="M5380" s="22" t="b">
        <v>1</v>
      </c>
    </row>
    <row r="5381" spans="1:13" x14ac:dyDescent="0.25">
      <c r="A5381" s="102"/>
      <c r="B5381" s="102" t="s">
        <v>119</v>
      </c>
      <c r="C5381" s="4"/>
      <c r="D5381" s="102">
        <v>20000</v>
      </c>
      <c r="E5381" s="136" t="str">
        <f>INDEX([1]道具配置表!$D:$D,MATCH(D5381,[1]道具配置表!$A:$A,0))</f>
        <v>技能点1</v>
      </c>
      <c r="F5381" s="102">
        <v>50</v>
      </c>
      <c r="G5381" s="4"/>
      <c r="H5381" s="4"/>
      <c r="I5381" s="4"/>
      <c r="J5381" s="4"/>
      <c r="K5381" s="102">
        <v>1</v>
      </c>
      <c r="L5381" s="102"/>
      <c r="M5381" s="22" t="b">
        <v>1</v>
      </c>
    </row>
    <row r="5382" spans="1:13" x14ac:dyDescent="0.25">
      <c r="A5382" s="102"/>
      <c r="B5382" s="102" t="s">
        <v>119</v>
      </c>
      <c r="C5382" s="4"/>
      <c r="D5382" s="102">
        <v>56001</v>
      </c>
      <c r="E5382" s="136" t="str">
        <f>INDEX([1]道具配置表!$D:$D,MATCH(D5382,[1]道具配置表!$A:$A,0))</f>
        <v>锻造装备消耗材料</v>
      </c>
      <c r="F5382" s="102">
        <v>20</v>
      </c>
      <c r="G5382" s="4"/>
      <c r="H5382" s="4"/>
      <c r="I5382" s="4"/>
      <c r="J5382" s="4"/>
      <c r="K5382" s="102">
        <v>1</v>
      </c>
      <c r="L5382" s="102"/>
      <c r="M5382" s="22" t="b">
        <v>1</v>
      </c>
    </row>
    <row r="5383" spans="1:13" x14ac:dyDescent="0.25">
      <c r="A5383" s="102"/>
      <c r="B5383" s="102" t="s">
        <v>119</v>
      </c>
      <c r="C5383" s="4"/>
      <c r="D5383" s="102">
        <v>6201</v>
      </c>
      <c r="E5383" s="136" t="str">
        <f>INDEX([1]道具配置表!$D:$D,MATCH(D5383,[1]道具配置表!$A:$A,0))</f>
        <v>60分钟锻造加速</v>
      </c>
      <c r="F5383" s="102">
        <v>1</v>
      </c>
      <c r="G5383" s="4"/>
      <c r="H5383" s="4"/>
      <c r="I5383" s="4"/>
      <c r="J5383" s="4"/>
      <c r="K5383" s="102">
        <v>1</v>
      </c>
      <c r="L5383" s="102"/>
      <c r="M5383" s="22" t="b">
        <v>1</v>
      </c>
    </row>
    <row r="5384" spans="1:13" x14ac:dyDescent="0.25">
      <c r="A5384" s="102">
        <v>6650023</v>
      </c>
      <c r="B5384" s="102" t="s">
        <v>1139</v>
      </c>
      <c r="C5384" s="4"/>
      <c r="D5384" s="102">
        <v>3000001</v>
      </c>
      <c r="E5384" s="136" t="str">
        <f>INDEX([1]道具配置表!$D:$D,MATCH(D5384,[1]道具配置表!$A:$A,0))</f>
        <v>自走棋放置货币</v>
      </c>
      <c r="F5384" s="102">
        <v>20</v>
      </c>
      <c r="G5384" s="4"/>
      <c r="H5384" s="4"/>
      <c r="I5384" s="4"/>
      <c r="J5384" s="4"/>
      <c r="K5384" s="102">
        <v>1</v>
      </c>
      <c r="L5384" s="102"/>
      <c r="M5384" s="22" t="b">
        <v>1</v>
      </c>
    </row>
    <row r="5385" spans="1:13" x14ac:dyDescent="0.25">
      <c r="A5385" s="102"/>
      <c r="B5385" s="102" t="s">
        <v>119</v>
      </c>
      <c r="C5385" s="4"/>
      <c r="D5385" s="102">
        <v>7228</v>
      </c>
      <c r="E5385" s="136" t="str">
        <f>INDEX([1]道具配置表!$D:$D,MATCH(D5385,[1]道具配置表!$A:$A,0))</f>
        <v>经验书*10000</v>
      </c>
      <c r="F5385" s="102">
        <v>1</v>
      </c>
      <c r="G5385" s="4"/>
      <c r="H5385" s="4"/>
      <c r="I5385" s="4"/>
      <c r="J5385" s="4"/>
      <c r="K5385" s="102">
        <v>1</v>
      </c>
      <c r="L5385" s="102"/>
      <c r="M5385" s="22" t="b">
        <v>1</v>
      </c>
    </row>
    <row r="5386" spans="1:13" x14ac:dyDescent="0.25">
      <c r="A5386" s="102"/>
      <c r="B5386" s="102" t="s">
        <v>119</v>
      </c>
      <c r="C5386" s="4"/>
      <c r="D5386" s="102">
        <v>20000</v>
      </c>
      <c r="E5386" s="136" t="str">
        <f>INDEX([1]道具配置表!$D:$D,MATCH(D5386,[1]道具配置表!$A:$A,0))</f>
        <v>技能点1</v>
      </c>
      <c r="F5386" s="102">
        <v>50</v>
      </c>
      <c r="G5386" s="4"/>
      <c r="H5386" s="4"/>
      <c r="I5386" s="4"/>
      <c r="J5386" s="4"/>
      <c r="K5386" s="102">
        <v>1</v>
      </c>
      <c r="L5386" s="102"/>
      <c r="M5386" s="22" t="b">
        <v>1</v>
      </c>
    </row>
    <row r="5387" spans="1:13" x14ac:dyDescent="0.25">
      <c r="A5387" s="102"/>
      <c r="B5387" s="102" t="s">
        <v>119</v>
      </c>
      <c r="C5387" s="4"/>
      <c r="D5387" s="102">
        <v>56001</v>
      </c>
      <c r="E5387" s="136" t="str">
        <f>INDEX([1]道具配置表!$D:$D,MATCH(D5387,[1]道具配置表!$A:$A,0))</f>
        <v>锻造装备消耗材料</v>
      </c>
      <c r="F5387" s="102">
        <v>20</v>
      </c>
      <c r="G5387" s="4"/>
      <c r="H5387" s="4"/>
      <c r="I5387" s="4"/>
      <c r="J5387" s="4"/>
      <c r="K5387" s="102">
        <v>1</v>
      </c>
      <c r="L5387" s="102"/>
      <c r="M5387" s="22" t="b">
        <v>1</v>
      </c>
    </row>
    <row r="5388" spans="1:13" x14ac:dyDescent="0.25">
      <c r="A5388" s="102"/>
      <c r="B5388" s="102" t="s">
        <v>119</v>
      </c>
      <c r="C5388" s="4"/>
      <c r="D5388" s="102">
        <v>6197</v>
      </c>
      <c r="E5388" s="136" t="str">
        <f>INDEX([1]道具配置表!$D:$D,MATCH(D5388,[1]道具配置表!$A:$A,0))</f>
        <v>5分钟锻造加速</v>
      </c>
      <c r="F5388" s="102">
        <v>1</v>
      </c>
      <c r="G5388" s="4"/>
      <c r="H5388" s="4"/>
      <c r="I5388" s="4"/>
      <c r="J5388" s="4"/>
      <c r="K5388" s="102">
        <v>1</v>
      </c>
      <c r="L5388" s="102"/>
      <c r="M5388" s="22" t="b">
        <v>1</v>
      </c>
    </row>
    <row r="5389" spans="1:13" x14ac:dyDescent="0.25">
      <c r="A5389" s="102">
        <v>6650024</v>
      </c>
      <c r="B5389" s="102" t="s">
        <v>1140</v>
      </c>
      <c r="C5389" s="4"/>
      <c r="D5389" s="102">
        <v>56173</v>
      </c>
      <c r="E5389" s="136" t="str">
        <f>INDEX([1]道具配置表!$D:$D,MATCH(D5389,[1]道具配置表!$A:$A,0))</f>
        <v>北地手套</v>
      </c>
      <c r="F5389" s="102">
        <v>1</v>
      </c>
      <c r="G5389" s="4"/>
      <c r="H5389" s="4"/>
      <c r="I5389" s="4"/>
      <c r="J5389" s="4"/>
      <c r="K5389" s="102">
        <v>1</v>
      </c>
      <c r="L5389" s="102"/>
      <c r="M5389" s="22" t="b">
        <v>1</v>
      </c>
    </row>
    <row r="5390" spans="1:13" x14ac:dyDescent="0.25">
      <c r="A5390" s="102"/>
      <c r="B5390" s="102"/>
      <c r="C5390" s="4"/>
      <c r="D5390" s="102">
        <v>56002</v>
      </c>
      <c r="E5390" s="136" t="str">
        <f>INDEX([1]道具配置表!$D:$D,MATCH(D5390,[1]道具配置表!$A:$A,0))</f>
        <v>强化装备消耗材料</v>
      </c>
      <c r="F5390" s="102">
        <v>20</v>
      </c>
      <c r="G5390" s="4"/>
      <c r="H5390" s="4"/>
      <c r="I5390" s="4"/>
      <c r="J5390" s="4"/>
      <c r="K5390" s="102">
        <v>1</v>
      </c>
      <c r="L5390" s="102"/>
      <c r="M5390" s="22" t="b">
        <v>1</v>
      </c>
    </row>
    <row r="5391" spans="1:13" x14ac:dyDescent="0.25">
      <c r="A5391" s="102"/>
      <c r="B5391" s="102"/>
      <c r="C5391" s="4"/>
      <c r="D5391" s="102">
        <v>3000001</v>
      </c>
      <c r="E5391" s="136" t="str">
        <f>INDEX([1]道具配置表!$D:$D,MATCH(D5391,[1]道具配置表!$A:$A,0))</f>
        <v>自走棋放置货币</v>
      </c>
      <c r="F5391" s="102">
        <v>20</v>
      </c>
      <c r="G5391" s="4"/>
      <c r="H5391" s="4"/>
      <c r="I5391" s="4"/>
      <c r="J5391" s="4"/>
      <c r="K5391" s="102">
        <v>1</v>
      </c>
      <c r="L5391" s="102"/>
      <c r="M5391" s="22" t="b">
        <v>1</v>
      </c>
    </row>
    <row r="5392" spans="1:13" x14ac:dyDescent="0.25">
      <c r="A5392" s="102"/>
      <c r="B5392" s="102" t="s">
        <v>119</v>
      </c>
      <c r="C5392" s="4"/>
      <c r="D5392" s="102">
        <v>7228</v>
      </c>
      <c r="E5392" s="136" t="str">
        <f>INDEX([1]道具配置表!$D:$D,MATCH(D5392,[1]道具配置表!$A:$A,0))</f>
        <v>经验书*10000</v>
      </c>
      <c r="F5392" s="102">
        <v>1</v>
      </c>
      <c r="G5392" s="4"/>
      <c r="H5392" s="4"/>
      <c r="I5392" s="4"/>
      <c r="J5392" s="4"/>
      <c r="K5392" s="102">
        <v>1</v>
      </c>
      <c r="L5392" s="102"/>
      <c r="M5392" s="22" t="b">
        <v>1</v>
      </c>
    </row>
    <row r="5393" spans="1:13" x14ac:dyDescent="0.25">
      <c r="A5393" s="102"/>
      <c r="B5393" s="102" t="s">
        <v>119</v>
      </c>
      <c r="C5393" s="4"/>
      <c r="D5393" s="102">
        <v>20000</v>
      </c>
      <c r="E5393" s="136" t="str">
        <f>INDEX([1]道具配置表!$D:$D,MATCH(D5393,[1]道具配置表!$A:$A,0))</f>
        <v>技能点1</v>
      </c>
      <c r="F5393" s="102">
        <v>50</v>
      </c>
      <c r="G5393" s="4"/>
      <c r="H5393" s="4"/>
      <c r="I5393" s="4"/>
      <c r="J5393" s="4"/>
      <c r="K5393" s="102">
        <v>1</v>
      </c>
      <c r="L5393" s="102"/>
      <c r="M5393" s="22" t="b">
        <v>1</v>
      </c>
    </row>
    <row r="5394" spans="1:13" x14ac:dyDescent="0.25">
      <c r="A5394" s="102"/>
      <c r="B5394" s="102" t="s">
        <v>119</v>
      </c>
      <c r="C5394" s="4"/>
      <c r="D5394" s="102">
        <v>56001</v>
      </c>
      <c r="E5394" s="136" t="str">
        <f>INDEX([1]道具配置表!$D:$D,MATCH(D5394,[1]道具配置表!$A:$A,0))</f>
        <v>锻造装备消耗材料</v>
      </c>
      <c r="F5394" s="102">
        <v>20</v>
      </c>
      <c r="G5394" s="4"/>
      <c r="H5394" s="4"/>
      <c r="I5394" s="4"/>
      <c r="J5394" s="4"/>
      <c r="K5394" s="102">
        <v>1</v>
      </c>
      <c r="L5394" s="102"/>
      <c r="M5394" s="22" t="b">
        <v>1</v>
      </c>
    </row>
    <row r="5395" spans="1:13" x14ac:dyDescent="0.25">
      <c r="A5395" s="102"/>
      <c r="B5395" s="102" t="s">
        <v>119</v>
      </c>
      <c r="C5395" s="4"/>
      <c r="D5395" s="102">
        <v>6201</v>
      </c>
      <c r="E5395" s="136" t="str">
        <f>INDEX([1]道具配置表!$D:$D,MATCH(D5395,[1]道具配置表!$A:$A,0))</f>
        <v>60分钟锻造加速</v>
      </c>
      <c r="F5395" s="102">
        <v>1</v>
      </c>
      <c r="G5395" s="4"/>
      <c r="H5395" s="4"/>
      <c r="I5395" s="4"/>
      <c r="J5395" s="4"/>
      <c r="K5395" s="102">
        <v>1</v>
      </c>
      <c r="L5395" s="102"/>
      <c r="M5395" s="22" t="b">
        <v>1</v>
      </c>
    </row>
    <row r="5396" spans="1:13" x14ac:dyDescent="0.25">
      <c r="A5396" s="102">
        <v>6650025</v>
      </c>
      <c r="B5396" s="102" t="s">
        <v>1141</v>
      </c>
      <c r="C5396" s="4"/>
      <c r="D5396" s="102">
        <v>3000001</v>
      </c>
      <c r="E5396" s="136" t="str">
        <f>INDEX([1]道具配置表!$D:$D,MATCH(D5396,[1]道具配置表!$A:$A,0))</f>
        <v>自走棋放置货币</v>
      </c>
      <c r="F5396" s="102">
        <v>40</v>
      </c>
      <c r="G5396" s="4"/>
      <c r="H5396" s="4"/>
      <c r="I5396" s="4"/>
      <c r="J5396" s="4"/>
      <c r="K5396" s="102">
        <v>1</v>
      </c>
      <c r="L5396" s="102"/>
      <c r="M5396" s="22" t="b">
        <v>1</v>
      </c>
    </row>
    <row r="5397" spans="1:13" x14ac:dyDescent="0.25">
      <c r="A5397" s="102"/>
      <c r="B5397" s="102" t="s">
        <v>119</v>
      </c>
      <c r="C5397" s="4"/>
      <c r="D5397" s="102">
        <v>7228</v>
      </c>
      <c r="E5397" s="136" t="str">
        <f>INDEX([1]道具配置表!$D:$D,MATCH(D5397,[1]道具配置表!$A:$A,0))</f>
        <v>经验书*10000</v>
      </c>
      <c r="F5397" s="102">
        <v>2</v>
      </c>
      <c r="G5397" s="4"/>
      <c r="H5397" s="4"/>
      <c r="I5397" s="4"/>
      <c r="J5397" s="4"/>
      <c r="K5397" s="102">
        <v>1</v>
      </c>
      <c r="L5397" s="102"/>
      <c r="M5397" s="22" t="b">
        <v>1</v>
      </c>
    </row>
    <row r="5398" spans="1:13" x14ac:dyDescent="0.25">
      <c r="A5398" s="102"/>
      <c r="B5398" s="102" t="s">
        <v>119</v>
      </c>
      <c r="C5398" s="4"/>
      <c r="D5398" s="102">
        <v>20000</v>
      </c>
      <c r="E5398" s="136" t="str">
        <f>INDEX([1]道具配置表!$D:$D,MATCH(D5398,[1]道具配置表!$A:$A,0))</f>
        <v>技能点1</v>
      </c>
      <c r="F5398" s="102">
        <v>100</v>
      </c>
      <c r="G5398" s="4"/>
      <c r="H5398" s="4"/>
      <c r="I5398" s="4"/>
      <c r="J5398" s="4"/>
      <c r="K5398" s="102">
        <v>1</v>
      </c>
      <c r="L5398" s="102"/>
      <c r="M5398" s="22" t="b">
        <v>1</v>
      </c>
    </row>
    <row r="5399" spans="1:13" x14ac:dyDescent="0.25">
      <c r="A5399" s="102"/>
      <c r="B5399" s="102" t="s">
        <v>119</v>
      </c>
      <c r="C5399" s="4"/>
      <c r="D5399" s="102">
        <v>56001</v>
      </c>
      <c r="E5399" s="136" t="str">
        <f>INDEX([1]道具配置表!$D:$D,MATCH(D5399,[1]道具配置表!$A:$A,0))</f>
        <v>锻造装备消耗材料</v>
      </c>
      <c r="F5399" s="102">
        <v>50</v>
      </c>
      <c r="G5399" s="4"/>
      <c r="H5399" s="4"/>
      <c r="I5399" s="4"/>
      <c r="J5399" s="4"/>
      <c r="K5399" s="102">
        <v>1</v>
      </c>
      <c r="L5399" s="102"/>
      <c r="M5399" s="22" t="b">
        <v>1</v>
      </c>
    </row>
    <row r="5400" spans="1:13" x14ac:dyDescent="0.25">
      <c r="A5400" s="102"/>
      <c r="B5400" s="102" t="s">
        <v>119</v>
      </c>
      <c r="C5400" s="4"/>
      <c r="D5400" s="102">
        <v>6197</v>
      </c>
      <c r="E5400" s="136" t="str">
        <f>INDEX([1]道具配置表!$D:$D,MATCH(D5400,[1]道具配置表!$A:$A,0))</f>
        <v>5分钟锻造加速</v>
      </c>
      <c r="F5400" s="102">
        <v>1</v>
      </c>
      <c r="G5400" s="4"/>
      <c r="H5400" s="4"/>
      <c r="I5400" s="4"/>
      <c r="J5400" s="4"/>
      <c r="K5400" s="102">
        <v>1</v>
      </c>
      <c r="L5400" s="102"/>
      <c r="M5400" s="22" t="b">
        <v>1</v>
      </c>
    </row>
    <row r="5401" spans="1:13" x14ac:dyDescent="0.25">
      <c r="A5401" s="102">
        <v>6650026</v>
      </c>
      <c r="B5401" s="102" t="s">
        <v>1142</v>
      </c>
      <c r="C5401" s="4"/>
      <c r="D5401" s="102">
        <v>56185</v>
      </c>
      <c r="E5401" s="136" t="str">
        <f>INDEX([1]道具配置表!$D:$D,MATCH(D5401,[1]道具配置表!$A:$A,0))</f>
        <v>粗麻手套</v>
      </c>
      <c r="F5401" s="102">
        <v>1</v>
      </c>
      <c r="G5401" s="4"/>
      <c r="H5401" s="4"/>
      <c r="I5401" s="4"/>
      <c r="J5401" s="4"/>
      <c r="K5401" s="102">
        <v>1</v>
      </c>
      <c r="L5401" s="102"/>
      <c r="M5401" s="22" t="b">
        <v>1</v>
      </c>
    </row>
    <row r="5402" spans="1:13" x14ac:dyDescent="0.25">
      <c r="A5402" s="102"/>
      <c r="B5402" s="102" t="s">
        <v>119</v>
      </c>
      <c r="C5402" s="4"/>
      <c r="D5402" s="102">
        <v>3000001</v>
      </c>
      <c r="E5402" s="136" t="str">
        <f>INDEX([1]道具配置表!$D:$D,MATCH(D5402,[1]道具配置表!$A:$A,0))</f>
        <v>自走棋放置货币</v>
      </c>
      <c r="F5402" s="102">
        <v>20</v>
      </c>
      <c r="G5402" s="4"/>
      <c r="H5402" s="4"/>
      <c r="I5402" s="4"/>
      <c r="J5402" s="4"/>
      <c r="K5402" s="102">
        <v>1</v>
      </c>
      <c r="L5402" s="102"/>
      <c r="M5402" s="22" t="b">
        <v>1</v>
      </c>
    </row>
    <row r="5403" spans="1:13" x14ac:dyDescent="0.25">
      <c r="A5403" s="102"/>
      <c r="B5403" s="102" t="s">
        <v>119</v>
      </c>
      <c r="C5403" s="4"/>
      <c r="D5403" s="102">
        <v>7228</v>
      </c>
      <c r="E5403" s="136" t="str">
        <f>INDEX([1]道具配置表!$D:$D,MATCH(D5403,[1]道具配置表!$A:$A,0))</f>
        <v>经验书*10000</v>
      </c>
      <c r="F5403" s="102">
        <v>1</v>
      </c>
      <c r="G5403" s="4"/>
      <c r="H5403" s="4"/>
      <c r="I5403" s="4"/>
      <c r="J5403" s="4"/>
      <c r="K5403" s="102">
        <v>1</v>
      </c>
      <c r="L5403" s="102"/>
      <c r="M5403" s="22" t="b">
        <v>1</v>
      </c>
    </row>
    <row r="5404" spans="1:13" x14ac:dyDescent="0.25">
      <c r="A5404" s="102"/>
      <c r="B5404" s="102" t="s">
        <v>119</v>
      </c>
      <c r="C5404" s="4"/>
      <c r="D5404" s="102">
        <v>20000</v>
      </c>
      <c r="E5404" s="136" t="str">
        <f>INDEX([1]道具配置表!$D:$D,MATCH(D5404,[1]道具配置表!$A:$A,0))</f>
        <v>技能点1</v>
      </c>
      <c r="F5404" s="102">
        <v>50</v>
      </c>
      <c r="G5404" s="4"/>
      <c r="H5404" s="4"/>
      <c r="I5404" s="4"/>
      <c r="J5404" s="4"/>
      <c r="K5404" s="102">
        <v>1</v>
      </c>
      <c r="L5404" s="102"/>
      <c r="M5404" s="22" t="b">
        <v>1</v>
      </c>
    </row>
    <row r="5405" spans="1:13" x14ac:dyDescent="0.25">
      <c r="A5405" s="102"/>
      <c r="B5405" s="102" t="s">
        <v>119</v>
      </c>
      <c r="C5405" s="4"/>
      <c r="D5405" s="102">
        <v>56001</v>
      </c>
      <c r="E5405" s="136" t="str">
        <f>INDEX([1]道具配置表!$D:$D,MATCH(D5405,[1]道具配置表!$A:$A,0))</f>
        <v>锻造装备消耗材料</v>
      </c>
      <c r="F5405" s="102">
        <v>20</v>
      </c>
      <c r="G5405" s="4"/>
      <c r="H5405" s="4"/>
      <c r="I5405" s="4"/>
      <c r="J5405" s="4"/>
      <c r="K5405" s="102">
        <v>1</v>
      </c>
      <c r="L5405" s="102"/>
      <c r="M5405" s="22" t="b">
        <v>1</v>
      </c>
    </row>
    <row r="5406" spans="1:13" x14ac:dyDescent="0.25">
      <c r="A5406" s="102"/>
      <c r="B5406" s="102" t="s">
        <v>119</v>
      </c>
      <c r="C5406" s="4"/>
      <c r="D5406" s="102">
        <v>6201</v>
      </c>
      <c r="E5406" s="136" t="str">
        <f>INDEX([1]道具配置表!$D:$D,MATCH(D5406,[1]道具配置表!$A:$A,0))</f>
        <v>60分钟锻造加速</v>
      </c>
      <c r="F5406" s="102">
        <v>1</v>
      </c>
      <c r="G5406" s="4"/>
      <c r="H5406" s="4"/>
      <c r="I5406" s="4"/>
      <c r="J5406" s="4"/>
      <c r="K5406" s="102">
        <v>1</v>
      </c>
      <c r="L5406" s="102"/>
      <c r="M5406" s="22" t="b">
        <v>1</v>
      </c>
    </row>
    <row r="5407" spans="1:13" x14ac:dyDescent="0.25">
      <c r="A5407" s="102"/>
      <c r="B5407" s="102" t="s">
        <v>119</v>
      </c>
      <c r="C5407" s="4"/>
      <c r="D5407" s="102">
        <v>56002</v>
      </c>
      <c r="E5407" s="136" t="str">
        <f>INDEX([1]道具配置表!$D:$D,MATCH(D5407,[1]道具配置表!$A:$A,0))</f>
        <v>强化装备消耗材料</v>
      </c>
      <c r="F5407" s="102">
        <v>20</v>
      </c>
      <c r="G5407" s="4"/>
      <c r="H5407" s="4"/>
      <c r="I5407" s="4"/>
      <c r="J5407" s="4"/>
      <c r="K5407" s="102">
        <v>1</v>
      </c>
      <c r="L5407" s="102"/>
      <c r="M5407" s="22" t="b">
        <v>1</v>
      </c>
    </row>
    <row r="5408" spans="1:13" x14ac:dyDescent="0.25">
      <c r="A5408" s="102">
        <v>6650027</v>
      </c>
      <c r="B5408" s="102" t="s">
        <v>1143</v>
      </c>
      <c r="C5408" s="4"/>
      <c r="D5408" s="102">
        <v>3000001</v>
      </c>
      <c r="E5408" s="136" t="str">
        <f>INDEX([1]道具配置表!$D:$D,MATCH(D5408,[1]道具配置表!$A:$A,0))</f>
        <v>自走棋放置货币</v>
      </c>
      <c r="F5408" s="102">
        <v>20</v>
      </c>
      <c r="G5408" s="4"/>
      <c r="H5408" s="4"/>
      <c r="I5408" s="4"/>
      <c r="J5408" s="4"/>
      <c r="K5408" s="102">
        <v>1</v>
      </c>
      <c r="L5408" s="102"/>
      <c r="M5408" s="22" t="b">
        <v>1</v>
      </c>
    </row>
    <row r="5409" spans="1:13" x14ac:dyDescent="0.25">
      <c r="A5409" s="102"/>
      <c r="B5409" s="102" t="s">
        <v>119</v>
      </c>
      <c r="C5409" s="4"/>
      <c r="D5409" s="102">
        <v>7228</v>
      </c>
      <c r="E5409" s="136" t="str">
        <f>INDEX([1]道具配置表!$D:$D,MATCH(D5409,[1]道具配置表!$A:$A,0))</f>
        <v>经验书*10000</v>
      </c>
      <c r="F5409" s="102">
        <v>1</v>
      </c>
      <c r="G5409" s="4"/>
      <c r="H5409" s="4"/>
      <c r="I5409" s="4"/>
      <c r="J5409" s="4"/>
      <c r="K5409" s="102">
        <v>1</v>
      </c>
      <c r="L5409" s="102"/>
      <c r="M5409" s="22" t="b">
        <v>1</v>
      </c>
    </row>
    <row r="5410" spans="1:13" x14ac:dyDescent="0.25">
      <c r="A5410" s="102"/>
      <c r="B5410" s="102" t="s">
        <v>119</v>
      </c>
      <c r="C5410" s="4"/>
      <c r="D5410" s="102">
        <v>20000</v>
      </c>
      <c r="E5410" s="136" t="str">
        <f>INDEX([1]道具配置表!$D:$D,MATCH(D5410,[1]道具配置表!$A:$A,0))</f>
        <v>技能点1</v>
      </c>
      <c r="F5410" s="102">
        <v>50</v>
      </c>
      <c r="G5410" s="4"/>
      <c r="H5410" s="4"/>
      <c r="I5410" s="4"/>
      <c r="J5410" s="4"/>
      <c r="K5410" s="102">
        <v>1</v>
      </c>
      <c r="L5410" s="102"/>
      <c r="M5410" s="22" t="b">
        <v>1</v>
      </c>
    </row>
    <row r="5411" spans="1:13" x14ac:dyDescent="0.25">
      <c r="A5411" s="102"/>
      <c r="B5411" s="102" t="s">
        <v>119</v>
      </c>
      <c r="C5411" s="4"/>
      <c r="D5411" s="102">
        <v>56001</v>
      </c>
      <c r="E5411" s="136" t="str">
        <f>INDEX([1]道具配置表!$D:$D,MATCH(D5411,[1]道具配置表!$A:$A,0))</f>
        <v>锻造装备消耗材料</v>
      </c>
      <c r="F5411" s="102">
        <v>20</v>
      </c>
      <c r="G5411" s="4"/>
      <c r="H5411" s="4"/>
      <c r="I5411" s="4"/>
      <c r="J5411" s="4"/>
      <c r="K5411" s="102">
        <v>1</v>
      </c>
      <c r="L5411" s="102"/>
      <c r="M5411" s="22" t="b">
        <v>1</v>
      </c>
    </row>
    <row r="5412" spans="1:13" x14ac:dyDescent="0.25">
      <c r="A5412" s="102"/>
      <c r="B5412" s="102" t="s">
        <v>119</v>
      </c>
      <c r="C5412" s="4"/>
      <c r="D5412" s="102">
        <v>6197</v>
      </c>
      <c r="E5412" s="136" t="str">
        <f>INDEX([1]道具配置表!$D:$D,MATCH(D5412,[1]道具配置表!$A:$A,0))</f>
        <v>5分钟锻造加速</v>
      </c>
      <c r="F5412" s="102">
        <v>1</v>
      </c>
      <c r="G5412" s="4"/>
      <c r="H5412" s="4"/>
      <c r="I5412" s="4"/>
      <c r="J5412" s="4"/>
      <c r="K5412" s="102">
        <v>1</v>
      </c>
      <c r="L5412" s="102"/>
      <c r="M5412" s="22" t="b">
        <v>1</v>
      </c>
    </row>
    <row r="5413" spans="1:13" x14ac:dyDescent="0.25">
      <c r="A5413" s="102">
        <v>6650028</v>
      </c>
      <c r="B5413" s="102" t="s">
        <v>1144</v>
      </c>
      <c r="C5413" s="4"/>
      <c r="D5413" s="102">
        <v>56151</v>
      </c>
      <c r="E5413" s="136" t="str">
        <f>INDEX([1]道具配置表!$D:$D,MATCH(D5413,[1]道具配置表!$A:$A,0))</f>
        <v>流浪长靴</v>
      </c>
      <c r="F5413" s="102">
        <v>1</v>
      </c>
      <c r="G5413" s="4"/>
      <c r="H5413" s="4"/>
      <c r="I5413" s="4"/>
      <c r="J5413" s="4"/>
      <c r="K5413" s="102">
        <v>1</v>
      </c>
      <c r="L5413" s="102"/>
      <c r="M5413" s="22" t="b">
        <v>1</v>
      </c>
    </row>
    <row r="5414" spans="1:13" x14ac:dyDescent="0.25">
      <c r="A5414" s="102"/>
      <c r="B5414" s="102" t="s">
        <v>119</v>
      </c>
      <c r="C5414" s="4"/>
      <c r="D5414" s="102">
        <v>3000001</v>
      </c>
      <c r="E5414" s="136" t="str">
        <f>INDEX([1]道具配置表!$D:$D,MATCH(D5414,[1]道具配置表!$A:$A,0))</f>
        <v>自走棋放置货币</v>
      </c>
      <c r="F5414" s="102">
        <v>20</v>
      </c>
      <c r="G5414" s="4"/>
      <c r="H5414" s="4"/>
      <c r="I5414" s="4"/>
      <c r="J5414" s="4"/>
      <c r="K5414" s="102">
        <v>1</v>
      </c>
      <c r="L5414" s="102"/>
      <c r="M5414" s="22" t="b">
        <v>1</v>
      </c>
    </row>
    <row r="5415" spans="1:13" x14ac:dyDescent="0.25">
      <c r="A5415" s="102"/>
      <c r="B5415" s="102" t="s">
        <v>119</v>
      </c>
      <c r="C5415" s="4"/>
      <c r="D5415" s="102">
        <v>7228</v>
      </c>
      <c r="E5415" s="136" t="str">
        <f>INDEX([1]道具配置表!$D:$D,MATCH(D5415,[1]道具配置表!$A:$A,0))</f>
        <v>经验书*10000</v>
      </c>
      <c r="F5415" s="102">
        <v>1</v>
      </c>
      <c r="G5415" s="4"/>
      <c r="H5415" s="4"/>
      <c r="I5415" s="4"/>
      <c r="J5415" s="4"/>
      <c r="K5415" s="102">
        <v>1</v>
      </c>
      <c r="L5415" s="102"/>
      <c r="M5415" s="22" t="b">
        <v>1</v>
      </c>
    </row>
    <row r="5416" spans="1:13" x14ac:dyDescent="0.25">
      <c r="A5416" s="102"/>
      <c r="B5416" s="102" t="s">
        <v>119</v>
      </c>
      <c r="C5416" s="4"/>
      <c r="D5416" s="102">
        <v>20000</v>
      </c>
      <c r="E5416" s="136" t="str">
        <f>INDEX([1]道具配置表!$D:$D,MATCH(D5416,[1]道具配置表!$A:$A,0))</f>
        <v>技能点1</v>
      </c>
      <c r="F5416" s="102">
        <v>50</v>
      </c>
      <c r="G5416" s="4"/>
      <c r="H5416" s="4"/>
      <c r="I5416" s="4"/>
      <c r="J5416" s="4"/>
      <c r="K5416" s="102">
        <v>1</v>
      </c>
      <c r="L5416" s="102"/>
      <c r="M5416" s="22" t="b">
        <v>1</v>
      </c>
    </row>
    <row r="5417" spans="1:13" x14ac:dyDescent="0.25">
      <c r="A5417" s="102"/>
      <c r="B5417" s="102" t="s">
        <v>119</v>
      </c>
      <c r="C5417" s="4"/>
      <c r="D5417" s="102">
        <v>56001</v>
      </c>
      <c r="E5417" s="136" t="str">
        <f>INDEX([1]道具配置表!$D:$D,MATCH(D5417,[1]道具配置表!$A:$A,0))</f>
        <v>锻造装备消耗材料</v>
      </c>
      <c r="F5417" s="102">
        <v>20</v>
      </c>
      <c r="G5417" s="4"/>
      <c r="H5417" s="4"/>
      <c r="I5417" s="4"/>
      <c r="J5417" s="4"/>
      <c r="K5417" s="102">
        <v>1</v>
      </c>
      <c r="L5417" s="102"/>
      <c r="M5417" s="22" t="b">
        <v>1</v>
      </c>
    </row>
    <row r="5418" spans="1:13" x14ac:dyDescent="0.25">
      <c r="A5418" s="102"/>
      <c r="B5418" s="102" t="s">
        <v>119</v>
      </c>
      <c r="C5418" s="4"/>
      <c r="D5418" s="102">
        <v>6201</v>
      </c>
      <c r="E5418" s="136" t="str">
        <f>INDEX([1]道具配置表!$D:$D,MATCH(D5418,[1]道具配置表!$A:$A,0))</f>
        <v>60分钟锻造加速</v>
      </c>
      <c r="F5418" s="102">
        <v>1</v>
      </c>
      <c r="G5418" s="4"/>
      <c r="H5418" s="4"/>
      <c r="I5418" s="4"/>
      <c r="J5418" s="4"/>
      <c r="K5418" s="102">
        <v>1</v>
      </c>
      <c r="L5418" s="102"/>
      <c r="M5418" s="22" t="b">
        <v>1</v>
      </c>
    </row>
    <row r="5419" spans="1:13" x14ac:dyDescent="0.25">
      <c r="A5419" s="102"/>
      <c r="B5419" s="102" t="s">
        <v>119</v>
      </c>
      <c r="C5419" s="4"/>
      <c r="D5419" s="102">
        <v>56002</v>
      </c>
      <c r="E5419" s="136" t="str">
        <f>INDEX([1]道具配置表!$D:$D,MATCH(D5419,[1]道具配置表!$A:$A,0))</f>
        <v>强化装备消耗材料</v>
      </c>
      <c r="F5419" s="102">
        <v>20</v>
      </c>
      <c r="G5419" s="4"/>
      <c r="H5419" s="4"/>
      <c r="I5419" s="4"/>
      <c r="J5419" s="4"/>
      <c r="K5419" s="102">
        <v>1</v>
      </c>
      <c r="L5419" s="102"/>
      <c r="M5419" s="22" t="b">
        <v>1</v>
      </c>
    </row>
    <row r="5420" spans="1:13" x14ac:dyDescent="0.25">
      <c r="A5420" s="102">
        <v>6650029</v>
      </c>
      <c r="B5420" s="102" t="s">
        <v>1145</v>
      </c>
      <c r="C5420" s="4"/>
      <c r="D5420" s="102">
        <v>3000001</v>
      </c>
      <c r="E5420" s="136" t="str">
        <f>INDEX([1]道具配置表!$D:$D,MATCH(D5420,[1]道具配置表!$A:$A,0))</f>
        <v>自走棋放置货币</v>
      </c>
      <c r="F5420" s="102">
        <v>20</v>
      </c>
      <c r="G5420" s="4"/>
      <c r="H5420" s="4"/>
      <c r="I5420" s="4"/>
      <c r="J5420" s="4"/>
      <c r="K5420" s="102">
        <v>1</v>
      </c>
      <c r="L5420" s="102"/>
      <c r="M5420" s="22" t="b">
        <v>1</v>
      </c>
    </row>
    <row r="5421" spans="1:13" x14ac:dyDescent="0.25">
      <c r="A5421" s="102"/>
      <c r="B5421" s="102" t="s">
        <v>119</v>
      </c>
      <c r="C5421" s="4"/>
      <c r="D5421" s="102">
        <v>7228</v>
      </c>
      <c r="E5421" s="136" t="str">
        <f>INDEX([1]道具配置表!$D:$D,MATCH(D5421,[1]道具配置表!$A:$A,0))</f>
        <v>经验书*10000</v>
      </c>
      <c r="F5421" s="102">
        <v>1</v>
      </c>
      <c r="G5421" s="4"/>
      <c r="H5421" s="4"/>
      <c r="I5421" s="4"/>
      <c r="J5421" s="4"/>
      <c r="K5421" s="102">
        <v>1</v>
      </c>
      <c r="L5421" s="102"/>
      <c r="M5421" s="22" t="b">
        <v>1</v>
      </c>
    </row>
    <row r="5422" spans="1:13" x14ac:dyDescent="0.25">
      <c r="A5422" s="102"/>
      <c r="B5422" s="102" t="s">
        <v>119</v>
      </c>
      <c r="C5422" s="4"/>
      <c r="D5422" s="102">
        <v>20000</v>
      </c>
      <c r="E5422" s="136" t="str">
        <f>INDEX([1]道具配置表!$D:$D,MATCH(D5422,[1]道具配置表!$A:$A,0))</f>
        <v>技能点1</v>
      </c>
      <c r="F5422" s="102">
        <v>50</v>
      </c>
      <c r="G5422" s="4"/>
      <c r="H5422" s="4"/>
      <c r="I5422" s="4"/>
      <c r="J5422" s="4"/>
      <c r="K5422" s="102">
        <v>1</v>
      </c>
      <c r="L5422" s="102"/>
      <c r="M5422" s="22" t="b">
        <v>1</v>
      </c>
    </row>
    <row r="5423" spans="1:13" x14ac:dyDescent="0.25">
      <c r="A5423" s="102"/>
      <c r="B5423" s="102" t="s">
        <v>119</v>
      </c>
      <c r="C5423" s="4"/>
      <c r="D5423" s="102">
        <v>56001</v>
      </c>
      <c r="E5423" s="136" t="str">
        <f>INDEX([1]道具配置表!$D:$D,MATCH(D5423,[1]道具配置表!$A:$A,0))</f>
        <v>锻造装备消耗材料</v>
      </c>
      <c r="F5423" s="102">
        <v>20</v>
      </c>
      <c r="G5423" s="4"/>
      <c r="H5423" s="4"/>
      <c r="I5423" s="4"/>
      <c r="J5423" s="4"/>
      <c r="K5423" s="102">
        <v>1</v>
      </c>
      <c r="L5423" s="102"/>
      <c r="M5423" s="22" t="b">
        <v>1</v>
      </c>
    </row>
    <row r="5424" spans="1:13" x14ac:dyDescent="0.25">
      <c r="A5424" s="102"/>
      <c r="B5424" s="102" t="s">
        <v>119</v>
      </c>
      <c r="C5424" s="4"/>
      <c r="D5424" s="102">
        <v>6197</v>
      </c>
      <c r="E5424" s="136" t="str">
        <f>INDEX([1]道具配置表!$D:$D,MATCH(D5424,[1]道具配置表!$A:$A,0))</f>
        <v>5分钟锻造加速</v>
      </c>
      <c r="F5424" s="102">
        <v>1</v>
      </c>
      <c r="G5424" s="4"/>
      <c r="H5424" s="4"/>
      <c r="I5424" s="4"/>
      <c r="J5424" s="4"/>
      <c r="K5424" s="102">
        <v>1</v>
      </c>
      <c r="L5424" s="102"/>
      <c r="M5424" s="22" t="b">
        <v>1</v>
      </c>
    </row>
    <row r="5425" spans="1:13" x14ac:dyDescent="0.25">
      <c r="A5425" s="102">
        <v>6650030</v>
      </c>
      <c r="B5425" s="102" t="s">
        <v>1146</v>
      </c>
      <c r="C5425" s="4"/>
      <c r="D5425" s="102">
        <v>56163</v>
      </c>
      <c r="E5425" s="136" t="str">
        <f>INDEX([1]道具配置表!$D:$D,MATCH(D5425,[1]道具配置表!$A:$A,0))</f>
        <v>灰兔短靴</v>
      </c>
      <c r="F5425" s="102">
        <v>1</v>
      </c>
      <c r="G5425" s="4"/>
      <c r="H5425" s="4"/>
      <c r="I5425" s="4"/>
      <c r="J5425" s="4"/>
      <c r="K5425" s="102">
        <v>1</v>
      </c>
      <c r="L5425" s="102"/>
      <c r="M5425" s="22" t="b">
        <v>1</v>
      </c>
    </row>
    <row r="5426" spans="1:13" x14ac:dyDescent="0.25">
      <c r="A5426" s="102"/>
      <c r="B5426" s="102" t="s">
        <v>119</v>
      </c>
      <c r="C5426" s="4"/>
      <c r="D5426" s="102">
        <v>3000001</v>
      </c>
      <c r="E5426" s="136" t="str">
        <f>INDEX([1]道具配置表!$D:$D,MATCH(D5426,[1]道具配置表!$A:$A,0))</f>
        <v>自走棋放置货币</v>
      </c>
      <c r="F5426" s="102">
        <v>40</v>
      </c>
      <c r="G5426" s="4"/>
      <c r="H5426" s="4"/>
      <c r="I5426" s="4"/>
      <c r="J5426" s="4"/>
      <c r="K5426" s="102">
        <v>1</v>
      </c>
      <c r="L5426" s="102"/>
      <c r="M5426" s="22" t="b">
        <v>1</v>
      </c>
    </row>
    <row r="5427" spans="1:13" x14ac:dyDescent="0.25">
      <c r="A5427" s="102"/>
      <c r="B5427" s="102" t="s">
        <v>119</v>
      </c>
      <c r="C5427" s="4"/>
      <c r="D5427" s="102">
        <v>7228</v>
      </c>
      <c r="E5427" s="136" t="str">
        <f>INDEX([1]道具配置表!$D:$D,MATCH(D5427,[1]道具配置表!$A:$A,0))</f>
        <v>经验书*10000</v>
      </c>
      <c r="F5427" s="102">
        <v>2</v>
      </c>
      <c r="G5427" s="4"/>
      <c r="H5427" s="4"/>
      <c r="I5427" s="4"/>
      <c r="J5427" s="4"/>
      <c r="K5427" s="102">
        <v>1</v>
      </c>
      <c r="L5427" s="102"/>
      <c r="M5427" s="22" t="b">
        <v>1</v>
      </c>
    </row>
    <row r="5428" spans="1:13" x14ac:dyDescent="0.25">
      <c r="A5428" s="102"/>
      <c r="B5428" s="102" t="s">
        <v>119</v>
      </c>
      <c r="C5428" s="4"/>
      <c r="D5428" s="102">
        <v>20000</v>
      </c>
      <c r="E5428" s="136" t="str">
        <f>INDEX([1]道具配置表!$D:$D,MATCH(D5428,[1]道具配置表!$A:$A,0))</f>
        <v>技能点1</v>
      </c>
      <c r="F5428" s="102">
        <v>100</v>
      </c>
      <c r="G5428" s="4"/>
      <c r="H5428" s="4"/>
      <c r="I5428" s="4"/>
      <c r="J5428" s="4"/>
      <c r="K5428" s="102">
        <v>1</v>
      </c>
      <c r="L5428" s="102"/>
      <c r="M5428" s="22" t="b">
        <v>1</v>
      </c>
    </row>
    <row r="5429" spans="1:13" x14ac:dyDescent="0.25">
      <c r="A5429" s="102"/>
      <c r="B5429" s="102" t="s">
        <v>119</v>
      </c>
      <c r="C5429" s="4"/>
      <c r="D5429" s="102">
        <v>56001</v>
      </c>
      <c r="E5429" s="136" t="str">
        <f>INDEX([1]道具配置表!$D:$D,MATCH(D5429,[1]道具配置表!$A:$A,0))</f>
        <v>锻造装备消耗材料</v>
      </c>
      <c r="F5429" s="102">
        <v>50</v>
      </c>
      <c r="G5429" s="4"/>
      <c r="H5429" s="4"/>
      <c r="I5429" s="4"/>
      <c r="J5429" s="4"/>
      <c r="K5429" s="102">
        <v>1</v>
      </c>
      <c r="L5429" s="102"/>
      <c r="M5429" s="22" t="b">
        <v>1</v>
      </c>
    </row>
    <row r="5430" spans="1:13" x14ac:dyDescent="0.25">
      <c r="A5430" s="102"/>
      <c r="B5430" s="102" t="s">
        <v>119</v>
      </c>
      <c r="C5430" s="4"/>
      <c r="D5430" s="102">
        <v>6201</v>
      </c>
      <c r="E5430" s="136" t="str">
        <f>INDEX([1]道具配置表!$D:$D,MATCH(D5430,[1]道具配置表!$A:$A,0))</f>
        <v>60分钟锻造加速</v>
      </c>
      <c r="F5430" s="102">
        <v>1</v>
      </c>
      <c r="G5430" s="4"/>
      <c r="H5430" s="4"/>
      <c r="I5430" s="4"/>
      <c r="J5430" s="4"/>
      <c r="K5430" s="102">
        <v>1</v>
      </c>
      <c r="L5430" s="102"/>
      <c r="M5430" s="22" t="b">
        <v>1</v>
      </c>
    </row>
    <row r="5431" spans="1:13" x14ac:dyDescent="0.25">
      <c r="A5431" s="102"/>
      <c r="B5431" s="102" t="s">
        <v>119</v>
      </c>
      <c r="C5431" s="4"/>
      <c r="D5431" s="102">
        <v>56002</v>
      </c>
      <c r="E5431" s="136" t="str">
        <f>INDEX([1]道具配置表!$D:$D,MATCH(D5431,[1]道具配置表!$A:$A,0))</f>
        <v>强化装备消耗材料</v>
      </c>
      <c r="F5431" s="102">
        <v>20</v>
      </c>
      <c r="G5431" s="4"/>
      <c r="H5431" s="4"/>
      <c r="I5431" s="4"/>
      <c r="J5431" s="4"/>
      <c r="K5431" s="102">
        <v>1</v>
      </c>
      <c r="L5431" s="102"/>
      <c r="M5431" s="22" t="b">
        <v>1</v>
      </c>
    </row>
    <row r="5432" spans="1:13" x14ac:dyDescent="0.25">
      <c r="A5432" s="102">
        <v>6650031</v>
      </c>
      <c r="B5432" s="102" t="s">
        <v>1147</v>
      </c>
      <c r="C5432" s="4"/>
      <c r="D5432" s="102">
        <v>3000001</v>
      </c>
      <c r="E5432" s="136" t="str">
        <f>INDEX([1]道具配置表!$D:$D,MATCH(D5432,[1]道具配置表!$A:$A,0))</f>
        <v>自走棋放置货币</v>
      </c>
      <c r="F5432" s="102">
        <v>20</v>
      </c>
      <c r="G5432" s="4"/>
      <c r="H5432" s="4"/>
      <c r="I5432" s="4"/>
      <c r="J5432" s="4"/>
      <c r="K5432" s="102">
        <v>1</v>
      </c>
      <c r="L5432" s="102"/>
      <c r="M5432" s="22" t="b">
        <v>1</v>
      </c>
    </row>
    <row r="5433" spans="1:13" x14ac:dyDescent="0.25">
      <c r="A5433" s="102"/>
      <c r="B5433" s="102" t="s">
        <v>119</v>
      </c>
      <c r="C5433" s="4"/>
      <c r="D5433" s="102">
        <v>7228</v>
      </c>
      <c r="E5433" s="136" t="str">
        <f>INDEX([1]道具配置表!$D:$D,MATCH(D5433,[1]道具配置表!$A:$A,0))</f>
        <v>经验书*10000</v>
      </c>
      <c r="F5433" s="102">
        <v>1</v>
      </c>
      <c r="G5433" s="4"/>
      <c r="H5433" s="4"/>
      <c r="I5433" s="4"/>
      <c r="J5433" s="4"/>
      <c r="K5433" s="102">
        <v>1</v>
      </c>
      <c r="L5433" s="102"/>
      <c r="M5433" s="22" t="b">
        <v>1</v>
      </c>
    </row>
    <row r="5434" spans="1:13" x14ac:dyDescent="0.25">
      <c r="A5434" s="102"/>
      <c r="B5434" s="102" t="s">
        <v>119</v>
      </c>
      <c r="C5434" s="4"/>
      <c r="D5434" s="102">
        <v>20000</v>
      </c>
      <c r="E5434" s="136" t="str">
        <f>INDEX([1]道具配置表!$D:$D,MATCH(D5434,[1]道具配置表!$A:$A,0))</f>
        <v>技能点1</v>
      </c>
      <c r="F5434" s="102">
        <v>50</v>
      </c>
      <c r="G5434" s="4"/>
      <c r="H5434" s="4"/>
      <c r="I5434" s="4"/>
      <c r="J5434" s="4"/>
      <c r="K5434" s="102">
        <v>1</v>
      </c>
      <c r="L5434" s="102"/>
      <c r="M5434" s="22" t="b">
        <v>1</v>
      </c>
    </row>
    <row r="5435" spans="1:13" x14ac:dyDescent="0.25">
      <c r="A5435" s="102"/>
      <c r="B5435" s="102" t="s">
        <v>119</v>
      </c>
      <c r="C5435" s="4"/>
      <c r="D5435" s="102">
        <v>56001</v>
      </c>
      <c r="E5435" s="136" t="str">
        <f>INDEX([1]道具配置表!$D:$D,MATCH(D5435,[1]道具配置表!$A:$A,0))</f>
        <v>锻造装备消耗材料</v>
      </c>
      <c r="F5435" s="102">
        <v>20</v>
      </c>
      <c r="G5435" s="4"/>
      <c r="H5435" s="4"/>
      <c r="I5435" s="4"/>
      <c r="J5435" s="4"/>
      <c r="K5435" s="102">
        <v>1</v>
      </c>
      <c r="L5435" s="102"/>
      <c r="M5435" s="22" t="b">
        <v>1</v>
      </c>
    </row>
    <row r="5436" spans="1:13" x14ac:dyDescent="0.25">
      <c r="A5436" s="102"/>
      <c r="B5436" s="102" t="s">
        <v>119</v>
      </c>
      <c r="C5436" s="4"/>
      <c r="D5436" s="102">
        <v>6197</v>
      </c>
      <c r="E5436" s="136" t="str">
        <f>INDEX([1]道具配置表!$D:$D,MATCH(D5436,[1]道具配置表!$A:$A,0))</f>
        <v>5分钟锻造加速</v>
      </c>
      <c r="F5436" s="102">
        <v>1</v>
      </c>
      <c r="G5436" s="4"/>
      <c r="H5436" s="4"/>
      <c r="I5436" s="4"/>
      <c r="J5436" s="4"/>
      <c r="K5436" s="102">
        <v>1</v>
      </c>
      <c r="L5436" s="102"/>
      <c r="M5436" s="22" t="b">
        <v>1</v>
      </c>
    </row>
    <row r="5437" spans="1:13" x14ac:dyDescent="0.25">
      <c r="A5437" s="102">
        <v>6650032</v>
      </c>
      <c r="B5437" s="102" t="s">
        <v>1148</v>
      </c>
      <c r="C5437" s="4"/>
      <c r="D5437" s="102">
        <v>56175</v>
      </c>
      <c r="E5437" s="136" t="str">
        <f>INDEX([1]道具配置表!$D:$D,MATCH(D5437,[1]道具配置表!$A:$A,0))</f>
        <v>翻毛长靴</v>
      </c>
      <c r="F5437" s="102">
        <v>1</v>
      </c>
      <c r="G5437" s="4"/>
      <c r="H5437" s="4"/>
      <c r="I5437" s="4"/>
      <c r="J5437" s="4"/>
      <c r="K5437" s="102">
        <v>1</v>
      </c>
      <c r="L5437" s="102"/>
      <c r="M5437" s="22" t="b">
        <v>1</v>
      </c>
    </row>
    <row r="5438" spans="1:13" x14ac:dyDescent="0.25">
      <c r="A5438" s="102"/>
      <c r="B5438" s="102"/>
      <c r="C5438" s="4"/>
      <c r="D5438" s="102">
        <v>56002</v>
      </c>
      <c r="E5438" s="136" t="str">
        <f>INDEX([1]道具配置表!$D:$D,MATCH(D5438,[1]道具配置表!$A:$A,0))</f>
        <v>强化装备消耗材料</v>
      </c>
      <c r="F5438" s="102">
        <v>20</v>
      </c>
      <c r="G5438" s="4"/>
      <c r="H5438" s="4"/>
      <c r="I5438" s="4"/>
      <c r="J5438" s="4"/>
      <c r="K5438" s="102">
        <v>1</v>
      </c>
      <c r="L5438" s="102"/>
      <c r="M5438" s="22" t="b">
        <v>1</v>
      </c>
    </row>
    <row r="5439" spans="1:13" x14ac:dyDescent="0.25">
      <c r="A5439" s="102"/>
      <c r="B5439" s="102"/>
      <c r="C5439" s="4"/>
      <c r="D5439" s="102">
        <v>3000001</v>
      </c>
      <c r="E5439" s="136" t="str">
        <f>INDEX([1]道具配置表!$D:$D,MATCH(D5439,[1]道具配置表!$A:$A,0))</f>
        <v>自走棋放置货币</v>
      </c>
      <c r="F5439" s="102">
        <v>20</v>
      </c>
      <c r="G5439" s="4"/>
      <c r="H5439" s="4"/>
      <c r="I5439" s="4"/>
      <c r="J5439" s="4"/>
      <c r="K5439" s="102">
        <v>1</v>
      </c>
      <c r="L5439" s="102"/>
      <c r="M5439" s="22" t="b">
        <v>1</v>
      </c>
    </row>
    <row r="5440" spans="1:13" x14ac:dyDescent="0.25">
      <c r="A5440" s="102"/>
      <c r="B5440" s="102" t="s">
        <v>119</v>
      </c>
      <c r="C5440" s="4"/>
      <c r="D5440" s="102">
        <v>7228</v>
      </c>
      <c r="E5440" s="136" t="str">
        <f>INDEX([1]道具配置表!$D:$D,MATCH(D5440,[1]道具配置表!$A:$A,0))</f>
        <v>经验书*10000</v>
      </c>
      <c r="F5440" s="102">
        <v>1</v>
      </c>
      <c r="G5440" s="4"/>
      <c r="H5440" s="4"/>
      <c r="I5440" s="4"/>
      <c r="J5440" s="4"/>
      <c r="K5440" s="102">
        <v>1</v>
      </c>
      <c r="L5440" s="102"/>
      <c r="M5440" s="22" t="b">
        <v>1</v>
      </c>
    </row>
    <row r="5441" spans="1:13" x14ac:dyDescent="0.25">
      <c r="A5441" s="102"/>
      <c r="B5441" s="102" t="s">
        <v>119</v>
      </c>
      <c r="C5441" s="4"/>
      <c r="D5441" s="102">
        <v>20000</v>
      </c>
      <c r="E5441" s="136" t="str">
        <f>INDEX([1]道具配置表!$D:$D,MATCH(D5441,[1]道具配置表!$A:$A,0))</f>
        <v>技能点1</v>
      </c>
      <c r="F5441" s="102">
        <v>50</v>
      </c>
      <c r="G5441" s="4"/>
      <c r="H5441" s="4"/>
      <c r="I5441" s="4"/>
      <c r="J5441" s="4"/>
      <c r="K5441" s="102">
        <v>1</v>
      </c>
      <c r="L5441" s="102"/>
      <c r="M5441" s="22" t="b">
        <v>1</v>
      </c>
    </row>
    <row r="5442" spans="1:13" x14ac:dyDescent="0.25">
      <c r="A5442" s="102"/>
      <c r="B5442" s="102" t="s">
        <v>119</v>
      </c>
      <c r="C5442" s="4"/>
      <c r="D5442" s="102">
        <v>56001</v>
      </c>
      <c r="E5442" s="136" t="str">
        <f>INDEX([1]道具配置表!$D:$D,MATCH(D5442,[1]道具配置表!$A:$A,0))</f>
        <v>锻造装备消耗材料</v>
      </c>
      <c r="F5442" s="102">
        <v>20</v>
      </c>
      <c r="G5442" s="4"/>
      <c r="H5442" s="4"/>
      <c r="I5442" s="4"/>
      <c r="J5442" s="4"/>
      <c r="K5442" s="102">
        <v>1</v>
      </c>
      <c r="L5442" s="102"/>
      <c r="M5442" s="22" t="b">
        <v>1</v>
      </c>
    </row>
    <row r="5443" spans="1:13" x14ac:dyDescent="0.25">
      <c r="A5443" s="102"/>
      <c r="B5443" s="102" t="s">
        <v>119</v>
      </c>
      <c r="C5443" s="4"/>
      <c r="D5443" s="102">
        <v>6201</v>
      </c>
      <c r="E5443" s="136" t="str">
        <f>INDEX([1]道具配置表!$D:$D,MATCH(D5443,[1]道具配置表!$A:$A,0))</f>
        <v>60分钟锻造加速</v>
      </c>
      <c r="F5443" s="102">
        <v>1</v>
      </c>
      <c r="G5443" s="4"/>
      <c r="H5443" s="4"/>
      <c r="I5443" s="4"/>
      <c r="J5443" s="4"/>
      <c r="K5443" s="102">
        <v>1</v>
      </c>
      <c r="L5443" s="102"/>
      <c r="M5443" s="22" t="b">
        <v>1</v>
      </c>
    </row>
    <row r="5444" spans="1:13" x14ac:dyDescent="0.25">
      <c r="A5444" s="102">
        <v>6650033</v>
      </c>
      <c r="B5444" s="102" t="s">
        <v>1149</v>
      </c>
      <c r="C5444" s="4"/>
      <c r="D5444" s="102">
        <v>3000001</v>
      </c>
      <c r="E5444" s="136" t="str">
        <f>INDEX([1]道具配置表!$D:$D,MATCH(D5444,[1]道具配置表!$A:$A,0))</f>
        <v>自走棋放置货币</v>
      </c>
      <c r="F5444" s="102">
        <v>20</v>
      </c>
      <c r="G5444" s="4"/>
      <c r="H5444" s="4"/>
      <c r="I5444" s="4"/>
      <c r="J5444" s="4"/>
      <c r="K5444" s="102">
        <v>1</v>
      </c>
      <c r="L5444" s="102"/>
      <c r="M5444" s="22" t="b">
        <v>1</v>
      </c>
    </row>
    <row r="5445" spans="1:13" x14ac:dyDescent="0.25">
      <c r="A5445" s="102"/>
      <c r="B5445" s="102" t="s">
        <v>119</v>
      </c>
      <c r="C5445" s="4"/>
      <c r="D5445" s="102">
        <v>7228</v>
      </c>
      <c r="E5445" s="136" t="str">
        <f>INDEX([1]道具配置表!$D:$D,MATCH(D5445,[1]道具配置表!$A:$A,0))</f>
        <v>经验书*10000</v>
      </c>
      <c r="F5445" s="102">
        <v>1</v>
      </c>
      <c r="G5445" s="4"/>
      <c r="H5445" s="4"/>
      <c r="I5445" s="4"/>
      <c r="J5445" s="4"/>
      <c r="K5445" s="102">
        <v>1</v>
      </c>
      <c r="L5445" s="102"/>
      <c r="M5445" s="22" t="b">
        <v>1</v>
      </c>
    </row>
    <row r="5446" spans="1:13" x14ac:dyDescent="0.25">
      <c r="A5446" s="102"/>
      <c r="B5446" s="102" t="s">
        <v>119</v>
      </c>
      <c r="C5446" s="4"/>
      <c r="D5446" s="102">
        <v>20000</v>
      </c>
      <c r="E5446" s="136" t="str">
        <f>INDEX([1]道具配置表!$D:$D,MATCH(D5446,[1]道具配置表!$A:$A,0))</f>
        <v>技能点1</v>
      </c>
      <c r="F5446" s="102">
        <v>50</v>
      </c>
      <c r="G5446" s="4"/>
      <c r="H5446" s="4"/>
      <c r="I5446" s="4"/>
      <c r="J5446" s="4"/>
      <c r="K5446" s="102">
        <v>1</v>
      </c>
      <c r="L5446" s="102"/>
      <c r="M5446" s="22" t="b">
        <v>1</v>
      </c>
    </row>
    <row r="5447" spans="1:13" x14ac:dyDescent="0.25">
      <c r="A5447" s="102"/>
      <c r="B5447" s="102" t="s">
        <v>119</v>
      </c>
      <c r="C5447" s="4"/>
      <c r="D5447" s="102">
        <v>56001</v>
      </c>
      <c r="E5447" s="136" t="str">
        <f>INDEX([1]道具配置表!$D:$D,MATCH(D5447,[1]道具配置表!$A:$A,0))</f>
        <v>锻造装备消耗材料</v>
      </c>
      <c r="F5447" s="102">
        <v>20</v>
      </c>
      <c r="G5447" s="4"/>
      <c r="H5447" s="4"/>
      <c r="I5447" s="4"/>
      <c r="J5447" s="4"/>
      <c r="K5447" s="102">
        <v>1</v>
      </c>
      <c r="L5447" s="102"/>
      <c r="M5447" s="22" t="b">
        <v>1</v>
      </c>
    </row>
    <row r="5448" spans="1:13" x14ac:dyDescent="0.25">
      <c r="A5448" s="102"/>
      <c r="B5448" s="102" t="s">
        <v>119</v>
      </c>
      <c r="C5448" s="4"/>
      <c r="D5448" s="102">
        <v>6197</v>
      </c>
      <c r="E5448" s="136" t="str">
        <f>INDEX([1]道具配置表!$D:$D,MATCH(D5448,[1]道具配置表!$A:$A,0))</f>
        <v>5分钟锻造加速</v>
      </c>
      <c r="F5448" s="102">
        <v>1</v>
      </c>
      <c r="G5448" s="4"/>
      <c r="H5448" s="4"/>
      <c r="I5448" s="4"/>
      <c r="J5448" s="4"/>
      <c r="K5448" s="102">
        <v>1</v>
      </c>
      <c r="L5448" s="102"/>
      <c r="M5448" s="22" t="b">
        <v>1</v>
      </c>
    </row>
    <row r="5449" spans="1:13" x14ac:dyDescent="0.25">
      <c r="A5449" s="102">
        <v>6650034</v>
      </c>
      <c r="B5449" s="102" t="s">
        <v>1150</v>
      </c>
      <c r="C5449" s="4"/>
      <c r="D5449" s="102">
        <v>56187</v>
      </c>
      <c r="E5449" s="136" t="str">
        <f>INDEX([1]道具配置表!$D:$D,MATCH(D5449,[1]道具配置表!$A:$A,0))</f>
        <v>手工布靴</v>
      </c>
      <c r="F5449" s="102">
        <v>1</v>
      </c>
      <c r="G5449" s="4"/>
      <c r="H5449" s="4"/>
      <c r="I5449" s="4"/>
      <c r="J5449" s="4"/>
      <c r="K5449" s="102">
        <v>1</v>
      </c>
      <c r="L5449" s="102"/>
      <c r="M5449" s="22" t="b">
        <v>1</v>
      </c>
    </row>
    <row r="5450" spans="1:13" x14ac:dyDescent="0.25">
      <c r="A5450" s="102"/>
      <c r="B5450" s="102"/>
      <c r="C5450" s="4"/>
      <c r="D5450" s="102">
        <v>56002</v>
      </c>
      <c r="E5450" s="136" t="str">
        <f>INDEX([1]道具配置表!$D:$D,MATCH(D5450,[1]道具配置表!$A:$A,0))</f>
        <v>强化装备消耗材料</v>
      </c>
      <c r="F5450" s="102">
        <v>20</v>
      </c>
      <c r="G5450" s="4"/>
      <c r="H5450" s="4"/>
      <c r="I5450" s="4"/>
      <c r="J5450" s="4"/>
      <c r="K5450" s="102">
        <v>1</v>
      </c>
      <c r="L5450" s="102"/>
      <c r="M5450" s="22" t="b">
        <v>1</v>
      </c>
    </row>
    <row r="5451" spans="1:13" x14ac:dyDescent="0.25">
      <c r="A5451" s="102"/>
      <c r="B5451" s="102"/>
      <c r="C5451" s="4"/>
      <c r="D5451" s="102">
        <v>3000001</v>
      </c>
      <c r="E5451" s="136" t="str">
        <f>INDEX([1]道具配置表!$D:$D,MATCH(D5451,[1]道具配置表!$A:$A,0))</f>
        <v>自走棋放置货币</v>
      </c>
      <c r="F5451" s="102">
        <v>20</v>
      </c>
      <c r="G5451" s="4"/>
      <c r="H5451" s="4"/>
      <c r="I5451" s="4"/>
      <c r="J5451" s="4"/>
      <c r="K5451" s="102">
        <v>1</v>
      </c>
      <c r="L5451" s="102"/>
      <c r="M5451" s="22" t="b">
        <v>1</v>
      </c>
    </row>
    <row r="5452" spans="1:13" x14ac:dyDescent="0.25">
      <c r="A5452" s="102"/>
      <c r="B5452" s="102" t="s">
        <v>119</v>
      </c>
      <c r="C5452" s="4"/>
      <c r="D5452" s="102">
        <v>7228</v>
      </c>
      <c r="E5452" s="136" t="str">
        <f>INDEX([1]道具配置表!$D:$D,MATCH(D5452,[1]道具配置表!$A:$A,0))</f>
        <v>经验书*10000</v>
      </c>
      <c r="F5452" s="102">
        <v>1</v>
      </c>
      <c r="G5452" s="4"/>
      <c r="H5452" s="4"/>
      <c r="I5452" s="4"/>
      <c r="J5452" s="4"/>
      <c r="K5452" s="102">
        <v>1</v>
      </c>
      <c r="L5452" s="102"/>
      <c r="M5452" s="22" t="b">
        <v>1</v>
      </c>
    </row>
    <row r="5453" spans="1:13" x14ac:dyDescent="0.25">
      <c r="A5453" s="102"/>
      <c r="B5453" s="102" t="s">
        <v>119</v>
      </c>
      <c r="C5453" s="4"/>
      <c r="D5453" s="102">
        <v>20000</v>
      </c>
      <c r="E5453" s="136" t="str">
        <f>INDEX([1]道具配置表!$D:$D,MATCH(D5453,[1]道具配置表!$A:$A,0))</f>
        <v>技能点1</v>
      </c>
      <c r="F5453" s="102">
        <v>50</v>
      </c>
      <c r="G5453" s="4"/>
      <c r="H5453" s="4"/>
      <c r="I5453" s="4"/>
      <c r="J5453" s="4"/>
      <c r="K5453" s="102">
        <v>1</v>
      </c>
      <c r="L5453" s="102"/>
      <c r="M5453" s="22" t="b">
        <v>1</v>
      </c>
    </row>
    <row r="5454" spans="1:13" x14ac:dyDescent="0.25">
      <c r="A5454" s="102"/>
      <c r="B5454" s="102" t="s">
        <v>119</v>
      </c>
      <c r="C5454" s="4"/>
      <c r="D5454" s="102">
        <v>56001</v>
      </c>
      <c r="E5454" s="136" t="str">
        <f>INDEX([1]道具配置表!$D:$D,MATCH(D5454,[1]道具配置表!$A:$A,0))</f>
        <v>锻造装备消耗材料</v>
      </c>
      <c r="F5454" s="102">
        <v>20</v>
      </c>
      <c r="G5454" s="4"/>
      <c r="H5454" s="4"/>
      <c r="I5454" s="4"/>
      <c r="J5454" s="4"/>
      <c r="K5454" s="102">
        <v>1</v>
      </c>
      <c r="L5454" s="102"/>
      <c r="M5454" s="22" t="b">
        <v>1</v>
      </c>
    </row>
    <row r="5455" spans="1:13" x14ac:dyDescent="0.25">
      <c r="A5455" s="102"/>
      <c r="B5455" s="102" t="s">
        <v>119</v>
      </c>
      <c r="C5455" s="4"/>
      <c r="D5455" s="102">
        <v>6197</v>
      </c>
      <c r="E5455" s="136" t="str">
        <f>INDEX([1]道具配置表!$D:$D,MATCH(D5455,[1]道具配置表!$A:$A,0))</f>
        <v>5分钟锻造加速</v>
      </c>
      <c r="F5455" s="102">
        <v>1</v>
      </c>
      <c r="G5455" s="4"/>
      <c r="H5455" s="4"/>
      <c r="I5455" s="4"/>
      <c r="J5455" s="4"/>
      <c r="K5455" s="102">
        <v>1</v>
      </c>
      <c r="L5455" s="102"/>
      <c r="M5455" s="22" t="b">
        <v>1</v>
      </c>
    </row>
    <row r="5456" spans="1:13" x14ac:dyDescent="0.25">
      <c r="A5456" s="102">
        <v>6650035</v>
      </c>
      <c r="B5456" s="102" t="s">
        <v>1151</v>
      </c>
      <c r="C5456" s="4"/>
      <c r="D5456" s="102">
        <v>56152</v>
      </c>
      <c r="E5456" s="136" t="str">
        <f>INDEX([1]道具配置表!$D:$D,MATCH(D5456,[1]道具配置表!$A:$A,0))</f>
        <v>月桂头冠</v>
      </c>
      <c r="F5456" s="102">
        <v>1</v>
      </c>
      <c r="G5456" s="4"/>
      <c r="H5456" s="4"/>
      <c r="I5456" s="4"/>
      <c r="J5456" s="4"/>
      <c r="K5456" s="102">
        <v>1</v>
      </c>
      <c r="L5456" s="102"/>
      <c r="M5456" s="22" t="b">
        <v>1</v>
      </c>
    </row>
    <row r="5457" spans="1:13" x14ac:dyDescent="0.25">
      <c r="A5457" s="102"/>
      <c r="B5457" s="102" t="s">
        <v>119</v>
      </c>
      <c r="C5457" s="4"/>
      <c r="D5457" s="102">
        <v>3000001</v>
      </c>
      <c r="E5457" s="136" t="str">
        <f>INDEX([1]道具配置表!$D:$D,MATCH(D5457,[1]道具配置表!$A:$A,0))</f>
        <v>自走棋放置货币</v>
      </c>
      <c r="F5457" s="102">
        <v>40</v>
      </c>
      <c r="G5457" s="4"/>
      <c r="H5457" s="4"/>
      <c r="I5457" s="4"/>
      <c r="J5457" s="4"/>
      <c r="K5457" s="102">
        <v>1</v>
      </c>
      <c r="L5457" s="102"/>
      <c r="M5457" s="22" t="b">
        <v>1</v>
      </c>
    </row>
    <row r="5458" spans="1:13" x14ac:dyDescent="0.25">
      <c r="A5458" s="102"/>
      <c r="B5458" s="102" t="s">
        <v>119</v>
      </c>
      <c r="C5458" s="4"/>
      <c r="D5458" s="102">
        <v>7228</v>
      </c>
      <c r="E5458" s="136" t="str">
        <f>INDEX([1]道具配置表!$D:$D,MATCH(D5458,[1]道具配置表!$A:$A,0))</f>
        <v>经验书*10000</v>
      </c>
      <c r="F5458" s="102">
        <v>2</v>
      </c>
      <c r="G5458" s="4"/>
      <c r="H5458" s="4"/>
      <c r="I5458" s="4"/>
      <c r="J5458" s="4"/>
      <c r="K5458" s="102">
        <v>1</v>
      </c>
      <c r="L5458" s="102"/>
      <c r="M5458" s="22" t="b">
        <v>1</v>
      </c>
    </row>
    <row r="5459" spans="1:13" x14ac:dyDescent="0.25">
      <c r="A5459" s="102"/>
      <c r="B5459" s="102" t="s">
        <v>119</v>
      </c>
      <c r="C5459" s="4"/>
      <c r="D5459" s="102">
        <v>20000</v>
      </c>
      <c r="E5459" s="136" t="str">
        <f>INDEX([1]道具配置表!$D:$D,MATCH(D5459,[1]道具配置表!$A:$A,0))</f>
        <v>技能点1</v>
      </c>
      <c r="F5459" s="102">
        <v>100</v>
      </c>
      <c r="G5459" s="4"/>
      <c r="H5459" s="4"/>
      <c r="I5459" s="4"/>
      <c r="J5459" s="4"/>
      <c r="K5459" s="102">
        <v>1</v>
      </c>
      <c r="L5459" s="102"/>
      <c r="M5459" s="22" t="b">
        <v>1</v>
      </c>
    </row>
    <row r="5460" spans="1:13" x14ac:dyDescent="0.25">
      <c r="A5460" s="102"/>
      <c r="B5460" s="102" t="s">
        <v>119</v>
      </c>
      <c r="C5460" s="4"/>
      <c r="D5460" s="102">
        <v>56001</v>
      </c>
      <c r="E5460" s="136" t="str">
        <f>INDEX([1]道具配置表!$D:$D,MATCH(D5460,[1]道具配置表!$A:$A,0))</f>
        <v>锻造装备消耗材料</v>
      </c>
      <c r="F5460" s="102">
        <v>50</v>
      </c>
      <c r="G5460" s="4"/>
      <c r="H5460" s="4"/>
      <c r="I5460" s="4"/>
      <c r="J5460" s="4"/>
      <c r="K5460" s="102">
        <v>1</v>
      </c>
      <c r="L5460" s="102"/>
      <c r="M5460" s="22" t="b">
        <v>1</v>
      </c>
    </row>
    <row r="5461" spans="1:13" x14ac:dyDescent="0.25">
      <c r="A5461" s="102"/>
      <c r="B5461" s="102" t="s">
        <v>119</v>
      </c>
      <c r="C5461" s="4"/>
      <c r="D5461" s="102">
        <v>6201</v>
      </c>
      <c r="E5461" s="136" t="str">
        <f>INDEX([1]道具配置表!$D:$D,MATCH(D5461,[1]道具配置表!$A:$A,0))</f>
        <v>60分钟锻造加速</v>
      </c>
      <c r="F5461" s="102">
        <v>1</v>
      </c>
      <c r="G5461" s="4"/>
      <c r="H5461" s="4"/>
      <c r="I5461" s="4"/>
      <c r="J5461" s="4"/>
      <c r="K5461" s="102">
        <v>1</v>
      </c>
      <c r="L5461" s="102"/>
      <c r="M5461" s="22" t="b">
        <v>1</v>
      </c>
    </row>
    <row r="5462" spans="1:13" x14ac:dyDescent="0.25">
      <c r="A5462" s="102"/>
      <c r="B5462" s="102" t="s">
        <v>119</v>
      </c>
      <c r="C5462" s="4"/>
      <c r="D5462" s="102">
        <v>56002</v>
      </c>
      <c r="E5462" s="136" t="str">
        <f>INDEX([1]道具配置表!$D:$D,MATCH(D5462,[1]道具配置表!$A:$A,0))</f>
        <v>强化装备消耗材料</v>
      </c>
      <c r="F5462" s="102">
        <v>20</v>
      </c>
      <c r="G5462" s="4"/>
      <c r="H5462" s="4"/>
      <c r="I5462" s="4"/>
      <c r="J5462" s="4"/>
      <c r="K5462" s="102">
        <v>1</v>
      </c>
      <c r="L5462" s="102"/>
      <c r="M5462" s="22" t="b">
        <v>1</v>
      </c>
    </row>
    <row r="5463" spans="1:13" x14ac:dyDescent="0.25">
      <c r="A5463" s="102">
        <v>6650036</v>
      </c>
      <c r="B5463" s="102" t="s">
        <v>1152</v>
      </c>
      <c r="C5463" s="4"/>
      <c r="D5463" s="102">
        <v>3000001</v>
      </c>
      <c r="E5463" s="136" t="str">
        <f>INDEX([1]道具配置表!$D:$D,MATCH(D5463,[1]道具配置表!$A:$A,0))</f>
        <v>自走棋放置货币</v>
      </c>
      <c r="F5463" s="102">
        <v>20</v>
      </c>
      <c r="G5463" s="4"/>
      <c r="H5463" s="4"/>
      <c r="I5463" s="4"/>
      <c r="J5463" s="4"/>
      <c r="K5463" s="102">
        <v>1</v>
      </c>
      <c r="L5463" s="102"/>
      <c r="M5463" s="22" t="b">
        <v>1</v>
      </c>
    </row>
    <row r="5464" spans="1:13" x14ac:dyDescent="0.25">
      <c r="A5464" s="102"/>
      <c r="B5464" s="102" t="s">
        <v>119</v>
      </c>
      <c r="C5464" s="4"/>
      <c r="D5464" s="102">
        <v>7228</v>
      </c>
      <c r="E5464" s="136" t="str">
        <f>INDEX([1]道具配置表!$D:$D,MATCH(D5464,[1]道具配置表!$A:$A,0))</f>
        <v>经验书*10000</v>
      </c>
      <c r="F5464" s="102">
        <v>1</v>
      </c>
      <c r="G5464" s="4"/>
      <c r="H5464" s="4"/>
      <c r="I5464" s="4"/>
      <c r="J5464" s="4"/>
      <c r="K5464" s="102">
        <v>1</v>
      </c>
      <c r="L5464" s="102"/>
      <c r="M5464" s="22" t="b">
        <v>1</v>
      </c>
    </row>
    <row r="5465" spans="1:13" x14ac:dyDescent="0.25">
      <c r="A5465" s="102"/>
      <c r="B5465" s="102" t="s">
        <v>119</v>
      </c>
      <c r="C5465" s="4"/>
      <c r="D5465" s="102">
        <v>20000</v>
      </c>
      <c r="E5465" s="136" t="str">
        <f>INDEX([1]道具配置表!$D:$D,MATCH(D5465,[1]道具配置表!$A:$A,0))</f>
        <v>技能点1</v>
      </c>
      <c r="F5465" s="102">
        <v>50</v>
      </c>
      <c r="G5465" s="4"/>
      <c r="H5465" s="4"/>
      <c r="I5465" s="4"/>
      <c r="J5465" s="4"/>
      <c r="K5465" s="102">
        <v>1</v>
      </c>
      <c r="L5465" s="102"/>
      <c r="M5465" s="22" t="b">
        <v>1</v>
      </c>
    </row>
    <row r="5466" spans="1:13" x14ac:dyDescent="0.25">
      <c r="A5466" s="102"/>
      <c r="B5466" s="102" t="s">
        <v>119</v>
      </c>
      <c r="C5466" s="4"/>
      <c r="D5466" s="102">
        <v>56001</v>
      </c>
      <c r="E5466" s="136" t="str">
        <f>INDEX([1]道具配置表!$D:$D,MATCH(D5466,[1]道具配置表!$A:$A,0))</f>
        <v>锻造装备消耗材料</v>
      </c>
      <c r="F5466" s="102">
        <v>20</v>
      </c>
      <c r="G5466" s="4"/>
      <c r="H5466" s="4"/>
      <c r="I5466" s="4"/>
      <c r="J5466" s="4"/>
      <c r="K5466" s="102">
        <v>1</v>
      </c>
      <c r="L5466" s="102"/>
      <c r="M5466" s="22" t="b">
        <v>1</v>
      </c>
    </row>
    <row r="5467" spans="1:13" x14ac:dyDescent="0.25">
      <c r="A5467" s="102"/>
      <c r="B5467" s="102" t="s">
        <v>119</v>
      </c>
      <c r="C5467" s="4"/>
      <c r="D5467" s="102">
        <v>6197</v>
      </c>
      <c r="E5467" s="136" t="str">
        <f>INDEX([1]道具配置表!$D:$D,MATCH(D5467,[1]道具配置表!$A:$A,0))</f>
        <v>5分钟锻造加速</v>
      </c>
      <c r="F5467" s="102">
        <v>1</v>
      </c>
      <c r="G5467" s="4"/>
      <c r="H5467" s="4"/>
      <c r="I5467" s="4"/>
      <c r="J5467" s="4"/>
      <c r="K5467" s="102">
        <v>1</v>
      </c>
      <c r="L5467" s="102"/>
      <c r="M5467" s="22" t="b">
        <v>1</v>
      </c>
    </row>
    <row r="5468" spans="1:13" x14ac:dyDescent="0.25">
      <c r="A5468" s="102">
        <v>6650037</v>
      </c>
      <c r="B5468" s="102" t="s">
        <v>1153</v>
      </c>
      <c r="C5468" s="4"/>
      <c r="D5468" s="102">
        <v>3000001</v>
      </c>
      <c r="E5468" s="136" t="str">
        <f>INDEX([1]道具配置表!$D:$D,MATCH(D5468,[1]道具配置表!$A:$A,0))</f>
        <v>自走棋放置货币</v>
      </c>
      <c r="F5468" s="102">
        <v>20</v>
      </c>
      <c r="G5468" s="4"/>
      <c r="H5468" s="4"/>
      <c r="I5468" s="4"/>
      <c r="J5468" s="4"/>
      <c r="K5468" s="102">
        <v>1</v>
      </c>
      <c r="L5468" s="102"/>
      <c r="M5468" s="22" t="b">
        <v>1</v>
      </c>
    </row>
    <row r="5469" spans="1:13" x14ac:dyDescent="0.25">
      <c r="A5469" s="102"/>
      <c r="B5469" s="102" t="s">
        <v>119</v>
      </c>
      <c r="C5469" s="4"/>
      <c r="D5469" s="102">
        <v>7228</v>
      </c>
      <c r="E5469" s="136" t="str">
        <f>INDEX([1]道具配置表!$D:$D,MATCH(D5469,[1]道具配置表!$A:$A,0))</f>
        <v>经验书*10000</v>
      </c>
      <c r="F5469" s="102">
        <v>1</v>
      </c>
      <c r="G5469" s="4"/>
      <c r="H5469" s="4"/>
      <c r="I5469" s="4"/>
      <c r="J5469" s="4"/>
      <c r="K5469" s="102">
        <v>1</v>
      </c>
      <c r="L5469" s="102"/>
      <c r="M5469" s="22" t="b">
        <v>1</v>
      </c>
    </row>
    <row r="5470" spans="1:13" x14ac:dyDescent="0.25">
      <c r="A5470" s="102"/>
      <c r="B5470" s="102" t="s">
        <v>119</v>
      </c>
      <c r="C5470" s="4"/>
      <c r="D5470" s="102">
        <v>20000</v>
      </c>
      <c r="E5470" s="136" t="str">
        <f>INDEX([1]道具配置表!$D:$D,MATCH(D5470,[1]道具配置表!$A:$A,0))</f>
        <v>技能点1</v>
      </c>
      <c r="F5470" s="102">
        <v>50</v>
      </c>
      <c r="G5470" s="4"/>
      <c r="H5470" s="4"/>
      <c r="I5470" s="4"/>
      <c r="J5470" s="4"/>
      <c r="K5470" s="102">
        <v>1</v>
      </c>
      <c r="L5470" s="102"/>
      <c r="M5470" s="22" t="b">
        <v>1</v>
      </c>
    </row>
    <row r="5471" spans="1:13" x14ac:dyDescent="0.25">
      <c r="A5471" s="102"/>
      <c r="B5471" s="102" t="s">
        <v>119</v>
      </c>
      <c r="C5471" s="4"/>
      <c r="D5471" s="102">
        <v>56001</v>
      </c>
      <c r="E5471" s="136" t="str">
        <f>INDEX([1]道具配置表!$D:$D,MATCH(D5471,[1]道具配置表!$A:$A,0))</f>
        <v>锻造装备消耗材料</v>
      </c>
      <c r="F5471" s="102">
        <v>20</v>
      </c>
      <c r="G5471" s="4"/>
      <c r="H5471" s="4"/>
      <c r="I5471" s="4"/>
      <c r="J5471" s="4"/>
      <c r="K5471" s="102">
        <v>1</v>
      </c>
      <c r="L5471" s="102"/>
      <c r="M5471" s="22" t="b">
        <v>1</v>
      </c>
    </row>
    <row r="5472" spans="1:13" x14ac:dyDescent="0.25">
      <c r="A5472" s="102"/>
      <c r="B5472" s="102" t="s">
        <v>119</v>
      </c>
      <c r="C5472" s="4"/>
      <c r="D5472" s="102">
        <v>6197</v>
      </c>
      <c r="E5472" s="136" t="str">
        <f>INDEX([1]道具配置表!$D:$D,MATCH(D5472,[1]道具配置表!$A:$A,0))</f>
        <v>5分钟锻造加速</v>
      </c>
      <c r="F5472" s="102">
        <v>1</v>
      </c>
      <c r="G5472" s="4"/>
      <c r="H5472" s="4"/>
      <c r="I5472" s="4"/>
      <c r="J5472" s="4"/>
      <c r="K5472" s="102">
        <v>1</v>
      </c>
      <c r="L5472" s="102"/>
      <c r="M5472" s="22" t="b">
        <v>1</v>
      </c>
    </row>
    <row r="5473" spans="1:13" x14ac:dyDescent="0.25">
      <c r="A5473" s="102">
        <v>6650038</v>
      </c>
      <c r="B5473" s="102" t="s">
        <v>1154</v>
      </c>
      <c r="C5473" s="4"/>
      <c r="D5473" s="102">
        <v>3000001</v>
      </c>
      <c r="E5473" s="136" t="str">
        <f>INDEX([1]道具配置表!$D:$D,MATCH(D5473,[1]道具配置表!$A:$A,0))</f>
        <v>自走棋放置货币</v>
      </c>
      <c r="F5473" s="102">
        <v>20</v>
      </c>
      <c r="G5473" s="4"/>
      <c r="H5473" s="4"/>
      <c r="I5473" s="4"/>
      <c r="J5473" s="4"/>
      <c r="K5473" s="102">
        <v>1</v>
      </c>
      <c r="L5473" s="102"/>
      <c r="M5473" s="22" t="b">
        <v>1</v>
      </c>
    </row>
    <row r="5474" spans="1:13" x14ac:dyDescent="0.25">
      <c r="A5474" s="102"/>
      <c r="B5474" s="102" t="s">
        <v>119</v>
      </c>
      <c r="C5474" s="4"/>
      <c r="D5474" s="102">
        <v>7228</v>
      </c>
      <c r="E5474" s="136" t="str">
        <f>INDEX([1]道具配置表!$D:$D,MATCH(D5474,[1]道具配置表!$A:$A,0))</f>
        <v>经验书*10000</v>
      </c>
      <c r="F5474" s="102">
        <v>1</v>
      </c>
      <c r="G5474" s="4"/>
      <c r="H5474" s="4"/>
      <c r="I5474" s="4"/>
      <c r="J5474" s="4"/>
      <c r="K5474" s="102">
        <v>1</v>
      </c>
      <c r="L5474" s="102"/>
      <c r="M5474" s="22" t="b">
        <v>1</v>
      </c>
    </row>
    <row r="5475" spans="1:13" x14ac:dyDescent="0.25">
      <c r="A5475" s="102"/>
      <c r="B5475" s="102" t="s">
        <v>119</v>
      </c>
      <c r="C5475" s="4"/>
      <c r="D5475" s="102">
        <v>20000</v>
      </c>
      <c r="E5475" s="136" t="str">
        <f>INDEX([1]道具配置表!$D:$D,MATCH(D5475,[1]道具配置表!$A:$A,0))</f>
        <v>技能点1</v>
      </c>
      <c r="F5475" s="102">
        <v>50</v>
      </c>
      <c r="G5475" s="4"/>
      <c r="H5475" s="4"/>
      <c r="I5475" s="4"/>
      <c r="J5475" s="4"/>
      <c r="K5475" s="102">
        <v>1</v>
      </c>
      <c r="L5475" s="102"/>
      <c r="M5475" s="22" t="b">
        <v>1</v>
      </c>
    </row>
    <row r="5476" spans="1:13" x14ac:dyDescent="0.25">
      <c r="A5476" s="102"/>
      <c r="B5476" s="102" t="s">
        <v>119</v>
      </c>
      <c r="C5476" s="4"/>
      <c r="D5476" s="102">
        <v>56001</v>
      </c>
      <c r="E5476" s="136" t="str">
        <f>INDEX([1]道具配置表!$D:$D,MATCH(D5476,[1]道具配置表!$A:$A,0))</f>
        <v>锻造装备消耗材料</v>
      </c>
      <c r="F5476" s="102">
        <v>20</v>
      </c>
      <c r="G5476" s="4"/>
      <c r="H5476" s="4"/>
      <c r="I5476" s="4"/>
      <c r="J5476" s="4"/>
      <c r="K5476" s="102">
        <v>1</v>
      </c>
      <c r="L5476" s="102"/>
      <c r="M5476" s="22" t="b">
        <v>1</v>
      </c>
    </row>
    <row r="5477" spans="1:13" x14ac:dyDescent="0.25">
      <c r="A5477" s="102"/>
      <c r="B5477" s="102" t="s">
        <v>119</v>
      </c>
      <c r="C5477" s="4"/>
      <c r="D5477" s="102">
        <v>6197</v>
      </c>
      <c r="E5477" s="136" t="str">
        <f>INDEX([1]道具配置表!$D:$D,MATCH(D5477,[1]道具配置表!$A:$A,0))</f>
        <v>5分钟锻造加速</v>
      </c>
      <c r="F5477" s="102">
        <v>1</v>
      </c>
      <c r="G5477" s="4"/>
      <c r="H5477" s="4"/>
      <c r="I5477" s="4"/>
      <c r="J5477" s="4"/>
      <c r="K5477" s="102">
        <v>1</v>
      </c>
      <c r="L5477" s="102"/>
      <c r="M5477" s="22" t="b">
        <v>1</v>
      </c>
    </row>
    <row r="5478" spans="1:13" x14ac:dyDescent="0.25">
      <c r="A5478" s="102">
        <v>6650039</v>
      </c>
      <c r="B5478" s="102" t="s">
        <v>1155</v>
      </c>
      <c r="C5478" s="4"/>
      <c r="D5478" s="102">
        <v>3000001</v>
      </c>
      <c r="E5478" s="136" t="str">
        <f>INDEX([1]道具配置表!$D:$D,MATCH(D5478,[1]道具配置表!$A:$A,0))</f>
        <v>自走棋放置货币</v>
      </c>
      <c r="F5478" s="102">
        <v>20</v>
      </c>
      <c r="G5478" s="4"/>
      <c r="H5478" s="4"/>
      <c r="I5478" s="4"/>
      <c r="J5478" s="4"/>
      <c r="K5478" s="102">
        <v>1</v>
      </c>
      <c r="L5478" s="102"/>
      <c r="M5478" s="22" t="b">
        <v>1</v>
      </c>
    </row>
    <row r="5479" spans="1:13" x14ac:dyDescent="0.25">
      <c r="A5479" s="102"/>
      <c r="B5479" s="102" t="s">
        <v>119</v>
      </c>
      <c r="C5479" s="4"/>
      <c r="D5479" s="102">
        <v>7228</v>
      </c>
      <c r="E5479" s="136" t="str">
        <f>INDEX([1]道具配置表!$D:$D,MATCH(D5479,[1]道具配置表!$A:$A,0))</f>
        <v>经验书*10000</v>
      </c>
      <c r="F5479" s="102">
        <v>1</v>
      </c>
      <c r="G5479" s="4"/>
      <c r="H5479" s="4"/>
      <c r="I5479" s="4"/>
      <c r="J5479" s="4"/>
      <c r="K5479" s="102">
        <v>1</v>
      </c>
      <c r="L5479" s="102"/>
      <c r="M5479" s="22" t="b">
        <v>1</v>
      </c>
    </row>
    <row r="5480" spans="1:13" x14ac:dyDescent="0.25">
      <c r="A5480" s="102"/>
      <c r="B5480" s="102" t="s">
        <v>119</v>
      </c>
      <c r="C5480" s="4"/>
      <c r="D5480" s="102">
        <v>20000</v>
      </c>
      <c r="E5480" s="136" t="str">
        <f>INDEX([1]道具配置表!$D:$D,MATCH(D5480,[1]道具配置表!$A:$A,0))</f>
        <v>技能点1</v>
      </c>
      <c r="F5480" s="102">
        <v>50</v>
      </c>
      <c r="G5480" s="4"/>
      <c r="H5480" s="4"/>
      <c r="I5480" s="4"/>
      <c r="J5480" s="4"/>
      <c r="K5480" s="102">
        <v>1</v>
      </c>
      <c r="L5480" s="102"/>
      <c r="M5480" s="22" t="b">
        <v>1</v>
      </c>
    </row>
    <row r="5481" spans="1:13" x14ac:dyDescent="0.25">
      <c r="A5481" s="102"/>
      <c r="B5481" s="102" t="s">
        <v>119</v>
      </c>
      <c r="C5481" s="4"/>
      <c r="D5481" s="102">
        <v>56001</v>
      </c>
      <c r="E5481" s="136" t="str">
        <f>INDEX([1]道具配置表!$D:$D,MATCH(D5481,[1]道具配置表!$A:$A,0))</f>
        <v>锻造装备消耗材料</v>
      </c>
      <c r="F5481" s="102">
        <v>20</v>
      </c>
      <c r="G5481" s="4"/>
      <c r="H5481" s="4"/>
      <c r="I5481" s="4"/>
      <c r="J5481" s="4"/>
      <c r="K5481" s="102">
        <v>1</v>
      </c>
      <c r="L5481" s="102"/>
      <c r="M5481" s="22" t="b">
        <v>1</v>
      </c>
    </row>
    <row r="5482" spans="1:13" x14ac:dyDescent="0.25">
      <c r="A5482" s="102"/>
      <c r="B5482" s="102" t="s">
        <v>119</v>
      </c>
      <c r="C5482" s="4"/>
      <c r="D5482" s="102">
        <v>6197</v>
      </c>
      <c r="E5482" s="136" t="str">
        <f>INDEX([1]道具配置表!$D:$D,MATCH(D5482,[1]道具配置表!$A:$A,0))</f>
        <v>5分钟锻造加速</v>
      </c>
      <c r="F5482" s="102">
        <v>1</v>
      </c>
      <c r="G5482" s="4"/>
      <c r="H5482" s="4"/>
      <c r="I5482" s="4"/>
      <c r="J5482" s="4"/>
      <c r="K5482" s="102">
        <v>1</v>
      </c>
      <c r="L5482" s="102"/>
      <c r="M5482" s="22" t="b">
        <v>1</v>
      </c>
    </row>
    <row r="5483" spans="1:13" x14ac:dyDescent="0.25">
      <c r="A5483" s="102">
        <v>6650040</v>
      </c>
      <c r="B5483" s="102" t="s">
        <v>1156</v>
      </c>
      <c r="C5483" s="4"/>
      <c r="D5483" s="102">
        <v>56164</v>
      </c>
      <c r="E5483" s="136" t="str">
        <f>INDEX([1]道具配置表!$D:$D,MATCH(D5483,[1]道具配置表!$A:$A,0))</f>
        <v>鹰眼护额</v>
      </c>
      <c r="F5483" s="102">
        <v>1</v>
      </c>
      <c r="G5483" s="4"/>
      <c r="H5483" s="4"/>
      <c r="I5483" s="4"/>
      <c r="J5483" s="4"/>
      <c r="K5483" s="102">
        <v>1</v>
      </c>
      <c r="L5483" s="102"/>
      <c r="M5483" s="22" t="b">
        <v>1</v>
      </c>
    </row>
    <row r="5484" spans="1:13" x14ac:dyDescent="0.25">
      <c r="A5484" s="102"/>
      <c r="B5484" s="102" t="s">
        <v>119</v>
      </c>
      <c r="C5484" s="4"/>
      <c r="D5484" s="102">
        <v>3000001</v>
      </c>
      <c r="E5484" s="136" t="str">
        <f>INDEX([1]道具配置表!$D:$D,MATCH(D5484,[1]道具配置表!$A:$A,0))</f>
        <v>自走棋放置货币</v>
      </c>
      <c r="F5484" s="102">
        <v>40</v>
      </c>
      <c r="G5484" s="4"/>
      <c r="H5484" s="4"/>
      <c r="I5484" s="4"/>
      <c r="J5484" s="4"/>
      <c r="K5484" s="102">
        <v>1</v>
      </c>
      <c r="L5484" s="102"/>
      <c r="M5484" s="22" t="b">
        <v>1</v>
      </c>
    </row>
    <row r="5485" spans="1:13" x14ac:dyDescent="0.25">
      <c r="A5485" s="102"/>
      <c r="B5485" s="102" t="s">
        <v>119</v>
      </c>
      <c r="C5485" s="4"/>
      <c r="D5485" s="102">
        <v>7228</v>
      </c>
      <c r="E5485" s="136" t="str">
        <f>INDEX([1]道具配置表!$D:$D,MATCH(D5485,[1]道具配置表!$A:$A,0))</f>
        <v>经验书*10000</v>
      </c>
      <c r="F5485" s="102">
        <v>2</v>
      </c>
      <c r="G5485" s="4"/>
      <c r="H5485" s="4"/>
      <c r="I5485" s="4"/>
      <c r="J5485" s="4"/>
      <c r="K5485" s="102">
        <v>1</v>
      </c>
      <c r="L5485" s="102"/>
      <c r="M5485" s="22" t="b">
        <v>1</v>
      </c>
    </row>
    <row r="5486" spans="1:13" x14ac:dyDescent="0.25">
      <c r="A5486" s="102"/>
      <c r="B5486" s="102" t="s">
        <v>119</v>
      </c>
      <c r="C5486" s="4"/>
      <c r="D5486" s="102">
        <v>20000</v>
      </c>
      <c r="E5486" s="136" t="str">
        <f>INDEX([1]道具配置表!$D:$D,MATCH(D5486,[1]道具配置表!$A:$A,0))</f>
        <v>技能点1</v>
      </c>
      <c r="F5486" s="102">
        <v>100</v>
      </c>
      <c r="G5486" s="4"/>
      <c r="H5486" s="4"/>
      <c r="I5486" s="4"/>
      <c r="J5486" s="4"/>
      <c r="K5486" s="102">
        <v>1</v>
      </c>
      <c r="L5486" s="102"/>
      <c r="M5486" s="22" t="b">
        <v>1</v>
      </c>
    </row>
    <row r="5487" spans="1:13" x14ac:dyDescent="0.25">
      <c r="A5487" s="102"/>
      <c r="B5487" s="102" t="s">
        <v>119</v>
      </c>
      <c r="C5487" s="4"/>
      <c r="D5487" s="102">
        <v>56001</v>
      </c>
      <c r="E5487" s="136" t="str">
        <f>INDEX([1]道具配置表!$D:$D,MATCH(D5487,[1]道具配置表!$A:$A,0))</f>
        <v>锻造装备消耗材料</v>
      </c>
      <c r="F5487" s="102">
        <v>50</v>
      </c>
      <c r="G5487" s="4"/>
      <c r="H5487" s="4"/>
      <c r="I5487" s="4"/>
      <c r="J5487" s="4"/>
      <c r="K5487" s="102">
        <v>1</v>
      </c>
      <c r="L5487" s="102"/>
      <c r="M5487" s="22" t="b">
        <v>1</v>
      </c>
    </row>
    <row r="5488" spans="1:13" x14ac:dyDescent="0.25">
      <c r="A5488" s="102"/>
      <c r="B5488" s="102" t="s">
        <v>119</v>
      </c>
      <c r="C5488" s="4"/>
      <c r="D5488" s="102">
        <v>6201</v>
      </c>
      <c r="E5488" s="136" t="str">
        <f>INDEX([1]道具配置表!$D:$D,MATCH(D5488,[1]道具配置表!$A:$A,0))</f>
        <v>60分钟锻造加速</v>
      </c>
      <c r="F5488" s="102">
        <v>1</v>
      </c>
      <c r="G5488" s="4"/>
      <c r="H5488" s="4"/>
      <c r="I5488" s="4"/>
      <c r="J5488" s="4"/>
      <c r="K5488" s="102">
        <v>1</v>
      </c>
      <c r="L5488" s="102"/>
      <c r="M5488" s="22" t="b">
        <v>1</v>
      </c>
    </row>
    <row r="5489" spans="1:13" x14ac:dyDescent="0.25">
      <c r="A5489" s="102"/>
      <c r="B5489" s="102" t="s">
        <v>119</v>
      </c>
      <c r="C5489" s="4"/>
      <c r="D5489" s="102">
        <v>56002</v>
      </c>
      <c r="E5489" s="136" t="str">
        <f>INDEX([1]道具配置表!$D:$D,MATCH(D5489,[1]道具配置表!$A:$A,0))</f>
        <v>强化装备消耗材料</v>
      </c>
      <c r="F5489" s="102">
        <v>20</v>
      </c>
      <c r="G5489" s="4"/>
      <c r="H5489" s="4"/>
      <c r="I5489" s="4"/>
      <c r="J5489" s="4"/>
      <c r="K5489" s="102">
        <v>1</v>
      </c>
      <c r="L5489" s="102"/>
      <c r="M5489" s="22" t="b">
        <v>1</v>
      </c>
    </row>
    <row r="5490" spans="1:13" x14ac:dyDescent="0.25">
      <c r="A5490" s="102">
        <v>6650041</v>
      </c>
      <c r="B5490" s="102" t="s">
        <v>1157</v>
      </c>
      <c r="C5490" s="4"/>
      <c r="D5490" s="102">
        <v>3000001</v>
      </c>
      <c r="E5490" s="136" t="str">
        <f>INDEX([1]道具配置表!$D:$D,MATCH(D5490,[1]道具配置表!$A:$A,0))</f>
        <v>自走棋放置货币</v>
      </c>
      <c r="F5490" s="102">
        <v>20</v>
      </c>
      <c r="G5490" s="4"/>
      <c r="H5490" s="4"/>
      <c r="I5490" s="4"/>
      <c r="J5490" s="4"/>
      <c r="K5490" s="102">
        <v>1</v>
      </c>
      <c r="L5490" s="102"/>
      <c r="M5490" s="22" t="b">
        <v>1</v>
      </c>
    </row>
    <row r="5491" spans="1:13" x14ac:dyDescent="0.25">
      <c r="A5491" s="102"/>
      <c r="B5491" s="102" t="s">
        <v>119</v>
      </c>
      <c r="C5491" s="4"/>
      <c r="D5491" s="102">
        <v>7228</v>
      </c>
      <c r="E5491" s="136" t="str">
        <f>INDEX([1]道具配置表!$D:$D,MATCH(D5491,[1]道具配置表!$A:$A,0))</f>
        <v>经验书*10000</v>
      </c>
      <c r="F5491" s="102">
        <v>1</v>
      </c>
      <c r="G5491" s="4"/>
      <c r="H5491" s="4"/>
      <c r="I5491" s="4"/>
      <c r="J5491" s="4"/>
      <c r="K5491" s="102">
        <v>1</v>
      </c>
      <c r="L5491" s="102"/>
      <c r="M5491" s="22" t="b">
        <v>1</v>
      </c>
    </row>
    <row r="5492" spans="1:13" x14ac:dyDescent="0.25">
      <c r="A5492" s="102"/>
      <c r="B5492" s="102" t="s">
        <v>119</v>
      </c>
      <c r="C5492" s="4"/>
      <c r="D5492" s="102">
        <v>20000</v>
      </c>
      <c r="E5492" s="136" t="str">
        <f>INDEX([1]道具配置表!$D:$D,MATCH(D5492,[1]道具配置表!$A:$A,0))</f>
        <v>技能点1</v>
      </c>
      <c r="F5492" s="102">
        <v>50</v>
      </c>
      <c r="G5492" s="4"/>
      <c r="H5492" s="4"/>
      <c r="I5492" s="4"/>
      <c r="J5492" s="4"/>
      <c r="K5492" s="102">
        <v>1</v>
      </c>
      <c r="L5492" s="102"/>
      <c r="M5492" s="22" t="b">
        <v>1</v>
      </c>
    </row>
    <row r="5493" spans="1:13" x14ac:dyDescent="0.25">
      <c r="A5493" s="102"/>
      <c r="B5493" s="102" t="s">
        <v>119</v>
      </c>
      <c r="C5493" s="4"/>
      <c r="D5493" s="102">
        <v>56001</v>
      </c>
      <c r="E5493" s="136" t="str">
        <f>INDEX([1]道具配置表!$D:$D,MATCH(D5493,[1]道具配置表!$A:$A,0))</f>
        <v>锻造装备消耗材料</v>
      </c>
      <c r="F5493" s="102">
        <v>20</v>
      </c>
      <c r="G5493" s="4"/>
      <c r="H5493" s="4"/>
      <c r="I5493" s="4"/>
      <c r="J5493" s="4"/>
      <c r="K5493" s="102">
        <v>1</v>
      </c>
      <c r="L5493" s="102"/>
      <c r="M5493" s="22" t="b">
        <v>1</v>
      </c>
    </row>
    <row r="5494" spans="1:13" x14ac:dyDescent="0.25">
      <c r="A5494" s="102"/>
      <c r="B5494" s="102" t="s">
        <v>119</v>
      </c>
      <c r="C5494" s="4"/>
      <c r="D5494" s="102">
        <v>6197</v>
      </c>
      <c r="E5494" s="136" t="str">
        <f>INDEX([1]道具配置表!$D:$D,MATCH(D5494,[1]道具配置表!$A:$A,0))</f>
        <v>5分钟锻造加速</v>
      </c>
      <c r="F5494" s="102">
        <v>1</v>
      </c>
      <c r="G5494" s="4"/>
      <c r="H5494" s="4"/>
      <c r="I5494" s="4"/>
      <c r="J5494" s="4"/>
      <c r="K5494" s="102">
        <v>1</v>
      </c>
      <c r="L5494" s="102"/>
      <c r="M5494" s="22" t="b">
        <v>1</v>
      </c>
    </row>
    <row r="5495" spans="1:13" x14ac:dyDescent="0.25">
      <c r="A5495" s="102">
        <v>6650042</v>
      </c>
      <c r="B5495" s="102" t="s">
        <v>1158</v>
      </c>
      <c r="C5495" s="4"/>
      <c r="D5495" s="102">
        <v>3000001</v>
      </c>
      <c r="E5495" s="136" t="str">
        <f>INDEX([1]道具配置表!$D:$D,MATCH(D5495,[1]道具配置表!$A:$A,0))</f>
        <v>自走棋放置货币</v>
      </c>
      <c r="F5495" s="102">
        <v>20</v>
      </c>
      <c r="G5495" s="4"/>
      <c r="H5495" s="4"/>
      <c r="I5495" s="4"/>
      <c r="J5495" s="4"/>
      <c r="K5495" s="102">
        <v>1</v>
      </c>
      <c r="L5495" s="102"/>
      <c r="M5495" s="22" t="b">
        <v>1</v>
      </c>
    </row>
    <row r="5496" spans="1:13" x14ac:dyDescent="0.25">
      <c r="A5496" s="102"/>
      <c r="B5496" s="102" t="s">
        <v>119</v>
      </c>
      <c r="C5496" s="4"/>
      <c r="D5496" s="102">
        <v>7228</v>
      </c>
      <c r="E5496" s="136" t="str">
        <f>INDEX([1]道具配置表!$D:$D,MATCH(D5496,[1]道具配置表!$A:$A,0))</f>
        <v>经验书*10000</v>
      </c>
      <c r="F5496" s="102">
        <v>1</v>
      </c>
      <c r="G5496" s="4"/>
      <c r="H5496" s="4"/>
      <c r="I5496" s="4"/>
      <c r="J5496" s="4"/>
      <c r="K5496" s="102">
        <v>1</v>
      </c>
      <c r="L5496" s="102"/>
      <c r="M5496" s="22" t="b">
        <v>1</v>
      </c>
    </row>
    <row r="5497" spans="1:13" x14ac:dyDescent="0.25">
      <c r="A5497" s="102"/>
      <c r="B5497" s="102" t="s">
        <v>119</v>
      </c>
      <c r="C5497" s="4"/>
      <c r="D5497" s="102">
        <v>20000</v>
      </c>
      <c r="E5497" s="136" t="str">
        <f>INDEX([1]道具配置表!$D:$D,MATCH(D5497,[1]道具配置表!$A:$A,0))</f>
        <v>技能点1</v>
      </c>
      <c r="F5497" s="102">
        <v>50</v>
      </c>
      <c r="G5497" s="4"/>
      <c r="H5497" s="4"/>
      <c r="I5497" s="4"/>
      <c r="J5497" s="4"/>
      <c r="K5497" s="102">
        <v>1</v>
      </c>
      <c r="L5497" s="102"/>
      <c r="M5497" s="22" t="b">
        <v>1</v>
      </c>
    </row>
    <row r="5498" spans="1:13" x14ac:dyDescent="0.25">
      <c r="A5498" s="102"/>
      <c r="B5498" s="102" t="s">
        <v>119</v>
      </c>
      <c r="C5498" s="4"/>
      <c r="D5498" s="102">
        <v>56001</v>
      </c>
      <c r="E5498" s="136" t="str">
        <f>INDEX([1]道具配置表!$D:$D,MATCH(D5498,[1]道具配置表!$A:$A,0))</f>
        <v>锻造装备消耗材料</v>
      </c>
      <c r="F5498" s="102">
        <v>20</v>
      </c>
      <c r="G5498" s="4"/>
      <c r="H5498" s="4"/>
      <c r="I5498" s="4"/>
      <c r="J5498" s="4"/>
      <c r="K5498" s="102">
        <v>1</v>
      </c>
      <c r="L5498" s="102"/>
      <c r="M5498" s="22" t="b">
        <v>1</v>
      </c>
    </row>
    <row r="5499" spans="1:13" x14ac:dyDescent="0.25">
      <c r="A5499" s="102"/>
      <c r="B5499" s="102" t="s">
        <v>119</v>
      </c>
      <c r="C5499" s="4"/>
      <c r="D5499" s="102">
        <v>6197</v>
      </c>
      <c r="E5499" s="136" t="str">
        <f>INDEX([1]道具配置表!$D:$D,MATCH(D5499,[1]道具配置表!$A:$A,0))</f>
        <v>5分钟锻造加速</v>
      </c>
      <c r="F5499" s="102">
        <v>1</v>
      </c>
      <c r="G5499" s="4"/>
      <c r="H5499" s="4"/>
      <c r="I5499" s="4"/>
      <c r="J5499" s="4"/>
      <c r="K5499" s="102">
        <v>1</v>
      </c>
      <c r="L5499" s="102"/>
      <c r="M5499" s="22" t="b">
        <v>1</v>
      </c>
    </row>
    <row r="5500" spans="1:13" x14ac:dyDescent="0.25">
      <c r="A5500" s="102">
        <v>6650043</v>
      </c>
      <c r="B5500" s="102" t="s">
        <v>1159</v>
      </c>
      <c r="C5500" s="4"/>
      <c r="D5500" s="102">
        <v>3000001</v>
      </c>
      <c r="E5500" s="136" t="str">
        <f>INDEX([1]道具配置表!$D:$D,MATCH(D5500,[1]道具配置表!$A:$A,0))</f>
        <v>自走棋放置货币</v>
      </c>
      <c r="F5500" s="102">
        <v>20</v>
      </c>
      <c r="G5500" s="4"/>
      <c r="H5500" s="4"/>
      <c r="I5500" s="4"/>
      <c r="J5500" s="4"/>
      <c r="K5500" s="102">
        <v>1</v>
      </c>
      <c r="L5500" s="102"/>
      <c r="M5500" s="22" t="b">
        <v>1</v>
      </c>
    </row>
    <row r="5501" spans="1:13" x14ac:dyDescent="0.25">
      <c r="A5501" s="102"/>
      <c r="B5501" s="102" t="s">
        <v>119</v>
      </c>
      <c r="C5501" s="4"/>
      <c r="D5501" s="102">
        <v>7228</v>
      </c>
      <c r="E5501" s="136" t="str">
        <f>INDEX([1]道具配置表!$D:$D,MATCH(D5501,[1]道具配置表!$A:$A,0))</f>
        <v>经验书*10000</v>
      </c>
      <c r="F5501" s="102">
        <v>1</v>
      </c>
      <c r="G5501" s="4"/>
      <c r="H5501" s="4"/>
      <c r="I5501" s="4"/>
      <c r="J5501" s="4"/>
      <c r="K5501" s="102">
        <v>1</v>
      </c>
      <c r="L5501" s="102"/>
      <c r="M5501" s="22" t="b">
        <v>1</v>
      </c>
    </row>
    <row r="5502" spans="1:13" x14ac:dyDescent="0.25">
      <c r="A5502" s="102"/>
      <c r="B5502" s="102" t="s">
        <v>119</v>
      </c>
      <c r="C5502" s="4"/>
      <c r="D5502" s="102">
        <v>20000</v>
      </c>
      <c r="E5502" s="136" t="str">
        <f>INDEX([1]道具配置表!$D:$D,MATCH(D5502,[1]道具配置表!$A:$A,0))</f>
        <v>技能点1</v>
      </c>
      <c r="F5502" s="102">
        <v>50</v>
      </c>
      <c r="G5502" s="4"/>
      <c r="H5502" s="4"/>
      <c r="I5502" s="4"/>
      <c r="J5502" s="4"/>
      <c r="K5502" s="102">
        <v>1</v>
      </c>
      <c r="L5502" s="102"/>
      <c r="M5502" s="22" t="b">
        <v>1</v>
      </c>
    </row>
    <row r="5503" spans="1:13" x14ac:dyDescent="0.25">
      <c r="A5503" s="102"/>
      <c r="B5503" s="102" t="s">
        <v>119</v>
      </c>
      <c r="C5503" s="4"/>
      <c r="D5503" s="102">
        <v>56001</v>
      </c>
      <c r="E5503" s="136" t="str">
        <f>INDEX([1]道具配置表!$D:$D,MATCH(D5503,[1]道具配置表!$A:$A,0))</f>
        <v>锻造装备消耗材料</v>
      </c>
      <c r="F5503" s="102">
        <v>20</v>
      </c>
      <c r="G5503" s="4"/>
      <c r="H5503" s="4"/>
      <c r="I5503" s="4"/>
      <c r="J5503" s="4"/>
      <c r="K5503" s="102">
        <v>1</v>
      </c>
      <c r="L5503" s="102"/>
      <c r="M5503" s="22" t="b">
        <v>1</v>
      </c>
    </row>
    <row r="5504" spans="1:13" x14ac:dyDescent="0.25">
      <c r="A5504" s="102"/>
      <c r="B5504" s="102" t="s">
        <v>119</v>
      </c>
      <c r="C5504" s="4"/>
      <c r="D5504" s="102">
        <v>6197</v>
      </c>
      <c r="E5504" s="136" t="str">
        <f>INDEX([1]道具配置表!$D:$D,MATCH(D5504,[1]道具配置表!$A:$A,0))</f>
        <v>5分钟锻造加速</v>
      </c>
      <c r="F5504" s="102">
        <v>1</v>
      </c>
      <c r="G5504" s="4"/>
      <c r="H5504" s="4"/>
      <c r="I5504" s="4"/>
      <c r="J5504" s="4"/>
      <c r="K5504" s="102">
        <v>1</v>
      </c>
      <c r="L5504" s="102"/>
      <c r="M5504" s="22" t="b">
        <v>1</v>
      </c>
    </row>
    <row r="5505" spans="1:13" x14ac:dyDescent="0.25">
      <c r="A5505" s="102">
        <v>6650044</v>
      </c>
      <c r="B5505" s="102" t="s">
        <v>1160</v>
      </c>
      <c r="C5505" s="4"/>
      <c r="D5505" s="102">
        <v>3000001</v>
      </c>
      <c r="E5505" s="136" t="str">
        <f>INDEX([1]道具配置表!$D:$D,MATCH(D5505,[1]道具配置表!$A:$A,0))</f>
        <v>自走棋放置货币</v>
      </c>
      <c r="F5505" s="102">
        <v>20</v>
      </c>
      <c r="G5505" s="4"/>
      <c r="H5505" s="4"/>
      <c r="I5505" s="4"/>
      <c r="J5505" s="4"/>
      <c r="K5505" s="102">
        <v>1</v>
      </c>
      <c r="L5505" s="102"/>
      <c r="M5505" s="22" t="b">
        <v>1</v>
      </c>
    </row>
    <row r="5506" spans="1:13" x14ac:dyDescent="0.25">
      <c r="A5506" s="102"/>
      <c r="B5506" s="102" t="s">
        <v>119</v>
      </c>
      <c r="C5506" s="4"/>
      <c r="D5506" s="102">
        <v>7228</v>
      </c>
      <c r="E5506" s="136" t="str">
        <f>INDEX([1]道具配置表!$D:$D,MATCH(D5506,[1]道具配置表!$A:$A,0))</f>
        <v>经验书*10000</v>
      </c>
      <c r="F5506" s="102">
        <v>1</v>
      </c>
      <c r="G5506" s="4"/>
      <c r="H5506" s="4"/>
      <c r="I5506" s="4"/>
      <c r="J5506" s="4"/>
      <c r="K5506" s="102">
        <v>1</v>
      </c>
      <c r="L5506" s="102"/>
      <c r="M5506" s="22" t="b">
        <v>1</v>
      </c>
    </row>
    <row r="5507" spans="1:13" x14ac:dyDescent="0.25">
      <c r="A5507" s="102"/>
      <c r="B5507" s="102" t="s">
        <v>119</v>
      </c>
      <c r="C5507" s="4"/>
      <c r="D5507" s="102">
        <v>20000</v>
      </c>
      <c r="E5507" s="136" t="str">
        <f>INDEX([1]道具配置表!$D:$D,MATCH(D5507,[1]道具配置表!$A:$A,0))</f>
        <v>技能点1</v>
      </c>
      <c r="F5507" s="102">
        <v>50</v>
      </c>
      <c r="G5507" s="4"/>
      <c r="H5507" s="4"/>
      <c r="I5507" s="4"/>
      <c r="J5507" s="4"/>
      <c r="K5507" s="102">
        <v>1</v>
      </c>
      <c r="L5507" s="102"/>
      <c r="M5507" s="22" t="b">
        <v>1</v>
      </c>
    </row>
    <row r="5508" spans="1:13" x14ac:dyDescent="0.25">
      <c r="A5508" s="102"/>
      <c r="B5508" s="102" t="s">
        <v>119</v>
      </c>
      <c r="C5508" s="4"/>
      <c r="D5508" s="102">
        <v>56001</v>
      </c>
      <c r="E5508" s="136" t="str">
        <f>INDEX([1]道具配置表!$D:$D,MATCH(D5508,[1]道具配置表!$A:$A,0))</f>
        <v>锻造装备消耗材料</v>
      </c>
      <c r="F5508" s="102">
        <v>20</v>
      </c>
      <c r="G5508" s="4"/>
      <c r="H5508" s="4"/>
      <c r="I5508" s="4"/>
      <c r="J5508" s="4"/>
      <c r="K5508" s="102">
        <v>1</v>
      </c>
      <c r="L5508" s="102"/>
      <c r="M5508" s="22" t="b">
        <v>1</v>
      </c>
    </row>
    <row r="5509" spans="1:13" x14ac:dyDescent="0.25">
      <c r="A5509" s="102"/>
      <c r="B5509" s="102" t="s">
        <v>119</v>
      </c>
      <c r="C5509" s="4"/>
      <c r="D5509" s="102">
        <v>6197</v>
      </c>
      <c r="E5509" s="136" t="str">
        <f>INDEX([1]道具配置表!$D:$D,MATCH(D5509,[1]道具配置表!$A:$A,0))</f>
        <v>5分钟锻造加速</v>
      </c>
      <c r="F5509" s="102">
        <v>1</v>
      </c>
      <c r="G5509" s="4"/>
      <c r="H5509" s="4"/>
      <c r="I5509" s="4"/>
      <c r="J5509" s="4"/>
      <c r="K5509" s="102">
        <v>1</v>
      </c>
      <c r="L5509" s="102"/>
      <c r="M5509" s="22" t="b">
        <v>1</v>
      </c>
    </row>
    <row r="5510" spans="1:13" x14ac:dyDescent="0.25">
      <c r="A5510" s="102">
        <v>6650045</v>
      </c>
      <c r="B5510" s="102" t="s">
        <v>1161</v>
      </c>
      <c r="C5510" s="4"/>
      <c r="D5510" s="102">
        <v>56176</v>
      </c>
      <c r="E5510" s="136" t="str">
        <f>INDEX([1]道具配置表!$D:$D,MATCH(D5510,[1]道具配置表!$A:$A,0))</f>
        <v>狮纹铜盔</v>
      </c>
      <c r="F5510" s="102">
        <v>1</v>
      </c>
      <c r="G5510" s="4"/>
      <c r="H5510" s="4"/>
      <c r="I5510" s="4"/>
      <c r="J5510" s="4"/>
      <c r="K5510" s="102">
        <v>1</v>
      </c>
      <c r="L5510" s="102"/>
      <c r="M5510" s="22" t="b">
        <v>1</v>
      </c>
    </row>
    <row r="5511" spans="1:13" x14ac:dyDescent="0.25">
      <c r="A5511" s="102"/>
      <c r="B5511" s="102" t="s">
        <v>119</v>
      </c>
      <c r="C5511" s="4"/>
      <c r="D5511" s="102">
        <v>3000001</v>
      </c>
      <c r="E5511" s="136" t="str">
        <f>INDEX([1]道具配置表!$D:$D,MATCH(D5511,[1]道具配置表!$A:$A,0))</f>
        <v>自走棋放置货币</v>
      </c>
      <c r="F5511" s="102">
        <v>40</v>
      </c>
      <c r="G5511" s="4"/>
      <c r="H5511" s="4"/>
      <c r="I5511" s="4"/>
      <c r="J5511" s="4"/>
      <c r="K5511" s="102">
        <v>1</v>
      </c>
      <c r="L5511" s="102"/>
      <c r="M5511" s="22" t="b">
        <v>1</v>
      </c>
    </row>
    <row r="5512" spans="1:13" x14ac:dyDescent="0.25">
      <c r="A5512" s="102"/>
      <c r="B5512" s="102" t="s">
        <v>119</v>
      </c>
      <c r="C5512" s="4"/>
      <c r="D5512" s="102">
        <v>7228</v>
      </c>
      <c r="E5512" s="136" t="str">
        <f>INDEX([1]道具配置表!$D:$D,MATCH(D5512,[1]道具配置表!$A:$A,0))</f>
        <v>经验书*10000</v>
      </c>
      <c r="F5512" s="102">
        <v>2</v>
      </c>
      <c r="G5512" s="4"/>
      <c r="H5512" s="4"/>
      <c r="I5512" s="4"/>
      <c r="J5512" s="4"/>
      <c r="K5512" s="102">
        <v>1</v>
      </c>
      <c r="L5512" s="102"/>
      <c r="M5512" s="22" t="b">
        <v>1</v>
      </c>
    </row>
    <row r="5513" spans="1:13" x14ac:dyDescent="0.25">
      <c r="A5513" s="102"/>
      <c r="B5513" s="102" t="s">
        <v>119</v>
      </c>
      <c r="C5513" s="4"/>
      <c r="D5513" s="102">
        <v>20000</v>
      </c>
      <c r="E5513" s="136" t="str">
        <f>INDEX([1]道具配置表!$D:$D,MATCH(D5513,[1]道具配置表!$A:$A,0))</f>
        <v>技能点1</v>
      </c>
      <c r="F5513" s="102">
        <v>100</v>
      </c>
      <c r="G5513" s="4"/>
      <c r="H5513" s="4"/>
      <c r="I5513" s="4"/>
      <c r="J5513" s="4"/>
      <c r="K5513" s="102">
        <v>1</v>
      </c>
      <c r="L5513" s="102"/>
      <c r="M5513" s="22" t="b">
        <v>1</v>
      </c>
    </row>
    <row r="5514" spans="1:13" x14ac:dyDescent="0.25">
      <c r="A5514" s="102"/>
      <c r="B5514" s="102" t="s">
        <v>119</v>
      </c>
      <c r="C5514" s="4"/>
      <c r="D5514" s="102">
        <v>56001</v>
      </c>
      <c r="E5514" s="136" t="str">
        <f>INDEX([1]道具配置表!$D:$D,MATCH(D5514,[1]道具配置表!$A:$A,0))</f>
        <v>锻造装备消耗材料</v>
      </c>
      <c r="F5514" s="102">
        <v>50</v>
      </c>
      <c r="G5514" s="4"/>
      <c r="H5514" s="4"/>
      <c r="I5514" s="4"/>
      <c r="J5514" s="4"/>
      <c r="K5514" s="102">
        <v>1</v>
      </c>
      <c r="L5514" s="102"/>
      <c r="M5514" s="22" t="b">
        <v>1</v>
      </c>
    </row>
    <row r="5515" spans="1:13" x14ac:dyDescent="0.25">
      <c r="A5515" s="102"/>
      <c r="B5515" s="102" t="s">
        <v>119</v>
      </c>
      <c r="C5515" s="4"/>
      <c r="D5515" s="102">
        <v>6201</v>
      </c>
      <c r="E5515" s="136" t="str">
        <f>INDEX([1]道具配置表!$D:$D,MATCH(D5515,[1]道具配置表!$A:$A,0))</f>
        <v>60分钟锻造加速</v>
      </c>
      <c r="F5515" s="102">
        <v>1</v>
      </c>
      <c r="G5515" s="4"/>
      <c r="H5515" s="4"/>
      <c r="I5515" s="4"/>
      <c r="J5515" s="4"/>
      <c r="K5515" s="102">
        <v>1</v>
      </c>
      <c r="L5515" s="102"/>
      <c r="M5515" s="22" t="b">
        <v>1</v>
      </c>
    </row>
    <row r="5516" spans="1:13" x14ac:dyDescent="0.25">
      <c r="A5516" s="102"/>
      <c r="B5516" s="102" t="s">
        <v>119</v>
      </c>
      <c r="C5516" s="4"/>
      <c r="D5516" s="102">
        <v>56002</v>
      </c>
      <c r="E5516" s="136" t="str">
        <f>INDEX([1]道具配置表!$D:$D,MATCH(D5516,[1]道具配置表!$A:$A,0))</f>
        <v>强化装备消耗材料</v>
      </c>
      <c r="F5516" s="102">
        <v>20</v>
      </c>
      <c r="G5516" s="4"/>
      <c r="H5516" s="4"/>
      <c r="I5516" s="4"/>
      <c r="J5516" s="4"/>
      <c r="K5516" s="102">
        <v>1</v>
      </c>
      <c r="L5516" s="102"/>
      <c r="M5516" s="22" t="b">
        <v>1</v>
      </c>
    </row>
    <row r="5517" spans="1:13" x14ac:dyDescent="0.25">
      <c r="A5517" s="102">
        <v>6650046</v>
      </c>
      <c r="B5517" s="102" t="s">
        <v>1162</v>
      </c>
      <c r="C5517" s="4"/>
      <c r="D5517" s="102">
        <v>3000001</v>
      </c>
      <c r="E5517" s="136" t="str">
        <f>INDEX([1]道具配置表!$D:$D,MATCH(D5517,[1]道具配置表!$A:$A,0))</f>
        <v>自走棋放置货币</v>
      </c>
      <c r="F5517" s="102">
        <v>20</v>
      </c>
      <c r="G5517" s="4"/>
      <c r="H5517" s="4"/>
      <c r="I5517" s="4"/>
      <c r="J5517" s="4"/>
      <c r="K5517" s="102">
        <v>1</v>
      </c>
      <c r="L5517" s="102"/>
      <c r="M5517" s="22" t="b">
        <v>1</v>
      </c>
    </row>
    <row r="5518" spans="1:13" x14ac:dyDescent="0.25">
      <c r="A5518" s="102"/>
      <c r="B5518" s="102" t="s">
        <v>119</v>
      </c>
      <c r="C5518" s="4"/>
      <c r="D5518" s="102">
        <v>7228</v>
      </c>
      <c r="E5518" s="136" t="str">
        <f>INDEX([1]道具配置表!$D:$D,MATCH(D5518,[1]道具配置表!$A:$A,0))</f>
        <v>经验书*10000</v>
      </c>
      <c r="F5518" s="102">
        <v>1</v>
      </c>
      <c r="G5518" s="4"/>
      <c r="H5518" s="4"/>
      <c r="I5518" s="4"/>
      <c r="J5518" s="4"/>
      <c r="K5518" s="102">
        <v>1</v>
      </c>
      <c r="L5518" s="102"/>
      <c r="M5518" s="22" t="b">
        <v>1</v>
      </c>
    </row>
    <row r="5519" spans="1:13" x14ac:dyDescent="0.25">
      <c r="A5519" s="102"/>
      <c r="B5519" s="102" t="s">
        <v>119</v>
      </c>
      <c r="C5519" s="4"/>
      <c r="D5519" s="102">
        <v>20000</v>
      </c>
      <c r="E5519" s="136" t="str">
        <f>INDEX([1]道具配置表!$D:$D,MATCH(D5519,[1]道具配置表!$A:$A,0))</f>
        <v>技能点1</v>
      </c>
      <c r="F5519" s="102">
        <v>50</v>
      </c>
      <c r="G5519" s="4"/>
      <c r="H5519" s="4"/>
      <c r="I5519" s="4"/>
      <c r="J5519" s="4"/>
      <c r="K5519" s="102">
        <v>1</v>
      </c>
      <c r="L5519" s="102"/>
      <c r="M5519" s="22" t="b">
        <v>1</v>
      </c>
    </row>
    <row r="5520" spans="1:13" x14ac:dyDescent="0.25">
      <c r="A5520" s="102"/>
      <c r="B5520" s="102" t="s">
        <v>119</v>
      </c>
      <c r="C5520" s="4"/>
      <c r="D5520" s="102">
        <v>56001</v>
      </c>
      <c r="E5520" s="136" t="str">
        <f>INDEX([1]道具配置表!$D:$D,MATCH(D5520,[1]道具配置表!$A:$A,0))</f>
        <v>锻造装备消耗材料</v>
      </c>
      <c r="F5520" s="102">
        <v>20</v>
      </c>
      <c r="G5520" s="4"/>
      <c r="H5520" s="4"/>
      <c r="I5520" s="4"/>
      <c r="J5520" s="4"/>
      <c r="K5520" s="102">
        <v>1</v>
      </c>
      <c r="L5520" s="102"/>
      <c r="M5520" s="22" t="b">
        <v>1</v>
      </c>
    </row>
    <row r="5521" spans="1:13" x14ac:dyDescent="0.25">
      <c r="A5521" s="102"/>
      <c r="B5521" s="102" t="s">
        <v>119</v>
      </c>
      <c r="C5521" s="4"/>
      <c r="D5521" s="102">
        <v>6197</v>
      </c>
      <c r="E5521" s="136" t="str">
        <f>INDEX([1]道具配置表!$D:$D,MATCH(D5521,[1]道具配置表!$A:$A,0))</f>
        <v>5分钟锻造加速</v>
      </c>
      <c r="F5521" s="102">
        <v>1</v>
      </c>
      <c r="G5521" s="4"/>
      <c r="H5521" s="4"/>
      <c r="I5521" s="4"/>
      <c r="J5521" s="4"/>
      <c r="K5521" s="102">
        <v>1</v>
      </c>
      <c r="L5521" s="102"/>
      <c r="M5521" s="22" t="b">
        <v>1</v>
      </c>
    </row>
    <row r="5522" spans="1:13" x14ac:dyDescent="0.25">
      <c r="A5522" s="102">
        <v>6650047</v>
      </c>
      <c r="B5522" s="102" t="s">
        <v>1163</v>
      </c>
      <c r="C5522" s="4"/>
      <c r="D5522" s="102">
        <v>3000001</v>
      </c>
      <c r="E5522" s="136" t="str">
        <f>INDEX([1]道具配置表!$D:$D,MATCH(D5522,[1]道具配置表!$A:$A,0))</f>
        <v>自走棋放置货币</v>
      </c>
      <c r="F5522" s="102">
        <v>20</v>
      </c>
      <c r="G5522" s="4"/>
      <c r="H5522" s="4"/>
      <c r="I5522" s="4"/>
      <c r="J5522" s="4"/>
      <c r="K5522" s="102">
        <v>1</v>
      </c>
      <c r="L5522" s="102"/>
      <c r="M5522" s="22" t="b">
        <v>1</v>
      </c>
    </row>
    <row r="5523" spans="1:13" x14ac:dyDescent="0.25">
      <c r="A5523" s="102"/>
      <c r="B5523" s="102" t="s">
        <v>119</v>
      </c>
      <c r="C5523" s="4"/>
      <c r="D5523" s="102">
        <v>7228</v>
      </c>
      <c r="E5523" s="136" t="str">
        <f>INDEX([1]道具配置表!$D:$D,MATCH(D5523,[1]道具配置表!$A:$A,0))</f>
        <v>经验书*10000</v>
      </c>
      <c r="F5523" s="102">
        <v>1</v>
      </c>
      <c r="G5523" s="4"/>
      <c r="H5523" s="4"/>
      <c r="I5523" s="4"/>
      <c r="J5523" s="4"/>
      <c r="K5523" s="102">
        <v>1</v>
      </c>
      <c r="L5523" s="102"/>
      <c r="M5523" s="22" t="b">
        <v>1</v>
      </c>
    </row>
    <row r="5524" spans="1:13" x14ac:dyDescent="0.25">
      <c r="A5524" s="102"/>
      <c r="B5524" s="102" t="s">
        <v>119</v>
      </c>
      <c r="C5524" s="4"/>
      <c r="D5524" s="102">
        <v>20000</v>
      </c>
      <c r="E5524" s="136" t="str">
        <f>INDEX([1]道具配置表!$D:$D,MATCH(D5524,[1]道具配置表!$A:$A,0))</f>
        <v>技能点1</v>
      </c>
      <c r="F5524" s="102">
        <v>50</v>
      </c>
      <c r="G5524" s="4"/>
      <c r="H5524" s="4"/>
      <c r="I5524" s="4"/>
      <c r="J5524" s="4"/>
      <c r="K5524" s="102">
        <v>1</v>
      </c>
      <c r="L5524" s="102"/>
      <c r="M5524" s="22" t="b">
        <v>1</v>
      </c>
    </row>
    <row r="5525" spans="1:13" x14ac:dyDescent="0.25">
      <c r="A5525" s="102"/>
      <c r="B5525" s="102" t="s">
        <v>119</v>
      </c>
      <c r="C5525" s="4"/>
      <c r="D5525" s="102">
        <v>56001</v>
      </c>
      <c r="E5525" s="136" t="str">
        <f>INDEX([1]道具配置表!$D:$D,MATCH(D5525,[1]道具配置表!$A:$A,0))</f>
        <v>锻造装备消耗材料</v>
      </c>
      <c r="F5525" s="102">
        <v>20</v>
      </c>
      <c r="G5525" s="4"/>
      <c r="H5525" s="4"/>
      <c r="I5525" s="4"/>
      <c r="J5525" s="4"/>
      <c r="K5525" s="102">
        <v>1</v>
      </c>
      <c r="L5525" s="102"/>
      <c r="M5525" s="22" t="b">
        <v>1</v>
      </c>
    </row>
    <row r="5526" spans="1:13" x14ac:dyDescent="0.25">
      <c r="A5526" s="102"/>
      <c r="B5526" s="102" t="s">
        <v>119</v>
      </c>
      <c r="C5526" s="4"/>
      <c r="D5526" s="102">
        <v>6197</v>
      </c>
      <c r="E5526" s="136" t="str">
        <f>INDEX([1]道具配置表!$D:$D,MATCH(D5526,[1]道具配置表!$A:$A,0))</f>
        <v>5分钟锻造加速</v>
      </c>
      <c r="F5526" s="102">
        <v>1</v>
      </c>
      <c r="G5526" s="4"/>
      <c r="H5526" s="4"/>
      <c r="I5526" s="4"/>
      <c r="J5526" s="4"/>
      <c r="K5526" s="102">
        <v>1</v>
      </c>
      <c r="L5526" s="102"/>
      <c r="M5526" s="22" t="b">
        <v>1</v>
      </c>
    </row>
    <row r="5527" spans="1:13" x14ac:dyDescent="0.25">
      <c r="A5527" s="102">
        <v>6650048</v>
      </c>
      <c r="B5527" s="102" t="s">
        <v>1164</v>
      </c>
      <c r="C5527" s="4"/>
      <c r="D5527" s="102">
        <v>3000001</v>
      </c>
      <c r="E5527" s="136" t="str">
        <f>INDEX([1]道具配置表!$D:$D,MATCH(D5527,[1]道具配置表!$A:$A,0))</f>
        <v>自走棋放置货币</v>
      </c>
      <c r="F5527" s="102">
        <v>20</v>
      </c>
      <c r="G5527" s="4"/>
      <c r="H5527" s="4"/>
      <c r="I5527" s="4"/>
      <c r="J5527" s="4"/>
      <c r="K5527" s="102">
        <v>1</v>
      </c>
      <c r="L5527" s="102"/>
      <c r="M5527" s="22" t="b">
        <v>1</v>
      </c>
    </row>
    <row r="5528" spans="1:13" x14ac:dyDescent="0.25">
      <c r="A5528" s="102"/>
      <c r="B5528" s="102" t="s">
        <v>119</v>
      </c>
      <c r="C5528" s="4"/>
      <c r="D5528" s="102">
        <v>7228</v>
      </c>
      <c r="E5528" s="136" t="str">
        <f>INDEX([1]道具配置表!$D:$D,MATCH(D5528,[1]道具配置表!$A:$A,0))</f>
        <v>经验书*10000</v>
      </c>
      <c r="F5528" s="102">
        <v>1</v>
      </c>
      <c r="G5528" s="4"/>
      <c r="H5528" s="4"/>
      <c r="I5528" s="4"/>
      <c r="J5528" s="4"/>
      <c r="K5528" s="102">
        <v>1</v>
      </c>
      <c r="L5528" s="102"/>
      <c r="M5528" s="22" t="b">
        <v>1</v>
      </c>
    </row>
    <row r="5529" spans="1:13" x14ac:dyDescent="0.25">
      <c r="A5529" s="102"/>
      <c r="B5529" s="102" t="s">
        <v>119</v>
      </c>
      <c r="C5529" s="4"/>
      <c r="D5529" s="102">
        <v>20000</v>
      </c>
      <c r="E5529" s="136" t="str">
        <f>INDEX([1]道具配置表!$D:$D,MATCH(D5529,[1]道具配置表!$A:$A,0))</f>
        <v>技能点1</v>
      </c>
      <c r="F5529" s="102">
        <v>50</v>
      </c>
      <c r="G5529" s="4"/>
      <c r="H5529" s="4"/>
      <c r="I5529" s="4"/>
      <c r="J5529" s="4"/>
      <c r="K5529" s="102">
        <v>1</v>
      </c>
      <c r="L5529" s="102"/>
      <c r="M5529" s="22" t="b">
        <v>1</v>
      </c>
    </row>
    <row r="5530" spans="1:13" x14ac:dyDescent="0.25">
      <c r="A5530" s="102"/>
      <c r="B5530" s="102" t="s">
        <v>119</v>
      </c>
      <c r="C5530" s="4"/>
      <c r="D5530" s="102">
        <v>56001</v>
      </c>
      <c r="E5530" s="136" t="str">
        <f>INDEX([1]道具配置表!$D:$D,MATCH(D5530,[1]道具配置表!$A:$A,0))</f>
        <v>锻造装备消耗材料</v>
      </c>
      <c r="F5530" s="102">
        <v>20</v>
      </c>
      <c r="G5530" s="4"/>
      <c r="H5530" s="4"/>
      <c r="I5530" s="4"/>
      <c r="J5530" s="4"/>
      <c r="K5530" s="102">
        <v>1</v>
      </c>
      <c r="L5530" s="102"/>
      <c r="M5530" s="22" t="b">
        <v>1</v>
      </c>
    </row>
    <row r="5531" spans="1:13" x14ac:dyDescent="0.25">
      <c r="A5531" s="102"/>
      <c r="B5531" s="102" t="s">
        <v>119</v>
      </c>
      <c r="C5531" s="4"/>
      <c r="D5531" s="102">
        <v>6197</v>
      </c>
      <c r="E5531" s="136" t="str">
        <f>INDEX([1]道具配置表!$D:$D,MATCH(D5531,[1]道具配置表!$A:$A,0))</f>
        <v>5分钟锻造加速</v>
      </c>
      <c r="F5531" s="102">
        <v>1</v>
      </c>
      <c r="G5531" s="4"/>
      <c r="H5531" s="4"/>
      <c r="I5531" s="4"/>
      <c r="J5531" s="4"/>
      <c r="K5531" s="102">
        <v>1</v>
      </c>
      <c r="L5531" s="102"/>
      <c r="M5531" s="22" t="b">
        <v>1</v>
      </c>
    </row>
    <row r="5532" spans="1:13" x14ac:dyDescent="0.25">
      <c r="A5532" s="102">
        <v>6650049</v>
      </c>
      <c r="B5532" s="102" t="s">
        <v>1165</v>
      </c>
      <c r="C5532" s="4"/>
      <c r="D5532" s="102">
        <v>3000001</v>
      </c>
      <c r="E5532" s="136" t="str">
        <f>INDEX([1]道具配置表!$D:$D,MATCH(D5532,[1]道具配置表!$A:$A,0))</f>
        <v>自走棋放置货币</v>
      </c>
      <c r="F5532" s="102">
        <v>20</v>
      </c>
      <c r="G5532" s="4"/>
      <c r="H5532" s="4"/>
      <c r="I5532" s="4"/>
      <c r="J5532" s="4"/>
      <c r="K5532" s="102">
        <v>1</v>
      </c>
      <c r="L5532" s="102"/>
      <c r="M5532" s="22" t="b">
        <v>1</v>
      </c>
    </row>
    <row r="5533" spans="1:13" x14ac:dyDescent="0.25">
      <c r="A5533" s="102"/>
      <c r="B5533" s="102" t="s">
        <v>119</v>
      </c>
      <c r="C5533" s="4"/>
      <c r="D5533" s="102">
        <v>7228</v>
      </c>
      <c r="E5533" s="136" t="str">
        <f>INDEX([1]道具配置表!$D:$D,MATCH(D5533,[1]道具配置表!$A:$A,0))</f>
        <v>经验书*10000</v>
      </c>
      <c r="F5533" s="102">
        <v>1</v>
      </c>
      <c r="G5533" s="4"/>
      <c r="H5533" s="4"/>
      <c r="I5533" s="4"/>
      <c r="J5533" s="4"/>
      <c r="K5533" s="102">
        <v>1</v>
      </c>
      <c r="L5533" s="102"/>
      <c r="M5533" s="22" t="b">
        <v>1</v>
      </c>
    </row>
    <row r="5534" spans="1:13" x14ac:dyDescent="0.25">
      <c r="A5534" s="102"/>
      <c r="B5534" s="102" t="s">
        <v>119</v>
      </c>
      <c r="C5534" s="4"/>
      <c r="D5534" s="102">
        <v>20000</v>
      </c>
      <c r="E5534" s="136" t="str">
        <f>INDEX([1]道具配置表!$D:$D,MATCH(D5534,[1]道具配置表!$A:$A,0))</f>
        <v>技能点1</v>
      </c>
      <c r="F5534" s="102">
        <v>50</v>
      </c>
      <c r="G5534" s="4"/>
      <c r="H5534" s="4"/>
      <c r="I5534" s="4"/>
      <c r="J5534" s="4"/>
      <c r="K5534" s="102">
        <v>1</v>
      </c>
      <c r="L5534" s="102"/>
      <c r="M5534" s="22" t="b">
        <v>1</v>
      </c>
    </row>
    <row r="5535" spans="1:13" x14ac:dyDescent="0.25">
      <c r="A5535" s="102"/>
      <c r="B5535" s="102" t="s">
        <v>119</v>
      </c>
      <c r="C5535" s="4"/>
      <c r="D5535" s="102">
        <v>56001</v>
      </c>
      <c r="E5535" s="136" t="str">
        <f>INDEX([1]道具配置表!$D:$D,MATCH(D5535,[1]道具配置表!$A:$A,0))</f>
        <v>锻造装备消耗材料</v>
      </c>
      <c r="F5535" s="102">
        <v>20</v>
      </c>
      <c r="G5535" s="4"/>
      <c r="H5535" s="4"/>
      <c r="I5535" s="4"/>
      <c r="J5535" s="4"/>
      <c r="K5535" s="102">
        <v>1</v>
      </c>
      <c r="L5535" s="102"/>
      <c r="M5535" s="22" t="b">
        <v>1</v>
      </c>
    </row>
    <row r="5536" spans="1:13" x14ac:dyDescent="0.25">
      <c r="A5536" s="102"/>
      <c r="B5536" s="102" t="s">
        <v>119</v>
      </c>
      <c r="C5536" s="4"/>
      <c r="D5536" s="102">
        <v>6197</v>
      </c>
      <c r="E5536" s="136" t="str">
        <f>INDEX([1]道具配置表!$D:$D,MATCH(D5536,[1]道具配置表!$A:$A,0))</f>
        <v>5分钟锻造加速</v>
      </c>
      <c r="F5536" s="102">
        <v>1</v>
      </c>
      <c r="G5536" s="4"/>
      <c r="H5536" s="4"/>
      <c r="I5536" s="4"/>
      <c r="J5536" s="4"/>
      <c r="K5536" s="102">
        <v>1</v>
      </c>
      <c r="L5536" s="102"/>
      <c r="M5536" s="22" t="b">
        <v>1</v>
      </c>
    </row>
    <row r="5537" spans="1:13" x14ac:dyDescent="0.25">
      <c r="A5537" s="102">
        <v>6650050</v>
      </c>
      <c r="B5537" s="102" t="s">
        <v>1166</v>
      </c>
      <c r="C5537" s="4"/>
      <c r="D5537" s="102">
        <v>56188</v>
      </c>
      <c r="E5537" s="136" t="str">
        <f>INDEX([1]道具配置表!$D:$D,MATCH(D5537,[1]道具配置表!$A:$A,0))</f>
        <v>翎羽头盔</v>
      </c>
      <c r="F5537" s="102">
        <v>1</v>
      </c>
      <c r="G5537" s="4"/>
      <c r="H5537" s="4"/>
      <c r="I5537" s="4"/>
      <c r="J5537" s="4"/>
      <c r="K5537" s="102">
        <v>1</v>
      </c>
      <c r="L5537" s="102"/>
      <c r="M5537" s="22" t="b">
        <v>1</v>
      </c>
    </row>
    <row r="5538" spans="1:13" x14ac:dyDescent="0.25">
      <c r="A5538" s="102"/>
      <c r="B5538" s="102" t="s">
        <v>119</v>
      </c>
      <c r="C5538" s="4"/>
      <c r="D5538" s="102">
        <v>3000001</v>
      </c>
      <c r="E5538" s="136" t="str">
        <f>INDEX([1]道具配置表!$D:$D,MATCH(D5538,[1]道具配置表!$A:$A,0))</f>
        <v>自走棋放置货币</v>
      </c>
      <c r="F5538" s="102">
        <v>40</v>
      </c>
      <c r="G5538" s="4"/>
      <c r="H5538" s="4"/>
      <c r="I5538" s="4"/>
      <c r="J5538" s="4"/>
      <c r="K5538" s="102">
        <v>1</v>
      </c>
      <c r="L5538" s="102"/>
      <c r="M5538" s="22" t="b">
        <v>1</v>
      </c>
    </row>
    <row r="5539" spans="1:13" x14ac:dyDescent="0.25">
      <c r="A5539" s="102"/>
      <c r="B5539" s="102" t="s">
        <v>119</v>
      </c>
      <c r="C5539" s="4"/>
      <c r="D5539" s="102">
        <v>7228</v>
      </c>
      <c r="E5539" s="136" t="str">
        <f>INDEX([1]道具配置表!$D:$D,MATCH(D5539,[1]道具配置表!$A:$A,0))</f>
        <v>经验书*10000</v>
      </c>
      <c r="F5539" s="102">
        <v>2</v>
      </c>
      <c r="G5539" s="4"/>
      <c r="H5539" s="4"/>
      <c r="I5539" s="4"/>
      <c r="J5539" s="4"/>
      <c r="K5539" s="102">
        <v>1</v>
      </c>
      <c r="L5539" s="102"/>
      <c r="M5539" s="22" t="b">
        <v>1</v>
      </c>
    </row>
    <row r="5540" spans="1:13" x14ac:dyDescent="0.25">
      <c r="A5540" s="102"/>
      <c r="B5540" s="102" t="s">
        <v>119</v>
      </c>
      <c r="C5540" s="4"/>
      <c r="D5540" s="102">
        <v>20000</v>
      </c>
      <c r="E5540" s="136" t="str">
        <f>INDEX([1]道具配置表!$D:$D,MATCH(D5540,[1]道具配置表!$A:$A,0))</f>
        <v>技能点1</v>
      </c>
      <c r="F5540" s="102">
        <v>100</v>
      </c>
      <c r="G5540" s="4"/>
      <c r="H5540" s="4"/>
      <c r="I5540" s="4"/>
      <c r="J5540" s="4"/>
      <c r="K5540" s="102">
        <v>1</v>
      </c>
      <c r="L5540" s="102"/>
      <c r="M5540" s="22" t="b">
        <v>1</v>
      </c>
    </row>
    <row r="5541" spans="1:13" x14ac:dyDescent="0.25">
      <c r="A5541" s="102"/>
      <c r="B5541" s="102" t="s">
        <v>119</v>
      </c>
      <c r="C5541" s="4"/>
      <c r="D5541" s="102">
        <v>56001</v>
      </c>
      <c r="E5541" s="136" t="str">
        <f>INDEX([1]道具配置表!$D:$D,MATCH(D5541,[1]道具配置表!$A:$A,0))</f>
        <v>锻造装备消耗材料</v>
      </c>
      <c r="F5541" s="102">
        <v>50</v>
      </c>
      <c r="G5541" s="4"/>
      <c r="H5541" s="4"/>
      <c r="I5541" s="4"/>
      <c r="J5541" s="4"/>
      <c r="K5541" s="102">
        <v>1</v>
      </c>
      <c r="L5541" s="102"/>
      <c r="M5541" s="22" t="b">
        <v>1</v>
      </c>
    </row>
    <row r="5542" spans="1:13" x14ac:dyDescent="0.25">
      <c r="A5542" s="102"/>
      <c r="B5542" s="102" t="s">
        <v>119</v>
      </c>
      <c r="C5542" s="4"/>
      <c r="D5542" s="102">
        <v>6201</v>
      </c>
      <c r="E5542" s="136" t="str">
        <f>INDEX([1]道具配置表!$D:$D,MATCH(D5542,[1]道具配置表!$A:$A,0))</f>
        <v>60分钟锻造加速</v>
      </c>
      <c r="F5542" s="102">
        <v>1</v>
      </c>
      <c r="G5542" s="4"/>
      <c r="H5542" s="4"/>
      <c r="I5542" s="4"/>
      <c r="J5542" s="4"/>
      <c r="K5542" s="102">
        <v>1</v>
      </c>
      <c r="L5542" s="102"/>
      <c r="M5542" s="22" t="b">
        <v>1</v>
      </c>
    </row>
    <row r="5543" spans="1:13" x14ac:dyDescent="0.25">
      <c r="A5543" s="102"/>
      <c r="B5543" s="102" t="s">
        <v>119</v>
      </c>
      <c r="C5543" s="4"/>
      <c r="D5543" s="102">
        <v>56002</v>
      </c>
      <c r="E5543" s="136" t="str">
        <f>INDEX([1]道具配置表!$D:$D,MATCH(D5543,[1]道具配置表!$A:$A,0))</f>
        <v>强化装备消耗材料</v>
      </c>
      <c r="F5543" s="102">
        <v>20</v>
      </c>
      <c r="G5543" s="4"/>
      <c r="H5543" s="4"/>
      <c r="I5543" s="4"/>
      <c r="J5543" s="4"/>
      <c r="K5543" s="102">
        <v>1</v>
      </c>
      <c r="L5543" s="102"/>
      <c r="M5543" s="22" t="b">
        <v>1</v>
      </c>
    </row>
    <row r="5544" spans="1:13" x14ac:dyDescent="0.25">
      <c r="A5544" s="102">
        <v>6650051</v>
      </c>
      <c r="B5544" s="102" t="s">
        <v>1167</v>
      </c>
      <c r="C5544" s="4"/>
      <c r="D5544" s="102">
        <v>3000001</v>
      </c>
      <c r="E5544" s="136" t="str">
        <f>INDEX([1]道具配置表!$D:$D,MATCH(D5544,[1]道具配置表!$A:$A,0))</f>
        <v>自走棋放置货币</v>
      </c>
      <c r="F5544" s="102">
        <v>20</v>
      </c>
      <c r="G5544" s="4"/>
      <c r="H5544" s="4"/>
      <c r="I5544" s="4"/>
      <c r="J5544" s="4"/>
      <c r="K5544" s="102">
        <v>1</v>
      </c>
      <c r="L5544" s="102"/>
      <c r="M5544" s="22" t="b">
        <v>1</v>
      </c>
    </row>
    <row r="5545" spans="1:13" x14ac:dyDescent="0.25">
      <c r="A5545" s="102"/>
      <c r="B5545" s="102" t="s">
        <v>119</v>
      </c>
      <c r="C5545" s="4"/>
      <c r="D5545" s="102">
        <v>7228</v>
      </c>
      <c r="E5545" s="136" t="str">
        <f>INDEX([1]道具配置表!$D:$D,MATCH(D5545,[1]道具配置表!$A:$A,0))</f>
        <v>经验书*10000</v>
      </c>
      <c r="F5545" s="102">
        <v>1</v>
      </c>
      <c r="G5545" s="4"/>
      <c r="H5545" s="4"/>
      <c r="I5545" s="4"/>
      <c r="J5545" s="4"/>
      <c r="K5545" s="102">
        <v>1</v>
      </c>
      <c r="L5545" s="102"/>
      <c r="M5545" s="22" t="b">
        <v>1</v>
      </c>
    </row>
    <row r="5546" spans="1:13" x14ac:dyDescent="0.25">
      <c r="A5546" s="102"/>
      <c r="B5546" s="102" t="s">
        <v>119</v>
      </c>
      <c r="C5546" s="4"/>
      <c r="D5546" s="102">
        <v>20000</v>
      </c>
      <c r="E5546" s="136" t="str">
        <f>INDEX([1]道具配置表!$D:$D,MATCH(D5546,[1]道具配置表!$A:$A,0))</f>
        <v>技能点1</v>
      </c>
      <c r="F5546" s="102">
        <v>50</v>
      </c>
      <c r="G5546" s="4"/>
      <c r="H5546" s="4"/>
      <c r="I5546" s="4"/>
      <c r="J5546" s="4"/>
      <c r="K5546" s="102">
        <v>1</v>
      </c>
      <c r="L5546" s="102"/>
      <c r="M5546" s="22" t="b">
        <v>1</v>
      </c>
    </row>
    <row r="5547" spans="1:13" x14ac:dyDescent="0.25">
      <c r="A5547" s="102"/>
      <c r="B5547" s="102" t="s">
        <v>119</v>
      </c>
      <c r="C5547" s="4"/>
      <c r="D5547" s="102">
        <v>56001</v>
      </c>
      <c r="E5547" s="136" t="str">
        <f>INDEX([1]道具配置表!$D:$D,MATCH(D5547,[1]道具配置表!$A:$A,0))</f>
        <v>锻造装备消耗材料</v>
      </c>
      <c r="F5547" s="102">
        <v>20</v>
      </c>
      <c r="G5547" s="4"/>
      <c r="H5547" s="4"/>
      <c r="I5547" s="4"/>
      <c r="J5547" s="4"/>
      <c r="K5547" s="102">
        <v>1</v>
      </c>
      <c r="L5547" s="102"/>
      <c r="M5547" s="22" t="b">
        <v>1</v>
      </c>
    </row>
    <row r="5548" spans="1:13" x14ac:dyDescent="0.25">
      <c r="A5548" s="102"/>
      <c r="B5548" s="102" t="s">
        <v>119</v>
      </c>
      <c r="C5548" s="4"/>
      <c r="D5548" s="102">
        <v>6197</v>
      </c>
      <c r="E5548" s="136" t="str">
        <f>INDEX([1]道具配置表!$D:$D,MATCH(D5548,[1]道具配置表!$A:$A,0))</f>
        <v>5分钟锻造加速</v>
      </c>
      <c r="F5548" s="102">
        <v>1</v>
      </c>
      <c r="G5548" s="4"/>
      <c r="H5548" s="4"/>
      <c r="I5548" s="4"/>
      <c r="J5548" s="4"/>
      <c r="K5548" s="102">
        <v>1</v>
      </c>
      <c r="L5548" s="102"/>
      <c r="M5548" s="22" t="b">
        <v>1</v>
      </c>
    </row>
    <row r="5549" spans="1:13" x14ac:dyDescent="0.25">
      <c r="A5549" s="102">
        <v>6650052</v>
      </c>
      <c r="B5549" s="102" t="s">
        <v>1168</v>
      </c>
      <c r="C5549" s="102"/>
      <c r="D5549" s="102">
        <v>3000001</v>
      </c>
      <c r="E5549" s="136" t="str">
        <f>INDEX([1]道具配置表!$D:$D,MATCH(D5549,[1]道具配置表!$A:$A,0))</f>
        <v>自走棋放置货币</v>
      </c>
      <c r="F5549" s="102">
        <v>20</v>
      </c>
      <c r="G5549" s="102"/>
      <c r="H5549" s="102"/>
      <c r="I5549" s="102"/>
      <c r="J5549" s="102"/>
      <c r="K5549" s="102">
        <v>1</v>
      </c>
      <c r="L5549" s="102"/>
      <c r="M5549" s="22" t="b">
        <v>1</v>
      </c>
    </row>
    <row r="5550" spans="1:13" x14ac:dyDescent="0.25">
      <c r="A5550" s="102"/>
      <c r="B5550" s="102" t="s">
        <v>119</v>
      </c>
      <c r="C5550" s="102"/>
      <c r="D5550" s="102">
        <v>7228</v>
      </c>
      <c r="E5550" s="136" t="str">
        <f>INDEX([1]道具配置表!$D:$D,MATCH(D5550,[1]道具配置表!$A:$A,0))</f>
        <v>经验书*10000</v>
      </c>
      <c r="F5550" s="102">
        <v>1</v>
      </c>
      <c r="G5550" s="102"/>
      <c r="H5550" s="102"/>
      <c r="I5550" s="102"/>
      <c r="J5550" s="102"/>
      <c r="K5550" s="102">
        <v>1</v>
      </c>
      <c r="L5550" s="102"/>
      <c r="M5550" s="22" t="b">
        <v>1</v>
      </c>
    </row>
    <row r="5551" spans="1:13" x14ac:dyDescent="0.25">
      <c r="A5551" s="102"/>
      <c r="B5551" s="102" t="s">
        <v>119</v>
      </c>
      <c r="C5551" s="102"/>
      <c r="D5551" s="102">
        <v>20000</v>
      </c>
      <c r="E5551" s="136" t="str">
        <f>INDEX([1]道具配置表!$D:$D,MATCH(D5551,[1]道具配置表!$A:$A,0))</f>
        <v>技能点1</v>
      </c>
      <c r="F5551" s="102">
        <v>50</v>
      </c>
      <c r="G5551" s="102"/>
      <c r="H5551" s="102"/>
      <c r="I5551" s="102"/>
      <c r="J5551" s="102"/>
      <c r="K5551" s="102">
        <v>1</v>
      </c>
      <c r="L5551" s="102"/>
      <c r="M5551" s="22" t="b">
        <v>1</v>
      </c>
    </row>
    <row r="5552" spans="1:13" x14ac:dyDescent="0.25">
      <c r="A5552" s="102"/>
      <c r="B5552" s="102" t="s">
        <v>119</v>
      </c>
      <c r="C5552" s="102"/>
      <c r="D5552" s="102">
        <v>56001</v>
      </c>
      <c r="E5552" s="136" t="str">
        <f>INDEX([1]道具配置表!$D:$D,MATCH(D5552,[1]道具配置表!$A:$A,0))</f>
        <v>锻造装备消耗材料</v>
      </c>
      <c r="F5552" s="102">
        <v>20</v>
      </c>
      <c r="G5552" s="102"/>
      <c r="H5552" s="102"/>
      <c r="I5552" s="102"/>
      <c r="J5552" s="102"/>
      <c r="K5552" s="102">
        <v>1</v>
      </c>
      <c r="L5552" s="102"/>
      <c r="M5552" s="22" t="b">
        <v>1</v>
      </c>
    </row>
    <row r="5553" spans="1:13" x14ac:dyDescent="0.25">
      <c r="A5553" s="102"/>
      <c r="B5553" s="102" t="s">
        <v>119</v>
      </c>
      <c r="C5553" s="102"/>
      <c r="D5553" s="102">
        <v>6197</v>
      </c>
      <c r="E5553" s="136" t="str">
        <f>INDEX([1]道具配置表!$D:$D,MATCH(D5553,[1]道具配置表!$A:$A,0))</f>
        <v>5分钟锻造加速</v>
      </c>
      <c r="F5553" s="102">
        <v>1</v>
      </c>
      <c r="G5553" s="102"/>
      <c r="H5553" s="102"/>
      <c r="I5553" s="102"/>
      <c r="J5553" s="102"/>
      <c r="K5553" s="102">
        <v>1</v>
      </c>
      <c r="L5553" s="102"/>
      <c r="M5553" s="22" t="b">
        <v>1</v>
      </c>
    </row>
    <row r="5554" spans="1:13" x14ac:dyDescent="0.25">
      <c r="A5554" s="102">
        <v>6650053</v>
      </c>
      <c r="B5554" s="102" t="s">
        <v>1169</v>
      </c>
      <c r="C5554" s="102"/>
      <c r="D5554" s="102">
        <v>3000001</v>
      </c>
      <c r="E5554" s="136" t="str">
        <f>INDEX([1]道具配置表!$D:$D,MATCH(D5554,[1]道具配置表!$A:$A,0))</f>
        <v>自走棋放置货币</v>
      </c>
      <c r="F5554" s="102">
        <v>20</v>
      </c>
      <c r="G5554" s="102"/>
      <c r="H5554" s="102"/>
      <c r="I5554" s="102"/>
      <c r="J5554" s="102"/>
      <c r="K5554" s="102">
        <v>1</v>
      </c>
      <c r="L5554" s="102"/>
      <c r="M5554" s="22" t="b">
        <v>1</v>
      </c>
    </row>
    <row r="5555" spans="1:13" x14ac:dyDescent="0.25">
      <c r="A5555" s="102"/>
      <c r="B5555" s="102" t="s">
        <v>119</v>
      </c>
      <c r="C5555" s="102"/>
      <c r="D5555" s="102">
        <v>7228</v>
      </c>
      <c r="E5555" s="136" t="str">
        <f>INDEX([1]道具配置表!$D:$D,MATCH(D5555,[1]道具配置表!$A:$A,0))</f>
        <v>经验书*10000</v>
      </c>
      <c r="F5555" s="102">
        <v>1</v>
      </c>
      <c r="G5555" s="102"/>
      <c r="H5555" s="102"/>
      <c r="I5555" s="102"/>
      <c r="J5555" s="102"/>
      <c r="K5555" s="102">
        <v>1</v>
      </c>
      <c r="L5555" s="102"/>
      <c r="M5555" s="22" t="b">
        <v>1</v>
      </c>
    </row>
    <row r="5556" spans="1:13" x14ac:dyDescent="0.25">
      <c r="A5556" s="102"/>
      <c r="B5556" s="102" t="s">
        <v>119</v>
      </c>
      <c r="C5556" s="102"/>
      <c r="D5556" s="102">
        <v>20000</v>
      </c>
      <c r="E5556" s="136" t="str">
        <f>INDEX([1]道具配置表!$D:$D,MATCH(D5556,[1]道具配置表!$A:$A,0))</f>
        <v>技能点1</v>
      </c>
      <c r="F5556" s="102">
        <v>50</v>
      </c>
      <c r="G5556" s="102"/>
      <c r="H5556" s="102"/>
      <c r="I5556" s="102"/>
      <c r="J5556" s="102"/>
      <c r="K5556" s="102">
        <v>1</v>
      </c>
      <c r="L5556" s="102"/>
      <c r="M5556" s="22" t="b">
        <v>1</v>
      </c>
    </row>
    <row r="5557" spans="1:13" x14ac:dyDescent="0.25">
      <c r="A5557" s="102"/>
      <c r="B5557" s="102" t="s">
        <v>119</v>
      </c>
      <c r="C5557" s="102"/>
      <c r="D5557" s="102">
        <v>56001</v>
      </c>
      <c r="E5557" s="136" t="str">
        <f>INDEX([1]道具配置表!$D:$D,MATCH(D5557,[1]道具配置表!$A:$A,0))</f>
        <v>锻造装备消耗材料</v>
      </c>
      <c r="F5557" s="102">
        <v>20</v>
      </c>
      <c r="G5557" s="102"/>
      <c r="H5557" s="102"/>
      <c r="I5557" s="102"/>
      <c r="J5557" s="102"/>
      <c r="K5557" s="102">
        <v>1</v>
      </c>
      <c r="L5557" s="102"/>
      <c r="M5557" s="22" t="b">
        <v>1</v>
      </c>
    </row>
    <row r="5558" spans="1:13" x14ac:dyDescent="0.25">
      <c r="A5558" s="102"/>
      <c r="B5558" s="102" t="s">
        <v>119</v>
      </c>
      <c r="C5558" s="102"/>
      <c r="D5558" s="102">
        <v>6197</v>
      </c>
      <c r="E5558" s="136" t="str">
        <f>INDEX([1]道具配置表!$D:$D,MATCH(D5558,[1]道具配置表!$A:$A,0))</f>
        <v>5分钟锻造加速</v>
      </c>
      <c r="F5558" s="102">
        <v>1</v>
      </c>
      <c r="G5558" s="102"/>
      <c r="H5558" s="102"/>
      <c r="I5558" s="102"/>
      <c r="J5558" s="102"/>
      <c r="K5558" s="102">
        <v>1</v>
      </c>
      <c r="L5558" s="102"/>
      <c r="M5558" s="22" t="b">
        <v>1</v>
      </c>
    </row>
    <row r="5559" spans="1:13" x14ac:dyDescent="0.25">
      <c r="A5559" s="102">
        <v>6650054</v>
      </c>
      <c r="B5559" s="102" t="s">
        <v>1170</v>
      </c>
      <c r="C5559" s="102"/>
      <c r="D5559" s="102">
        <v>3000001</v>
      </c>
      <c r="E5559" s="136" t="str">
        <f>INDEX([1]道具配置表!$D:$D,MATCH(D5559,[1]道具配置表!$A:$A,0))</f>
        <v>自走棋放置货币</v>
      </c>
      <c r="F5559" s="102">
        <v>20</v>
      </c>
      <c r="G5559" s="102"/>
      <c r="H5559" s="102"/>
      <c r="I5559" s="102"/>
      <c r="J5559" s="102"/>
      <c r="K5559" s="102">
        <v>1</v>
      </c>
      <c r="L5559" s="102"/>
      <c r="M5559" s="22" t="b">
        <v>1</v>
      </c>
    </row>
    <row r="5560" spans="1:13" x14ac:dyDescent="0.25">
      <c r="A5560" s="102"/>
      <c r="B5560" s="102" t="s">
        <v>119</v>
      </c>
      <c r="C5560" s="102"/>
      <c r="D5560" s="102">
        <v>7228</v>
      </c>
      <c r="E5560" s="136" t="str">
        <f>INDEX([1]道具配置表!$D:$D,MATCH(D5560,[1]道具配置表!$A:$A,0))</f>
        <v>经验书*10000</v>
      </c>
      <c r="F5560" s="102">
        <v>1</v>
      </c>
      <c r="G5560" s="102"/>
      <c r="H5560" s="102"/>
      <c r="I5560" s="102"/>
      <c r="J5560" s="102"/>
      <c r="K5560" s="102">
        <v>1</v>
      </c>
      <c r="L5560" s="102"/>
      <c r="M5560" s="22" t="b">
        <v>1</v>
      </c>
    </row>
    <row r="5561" spans="1:13" x14ac:dyDescent="0.25">
      <c r="A5561" s="102"/>
      <c r="B5561" s="102" t="s">
        <v>119</v>
      </c>
      <c r="C5561" s="102"/>
      <c r="D5561" s="102">
        <v>20000</v>
      </c>
      <c r="E5561" s="136" t="str">
        <f>INDEX([1]道具配置表!$D:$D,MATCH(D5561,[1]道具配置表!$A:$A,0))</f>
        <v>技能点1</v>
      </c>
      <c r="F5561" s="102">
        <v>50</v>
      </c>
      <c r="G5561" s="102"/>
      <c r="H5561" s="102"/>
      <c r="I5561" s="102"/>
      <c r="J5561" s="102"/>
      <c r="K5561" s="102">
        <v>1</v>
      </c>
      <c r="L5561" s="102"/>
      <c r="M5561" s="22" t="b">
        <v>1</v>
      </c>
    </row>
    <row r="5562" spans="1:13" x14ac:dyDescent="0.25">
      <c r="A5562" s="102"/>
      <c r="B5562" s="102" t="s">
        <v>119</v>
      </c>
      <c r="C5562" s="102"/>
      <c r="D5562" s="102">
        <v>56001</v>
      </c>
      <c r="E5562" s="136" t="str">
        <f>INDEX([1]道具配置表!$D:$D,MATCH(D5562,[1]道具配置表!$A:$A,0))</f>
        <v>锻造装备消耗材料</v>
      </c>
      <c r="F5562" s="102">
        <v>20</v>
      </c>
      <c r="G5562" s="102"/>
      <c r="H5562" s="102"/>
      <c r="I5562" s="102"/>
      <c r="J5562" s="102"/>
      <c r="K5562" s="102">
        <v>1</v>
      </c>
      <c r="L5562" s="102"/>
      <c r="M5562" s="22" t="b">
        <v>1</v>
      </c>
    </row>
    <row r="5563" spans="1:13" x14ac:dyDescent="0.25">
      <c r="A5563" s="102"/>
      <c r="B5563" s="102" t="s">
        <v>119</v>
      </c>
      <c r="C5563" s="102"/>
      <c r="D5563" s="102">
        <v>6197</v>
      </c>
      <c r="E5563" s="136" t="str">
        <f>INDEX([1]道具配置表!$D:$D,MATCH(D5563,[1]道具配置表!$A:$A,0))</f>
        <v>5分钟锻造加速</v>
      </c>
      <c r="F5563" s="102">
        <v>1</v>
      </c>
      <c r="G5563" s="102"/>
      <c r="H5563" s="102"/>
      <c r="I5563" s="102"/>
      <c r="J5563" s="102"/>
      <c r="K5563" s="102">
        <v>1</v>
      </c>
      <c r="L5563" s="102"/>
      <c r="M5563" s="22" t="b">
        <v>1</v>
      </c>
    </row>
    <row r="5564" spans="1:13" x14ac:dyDescent="0.25">
      <c r="A5564" s="102">
        <v>6650055</v>
      </c>
      <c r="B5564" s="102" t="s">
        <v>1171</v>
      </c>
      <c r="C5564" s="102"/>
      <c r="D5564" s="102">
        <v>56153</v>
      </c>
      <c r="E5564" s="136" t="str">
        <f>INDEX([1]道具配置表!$D:$D,MATCH(D5564,[1]道具配置表!$A:$A,0))</f>
        <v>星纹护手</v>
      </c>
      <c r="F5564" s="102">
        <v>1</v>
      </c>
      <c r="G5564" s="102"/>
      <c r="H5564" s="102"/>
      <c r="I5564" s="102"/>
      <c r="J5564" s="102"/>
      <c r="K5564" s="102">
        <v>1</v>
      </c>
      <c r="L5564" s="102"/>
      <c r="M5564" s="22" t="b">
        <v>1</v>
      </c>
    </row>
    <row r="5565" spans="1:13" x14ac:dyDescent="0.25">
      <c r="A5565" s="102"/>
      <c r="B5565" s="102" t="s">
        <v>119</v>
      </c>
      <c r="C5565" s="102"/>
      <c r="D5565" s="102">
        <v>3000001</v>
      </c>
      <c r="E5565" s="136" t="str">
        <f>INDEX([1]道具配置表!$D:$D,MATCH(D5565,[1]道具配置表!$A:$A,0))</f>
        <v>自走棋放置货币</v>
      </c>
      <c r="F5565" s="102">
        <v>40</v>
      </c>
      <c r="G5565" s="102"/>
      <c r="H5565" s="102"/>
      <c r="I5565" s="102"/>
      <c r="J5565" s="102"/>
      <c r="K5565" s="102">
        <v>1</v>
      </c>
      <c r="L5565" s="102"/>
      <c r="M5565" s="22" t="b">
        <v>1</v>
      </c>
    </row>
    <row r="5566" spans="1:13" x14ac:dyDescent="0.25">
      <c r="A5566" s="102"/>
      <c r="B5566" s="102" t="s">
        <v>119</v>
      </c>
      <c r="C5566" s="102"/>
      <c r="D5566" s="102">
        <v>7228</v>
      </c>
      <c r="E5566" s="136" t="str">
        <f>INDEX([1]道具配置表!$D:$D,MATCH(D5566,[1]道具配置表!$A:$A,0))</f>
        <v>经验书*10000</v>
      </c>
      <c r="F5566" s="102">
        <v>2</v>
      </c>
      <c r="G5566" s="102"/>
      <c r="H5566" s="102"/>
      <c r="I5566" s="102"/>
      <c r="J5566" s="102"/>
      <c r="K5566" s="102">
        <v>1</v>
      </c>
      <c r="L5566" s="102"/>
      <c r="M5566" s="22" t="b">
        <v>1</v>
      </c>
    </row>
    <row r="5567" spans="1:13" x14ac:dyDescent="0.25">
      <c r="A5567" s="102"/>
      <c r="B5567" s="102" t="s">
        <v>119</v>
      </c>
      <c r="C5567" s="102"/>
      <c r="D5567" s="102">
        <v>20000</v>
      </c>
      <c r="E5567" s="136" t="str">
        <f>INDEX([1]道具配置表!$D:$D,MATCH(D5567,[1]道具配置表!$A:$A,0))</f>
        <v>技能点1</v>
      </c>
      <c r="F5567" s="102">
        <v>100</v>
      </c>
      <c r="G5567" s="102"/>
      <c r="H5567" s="102"/>
      <c r="I5567" s="102"/>
      <c r="J5567" s="102"/>
      <c r="K5567" s="102">
        <v>1</v>
      </c>
      <c r="L5567" s="102"/>
      <c r="M5567" s="22" t="b">
        <v>1</v>
      </c>
    </row>
    <row r="5568" spans="1:13" x14ac:dyDescent="0.25">
      <c r="A5568" s="102"/>
      <c r="B5568" s="102" t="s">
        <v>119</v>
      </c>
      <c r="C5568" s="102"/>
      <c r="D5568" s="102">
        <v>56001</v>
      </c>
      <c r="E5568" s="136" t="str">
        <f>INDEX([1]道具配置表!$D:$D,MATCH(D5568,[1]道具配置表!$A:$A,0))</f>
        <v>锻造装备消耗材料</v>
      </c>
      <c r="F5568" s="102">
        <v>50</v>
      </c>
      <c r="G5568" s="102"/>
      <c r="H5568" s="102"/>
      <c r="I5568" s="102"/>
      <c r="J5568" s="102"/>
      <c r="K5568" s="102">
        <v>1</v>
      </c>
      <c r="L5568" s="102"/>
      <c r="M5568" s="22" t="b">
        <v>1</v>
      </c>
    </row>
    <row r="5569" spans="1:13" x14ac:dyDescent="0.25">
      <c r="A5569" s="102"/>
      <c r="B5569" s="102" t="s">
        <v>119</v>
      </c>
      <c r="C5569" s="102"/>
      <c r="D5569" s="102">
        <v>6201</v>
      </c>
      <c r="E5569" s="136" t="str">
        <f>INDEX([1]道具配置表!$D:$D,MATCH(D5569,[1]道具配置表!$A:$A,0))</f>
        <v>60分钟锻造加速</v>
      </c>
      <c r="F5569" s="102">
        <v>1</v>
      </c>
      <c r="G5569" s="102"/>
      <c r="H5569" s="102"/>
      <c r="I5569" s="102"/>
      <c r="J5569" s="102"/>
      <c r="K5569" s="102">
        <v>1</v>
      </c>
      <c r="L5569" s="102"/>
      <c r="M5569" s="22" t="b">
        <v>1</v>
      </c>
    </row>
    <row r="5570" spans="1:13" x14ac:dyDescent="0.25">
      <c r="A5570" s="102"/>
      <c r="B5570" s="102" t="s">
        <v>119</v>
      </c>
      <c r="C5570" s="102"/>
      <c r="D5570" s="102">
        <v>56002</v>
      </c>
      <c r="E5570" s="136" t="str">
        <f>INDEX([1]道具配置表!$D:$D,MATCH(D5570,[1]道具配置表!$A:$A,0))</f>
        <v>强化装备消耗材料</v>
      </c>
      <c r="F5570" s="102">
        <v>20</v>
      </c>
      <c r="G5570" s="102"/>
      <c r="H5570" s="102"/>
      <c r="I5570" s="102"/>
      <c r="J5570" s="102"/>
      <c r="K5570" s="102">
        <v>1</v>
      </c>
      <c r="L5570" s="102"/>
      <c r="M5570" s="22" t="b">
        <v>1</v>
      </c>
    </row>
    <row r="5571" spans="1:13" x14ac:dyDescent="0.25">
      <c r="A5571" s="102">
        <v>6650056</v>
      </c>
      <c r="B5571" s="102" t="s">
        <v>1172</v>
      </c>
      <c r="C5571" s="102"/>
      <c r="D5571" s="102">
        <v>3000001</v>
      </c>
      <c r="E5571" s="136" t="str">
        <f>INDEX([1]道具配置表!$D:$D,MATCH(D5571,[1]道具配置表!$A:$A,0))</f>
        <v>自走棋放置货币</v>
      </c>
      <c r="F5571" s="102">
        <v>20</v>
      </c>
      <c r="G5571" s="102"/>
      <c r="H5571" s="102"/>
      <c r="I5571" s="102"/>
      <c r="J5571" s="102"/>
      <c r="K5571" s="102">
        <v>1</v>
      </c>
      <c r="L5571" s="102"/>
      <c r="M5571" s="22" t="b">
        <v>1</v>
      </c>
    </row>
    <row r="5572" spans="1:13" x14ac:dyDescent="0.25">
      <c r="A5572" s="102"/>
      <c r="B5572" s="102" t="s">
        <v>119</v>
      </c>
      <c r="C5572" s="102"/>
      <c r="D5572" s="102">
        <v>7228</v>
      </c>
      <c r="E5572" s="136" t="str">
        <f>INDEX([1]道具配置表!$D:$D,MATCH(D5572,[1]道具配置表!$A:$A,0))</f>
        <v>经验书*10000</v>
      </c>
      <c r="F5572" s="102">
        <v>1</v>
      </c>
      <c r="G5572" s="102"/>
      <c r="H5572" s="102"/>
      <c r="I5572" s="102"/>
      <c r="J5572" s="102"/>
      <c r="K5572" s="102">
        <v>1</v>
      </c>
      <c r="L5572" s="102"/>
      <c r="M5572" s="22" t="b">
        <v>1</v>
      </c>
    </row>
    <row r="5573" spans="1:13" x14ac:dyDescent="0.25">
      <c r="A5573" s="102"/>
      <c r="B5573" s="102" t="s">
        <v>119</v>
      </c>
      <c r="C5573" s="102"/>
      <c r="D5573" s="102">
        <v>20000</v>
      </c>
      <c r="E5573" s="136" t="str">
        <f>INDEX([1]道具配置表!$D:$D,MATCH(D5573,[1]道具配置表!$A:$A,0))</f>
        <v>技能点1</v>
      </c>
      <c r="F5573" s="102">
        <v>50</v>
      </c>
      <c r="G5573" s="102"/>
      <c r="H5573" s="102"/>
      <c r="I5573" s="102"/>
      <c r="J5573" s="102"/>
      <c r="K5573" s="102">
        <v>1</v>
      </c>
      <c r="L5573" s="102"/>
      <c r="M5573" s="22" t="b">
        <v>1</v>
      </c>
    </row>
    <row r="5574" spans="1:13" x14ac:dyDescent="0.25">
      <c r="A5574" s="102"/>
      <c r="B5574" s="102" t="s">
        <v>119</v>
      </c>
      <c r="C5574" s="102"/>
      <c r="D5574" s="102">
        <v>56001</v>
      </c>
      <c r="E5574" s="136" t="str">
        <f>INDEX([1]道具配置表!$D:$D,MATCH(D5574,[1]道具配置表!$A:$A,0))</f>
        <v>锻造装备消耗材料</v>
      </c>
      <c r="F5574" s="102">
        <v>20</v>
      </c>
      <c r="G5574" s="102"/>
      <c r="H5574" s="102"/>
      <c r="I5574" s="102"/>
      <c r="J5574" s="102"/>
      <c r="K5574" s="102">
        <v>1</v>
      </c>
      <c r="L5574" s="102"/>
      <c r="M5574" s="22" t="b">
        <v>1</v>
      </c>
    </row>
    <row r="5575" spans="1:13" x14ac:dyDescent="0.25">
      <c r="A5575" s="102"/>
      <c r="B5575" s="102" t="s">
        <v>119</v>
      </c>
      <c r="C5575" s="102"/>
      <c r="D5575" s="102">
        <v>6197</v>
      </c>
      <c r="E5575" s="136" t="str">
        <f>INDEX([1]道具配置表!$D:$D,MATCH(D5575,[1]道具配置表!$A:$A,0))</f>
        <v>5分钟锻造加速</v>
      </c>
      <c r="F5575" s="102">
        <v>1</v>
      </c>
      <c r="G5575" s="102"/>
      <c r="H5575" s="102"/>
      <c r="I5575" s="102"/>
      <c r="J5575" s="102"/>
      <c r="K5575" s="102">
        <v>1</v>
      </c>
      <c r="L5575" s="102"/>
      <c r="M5575" s="22" t="b">
        <v>1</v>
      </c>
    </row>
    <row r="5576" spans="1:13" x14ac:dyDescent="0.25">
      <c r="A5576" s="102">
        <v>6650057</v>
      </c>
      <c r="B5576" s="102" t="s">
        <v>1173</v>
      </c>
      <c r="C5576" s="102"/>
      <c r="D5576" s="102">
        <v>3000001</v>
      </c>
      <c r="E5576" s="136" t="str">
        <f>INDEX([1]道具配置表!$D:$D,MATCH(D5576,[1]道具配置表!$A:$A,0))</f>
        <v>自走棋放置货币</v>
      </c>
      <c r="F5576" s="102">
        <v>20</v>
      </c>
      <c r="G5576" s="102"/>
      <c r="H5576" s="102"/>
      <c r="I5576" s="102"/>
      <c r="J5576" s="102"/>
      <c r="K5576" s="102">
        <v>1</v>
      </c>
      <c r="L5576" s="102"/>
      <c r="M5576" s="22" t="b">
        <v>1</v>
      </c>
    </row>
    <row r="5577" spans="1:13" x14ac:dyDescent="0.25">
      <c r="A5577" s="102"/>
      <c r="B5577" s="102" t="s">
        <v>119</v>
      </c>
      <c r="C5577" s="102"/>
      <c r="D5577" s="102">
        <v>7228</v>
      </c>
      <c r="E5577" s="136" t="str">
        <f>INDEX([1]道具配置表!$D:$D,MATCH(D5577,[1]道具配置表!$A:$A,0))</f>
        <v>经验书*10000</v>
      </c>
      <c r="F5577" s="102">
        <v>1</v>
      </c>
      <c r="G5577" s="102"/>
      <c r="H5577" s="102"/>
      <c r="I5577" s="102"/>
      <c r="J5577" s="102"/>
      <c r="K5577" s="102">
        <v>1</v>
      </c>
      <c r="L5577" s="102"/>
      <c r="M5577" s="22" t="b">
        <v>1</v>
      </c>
    </row>
    <row r="5578" spans="1:13" x14ac:dyDescent="0.25">
      <c r="A5578" s="102"/>
      <c r="B5578" s="102" t="s">
        <v>119</v>
      </c>
      <c r="C5578" s="102"/>
      <c r="D5578" s="102">
        <v>20000</v>
      </c>
      <c r="E5578" s="136" t="str">
        <f>INDEX([1]道具配置表!$D:$D,MATCH(D5578,[1]道具配置表!$A:$A,0))</f>
        <v>技能点1</v>
      </c>
      <c r="F5578" s="102">
        <v>50</v>
      </c>
      <c r="G5578" s="102"/>
      <c r="H5578" s="102"/>
      <c r="I5578" s="102"/>
      <c r="J5578" s="102"/>
      <c r="K5578" s="102">
        <v>1</v>
      </c>
      <c r="L5578" s="102"/>
      <c r="M5578" s="22" t="b">
        <v>1</v>
      </c>
    </row>
    <row r="5579" spans="1:13" x14ac:dyDescent="0.25">
      <c r="A5579" s="102"/>
      <c r="B5579" s="102" t="s">
        <v>119</v>
      </c>
      <c r="C5579" s="102"/>
      <c r="D5579" s="102">
        <v>56001</v>
      </c>
      <c r="E5579" s="136" t="str">
        <f>INDEX([1]道具配置表!$D:$D,MATCH(D5579,[1]道具配置表!$A:$A,0))</f>
        <v>锻造装备消耗材料</v>
      </c>
      <c r="F5579" s="102">
        <v>20</v>
      </c>
      <c r="G5579" s="102"/>
      <c r="H5579" s="102"/>
      <c r="I5579" s="102"/>
      <c r="J5579" s="102"/>
      <c r="K5579" s="102">
        <v>1</v>
      </c>
      <c r="L5579" s="102"/>
      <c r="M5579" s="22" t="b">
        <v>1</v>
      </c>
    </row>
    <row r="5580" spans="1:13" x14ac:dyDescent="0.25">
      <c r="A5580" s="102"/>
      <c r="B5580" s="102" t="s">
        <v>119</v>
      </c>
      <c r="C5580" s="102"/>
      <c r="D5580" s="102">
        <v>6197</v>
      </c>
      <c r="E5580" s="136" t="str">
        <f>INDEX([1]道具配置表!$D:$D,MATCH(D5580,[1]道具配置表!$A:$A,0))</f>
        <v>5分钟锻造加速</v>
      </c>
      <c r="F5580" s="102">
        <v>1</v>
      </c>
      <c r="G5580" s="102"/>
      <c r="H5580" s="102"/>
      <c r="I5580" s="102"/>
      <c r="J5580" s="102"/>
      <c r="K5580" s="102">
        <v>1</v>
      </c>
      <c r="L5580" s="102"/>
      <c r="M5580" s="22" t="b">
        <v>1</v>
      </c>
    </row>
    <row r="5581" spans="1:13" x14ac:dyDescent="0.25">
      <c r="A5581" s="102">
        <v>6650058</v>
      </c>
      <c r="B5581" s="102" t="s">
        <v>1174</v>
      </c>
      <c r="C5581" s="102"/>
      <c r="D5581" s="102">
        <v>3000001</v>
      </c>
      <c r="E5581" s="136" t="str">
        <f>INDEX([1]道具配置表!$D:$D,MATCH(D5581,[1]道具配置表!$A:$A,0))</f>
        <v>自走棋放置货币</v>
      </c>
      <c r="F5581" s="102">
        <v>20</v>
      </c>
      <c r="G5581" s="102"/>
      <c r="H5581" s="102"/>
      <c r="I5581" s="102"/>
      <c r="J5581" s="102"/>
      <c r="K5581" s="102">
        <v>1</v>
      </c>
      <c r="L5581" s="102"/>
      <c r="M5581" s="22" t="b">
        <v>1</v>
      </c>
    </row>
    <row r="5582" spans="1:13" x14ac:dyDescent="0.25">
      <c r="A5582" s="102"/>
      <c r="B5582" s="102" t="s">
        <v>119</v>
      </c>
      <c r="C5582" s="102"/>
      <c r="D5582" s="102">
        <v>7228</v>
      </c>
      <c r="E5582" s="136" t="str">
        <f>INDEX([1]道具配置表!$D:$D,MATCH(D5582,[1]道具配置表!$A:$A,0))</f>
        <v>经验书*10000</v>
      </c>
      <c r="F5582" s="102">
        <v>1</v>
      </c>
      <c r="G5582" s="102"/>
      <c r="H5582" s="102"/>
      <c r="I5582" s="102"/>
      <c r="J5582" s="102"/>
      <c r="K5582" s="102">
        <v>1</v>
      </c>
      <c r="L5582" s="102"/>
      <c r="M5582" s="22" t="b">
        <v>1</v>
      </c>
    </row>
    <row r="5583" spans="1:13" x14ac:dyDescent="0.25">
      <c r="A5583" s="102"/>
      <c r="B5583" s="102" t="s">
        <v>119</v>
      </c>
      <c r="C5583" s="102"/>
      <c r="D5583" s="102">
        <v>20000</v>
      </c>
      <c r="E5583" s="136" t="str">
        <f>INDEX([1]道具配置表!$D:$D,MATCH(D5583,[1]道具配置表!$A:$A,0))</f>
        <v>技能点1</v>
      </c>
      <c r="F5583" s="102">
        <v>50</v>
      </c>
      <c r="G5583" s="102"/>
      <c r="H5583" s="102"/>
      <c r="I5583" s="102"/>
      <c r="J5583" s="102"/>
      <c r="K5583" s="102">
        <v>1</v>
      </c>
      <c r="L5583" s="102"/>
      <c r="M5583" s="22" t="b">
        <v>1</v>
      </c>
    </row>
    <row r="5584" spans="1:13" x14ac:dyDescent="0.25">
      <c r="A5584" s="102"/>
      <c r="B5584" s="102" t="s">
        <v>119</v>
      </c>
      <c r="C5584" s="102"/>
      <c r="D5584" s="102">
        <v>56001</v>
      </c>
      <c r="E5584" s="136" t="str">
        <f>INDEX([1]道具配置表!$D:$D,MATCH(D5584,[1]道具配置表!$A:$A,0))</f>
        <v>锻造装备消耗材料</v>
      </c>
      <c r="F5584" s="102">
        <v>20</v>
      </c>
      <c r="G5584" s="102"/>
      <c r="H5584" s="102"/>
      <c r="I5584" s="102"/>
      <c r="J5584" s="102"/>
      <c r="K5584" s="102">
        <v>1</v>
      </c>
      <c r="L5584" s="102"/>
      <c r="M5584" s="22" t="b">
        <v>1</v>
      </c>
    </row>
    <row r="5585" spans="1:13" x14ac:dyDescent="0.25">
      <c r="A5585" s="102"/>
      <c r="B5585" s="102" t="s">
        <v>119</v>
      </c>
      <c r="C5585" s="102"/>
      <c r="D5585" s="102">
        <v>6197</v>
      </c>
      <c r="E5585" s="136" t="str">
        <f>INDEX([1]道具配置表!$D:$D,MATCH(D5585,[1]道具配置表!$A:$A,0))</f>
        <v>5分钟锻造加速</v>
      </c>
      <c r="F5585" s="102">
        <v>1</v>
      </c>
      <c r="G5585" s="102"/>
      <c r="H5585" s="102"/>
      <c r="I5585" s="102"/>
      <c r="J5585" s="102"/>
      <c r="K5585" s="102">
        <v>1</v>
      </c>
      <c r="L5585" s="102"/>
      <c r="M5585" s="22" t="b">
        <v>1</v>
      </c>
    </row>
    <row r="5586" spans="1:13" x14ac:dyDescent="0.25">
      <c r="A5586" s="102">
        <v>6650059</v>
      </c>
      <c r="B5586" s="102" t="s">
        <v>1175</v>
      </c>
      <c r="C5586" s="102"/>
      <c r="D5586" s="102">
        <v>3000001</v>
      </c>
      <c r="E5586" s="136" t="str">
        <f>INDEX([1]道具配置表!$D:$D,MATCH(D5586,[1]道具配置表!$A:$A,0))</f>
        <v>自走棋放置货币</v>
      </c>
      <c r="F5586" s="102">
        <v>20</v>
      </c>
      <c r="G5586" s="102"/>
      <c r="H5586" s="102"/>
      <c r="I5586" s="102"/>
      <c r="J5586" s="102"/>
      <c r="K5586" s="102">
        <v>1</v>
      </c>
      <c r="L5586" s="102"/>
      <c r="M5586" s="22" t="b">
        <v>1</v>
      </c>
    </row>
    <row r="5587" spans="1:13" x14ac:dyDescent="0.25">
      <c r="A5587" s="102"/>
      <c r="B5587" s="102" t="s">
        <v>119</v>
      </c>
      <c r="C5587" s="102"/>
      <c r="D5587" s="102">
        <v>7228</v>
      </c>
      <c r="E5587" s="136" t="str">
        <f>INDEX([1]道具配置表!$D:$D,MATCH(D5587,[1]道具配置表!$A:$A,0))</f>
        <v>经验书*10000</v>
      </c>
      <c r="F5587" s="102">
        <v>1</v>
      </c>
      <c r="G5587" s="102"/>
      <c r="H5587" s="102"/>
      <c r="I5587" s="102"/>
      <c r="J5587" s="102"/>
      <c r="K5587" s="102">
        <v>1</v>
      </c>
      <c r="L5587" s="102"/>
      <c r="M5587" s="22" t="b">
        <v>1</v>
      </c>
    </row>
    <row r="5588" spans="1:13" x14ac:dyDescent="0.25">
      <c r="A5588" s="102"/>
      <c r="B5588" s="102" t="s">
        <v>119</v>
      </c>
      <c r="C5588" s="102"/>
      <c r="D5588" s="102">
        <v>20000</v>
      </c>
      <c r="E5588" s="136" t="str">
        <f>INDEX([1]道具配置表!$D:$D,MATCH(D5588,[1]道具配置表!$A:$A,0))</f>
        <v>技能点1</v>
      </c>
      <c r="F5588" s="102">
        <v>50</v>
      </c>
      <c r="G5588" s="102"/>
      <c r="H5588" s="102"/>
      <c r="I5588" s="102"/>
      <c r="J5588" s="102"/>
      <c r="K5588" s="102">
        <v>1</v>
      </c>
      <c r="L5588" s="102"/>
      <c r="M5588" s="22" t="b">
        <v>1</v>
      </c>
    </row>
    <row r="5589" spans="1:13" x14ac:dyDescent="0.25">
      <c r="A5589" s="102"/>
      <c r="B5589" s="102" t="s">
        <v>119</v>
      </c>
      <c r="C5589" s="102"/>
      <c r="D5589" s="102">
        <v>56001</v>
      </c>
      <c r="E5589" s="136" t="str">
        <f>INDEX([1]道具配置表!$D:$D,MATCH(D5589,[1]道具配置表!$A:$A,0))</f>
        <v>锻造装备消耗材料</v>
      </c>
      <c r="F5589" s="102">
        <v>20</v>
      </c>
      <c r="G5589" s="102"/>
      <c r="H5589" s="102"/>
      <c r="I5589" s="102"/>
      <c r="J5589" s="102"/>
      <c r="K5589" s="102">
        <v>1</v>
      </c>
      <c r="L5589" s="102"/>
      <c r="M5589" s="22" t="b">
        <v>1</v>
      </c>
    </row>
    <row r="5590" spans="1:13" x14ac:dyDescent="0.25">
      <c r="A5590" s="102"/>
      <c r="B5590" s="102" t="s">
        <v>119</v>
      </c>
      <c r="C5590" s="102"/>
      <c r="D5590" s="102">
        <v>6197</v>
      </c>
      <c r="E5590" s="136" t="str">
        <f>INDEX([1]道具配置表!$D:$D,MATCH(D5590,[1]道具配置表!$A:$A,0))</f>
        <v>5分钟锻造加速</v>
      </c>
      <c r="F5590" s="102">
        <v>1</v>
      </c>
      <c r="G5590" s="102"/>
      <c r="H5590" s="102"/>
      <c r="I5590" s="102"/>
      <c r="J5590" s="102"/>
      <c r="K5590" s="102">
        <v>1</v>
      </c>
      <c r="L5590" s="102"/>
      <c r="M5590" s="22" t="b">
        <v>1</v>
      </c>
    </row>
    <row r="5591" spans="1:13" x14ac:dyDescent="0.25">
      <c r="A5591" s="102">
        <v>6650060</v>
      </c>
      <c r="B5591" s="102" t="s">
        <v>1176</v>
      </c>
      <c r="C5591" s="102"/>
      <c r="D5591" s="102">
        <v>56165</v>
      </c>
      <c r="E5591" s="136" t="str">
        <f>INDEX([1]道具配置表!$D:$D,MATCH(D5591,[1]道具配置表!$A:$A,0))</f>
        <v>破空手套</v>
      </c>
      <c r="F5591" s="102">
        <v>1</v>
      </c>
      <c r="G5591" s="102"/>
      <c r="H5591" s="102"/>
      <c r="I5591" s="102"/>
      <c r="J5591" s="102"/>
      <c r="K5591" s="102">
        <v>1</v>
      </c>
      <c r="L5591" s="102"/>
      <c r="M5591" s="22" t="b">
        <v>1</v>
      </c>
    </row>
    <row r="5592" spans="1:13" x14ac:dyDescent="0.25">
      <c r="A5592" s="102"/>
      <c r="B5592" s="102" t="s">
        <v>119</v>
      </c>
      <c r="C5592" s="102"/>
      <c r="D5592" s="102">
        <v>3000001</v>
      </c>
      <c r="E5592" s="136" t="str">
        <f>INDEX([1]道具配置表!$D:$D,MATCH(D5592,[1]道具配置表!$A:$A,0))</f>
        <v>自走棋放置货币</v>
      </c>
      <c r="F5592" s="102">
        <v>40</v>
      </c>
      <c r="G5592" s="102"/>
      <c r="H5592" s="102"/>
      <c r="I5592" s="102"/>
      <c r="J5592" s="102"/>
      <c r="K5592" s="102">
        <v>1</v>
      </c>
      <c r="L5592" s="102"/>
      <c r="M5592" s="22" t="b">
        <v>1</v>
      </c>
    </row>
    <row r="5593" spans="1:13" x14ac:dyDescent="0.25">
      <c r="A5593" s="102"/>
      <c r="B5593" s="102" t="s">
        <v>119</v>
      </c>
      <c r="C5593" s="102"/>
      <c r="D5593" s="102">
        <v>7228</v>
      </c>
      <c r="E5593" s="136" t="str">
        <f>INDEX([1]道具配置表!$D:$D,MATCH(D5593,[1]道具配置表!$A:$A,0))</f>
        <v>经验书*10000</v>
      </c>
      <c r="F5593" s="102">
        <v>2</v>
      </c>
      <c r="G5593" s="102"/>
      <c r="H5593" s="102"/>
      <c r="I5593" s="102"/>
      <c r="J5593" s="102"/>
      <c r="K5593" s="102">
        <v>1</v>
      </c>
      <c r="L5593" s="102"/>
      <c r="M5593" s="22" t="b">
        <v>1</v>
      </c>
    </row>
    <row r="5594" spans="1:13" x14ac:dyDescent="0.25">
      <c r="A5594" s="102"/>
      <c r="B5594" s="102" t="s">
        <v>119</v>
      </c>
      <c r="C5594" s="102"/>
      <c r="D5594" s="102">
        <v>20000</v>
      </c>
      <c r="E5594" s="136" t="str">
        <f>INDEX([1]道具配置表!$D:$D,MATCH(D5594,[1]道具配置表!$A:$A,0))</f>
        <v>技能点1</v>
      </c>
      <c r="F5594" s="102">
        <v>100</v>
      </c>
      <c r="G5594" s="102"/>
      <c r="H5594" s="102"/>
      <c r="I5594" s="102"/>
      <c r="J5594" s="102"/>
      <c r="K5594" s="102">
        <v>1</v>
      </c>
      <c r="L5594" s="102"/>
      <c r="M5594" s="22" t="b">
        <v>1</v>
      </c>
    </row>
    <row r="5595" spans="1:13" x14ac:dyDescent="0.25">
      <c r="A5595" s="102"/>
      <c r="B5595" s="102" t="s">
        <v>119</v>
      </c>
      <c r="C5595" s="102"/>
      <c r="D5595" s="102">
        <v>56001</v>
      </c>
      <c r="E5595" s="136" t="str">
        <f>INDEX([1]道具配置表!$D:$D,MATCH(D5595,[1]道具配置表!$A:$A,0))</f>
        <v>锻造装备消耗材料</v>
      </c>
      <c r="F5595" s="102">
        <v>50</v>
      </c>
      <c r="G5595" s="102"/>
      <c r="H5595" s="102"/>
      <c r="I5595" s="102"/>
      <c r="J5595" s="102"/>
      <c r="K5595" s="102">
        <v>1</v>
      </c>
      <c r="L5595" s="102"/>
      <c r="M5595" s="22" t="b">
        <v>1</v>
      </c>
    </row>
    <row r="5596" spans="1:13" x14ac:dyDescent="0.25">
      <c r="A5596" s="102"/>
      <c r="B5596" s="102" t="s">
        <v>119</v>
      </c>
      <c r="C5596" s="102"/>
      <c r="D5596" s="102">
        <v>6201</v>
      </c>
      <c r="E5596" s="136" t="str">
        <f>INDEX([1]道具配置表!$D:$D,MATCH(D5596,[1]道具配置表!$A:$A,0))</f>
        <v>60分钟锻造加速</v>
      </c>
      <c r="F5596" s="102">
        <v>1</v>
      </c>
      <c r="G5596" s="102"/>
      <c r="H5596" s="102"/>
      <c r="I5596" s="102"/>
      <c r="J5596" s="102"/>
      <c r="K5596" s="102">
        <v>1</v>
      </c>
      <c r="L5596" s="102"/>
      <c r="M5596" s="22" t="b">
        <v>1</v>
      </c>
    </row>
    <row r="5597" spans="1:13" x14ac:dyDescent="0.25">
      <c r="A5597" s="102"/>
      <c r="B5597" s="102" t="s">
        <v>119</v>
      </c>
      <c r="C5597" s="102"/>
      <c r="D5597" s="102">
        <v>56002</v>
      </c>
      <c r="E5597" s="136" t="str">
        <f>INDEX([1]道具配置表!$D:$D,MATCH(D5597,[1]道具配置表!$A:$A,0))</f>
        <v>强化装备消耗材料</v>
      </c>
      <c r="F5597" s="102">
        <v>20</v>
      </c>
      <c r="G5597" s="102"/>
      <c r="H5597" s="102"/>
      <c r="I5597" s="102"/>
      <c r="J5597" s="102"/>
      <c r="K5597" s="102">
        <v>1</v>
      </c>
      <c r="L5597" s="102"/>
      <c r="M5597" s="22" t="b">
        <v>1</v>
      </c>
    </row>
    <row r="5598" spans="1:13" x14ac:dyDescent="0.25">
      <c r="A5598" s="102">
        <v>6650061</v>
      </c>
      <c r="B5598" s="102" t="s">
        <v>1232</v>
      </c>
      <c r="C5598" s="102"/>
      <c r="D5598" s="102">
        <v>3000001</v>
      </c>
      <c r="E5598" s="136" t="str">
        <f>INDEX([1]道具配置表!$D:$D,MATCH(D5598,[1]道具配置表!$A:$A,0))</f>
        <v>自走棋放置货币</v>
      </c>
      <c r="F5598" s="102">
        <v>20</v>
      </c>
      <c r="G5598" s="102"/>
      <c r="H5598" s="102"/>
      <c r="I5598" s="102"/>
      <c r="J5598" s="102"/>
      <c r="K5598" s="102">
        <v>1</v>
      </c>
      <c r="L5598" s="102"/>
      <c r="M5598" s="22" t="b">
        <v>1</v>
      </c>
    </row>
    <row r="5599" spans="1:13" x14ac:dyDescent="0.25">
      <c r="A5599" s="102"/>
      <c r="B5599" s="102" t="s">
        <v>119</v>
      </c>
      <c r="C5599" s="102"/>
      <c r="D5599" s="102">
        <v>7228</v>
      </c>
      <c r="E5599" s="136" t="str">
        <f>INDEX([1]道具配置表!$D:$D,MATCH(D5599,[1]道具配置表!$A:$A,0))</f>
        <v>经验书*10000</v>
      </c>
      <c r="F5599" s="102">
        <v>1</v>
      </c>
      <c r="G5599" s="102"/>
      <c r="H5599" s="102"/>
      <c r="I5599" s="102"/>
      <c r="J5599" s="102"/>
      <c r="K5599" s="102">
        <v>1</v>
      </c>
      <c r="L5599" s="102"/>
      <c r="M5599" s="22" t="b">
        <v>1</v>
      </c>
    </row>
    <row r="5600" spans="1:13" x14ac:dyDescent="0.25">
      <c r="A5600" s="102"/>
      <c r="B5600" s="102" t="s">
        <v>119</v>
      </c>
      <c r="C5600" s="102"/>
      <c r="D5600" s="102">
        <v>20000</v>
      </c>
      <c r="E5600" s="136" t="str">
        <f>INDEX([1]道具配置表!$D:$D,MATCH(D5600,[1]道具配置表!$A:$A,0))</f>
        <v>技能点1</v>
      </c>
      <c r="F5600" s="102">
        <v>50</v>
      </c>
      <c r="G5600" s="102"/>
      <c r="H5600" s="102"/>
      <c r="I5600" s="102"/>
      <c r="J5600" s="102"/>
      <c r="K5600" s="102">
        <v>1</v>
      </c>
      <c r="L5600" s="102"/>
      <c r="M5600" s="22" t="b">
        <v>1</v>
      </c>
    </row>
    <row r="5601" spans="1:13" x14ac:dyDescent="0.25">
      <c r="A5601" s="102"/>
      <c r="B5601" s="102" t="s">
        <v>119</v>
      </c>
      <c r="C5601" s="102"/>
      <c r="D5601" s="102">
        <v>56001</v>
      </c>
      <c r="E5601" s="136" t="str">
        <f>INDEX([1]道具配置表!$D:$D,MATCH(D5601,[1]道具配置表!$A:$A,0))</f>
        <v>锻造装备消耗材料</v>
      </c>
      <c r="F5601" s="102">
        <v>20</v>
      </c>
      <c r="G5601" s="102"/>
      <c r="H5601" s="102"/>
      <c r="I5601" s="102"/>
      <c r="J5601" s="102"/>
      <c r="K5601" s="102">
        <v>1</v>
      </c>
      <c r="L5601" s="102"/>
      <c r="M5601" s="22" t="b">
        <v>1</v>
      </c>
    </row>
    <row r="5602" spans="1:13" x14ac:dyDescent="0.25">
      <c r="A5602" s="102"/>
      <c r="B5602" s="102" t="s">
        <v>119</v>
      </c>
      <c r="C5602" s="102"/>
      <c r="D5602" s="102">
        <v>6197</v>
      </c>
      <c r="E5602" s="136" t="str">
        <f>INDEX([1]道具配置表!$D:$D,MATCH(D5602,[1]道具配置表!$A:$A,0))</f>
        <v>5分钟锻造加速</v>
      </c>
      <c r="F5602" s="102">
        <v>1</v>
      </c>
      <c r="G5602" s="102"/>
      <c r="H5602" s="102"/>
      <c r="I5602" s="102"/>
      <c r="J5602" s="102"/>
      <c r="K5602" s="102">
        <v>1</v>
      </c>
      <c r="L5602" s="102"/>
      <c r="M5602" s="22" t="b">
        <v>1</v>
      </c>
    </row>
    <row r="5603" spans="1:13" x14ac:dyDescent="0.25">
      <c r="A5603" s="102">
        <v>6650062</v>
      </c>
      <c r="B5603" s="102" t="s">
        <v>1233</v>
      </c>
      <c r="C5603" s="102"/>
      <c r="D5603" s="102">
        <v>3000001</v>
      </c>
      <c r="E5603" s="136" t="str">
        <f>INDEX([1]道具配置表!$D:$D,MATCH(D5603,[1]道具配置表!$A:$A,0))</f>
        <v>自走棋放置货币</v>
      </c>
      <c r="F5603" s="102">
        <v>20</v>
      </c>
      <c r="G5603" s="102"/>
      <c r="H5603" s="102"/>
      <c r="I5603" s="102"/>
      <c r="J5603" s="102"/>
      <c r="K5603" s="102">
        <v>1</v>
      </c>
      <c r="L5603" s="102"/>
      <c r="M5603" s="22" t="b">
        <v>1</v>
      </c>
    </row>
    <row r="5604" spans="1:13" x14ac:dyDescent="0.25">
      <c r="A5604" s="102"/>
      <c r="B5604" s="102" t="s">
        <v>119</v>
      </c>
      <c r="C5604" s="102"/>
      <c r="D5604" s="102">
        <v>7228</v>
      </c>
      <c r="E5604" s="136" t="str">
        <f>INDEX([1]道具配置表!$D:$D,MATCH(D5604,[1]道具配置表!$A:$A,0))</f>
        <v>经验书*10000</v>
      </c>
      <c r="F5604" s="102">
        <v>1</v>
      </c>
      <c r="G5604" s="102"/>
      <c r="H5604" s="102"/>
      <c r="I5604" s="102"/>
      <c r="J5604" s="102"/>
      <c r="K5604" s="102">
        <v>1</v>
      </c>
      <c r="L5604" s="102"/>
      <c r="M5604" s="22" t="b">
        <v>1</v>
      </c>
    </row>
    <row r="5605" spans="1:13" x14ac:dyDescent="0.25">
      <c r="A5605" s="102"/>
      <c r="B5605" s="102" t="s">
        <v>119</v>
      </c>
      <c r="C5605" s="102"/>
      <c r="D5605" s="102">
        <v>20000</v>
      </c>
      <c r="E5605" s="136" t="str">
        <f>INDEX([1]道具配置表!$D:$D,MATCH(D5605,[1]道具配置表!$A:$A,0))</f>
        <v>技能点1</v>
      </c>
      <c r="F5605" s="102">
        <v>50</v>
      </c>
      <c r="G5605" s="102"/>
      <c r="H5605" s="102"/>
      <c r="I5605" s="102"/>
      <c r="J5605" s="102"/>
      <c r="K5605" s="102">
        <v>1</v>
      </c>
      <c r="L5605" s="102"/>
      <c r="M5605" s="22" t="b">
        <v>1</v>
      </c>
    </row>
    <row r="5606" spans="1:13" x14ac:dyDescent="0.25">
      <c r="A5606" s="102"/>
      <c r="B5606" s="102" t="s">
        <v>119</v>
      </c>
      <c r="C5606" s="102"/>
      <c r="D5606" s="102">
        <v>56001</v>
      </c>
      <c r="E5606" s="136" t="str">
        <f>INDEX([1]道具配置表!$D:$D,MATCH(D5606,[1]道具配置表!$A:$A,0))</f>
        <v>锻造装备消耗材料</v>
      </c>
      <c r="F5606" s="102">
        <v>20</v>
      </c>
      <c r="G5606" s="102"/>
      <c r="H5606" s="102"/>
      <c r="I5606" s="102"/>
      <c r="J5606" s="102"/>
      <c r="K5606" s="102">
        <v>1</v>
      </c>
      <c r="L5606" s="102"/>
      <c r="M5606" s="22" t="b">
        <v>1</v>
      </c>
    </row>
    <row r="5607" spans="1:13" x14ac:dyDescent="0.25">
      <c r="A5607" s="102"/>
      <c r="B5607" s="102" t="s">
        <v>119</v>
      </c>
      <c r="C5607" s="102"/>
      <c r="D5607" s="102">
        <v>6197</v>
      </c>
      <c r="E5607" s="136" t="str">
        <f>INDEX([1]道具配置表!$D:$D,MATCH(D5607,[1]道具配置表!$A:$A,0))</f>
        <v>5分钟锻造加速</v>
      </c>
      <c r="F5607" s="102">
        <v>1</v>
      </c>
      <c r="G5607" s="102"/>
      <c r="H5607" s="102"/>
      <c r="I5607" s="102"/>
      <c r="J5607" s="102"/>
      <c r="K5607" s="102">
        <v>1</v>
      </c>
      <c r="L5607" s="102"/>
      <c r="M5607" s="22" t="b">
        <v>1</v>
      </c>
    </row>
    <row r="5608" spans="1:13" x14ac:dyDescent="0.25">
      <c r="A5608" s="102">
        <v>6650063</v>
      </c>
      <c r="B5608" s="102" t="s">
        <v>1234</v>
      </c>
      <c r="C5608" s="102"/>
      <c r="D5608" s="102">
        <v>3000001</v>
      </c>
      <c r="E5608" s="136" t="str">
        <f>INDEX([1]道具配置表!$D:$D,MATCH(D5608,[1]道具配置表!$A:$A,0))</f>
        <v>自走棋放置货币</v>
      </c>
      <c r="F5608" s="102">
        <v>20</v>
      </c>
      <c r="G5608" s="102"/>
      <c r="H5608" s="102"/>
      <c r="I5608" s="102"/>
      <c r="J5608" s="102"/>
      <c r="K5608" s="102">
        <v>1</v>
      </c>
      <c r="L5608" s="102"/>
      <c r="M5608" s="22" t="b">
        <v>1</v>
      </c>
    </row>
    <row r="5609" spans="1:13" x14ac:dyDescent="0.25">
      <c r="A5609" s="102"/>
      <c r="B5609" s="102" t="s">
        <v>119</v>
      </c>
      <c r="C5609" s="102"/>
      <c r="D5609" s="102">
        <v>7228</v>
      </c>
      <c r="E5609" s="136" t="str">
        <f>INDEX([1]道具配置表!$D:$D,MATCH(D5609,[1]道具配置表!$A:$A,0))</f>
        <v>经验书*10000</v>
      </c>
      <c r="F5609" s="102">
        <v>1</v>
      </c>
      <c r="G5609" s="102"/>
      <c r="H5609" s="102"/>
      <c r="I5609" s="102"/>
      <c r="J5609" s="102"/>
      <c r="K5609" s="102">
        <v>1</v>
      </c>
      <c r="L5609" s="102"/>
      <c r="M5609" s="22" t="b">
        <v>1</v>
      </c>
    </row>
    <row r="5610" spans="1:13" x14ac:dyDescent="0.25">
      <c r="A5610" s="102"/>
      <c r="B5610" s="102" t="s">
        <v>119</v>
      </c>
      <c r="C5610" s="102"/>
      <c r="D5610" s="102">
        <v>20000</v>
      </c>
      <c r="E5610" s="136" t="str">
        <f>INDEX([1]道具配置表!$D:$D,MATCH(D5610,[1]道具配置表!$A:$A,0))</f>
        <v>技能点1</v>
      </c>
      <c r="F5610" s="102">
        <v>50</v>
      </c>
      <c r="G5610" s="102"/>
      <c r="H5610" s="102"/>
      <c r="I5610" s="102"/>
      <c r="J5610" s="102"/>
      <c r="K5610" s="102">
        <v>1</v>
      </c>
      <c r="L5610" s="102"/>
      <c r="M5610" s="22" t="b">
        <v>1</v>
      </c>
    </row>
    <row r="5611" spans="1:13" x14ac:dyDescent="0.25">
      <c r="A5611" s="102"/>
      <c r="B5611" s="102" t="s">
        <v>119</v>
      </c>
      <c r="C5611" s="102"/>
      <c r="D5611" s="102">
        <v>56001</v>
      </c>
      <c r="E5611" s="136" t="str">
        <f>INDEX([1]道具配置表!$D:$D,MATCH(D5611,[1]道具配置表!$A:$A,0))</f>
        <v>锻造装备消耗材料</v>
      </c>
      <c r="F5611" s="102">
        <v>20</v>
      </c>
      <c r="G5611" s="102"/>
      <c r="H5611" s="102"/>
      <c r="I5611" s="102"/>
      <c r="J5611" s="102"/>
      <c r="K5611" s="102">
        <v>1</v>
      </c>
      <c r="L5611" s="102"/>
      <c r="M5611" s="22" t="b">
        <v>1</v>
      </c>
    </row>
    <row r="5612" spans="1:13" x14ac:dyDescent="0.25">
      <c r="A5612" s="102"/>
      <c r="B5612" s="102" t="s">
        <v>119</v>
      </c>
      <c r="C5612" s="102"/>
      <c r="D5612" s="102">
        <v>6197</v>
      </c>
      <c r="E5612" s="136" t="str">
        <f>INDEX([1]道具配置表!$D:$D,MATCH(D5612,[1]道具配置表!$A:$A,0))</f>
        <v>5分钟锻造加速</v>
      </c>
      <c r="F5612" s="102">
        <v>1</v>
      </c>
      <c r="G5612" s="102"/>
      <c r="H5612" s="102"/>
      <c r="I5612" s="102"/>
      <c r="J5612" s="102"/>
      <c r="K5612" s="102">
        <v>1</v>
      </c>
      <c r="L5612" s="102"/>
      <c r="M5612" s="22" t="b">
        <v>1</v>
      </c>
    </row>
    <row r="5613" spans="1:13" x14ac:dyDescent="0.25">
      <c r="A5613" s="102">
        <v>6650064</v>
      </c>
      <c r="B5613" s="102" t="s">
        <v>1235</v>
      </c>
      <c r="C5613" s="102"/>
      <c r="D5613" s="102">
        <v>3000001</v>
      </c>
      <c r="E5613" s="136" t="str">
        <f>INDEX([1]道具配置表!$D:$D,MATCH(D5613,[1]道具配置表!$A:$A,0))</f>
        <v>自走棋放置货币</v>
      </c>
      <c r="F5613" s="102">
        <v>20</v>
      </c>
      <c r="G5613" s="102"/>
      <c r="H5613" s="102"/>
      <c r="I5613" s="102"/>
      <c r="J5613" s="102"/>
      <c r="K5613" s="102">
        <v>1</v>
      </c>
      <c r="L5613" s="102"/>
      <c r="M5613" s="22" t="b">
        <v>1</v>
      </c>
    </row>
    <row r="5614" spans="1:13" x14ac:dyDescent="0.25">
      <c r="A5614" s="102"/>
      <c r="B5614" s="102" t="s">
        <v>119</v>
      </c>
      <c r="C5614" s="102"/>
      <c r="D5614" s="102">
        <v>7228</v>
      </c>
      <c r="E5614" s="136" t="str">
        <f>INDEX([1]道具配置表!$D:$D,MATCH(D5614,[1]道具配置表!$A:$A,0))</f>
        <v>经验书*10000</v>
      </c>
      <c r="F5614" s="102">
        <v>1</v>
      </c>
      <c r="G5614" s="102"/>
      <c r="H5614" s="102"/>
      <c r="I5614" s="102"/>
      <c r="J5614" s="102"/>
      <c r="K5614" s="102">
        <v>1</v>
      </c>
      <c r="L5614" s="102"/>
      <c r="M5614" s="22" t="b">
        <v>1</v>
      </c>
    </row>
    <row r="5615" spans="1:13" x14ac:dyDescent="0.25">
      <c r="A5615" s="102"/>
      <c r="B5615" s="102" t="s">
        <v>119</v>
      </c>
      <c r="C5615" s="102"/>
      <c r="D5615" s="102">
        <v>20000</v>
      </c>
      <c r="E5615" s="136" t="str">
        <f>INDEX([1]道具配置表!$D:$D,MATCH(D5615,[1]道具配置表!$A:$A,0))</f>
        <v>技能点1</v>
      </c>
      <c r="F5615" s="102">
        <v>50</v>
      </c>
      <c r="G5615" s="102"/>
      <c r="H5615" s="102"/>
      <c r="I5615" s="102"/>
      <c r="J5615" s="102"/>
      <c r="K5615" s="102">
        <v>1</v>
      </c>
      <c r="L5615" s="102"/>
      <c r="M5615" s="22" t="b">
        <v>1</v>
      </c>
    </row>
    <row r="5616" spans="1:13" x14ac:dyDescent="0.25">
      <c r="A5616" s="102"/>
      <c r="B5616" s="102" t="s">
        <v>119</v>
      </c>
      <c r="C5616" s="102"/>
      <c r="D5616" s="102">
        <v>56001</v>
      </c>
      <c r="E5616" s="136" t="str">
        <f>INDEX([1]道具配置表!$D:$D,MATCH(D5616,[1]道具配置表!$A:$A,0))</f>
        <v>锻造装备消耗材料</v>
      </c>
      <c r="F5616" s="102">
        <v>20</v>
      </c>
      <c r="G5616" s="102"/>
      <c r="H5616" s="102"/>
      <c r="I5616" s="102"/>
      <c r="J5616" s="102"/>
      <c r="K5616" s="102">
        <v>1</v>
      </c>
      <c r="L5616" s="102"/>
      <c r="M5616" s="22" t="b">
        <v>1</v>
      </c>
    </row>
    <row r="5617" spans="1:13" x14ac:dyDescent="0.25">
      <c r="A5617" s="102"/>
      <c r="B5617" s="102" t="s">
        <v>119</v>
      </c>
      <c r="C5617" s="102"/>
      <c r="D5617" s="102">
        <v>6197</v>
      </c>
      <c r="E5617" s="136" t="str">
        <f>INDEX([1]道具配置表!$D:$D,MATCH(D5617,[1]道具配置表!$A:$A,0))</f>
        <v>5分钟锻造加速</v>
      </c>
      <c r="F5617" s="102">
        <v>1</v>
      </c>
      <c r="G5617" s="102"/>
      <c r="H5617" s="102"/>
      <c r="I5617" s="102"/>
      <c r="J5617" s="102"/>
      <c r="K5617" s="102">
        <v>1</v>
      </c>
      <c r="L5617" s="102"/>
      <c r="M5617" s="22" t="b">
        <v>1</v>
      </c>
    </row>
    <row r="5618" spans="1:13" x14ac:dyDescent="0.25">
      <c r="A5618" s="102">
        <v>6650065</v>
      </c>
      <c r="B5618" s="102" t="s">
        <v>1236</v>
      </c>
      <c r="C5618" s="102"/>
      <c r="D5618" s="102">
        <v>56177</v>
      </c>
      <c r="E5618" s="136" t="str">
        <f>INDEX([1]道具配置表!$D:$D,MATCH(D5618,[1]道具配置表!$A:$A,0))</f>
        <v>白狼护腕</v>
      </c>
      <c r="F5618" s="102">
        <v>1</v>
      </c>
      <c r="G5618" s="102"/>
      <c r="H5618" s="102"/>
      <c r="I5618" s="102"/>
      <c r="J5618" s="102"/>
      <c r="K5618" s="102">
        <v>1</v>
      </c>
      <c r="L5618" s="102"/>
      <c r="M5618" s="22" t="b">
        <v>1</v>
      </c>
    </row>
    <row r="5619" spans="1:13" x14ac:dyDescent="0.25">
      <c r="A5619" s="102"/>
      <c r="B5619" s="102" t="s">
        <v>119</v>
      </c>
      <c r="C5619" s="102"/>
      <c r="D5619" s="102">
        <v>3000001</v>
      </c>
      <c r="E5619" s="136" t="str">
        <f>INDEX([1]道具配置表!$D:$D,MATCH(D5619,[1]道具配置表!$A:$A,0))</f>
        <v>自走棋放置货币</v>
      </c>
      <c r="F5619" s="102">
        <v>40</v>
      </c>
      <c r="G5619" s="102"/>
      <c r="H5619" s="102"/>
      <c r="I5619" s="102"/>
      <c r="J5619" s="102"/>
      <c r="K5619" s="102">
        <v>1</v>
      </c>
      <c r="L5619" s="102"/>
      <c r="M5619" s="22" t="b">
        <v>1</v>
      </c>
    </row>
    <row r="5620" spans="1:13" x14ac:dyDescent="0.25">
      <c r="A5620" s="102"/>
      <c r="B5620" s="102" t="s">
        <v>119</v>
      </c>
      <c r="C5620" s="102"/>
      <c r="D5620" s="102">
        <v>7228</v>
      </c>
      <c r="E5620" s="136" t="str">
        <f>INDEX([1]道具配置表!$D:$D,MATCH(D5620,[1]道具配置表!$A:$A,0))</f>
        <v>经验书*10000</v>
      </c>
      <c r="F5620" s="102">
        <v>2</v>
      </c>
      <c r="G5620" s="102"/>
      <c r="H5620" s="102"/>
      <c r="I5620" s="102"/>
      <c r="J5620" s="102"/>
      <c r="K5620" s="102">
        <v>1</v>
      </c>
      <c r="L5620" s="102"/>
      <c r="M5620" s="22" t="b">
        <v>1</v>
      </c>
    </row>
    <row r="5621" spans="1:13" x14ac:dyDescent="0.25">
      <c r="A5621" s="102"/>
      <c r="B5621" s="102" t="s">
        <v>119</v>
      </c>
      <c r="C5621" s="102"/>
      <c r="D5621" s="102">
        <v>20000</v>
      </c>
      <c r="E5621" s="136" t="str">
        <f>INDEX([1]道具配置表!$D:$D,MATCH(D5621,[1]道具配置表!$A:$A,0))</f>
        <v>技能点1</v>
      </c>
      <c r="F5621" s="102">
        <v>100</v>
      </c>
      <c r="G5621" s="102"/>
      <c r="H5621" s="102"/>
      <c r="I5621" s="102"/>
      <c r="J5621" s="102"/>
      <c r="K5621" s="102">
        <v>1</v>
      </c>
      <c r="L5621" s="102"/>
      <c r="M5621" s="22" t="b">
        <v>1</v>
      </c>
    </row>
    <row r="5622" spans="1:13" x14ac:dyDescent="0.25">
      <c r="A5622" s="102"/>
      <c r="B5622" s="102" t="s">
        <v>119</v>
      </c>
      <c r="C5622" s="102"/>
      <c r="D5622" s="102">
        <v>56001</v>
      </c>
      <c r="E5622" s="136" t="str">
        <f>INDEX([1]道具配置表!$D:$D,MATCH(D5622,[1]道具配置表!$A:$A,0))</f>
        <v>锻造装备消耗材料</v>
      </c>
      <c r="F5622" s="102">
        <v>50</v>
      </c>
      <c r="G5622" s="102"/>
      <c r="H5622" s="102"/>
      <c r="I5622" s="102"/>
      <c r="J5622" s="102"/>
      <c r="K5622" s="102">
        <v>1</v>
      </c>
      <c r="L5622" s="102"/>
      <c r="M5622" s="22" t="b">
        <v>1</v>
      </c>
    </row>
    <row r="5623" spans="1:13" x14ac:dyDescent="0.25">
      <c r="A5623" s="102"/>
      <c r="B5623" s="102" t="s">
        <v>119</v>
      </c>
      <c r="C5623" s="102"/>
      <c r="D5623" s="102">
        <v>6201</v>
      </c>
      <c r="E5623" s="136" t="str">
        <f>INDEX([1]道具配置表!$D:$D,MATCH(D5623,[1]道具配置表!$A:$A,0))</f>
        <v>60分钟锻造加速</v>
      </c>
      <c r="F5623" s="102">
        <v>1</v>
      </c>
      <c r="G5623" s="102"/>
      <c r="H5623" s="102"/>
      <c r="I5623" s="102"/>
      <c r="J5623" s="102"/>
      <c r="K5623" s="102">
        <v>1</v>
      </c>
      <c r="L5623" s="102"/>
      <c r="M5623" s="22" t="b">
        <v>1</v>
      </c>
    </row>
    <row r="5624" spans="1:13" x14ac:dyDescent="0.25">
      <c r="A5624" s="102"/>
      <c r="B5624" s="102" t="s">
        <v>119</v>
      </c>
      <c r="C5624" s="102"/>
      <c r="D5624" s="102">
        <v>56002</v>
      </c>
      <c r="E5624" s="136" t="str">
        <f>INDEX([1]道具配置表!$D:$D,MATCH(D5624,[1]道具配置表!$A:$A,0))</f>
        <v>强化装备消耗材料</v>
      </c>
      <c r="F5624" s="102">
        <v>20</v>
      </c>
      <c r="G5624" s="102"/>
      <c r="H5624" s="102"/>
      <c r="I5624" s="102"/>
      <c r="J5624" s="102"/>
      <c r="K5624" s="102">
        <v>1</v>
      </c>
      <c r="L5624" s="102"/>
      <c r="M5624" s="22" t="b">
        <v>1</v>
      </c>
    </row>
    <row r="5625" spans="1:13" x14ac:dyDescent="0.25">
      <c r="A5625" s="102">
        <v>6650066</v>
      </c>
      <c r="B5625" s="102" t="s">
        <v>1237</v>
      </c>
      <c r="C5625" s="102"/>
      <c r="D5625" s="102">
        <v>3000001</v>
      </c>
      <c r="E5625" s="136" t="str">
        <f>INDEX([1]道具配置表!$D:$D,MATCH(D5625,[1]道具配置表!$A:$A,0))</f>
        <v>自走棋放置货币</v>
      </c>
      <c r="F5625" s="102">
        <v>20</v>
      </c>
      <c r="G5625" s="102"/>
      <c r="H5625" s="102"/>
      <c r="I5625" s="102"/>
      <c r="J5625" s="102"/>
      <c r="K5625" s="102">
        <v>1</v>
      </c>
      <c r="L5625" s="102"/>
      <c r="M5625" s="22" t="b">
        <v>1</v>
      </c>
    </row>
    <row r="5626" spans="1:13" x14ac:dyDescent="0.25">
      <c r="A5626" s="102"/>
      <c r="B5626" s="102" t="s">
        <v>119</v>
      </c>
      <c r="C5626" s="102"/>
      <c r="D5626" s="102">
        <v>7228</v>
      </c>
      <c r="E5626" s="136" t="str">
        <f>INDEX([1]道具配置表!$D:$D,MATCH(D5626,[1]道具配置表!$A:$A,0))</f>
        <v>经验书*10000</v>
      </c>
      <c r="F5626" s="102">
        <v>1</v>
      </c>
      <c r="G5626" s="102"/>
      <c r="H5626" s="102"/>
      <c r="I5626" s="102"/>
      <c r="J5626" s="102"/>
      <c r="K5626" s="102">
        <v>1</v>
      </c>
      <c r="L5626" s="102"/>
      <c r="M5626" s="22" t="b">
        <v>1</v>
      </c>
    </row>
    <row r="5627" spans="1:13" x14ac:dyDescent="0.25">
      <c r="A5627" s="102"/>
      <c r="B5627" s="102" t="s">
        <v>119</v>
      </c>
      <c r="C5627" s="102"/>
      <c r="D5627" s="102">
        <v>20000</v>
      </c>
      <c r="E5627" s="136" t="str">
        <f>INDEX([1]道具配置表!$D:$D,MATCH(D5627,[1]道具配置表!$A:$A,0))</f>
        <v>技能点1</v>
      </c>
      <c r="F5627" s="102">
        <v>50</v>
      </c>
      <c r="G5627" s="102"/>
      <c r="H5627" s="102"/>
      <c r="I5627" s="102"/>
      <c r="J5627" s="102"/>
      <c r="K5627" s="102">
        <v>1</v>
      </c>
      <c r="L5627" s="102"/>
      <c r="M5627" s="22" t="b">
        <v>1</v>
      </c>
    </row>
    <row r="5628" spans="1:13" x14ac:dyDescent="0.25">
      <c r="A5628" s="102"/>
      <c r="B5628" s="102" t="s">
        <v>119</v>
      </c>
      <c r="C5628" s="102"/>
      <c r="D5628" s="102">
        <v>56001</v>
      </c>
      <c r="E5628" s="136" t="str">
        <f>INDEX([1]道具配置表!$D:$D,MATCH(D5628,[1]道具配置表!$A:$A,0))</f>
        <v>锻造装备消耗材料</v>
      </c>
      <c r="F5628" s="102">
        <v>20</v>
      </c>
      <c r="G5628" s="102"/>
      <c r="H5628" s="102"/>
      <c r="I5628" s="102"/>
      <c r="J5628" s="102"/>
      <c r="K5628" s="102">
        <v>1</v>
      </c>
      <c r="L5628" s="102"/>
      <c r="M5628" s="22" t="b">
        <v>1</v>
      </c>
    </row>
    <row r="5629" spans="1:13" x14ac:dyDescent="0.25">
      <c r="A5629" s="102"/>
      <c r="B5629" s="102" t="s">
        <v>119</v>
      </c>
      <c r="C5629" s="102"/>
      <c r="D5629" s="102">
        <v>6197</v>
      </c>
      <c r="E5629" s="136" t="str">
        <f>INDEX([1]道具配置表!$D:$D,MATCH(D5629,[1]道具配置表!$A:$A,0))</f>
        <v>5分钟锻造加速</v>
      </c>
      <c r="F5629" s="102">
        <v>1</v>
      </c>
      <c r="G5629" s="102"/>
      <c r="H5629" s="102"/>
      <c r="I5629" s="102"/>
      <c r="J5629" s="102"/>
      <c r="K5629" s="102">
        <v>1</v>
      </c>
      <c r="L5629" s="102"/>
      <c r="M5629" s="22" t="b">
        <v>1</v>
      </c>
    </row>
    <row r="5630" spans="1:13" x14ac:dyDescent="0.25">
      <c r="A5630" s="102">
        <v>6650067</v>
      </c>
      <c r="B5630" s="102" t="s">
        <v>1238</v>
      </c>
      <c r="C5630" s="102"/>
      <c r="D5630" s="102">
        <v>3000001</v>
      </c>
      <c r="E5630" s="136" t="str">
        <f>INDEX([1]道具配置表!$D:$D,MATCH(D5630,[1]道具配置表!$A:$A,0))</f>
        <v>自走棋放置货币</v>
      </c>
      <c r="F5630" s="102">
        <v>20</v>
      </c>
      <c r="G5630" s="102"/>
      <c r="H5630" s="102"/>
      <c r="I5630" s="102"/>
      <c r="J5630" s="102"/>
      <c r="K5630" s="102">
        <v>1</v>
      </c>
      <c r="L5630" s="102"/>
      <c r="M5630" s="22" t="b">
        <v>1</v>
      </c>
    </row>
    <row r="5631" spans="1:13" x14ac:dyDescent="0.25">
      <c r="A5631" s="102"/>
      <c r="B5631" s="102" t="s">
        <v>119</v>
      </c>
      <c r="C5631" s="102"/>
      <c r="D5631" s="102">
        <v>7228</v>
      </c>
      <c r="E5631" s="136" t="str">
        <f>INDEX([1]道具配置表!$D:$D,MATCH(D5631,[1]道具配置表!$A:$A,0))</f>
        <v>经验书*10000</v>
      </c>
      <c r="F5631" s="102">
        <v>1</v>
      </c>
      <c r="G5631" s="102"/>
      <c r="H5631" s="102"/>
      <c r="I5631" s="102"/>
      <c r="J5631" s="102"/>
      <c r="K5631" s="102">
        <v>1</v>
      </c>
      <c r="L5631" s="102"/>
      <c r="M5631" s="22" t="b">
        <v>1</v>
      </c>
    </row>
    <row r="5632" spans="1:13" x14ac:dyDescent="0.25">
      <c r="A5632" s="102"/>
      <c r="B5632" s="102" t="s">
        <v>119</v>
      </c>
      <c r="C5632" s="102"/>
      <c r="D5632" s="102">
        <v>20000</v>
      </c>
      <c r="E5632" s="136" t="str">
        <f>INDEX([1]道具配置表!$D:$D,MATCH(D5632,[1]道具配置表!$A:$A,0))</f>
        <v>技能点1</v>
      </c>
      <c r="F5632" s="102">
        <v>50</v>
      </c>
      <c r="G5632" s="102"/>
      <c r="H5632" s="102"/>
      <c r="I5632" s="102"/>
      <c r="J5632" s="102"/>
      <c r="K5632" s="102">
        <v>1</v>
      </c>
      <c r="L5632" s="102"/>
      <c r="M5632" s="22" t="b">
        <v>1</v>
      </c>
    </row>
    <row r="5633" spans="1:13" x14ac:dyDescent="0.25">
      <c r="A5633" s="102"/>
      <c r="B5633" s="102" t="s">
        <v>119</v>
      </c>
      <c r="C5633" s="102"/>
      <c r="D5633" s="102">
        <v>56001</v>
      </c>
      <c r="E5633" s="136" t="str">
        <f>INDEX([1]道具配置表!$D:$D,MATCH(D5633,[1]道具配置表!$A:$A,0))</f>
        <v>锻造装备消耗材料</v>
      </c>
      <c r="F5633" s="102">
        <v>20</v>
      </c>
      <c r="G5633" s="102"/>
      <c r="H5633" s="102"/>
      <c r="I5633" s="102"/>
      <c r="J5633" s="102"/>
      <c r="K5633" s="102">
        <v>1</v>
      </c>
      <c r="L5633" s="102"/>
      <c r="M5633" s="22" t="b">
        <v>1</v>
      </c>
    </row>
    <row r="5634" spans="1:13" x14ac:dyDescent="0.25">
      <c r="A5634" s="102"/>
      <c r="B5634" s="102" t="s">
        <v>119</v>
      </c>
      <c r="C5634" s="102"/>
      <c r="D5634" s="102">
        <v>6197</v>
      </c>
      <c r="E5634" s="136" t="str">
        <f>INDEX([1]道具配置表!$D:$D,MATCH(D5634,[1]道具配置表!$A:$A,0))</f>
        <v>5分钟锻造加速</v>
      </c>
      <c r="F5634" s="102">
        <v>1</v>
      </c>
      <c r="G5634" s="102"/>
      <c r="H5634" s="102"/>
      <c r="I5634" s="102"/>
      <c r="J5634" s="102"/>
      <c r="K5634" s="102">
        <v>1</v>
      </c>
      <c r="L5634" s="102"/>
      <c r="M5634" s="22" t="b">
        <v>1</v>
      </c>
    </row>
    <row r="5635" spans="1:13" x14ac:dyDescent="0.25">
      <c r="A5635" s="102">
        <v>6650068</v>
      </c>
      <c r="B5635" s="102" t="s">
        <v>1239</v>
      </c>
      <c r="C5635" s="102"/>
      <c r="D5635" s="102">
        <v>3000001</v>
      </c>
      <c r="E5635" s="136" t="str">
        <f>INDEX([1]道具配置表!$D:$D,MATCH(D5635,[1]道具配置表!$A:$A,0))</f>
        <v>自走棋放置货币</v>
      </c>
      <c r="F5635" s="102">
        <v>20</v>
      </c>
      <c r="G5635" s="102"/>
      <c r="H5635" s="102"/>
      <c r="I5635" s="102"/>
      <c r="J5635" s="102"/>
      <c r="K5635" s="102">
        <v>1</v>
      </c>
      <c r="L5635" s="102"/>
      <c r="M5635" s="22" t="b">
        <v>1</v>
      </c>
    </row>
    <row r="5636" spans="1:13" x14ac:dyDescent="0.25">
      <c r="A5636" s="102"/>
      <c r="B5636" s="102" t="s">
        <v>119</v>
      </c>
      <c r="C5636" s="102"/>
      <c r="D5636" s="102">
        <v>7228</v>
      </c>
      <c r="E5636" s="136" t="str">
        <f>INDEX([1]道具配置表!$D:$D,MATCH(D5636,[1]道具配置表!$A:$A,0))</f>
        <v>经验书*10000</v>
      </c>
      <c r="F5636" s="102">
        <v>1</v>
      </c>
      <c r="G5636" s="102"/>
      <c r="H5636" s="102"/>
      <c r="I5636" s="102"/>
      <c r="J5636" s="102"/>
      <c r="K5636" s="102">
        <v>1</v>
      </c>
      <c r="L5636" s="102"/>
      <c r="M5636" s="22" t="b">
        <v>1</v>
      </c>
    </row>
    <row r="5637" spans="1:13" x14ac:dyDescent="0.25">
      <c r="A5637" s="102"/>
      <c r="B5637" s="102" t="s">
        <v>119</v>
      </c>
      <c r="C5637" s="102"/>
      <c r="D5637" s="102">
        <v>20000</v>
      </c>
      <c r="E5637" s="136" t="str">
        <f>INDEX([1]道具配置表!$D:$D,MATCH(D5637,[1]道具配置表!$A:$A,0))</f>
        <v>技能点1</v>
      </c>
      <c r="F5637" s="102">
        <v>50</v>
      </c>
      <c r="G5637" s="102"/>
      <c r="H5637" s="102"/>
      <c r="I5637" s="102"/>
      <c r="J5637" s="102"/>
      <c r="K5637" s="102">
        <v>1</v>
      </c>
      <c r="L5637" s="102"/>
      <c r="M5637" s="22" t="b">
        <v>1</v>
      </c>
    </row>
    <row r="5638" spans="1:13" x14ac:dyDescent="0.25">
      <c r="A5638" s="102"/>
      <c r="B5638" s="102" t="s">
        <v>119</v>
      </c>
      <c r="C5638" s="102"/>
      <c r="D5638" s="102">
        <v>56001</v>
      </c>
      <c r="E5638" s="136" t="str">
        <f>INDEX([1]道具配置表!$D:$D,MATCH(D5638,[1]道具配置表!$A:$A,0))</f>
        <v>锻造装备消耗材料</v>
      </c>
      <c r="F5638" s="102">
        <v>20</v>
      </c>
      <c r="G5638" s="102"/>
      <c r="H5638" s="102"/>
      <c r="I5638" s="102"/>
      <c r="J5638" s="102"/>
      <c r="K5638" s="102">
        <v>1</v>
      </c>
      <c r="L5638" s="102"/>
      <c r="M5638" s="22" t="b">
        <v>1</v>
      </c>
    </row>
    <row r="5639" spans="1:13" x14ac:dyDescent="0.25">
      <c r="A5639" s="102"/>
      <c r="B5639" s="102" t="s">
        <v>119</v>
      </c>
      <c r="C5639" s="102"/>
      <c r="D5639" s="102">
        <v>6197</v>
      </c>
      <c r="E5639" s="136" t="str">
        <f>INDEX([1]道具配置表!$D:$D,MATCH(D5639,[1]道具配置表!$A:$A,0))</f>
        <v>5分钟锻造加速</v>
      </c>
      <c r="F5639" s="102">
        <v>1</v>
      </c>
      <c r="G5639" s="102"/>
      <c r="H5639" s="102"/>
      <c r="I5639" s="102"/>
      <c r="J5639" s="102"/>
      <c r="K5639" s="102">
        <v>1</v>
      </c>
      <c r="L5639" s="102"/>
      <c r="M5639" s="22" t="b">
        <v>1</v>
      </c>
    </row>
    <row r="5640" spans="1:13" x14ac:dyDescent="0.25">
      <c r="A5640" s="102">
        <v>6650069</v>
      </c>
      <c r="B5640" s="102" t="s">
        <v>1240</v>
      </c>
      <c r="C5640" s="102"/>
      <c r="D5640" s="102">
        <v>3000001</v>
      </c>
      <c r="E5640" s="136" t="str">
        <f>INDEX([1]道具配置表!$D:$D,MATCH(D5640,[1]道具配置表!$A:$A,0))</f>
        <v>自走棋放置货币</v>
      </c>
      <c r="F5640" s="102">
        <v>20</v>
      </c>
      <c r="G5640" s="102"/>
      <c r="H5640" s="102"/>
      <c r="I5640" s="102"/>
      <c r="J5640" s="102"/>
      <c r="K5640" s="102">
        <v>1</v>
      </c>
      <c r="L5640" s="102"/>
      <c r="M5640" s="22" t="b">
        <v>1</v>
      </c>
    </row>
    <row r="5641" spans="1:13" x14ac:dyDescent="0.25">
      <c r="A5641" s="102"/>
      <c r="B5641" s="102" t="s">
        <v>119</v>
      </c>
      <c r="C5641" s="102"/>
      <c r="D5641" s="102">
        <v>7228</v>
      </c>
      <c r="E5641" s="136" t="str">
        <f>INDEX([1]道具配置表!$D:$D,MATCH(D5641,[1]道具配置表!$A:$A,0))</f>
        <v>经验书*10000</v>
      </c>
      <c r="F5641" s="102">
        <v>1</v>
      </c>
      <c r="G5641" s="102"/>
      <c r="H5641" s="102"/>
      <c r="I5641" s="102"/>
      <c r="J5641" s="102"/>
      <c r="K5641" s="102">
        <v>1</v>
      </c>
      <c r="L5641" s="102"/>
      <c r="M5641" s="22" t="b">
        <v>1</v>
      </c>
    </row>
    <row r="5642" spans="1:13" x14ac:dyDescent="0.25">
      <c r="A5642" s="102"/>
      <c r="B5642" s="102" t="s">
        <v>119</v>
      </c>
      <c r="C5642" s="102"/>
      <c r="D5642" s="102">
        <v>20000</v>
      </c>
      <c r="E5642" s="136" t="str">
        <f>INDEX([1]道具配置表!$D:$D,MATCH(D5642,[1]道具配置表!$A:$A,0))</f>
        <v>技能点1</v>
      </c>
      <c r="F5642" s="102">
        <v>50</v>
      </c>
      <c r="G5642" s="102"/>
      <c r="H5642" s="102"/>
      <c r="I5642" s="102"/>
      <c r="J5642" s="102"/>
      <c r="K5642" s="102">
        <v>1</v>
      </c>
      <c r="L5642" s="102"/>
      <c r="M5642" s="22" t="b">
        <v>1</v>
      </c>
    </row>
    <row r="5643" spans="1:13" x14ac:dyDescent="0.25">
      <c r="A5643" s="102"/>
      <c r="B5643" s="102" t="s">
        <v>119</v>
      </c>
      <c r="C5643" s="102"/>
      <c r="D5643" s="102">
        <v>56001</v>
      </c>
      <c r="E5643" s="136" t="str">
        <f>INDEX([1]道具配置表!$D:$D,MATCH(D5643,[1]道具配置表!$A:$A,0))</f>
        <v>锻造装备消耗材料</v>
      </c>
      <c r="F5643" s="102">
        <v>20</v>
      </c>
      <c r="G5643" s="102"/>
      <c r="H5643" s="102"/>
      <c r="I5643" s="102"/>
      <c r="J5643" s="102"/>
      <c r="K5643" s="102">
        <v>1</v>
      </c>
      <c r="L5643" s="102"/>
      <c r="M5643" s="22" t="b">
        <v>1</v>
      </c>
    </row>
    <row r="5644" spans="1:13" x14ac:dyDescent="0.25">
      <c r="A5644" s="102"/>
      <c r="B5644" s="102" t="s">
        <v>119</v>
      </c>
      <c r="C5644" s="102"/>
      <c r="D5644" s="102">
        <v>6197</v>
      </c>
      <c r="E5644" s="136" t="str">
        <f>INDEX([1]道具配置表!$D:$D,MATCH(D5644,[1]道具配置表!$A:$A,0))</f>
        <v>5分钟锻造加速</v>
      </c>
      <c r="F5644" s="102">
        <v>1</v>
      </c>
      <c r="G5644" s="102"/>
      <c r="H5644" s="102"/>
      <c r="I5644" s="102"/>
      <c r="J5644" s="102"/>
      <c r="K5644" s="102">
        <v>1</v>
      </c>
      <c r="L5644" s="102"/>
      <c r="M5644" s="22" t="b">
        <v>1</v>
      </c>
    </row>
    <row r="5645" spans="1:13" x14ac:dyDescent="0.25">
      <c r="A5645" s="102">
        <v>6650070</v>
      </c>
      <c r="B5645" s="102" t="s">
        <v>1241</v>
      </c>
      <c r="C5645" s="102"/>
      <c r="D5645" s="102">
        <v>56189</v>
      </c>
      <c r="E5645" s="136" t="str">
        <f>INDEX([1]道具配置表!$D:$D,MATCH(D5645,[1]道具配置表!$A:$A,0))</f>
        <v>传承臂甲</v>
      </c>
      <c r="F5645" s="102">
        <v>1</v>
      </c>
      <c r="G5645" s="102"/>
      <c r="H5645" s="102"/>
      <c r="I5645" s="102"/>
      <c r="J5645" s="102"/>
      <c r="K5645" s="102">
        <v>1</v>
      </c>
      <c r="L5645" s="102"/>
      <c r="M5645" s="22" t="b">
        <v>1</v>
      </c>
    </row>
    <row r="5646" spans="1:13" x14ac:dyDescent="0.25">
      <c r="A5646" s="102"/>
      <c r="B5646" s="102" t="s">
        <v>119</v>
      </c>
      <c r="C5646" s="102"/>
      <c r="D5646" s="102">
        <v>3000001</v>
      </c>
      <c r="E5646" s="136" t="str">
        <f>INDEX([1]道具配置表!$D:$D,MATCH(D5646,[1]道具配置表!$A:$A,0))</f>
        <v>自走棋放置货币</v>
      </c>
      <c r="F5646" s="102">
        <v>40</v>
      </c>
      <c r="G5646" s="102"/>
      <c r="H5646" s="102"/>
      <c r="I5646" s="102"/>
      <c r="J5646" s="102"/>
      <c r="K5646" s="102">
        <v>1</v>
      </c>
      <c r="L5646" s="102"/>
      <c r="M5646" s="22" t="b">
        <v>1</v>
      </c>
    </row>
    <row r="5647" spans="1:13" x14ac:dyDescent="0.25">
      <c r="A5647" s="102"/>
      <c r="B5647" s="102" t="s">
        <v>119</v>
      </c>
      <c r="C5647" s="102"/>
      <c r="D5647" s="102">
        <v>7228</v>
      </c>
      <c r="E5647" s="136" t="str">
        <f>INDEX([1]道具配置表!$D:$D,MATCH(D5647,[1]道具配置表!$A:$A,0))</f>
        <v>经验书*10000</v>
      </c>
      <c r="F5647" s="102">
        <v>2</v>
      </c>
      <c r="G5647" s="102"/>
      <c r="H5647" s="102"/>
      <c r="I5647" s="102"/>
      <c r="J5647" s="102"/>
      <c r="K5647" s="102">
        <v>1</v>
      </c>
      <c r="L5647" s="102"/>
      <c r="M5647" s="22" t="b">
        <v>1</v>
      </c>
    </row>
    <row r="5648" spans="1:13" x14ac:dyDescent="0.25">
      <c r="A5648" s="102"/>
      <c r="B5648" s="102" t="s">
        <v>119</v>
      </c>
      <c r="C5648" s="102"/>
      <c r="D5648" s="102">
        <v>20000</v>
      </c>
      <c r="E5648" s="136" t="str">
        <f>INDEX([1]道具配置表!$D:$D,MATCH(D5648,[1]道具配置表!$A:$A,0))</f>
        <v>技能点1</v>
      </c>
      <c r="F5648" s="102">
        <v>100</v>
      </c>
      <c r="G5648" s="102"/>
      <c r="H5648" s="102"/>
      <c r="I5648" s="102"/>
      <c r="J5648" s="102"/>
      <c r="K5648" s="102">
        <v>1</v>
      </c>
      <c r="L5648" s="102"/>
      <c r="M5648" s="22" t="b">
        <v>1</v>
      </c>
    </row>
    <row r="5649" spans="1:13" x14ac:dyDescent="0.25">
      <c r="A5649" s="102"/>
      <c r="B5649" s="102" t="s">
        <v>119</v>
      </c>
      <c r="C5649" s="102"/>
      <c r="D5649" s="102">
        <v>56001</v>
      </c>
      <c r="E5649" s="136" t="str">
        <f>INDEX([1]道具配置表!$D:$D,MATCH(D5649,[1]道具配置表!$A:$A,0))</f>
        <v>锻造装备消耗材料</v>
      </c>
      <c r="F5649" s="102">
        <v>50</v>
      </c>
      <c r="G5649" s="102"/>
      <c r="H5649" s="102"/>
      <c r="I5649" s="102"/>
      <c r="J5649" s="102"/>
      <c r="K5649" s="102">
        <v>1</v>
      </c>
      <c r="L5649" s="102"/>
      <c r="M5649" s="22" t="b">
        <v>1</v>
      </c>
    </row>
    <row r="5650" spans="1:13" x14ac:dyDescent="0.25">
      <c r="A5650" s="102"/>
      <c r="B5650" s="102" t="s">
        <v>119</v>
      </c>
      <c r="C5650" s="102"/>
      <c r="D5650" s="102">
        <v>6201</v>
      </c>
      <c r="E5650" s="136" t="str">
        <f>INDEX([1]道具配置表!$D:$D,MATCH(D5650,[1]道具配置表!$A:$A,0))</f>
        <v>60分钟锻造加速</v>
      </c>
      <c r="F5650" s="102">
        <v>1</v>
      </c>
      <c r="G5650" s="102"/>
      <c r="H5650" s="102"/>
      <c r="I5650" s="102"/>
      <c r="J5650" s="102"/>
      <c r="K5650" s="102">
        <v>1</v>
      </c>
      <c r="L5650" s="102"/>
      <c r="M5650" s="22" t="b">
        <v>1</v>
      </c>
    </row>
    <row r="5651" spans="1:13" x14ac:dyDescent="0.25">
      <c r="A5651" s="102"/>
      <c r="B5651" s="102" t="s">
        <v>119</v>
      </c>
      <c r="C5651" s="102"/>
      <c r="D5651" s="102">
        <v>56002</v>
      </c>
      <c r="E5651" s="136" t="str">
        <f>INDEX([1]道具配置表!$D:$D,MATCH(D5651,[1]道具配置表!$A:$A,0))</f>
        <v>强化装备消耗材料</v>
      </c>
      <c r="F5651" s="102">
        <v>20</v>
      </c>
      <c r="G5651" s="102"/>
      <c r="H5651" s="102"/>
      <c r="I5651" s="102"/>
      <c r="J5651" s="102"/>
      <c r="K5651" s="102">
        <v>1</v>
      </c>
      <c r="L5651" s="102"/>
      <c r="M5651" s="22" t="b">
        <v>1</v>
      </c>
    </row>
    <row r="5652" spans="1:13" x14ac:dyDescent="0.25">
      <c r="A5652" s="102">
        <v>6650071</v>
      </c>
      <c r="B5652" s="102" t="s">
        <v>1242</v>
      </c>
      <c r="C5652" s="102"/>
      <c r="D5652" s="102">
        <v>3000001</v>
      </c>
      <c r="E5652" s="136" t="str">
        <f>INDEX([1]道具配置表!$D:$D,MATCH(D5652,[1]道具配置表!$A:$A,0))</f>
        <v>自走棋放置货币</v>
      </c>
      <c r="F5652" s="102">
        <v>20</v>
      </c>
      <c r="G5652" s="102"/>
      <c r="H5652" s="102"/>
      <c r="I5652" s="102"/>
      <c r="J5652" s="102"/>
      <c r="K5652" s="102">
        <v>1</v>
      </c>
      <c r="L5652" s="102"/>
      <c r="M5652" s="22" t="b">
        <v>1</v>
      </c>
    </row>
    <row r="5653" spans="1:13" x14ac:dyDescent="0.25">
      <c r="A5653" s="102"/>
      <c r="B5653" s="102" t="s">
        <v>119</v>
      </c>
      <c r="C5653" s="102"/>
      <c r="D5653" s="102">
        <v>7228</v>
      </c>
      <c r="E5653" s="136" t="str">
        <f>INDEX([1]道具配置表!$D:$D,MATCH(D5653,[1]道具配置表!$A:$A,0))</f>
        <v>经验书*10000</v>
      </c>
      <c r="F5653" s="102">
        <v>1</v>
      </c>
      <c r="G5653" s="102"/>
      <c r="H5653" s="102"/>
      <c r="I5653" s="102"/>
      <c r="J5653" s="102"/>
      <c r="K5653" s="102">
        <v>1</v>
      </c>
      <c r="L5653" s="102"/>
      <c r="M5653" s="22" t="b">
        <v>1</v>
      </c>
    </row>
    <row r="5654" spans="1:13" x14ac:dyDescent="0.25">
      <c r="A5654" s="102"/>
      <c r="B5654" s="102" t="s">
        <v>119</v>
      </c>
      <c r="C5654" s="102"/>
      <c r="D5654" s="102">
        <v>20000</v>
      </c>
      <c r="E5654" s="136" t="str">
        <f>INDEX([1]道具配置表!$D:$D,MATCH(D5654,[1]道具配置表!$A:$A,0))</f>
        <v>技能点1</v>
      </c>
      <c r="F5654" s="102">
        <v>50</v>
      </c>
      <c r="G5654" s="102"/>
      <c r="H5654" s="102"/>
      <c r="I5654" s="102"/>
      <c r="J5654" s="102"/>
      <c r="K5654" s="102">
        <v>1</v>
      </c>
      <c r="L5654" s="102"/>
      <c r="M5654" s="22" t="b">
        <v>1</v>
      </c>
    </row>
    <row r="5655" spans="1:13" x14ac:dyDescent="0.25">
      <c r="A5655" s="102"/>
      <c r="B5655" s="102" t="s">
        <v>119</v>
      </c>
      <c r="C5655" s="102"/>
      <c r="D5655" s="102">
        <v>56001</v>
      </c>
      <c r="E5655" s="136" t="str">
        <f>INDEX([1]道具配置表!$D:$D,MATCH(D5655,[1]道具配置表!$A:$A,0))</f>
        <v>锻造装备消耗材料</v>
      </c>
      <c r="F5655" s="102">
        <v>20</v>
      </c>
      <c r="G5655" s="102"/>
      <c r="H5655" s="102"/>
      <c r="I5655" s="102"/>
      <c r="J5655" s="102"/>
      <c r="K5655" s="102">
        <v>1</v>
      </c>
      <c r="L5655" s="102"/>
      <c r="M5655" s="22" t="b">
        <v>1</v>
      </c>
    </row>
    <row r="5656" spans="1:13" x14ac:dyDescent="0.25">
      <c r="A5656" s="102"/>
      <c r="B5656" s="102" t="s">
        <v>119</v>
      </c>
      <c r="C5656" s="102"/>
      <c r="D5656" s="102">
        <v>6197</v>
      </c>
      <c r="E5656" s="136" t="str">
        <f>INDEX([1]道具配置表!$D:$D,MATCH(D5656,[1]道具配置表!$A:$A,0))</f>
        <v>5分钟锻造加速</v>
      </c>
      <c r="F5656" s="102">
        <v>1</v>
      </c>
      <c r="G5656" s="102"/>
      <c r="H5656" s="102"/>
      <c r="I5656" s="102"/>
      <c r="J5656" s="102"/>
      <c r="K5656" s="102">
        <v>1</v>
      </c>
      <c r="L5656" s="102"/>
      <c r="M5656" s="22" t="b">
        <v>1</v>
      </c>
    </row>
    <row r="5657" spans="1:13" x14ac:dyDescent="0.25">
      <c r="A5657" s="102">
        <v>6650072</v>
      </c>
      <c r="B5657" s="102" t="s">
        <v>1243</v>
      </c>
      <c r="C5657" s="102"/>
      <c r="D5657" s="102">
        <v>3000001</v>
      </c>
      <c r="E5657" s="136" t="str">
        <f>INDEX([1]道具配置表!$D:$D,MATCH(D5657,[1]道具配置表!$A:$A,0))</f>
        <v>自走棋放置货币</v>
      </c>
      <c r="F5657" s="102">
        <v>20</v>
      </c>
      <c r="G5657" s="102"/>
      <c r="H5657" s="102"/>
      <c r="I5657" s="102"/>
      <c r="J5657" s="102"/>
      <c r="K5657" s="102">
        <v>1</v>
      </c>
      <c r="L5657" s="102"/>
      <c r="M5657" s="22" t="b">
        <v>1</v>
      </c>
    </row>
    <row r="5658" spans="1:13" x14ac:dyDescent="0.25">
      <c r="A5658" s="102"/>
      <c r="B5658" s="102" t="s">
        <v>119</v>
      </c>
      <c r="C5658" s="102"/>
      <c r="D5658" s="102">
        <v>7228</v>
      </c>
      <c r="E5658" s="136" t="str">
        <f>INDEX([1]道具配置表!$D:$D,MATCH(D5658,[1]道具配置表!$A:$A,0))</f>
        <v>经验书*10000</v>
      </c>
      <c r="F5658" s="102">
        <v>1</v>
      </c>
      <c r="G5658" s="102"/>
      <c r="H5658" s="102"/>
      <c r="I5658" s="102"/>
      <c r="J5658" s="102"/>
      <c r="K5658" s="102">
        <v>1</v>
      </c>
      <c r="L5658" s="102"/>
      <c r="M5658" s="22" t="b">
        <v>1</v>
      </c>
    </row>
    <row r="5659" spans="1:13" x14ac:dyDescent="0.25">
      <c r="A5659" s="102"/>
      <c r="B5659" s="102" t="s">
        <v>119</v>
      </c>
      <c r="C5659" s="102"/>
      <c r="D5659" s="102">
        <v>20000</v>
      </c>
      <c r="E5659" s="136" t="str">
        <f>INDEX([1]道具配置表!$D:$D,MATCH(D5659,[1]道具配置表!$A:$A,0))</f>
        <v>技能点1</v>
      </c>
      <c r="F5659" s="102">
        <v>50</v>
      </c>
      <c r="G5659" s="102"/>
      <c r="H5659" s="102"/>
      <c r="I5659" s="102"/>
      <c r="J5659" s="102"/>
      <c r="K5659" s="102">
        <v>1</v>
      </c>
      <c r="L5659" s="102"/>
      <c r="M5659" s="22" t="b">
        <v>1</v>
      </c>
    </row>
    <row r="5660" spans="1:13" x14ac:dyDescent="0.25">
      <c r="A5660" s="102"/>
      <c r="B5660" s="102" t="s">
        <v>119</v>
      </c>
      <c r="C5660" s="102"/>
      <c r="D5660" s="102">
        <v>56001</v>
      </c>
      <c r="E5660" s="136" t="str">
        <f>INDEX([1]道具配置表!$D:$D,MATCH(D5660,[1]道具配置表!$A:$A,0))</f>
        <v>锻造装备消耗材料</v>
      </c>
      <c r="F5660" s="102">
        <v>20</v>
      </c>
      <c r="G5660" s="102"/>
      <c r="H5660" s="102"/>
      <c r="I5660" s="102"/>
      <c r="J5660" s="102"/>
      <c r="K5660" s="102">
        <v>1</v>
      </c>
      <c r="L5660" s="102"/>
      <c r="M5660" s="22" t="b">
        <v>1</v>
      </c>
    </row>
    <row r="5661" spans="1:13" x14ac:dyDescent="0.25">
      <c r="A5661" s="102"/>
      <c r="B5661" s="102" t="s">
        <v>119</v>
      </c>
      <c r="C5661" s="102"/>
      <c r="D5661" s="102">
        <v>6197</v>
      </c>
      <c r="E5661" s="136" t="str">
        <f>INDEX([1]道具配置表!$D:$D,MATCH(D5661,[1]道具配置表!$A:$A,0))</f>
        <v>5分钟锻造加速</v>
      </c>
      <c r="F5661" s="102">
        <v>1</v>
      </c>
      <c r="G5661" s="102"/>
      <c r="H5661" s="102"/>
      <c r="I5661" s="102"/>
      <c r="J5661" s="102"/>
      <c r="K5661" s="102">
        <v>1</v>
      </c>
      <c r="L5661" s="102"/>
      <c r="M5661" s="22" t="b">
        <v>1</v>
      </c>
    </row>
    <row r="5662" spans="1:13" x14ac:dyDescent="0.25">
      <c r="A5662" s="102">
        <v>6650073</v>
      </c>
      <c r="B5662" s="102" t="s">
        <v>1244</v>
      </c>
      <c r="C5662" s="102"/>
      <c r="D5662" s="102">
        <v>3000001</v>
      </c>
      <c r="E5662" s="136" t="str">
        <f>INDEX([1]道具配置表!$D:$D,MATCH(D5662,[1]道具配置表!$A:$A,0))</f>
        <v>自走棋放置货币</v>
      </c>
      <c r="F5662" s="102">
        <v>20</v>
      </c>
      <c r="G5662" s="102"/>
      <c r="H5662" s="102"/>
      <c r="I5662" s="102"/>
      <c r="J5662" s="102"/>
      <c r="K5662" s="102">
        <v>1</v>
      </c>
      <c r="L5662" s="102"/>
      <c r="M5662" s="22" t="b">
        <v>1</v>
      </c>
    </row>
    <row r="5663" spans="1:13" x14ac:dyDescent="0.25">
      <c r="A5663" s="102"/>
      <c r="B5663" s="102" t="s">
        <v>119</v>
      </c>
      <c r="C5663" s="102"/>
      <c r="D5663" s="102">
        <v>7228</v>
      </c>
      <c r="E5663" s="136" t="str">
        <f>INDEX([1]道具配置表!$D:$D,MATCH(D5663,[1]道具配置表!$A:$A,0))</f>
        <v>经验书*10000</v>
      </c>
      <c r="F5663" s="102">
        <v>1</v>
      </c>
      <c r="G5663" s="102"/>
      <c r="H5663" s="102"/>
      <c r="I5663" s="102"/>
      <c r="J5663" s="102"/>
      <c r="K5663" s="102">
        <v>1</v>
      </c>
      <c r="L5663" s="102"/>
      <c r="M5663" s="22" t="b">
        <v>1</v>
      </c>
    </row>
    <row r="5664" spans="1:13" x14ac:dyDescent="0.25">
      <c r="A5664" s="102"/>
      <c r="B5664" s="102" t="s">
        <v>119</v>
      </c>
      <c r="C5664" s="102"/>
      <c r="D5664" s="102">
        <v>20000</v>
      </c>
      <c r="E5664" s="136" t="str">
        <f>INDEX([1]道具配置表!$D:$D,MATCH(D5664,[1]道具配置表!$A:$A,0))</f>
        <v>技能点1</v>
      </c>
      <c r="F5664" s="102">
        <v>50</v>
      </c>
      <c r="G5664" s="102"/>
      <c r="H5664" s="102"/>
      <c r="I5664" s="102"/>
      <c r="J5664" s="102"/>
      <c r="K5664" s="102">
        <v>1</v>
      </c>
      <c r="L5664" s="102"/>
      <c r="M5664" s="22" t="b">
        <v>1</v>
      </c>
    </row>
    <row r="5665" spans="1:13" x14ac:dyDescent="0.25">
      <c r="A5665" s="102"/>
      <c r="B5665" s="102" t="s">
        <v>119</v>
      </c>
      <c r="C5665" s="102"/>
      <c r="D5665" s="102">
        <v>56001</v>
      </c>
      <c r="E5665" s="136" t="str">
        <f>INDEX([1]道具配置表!$D:$D,MATCH(D5665,[1]道具配置表!$A:$A,0))</f>
        <v>锻造装备消耗材料</v>
      </c>
      <c r="F5665" s="102">
        <v>20</v>
      </c>
      <c r="G5665" s="102"/>
      <c r="H5665" s="102"/>
      <c r="I5665" s="102"/>
      <c r="J5665" s="102"/>
      <c r="K5665" s="102">
        <v>1</v>
      </c>
      <c r="L5665" s="102"/>
      <c r="M5665" s="22" t="b">
        <v>1</v>
      </c>
    </row>
    <row r="5666" spans="1:13" x14ac:dyDescent="0.25">
      <c r="A5666" s="102"/>
      <c r="B5666" s="102" t="s">
        <v>119</v>
      </c>
      <c r="C5666" s="102"/>
      <c r="D5666" s="102">
        <v>6197</v>
      </c>
      <c r="E5666" s="136" t="str">
        <f>INDEX([1]道具配置表!$D:$D,MATCH(D5666,[1]道具配置表!$A:$A,0))</f>
        <v>5分钟锻造加速</v>
      </c>
      <c r="F5666" s="102">
        <v>1</v>
      </c>
      <c r="G5666" s="102"/>
      <c r="H5666" s="102"/>
      <c r="I5666" s="102"/>
      <c r="J5666" s="102"/>
      <c r="K5666" s="102">
        <v>1</v>
      </c>
      <c r="L5666" s="102"/>
      <c r="M5666" s="22" t="b">
        <v>1</v>
      </c>
    </row>
    <row r="5667" spans="1:13" x14ac:dyDescent="0.25">
      <c r="A5667" s="102">
        <v>6650074</v>
      </c>
      <c r="B5667" s="102" t="s">
        <v>1245</v>
      </c>
      <c r="C5667" s="102"/>
      <c r="D5667" s="102">
        <v>3000001</v>
      </c>
      <c r="E5667" s="136" t="str">
        <f>INDEX([1]道具配置表!$D:$D,MATCH(D5667,[1]道具配置表!$A:$A,0))</f>
        <v>自走棋放置货币</v>
      </c>
      <c r="F5667" s="102">
        <v>20</v>
      </c>
      <c r="G5667" s="102"/>
      <c r="H5667" s="102"/>
      <c r="I5667" s="102"/>
      <c r="J5667" s="102"/>
      <c r="K5667" s="102">
        <v>1</v>
      </c>
      <c r="L5667" s="102"/>
      <c r="M5667" s="22" t="b">
        <v>1</v>
      </c>
    </row>
    <row r="5668" spans="1:13" x14ac:dyDescent="0.25">
      <c r="A5668" s="102"/>
      <c r="B5668" s="102" t="s">
        <v>119</v>
      </c>
      <c r="C5668" s="102"/>
      <c r="D5668" s="102">
        <v>7228</v>
      </c>
      <c r="E5668" s="136" t="str">
        <f>INDEX([1]道具配置表!$D:$D,MATCH(D5668,[1]道具配置表!$A:$A,0))</f>
        <v>经验书*10000</v>
      </c>
      <c r="F5668" s="102">
        <v>1</v>
      </c>
      <c r="G5668" s="102"/>
      <c r="H5668" s="102"/>
      <c r="I5668" s="102"/>
      <c r="J5668" s="102"/>
      <c r="K5668" s="102">
        <v>1</v>
      </c>
      <c r="L5668" s="102"/>
      <c r="M5668" s="22" t="b">
        <v>1</v>
      </c>
    </row>
    <row r="5669" spans="1:13" x14ac:dyDescent="0.25">
      <c r="A5669" s="102"/>
      <c r="B5669" s="102" t="s">
        <v>119</v>
      </c>
      <c r="C5669" s="102"/>
      <c r="D5669" s="102">
        <v>20000</v>
      </c>
      <c r="E5669" s="136" t="str">
        <f>INDEX([1]道具配置表!$D:$D,MATCH(D5669,[1]道具配置表!$A:$A,0))</f>
        <v>技能点1</v>
      </c>
      <c r="F5669" s="102">
        <v>50</v>
      </c>
      <c r="G5669" s="102"/>
      <c r="H5669" s="102"/>
      <c r="I5669" s="102"/>
      <c r="J5669" s="102"/>
      <c r="K5669" s="102">
        <v>1</v>
      </c>
      <c r="L5669" s="102"/>
      <c r="M5669" s="22" t="b">
        <v>1</v>
      </c>
    </row>
    <row r="5670" spans="1:13" x14ac:dyDescent="0.25">
      <c r="A5670" s="102"/>
      <c r="B5670" s="102" t="s">
        <v>119</v>
      </c>
      <c r="C5670" s="102"/>
      <c r="D5670" s="102">
        <v>56001</v>
      </c>
      <c r="E5670" s="136" t="str">
        <f>INDEX([1]道具配置表!$D:$D,MATCH(D5670,[1]道具配置表!$A:$A,0))</f>
        <v>锻造装备消耗材料</v>
      </c>
      <c r="F5670" s="102">
        <v>20</v>
      </c>
      <c r="G5670" s="102"/>
      <c r="H5670" s="102"/>
      <c r="I5670" s="102"/>
      <c r="J5670" s="102"/>
      <c r="K5670" s="102">
        <v>1</v>
      </c>
      <c r="L5670" s="102"/>
      <c r="M5670" s="22" t="b">
        <v>1</v>
      </c>
    </row>
    <row r="5671" spans="1:13" x14ac:dyDescent="0.25">
      <c r="A5671" s="102"/>
      <c r="B5671" s="102" t="s">
        <v>119</v>
      </c>
      <c r="C5671" s="102"/>
      <c r="D5671" s="102">
        <v>6197</v>
      </c>
      <c r="E5671" s="136" t="str">
        <f>INDEX([1]道具配置表!$D:$D,MATCH(D5671,[1]道具配置表!$A:$A,0))</f>
        <v>5分钟锻造加速</v>
      </c>
      <c r="F5671" s="102">
        <v>1</v>
      </c>
      <c r="G5671" s="102"/>
      <c r="H5671" s="102"/>
      <c r="I5671" s="102"/>
      <c r="J5671" s="102"/>
      <c r="K5671" s="102">
        <v>1</v>
      </c>
      <c r="L5671" s="102"/>
      <c r="M5671" s="22" t="b">
        <v>1</v>
      </c>
    </row>
    <row r="5672" spans="1:13" x14ac:dyDescent="0.25">
      <c r="A5672" s="102">
        <v>6650075</v>
      </c>
      <c r="B5672" s="102" t="s">
        <v>1246</v>
      </c>
      <c r="C5672" s="102"/>
      <c r="D5672" s="102">
        <v>56154</v>
      </c>
      <c r="E5672" s="136" t="str">
        <f>INDEX([1]道具配置表!$D:$D,MATCH(D5672,[1]道具配置表!$A:$A,0))</f>
        <v>银光胸甲</v>
      </c>
      <c r="F5672" s="102">
        <v>1</v>
      </c>
      <c r="G5672" s="102"/>
      <c r="H5672" s="102"/>
      <c r="I5672" s="102"/>
      <c r="J5672" s="102"/>
      <c r="K5672" s="102">
        <v>1</v>
      </c>
      <c r="L5672" s="102"/>
      <c r="M5672" s="22" t="b">
        <v>1</v>
      </c>
    </row>
    <row r="5673" spans="1:13" x14ac:dyDescent="0.25">
      <c r="A5673" s="102"/>
      <c r="B5673" s="102" t="s">
        <v>119</v>
      </c>
      <c r="C5673" s="102"/>
      <c r="D5673" s="102">
        <v>3000001</v>
      </c>
      <c r="E5673" s="136" t="str">
        <f>INDEX([1]道具配置表!$D:$D,MATCH(D5673,[1]道具配置表!$A:$A,0))</f>
        <v>自走棋放置货币</v>
      </c>
      <c r="F5673" s="102">
        <v>40</v>
      </c>
      <c r="G5673" s="102"/>
      <c r="H5673" s="102"/>
      <c r="I5673" s="102"/>
      <c r="J5673" s="102"/>
      <c r="K5673" s="102">
        <v>1</v>
      </c>
      <c r="L5673" s="102"/>
      <c r="M5673" s="22" t="b">
        <v>1</v>
      </c>
    </row>
    <row r="5674" spans="1:13" x14ac:dyDescent="0.25">
      <c r="A5674" s="102"/>
      <c r="B5674" s="102" t="s">
        <v>119</v>
      </c>
      <c r="C5674" s="102"/>
      <c r="D5674" s="102">
        <v>7228</v>
      </c>
      <c r="E5674" s="136" t="str">
        <f>INDEX([1]道具配置表!$D:$D,MATCH(D5674,[1]道具配置表!$A:$A,0))</f>
        <v>经验书*10000</v>
      </c>
      <c r="F5674" s="102">
        <v>2</v>
      </c>
      <c r="G5674" s="102"/>
      <c r="H5674" s="102"/>
      <c r="I5674" s="102"/>
      <c r="J5674" s="102"/>
      <c r="K5674" s="102">
        <v>1</v>
      </c>
      <c r="L5674" s="102"/>
      <c r="M5674" s="22" t="b">
        <v>1</v>
      </c>
    </row>
    <row r="5675" spans="1:13" x14ac:dyDescent="0.25">
      <c r="A5675" s="102"/>
      <c r="B5675" s="102" t="s">
        <v>119</v>
      </c>
      <c r="C5675" s="102"/>
      <c r="D5675" s="102">
        <v>20000</v>
      </c>
      <c r="E5675" s="136" t="str">
        <f>INDEX([1]道具配置表!$D:$D,MATCH(D5675,[1]道具配置表!$A:$A,0))</f>
        <v>技能点1</v>
      </c>
      <c r="F5675" s="102">
        <v>100</v>
      </c>
      <c r="G5675" s="102"/>
      <c r="H5675" s="102"/>
      <c r="I5675" s="102"/>
      <c r="J5675" s="102"/>
      <c r="K5675" s="102">
        <v>1</v>
      </c>
      <c r="L5675" s="102"/>
      <c r="M5675" s="22" t="b">
        <v>1</v>
      </c>
    </row>
    <row r="5676" spans="1:13" x14ac:dyDescent="0.25">
      <c r="A5676" s="102"/>
      <c r="B5676" s="102" t="s">
        <v>119</v>
      </c>
      <c r="C5676" s="102"/>
      <c r="D5676" s="102">
        <v>56001</v>
      </c>
      <c r="E5676" s="136" t="str">
        <f>INDEX([1]道具配置表!$D:$D,MATCH(D5676,[1]道具配置表!$A:$A,0))</f>
        <v>锻造装备消耗材料</v>
      </c>
      <c r="F5676" s="102">
        <v>50</v>
      </c>
      <c r="G5676" s="102"/>
      <c r="H5676" s="102"/>
      <c r="I5676" s="102"/>
      <c r="J5676" s="102"/>
      <c r="K5676" s="102">
        <v>1</v>
      </c>
      <c r="L5676" s="102"/>
      <c r="M5676" s="22" t="b">
        <v>1</v>
      </c>
    </row>
    <row r="5677" spans="1:13" x14ac:dyDescent="0.25">
      <c r="A5677" s="102"/>
      <c r="B5677" s="102" t="s">
        <v>119</v>
      </c>
      <c r="C5677" s="102"/>
      <c r="D5677" s="102">
        <v>6201</v>
      </c>
      <c r="E5677" s="136" t="str">
        <f>INDEX([1]道具配置表!$D:$D,MATCH(D5677,[1]道具配置表!$A:$A,0))</f>
        <v>60分钟锻造加速</v>
      </c>
      <c r="F5677" s="102">
        <v>1</v>
      </c>
      <c r="G5677" s="102"/>
      <c r="H5677" s="102"/>
      <c r="I5677" s="102"/>
      <c r="J5677" s="102"/>
      <c r="K5677" s="102">
        <v>1</v>
      </c>
      <c r="L5677" s="102"/>
      <c r="M5677" s="22" t="b">
        <v>1</v>
      </c>
    </row>
    <row r="5678" spans="1:13" x14ac:dyDescent="0.25">
      <c r="A5678" s="102"/>
      <c r="B5678" s="102" t="s">
        <v>119</v>
      </c>
      <c r="C5678" s="102"/>
      <c r="D5678" s="102">
        <v>56002</v>
      </c>
      <c r="E5678" s="136" t="str">
        <f>INDEX([1]道具配置表!$D:$D,MATCH(D5678,[1]道具配置表!$A:$A,0))</f>
        <v>强化装备消耗材料</v>
      </c>
      <c r="F5678" s="102">
        <v>20</v>
      </c>
      <c r="G5678" s="102"/>
      <c r="H5678" s="102"/>
      <c r="I5678" s="102"/>
      <c r="J5678" s="102"/>
      <c r="K5678" s="102">
        <v>1</v>
      </c>
      <c r="L5678" s="102"/>
      <c r="M5678" s="22" t="b">
        <v>1</v>
      </c>
    </row>
    <row r="5679" spans="1:13" x14ac:dyDescent="0.25">
      <c r="A5679" s="102">
        <v>6650076</v>
      </c>
      <c r="B5679" s="102" t="s">
        <v>1247</v>
      </c>
      <c r="C5679" s="102"/>
      <c r="D5679" s="102">
        <v>3000001</v>
      </c>
      <c r="E5679" s="136" t="str">
        <f>INDEX([1]道具配置表!$D:$D,MATCH(D5679,[1]道具配置表!$A:$A,0))</f>
        <v>自走棋放置货币</v>
      </c>
      <c r="F5679" s="102">
        <v>20</v>
      </c>
      <c r="G5679" s="102"/>
      <c r="H5679" s="102"/>
      <c r="I5679" s="102"/>
      <c r="J5679" s="102"/>
      <c r="K5679" s="102">
        <v>1</v>
      </c>
      <c r="L5679" s="102"/>
      <c r="M5679" s="22" t="b">
        <v>1</v>
      </c>
    </row>
    <row r="5680" spans="1:13" x14ac:dyDescent="0.25">
      <c r="A5680" s="102"/>
      <c r="B5680" s="102" t="s">
        <v>119</v>
      </c>
      <c r="C5680" s="102"/>
      <c r="D5680" s="102">
        <v>7228</v>
      </c>
      <c r="E5680" s="136" t="str">
        <f>INDEX([1]道具配置表!$D:$D,MATCH(D5680,[1]道具配置表!$A:$A,0))</f>
        <v>经验书*10000</v>
      </c>
      <c r="F5680" s="102">
        <v>1</v>
      </c>
      <c r="G5680" s="102"/>
      <c r="H5680" s="102"/>
      <c r="I5680" s="102"/>
      <c r="J5680" s="102"/>
      <c r="K5680" s="102">
        <v>1</v>
      </c>
      <c r="L5680" s="102"/>
      <c r="M5680" s="22" t="b">
        <v>1</v>
      </c>
    </row>
    <row r="5681" spans="1:13" x14ac:dyDescent="0.25">
      <c r="A5681" s="102"/>
      <c r="B5681" s="102" t="s">
        <v>119</v>
      </c>
      <c r="C5681" s="102"/>
      <c r="D5681" s="102">
        <v>20000</v>
      </c>
      <c r="E5681" s="136" t="str">
        <f>INDEX([1]道具配置表!$D:$D,MATCH(D5681,[1]道具配置表!$A:$A,0))</f>
        <v>技能点1</v>
      </c>
      <c r="F5681" s="102">
        <v>50</v>
      </c>
      <c r="G5681" s="102"/>
      <c r="H5681" s="102"/>
      <c r="I5681" s="102"/>
      <c r="J5681" s="102"/>
      <c r="K5681" s="102">
        <v>1</v>
      </c>
      <c r="L5681" s="102"/>
      <c r="M5681" s="22" t="b">
        <v>1</v>
      </c>
    </row>
    <row r="5682" spans="1:13" x14ac:dyDescent="0.25">
      <c r="A5682" s="102"/>
      <c r="B5682" s="102" t="s">
        <v>119</v>
      </c>
      <c r="C5682" s="102"/>
      <c r="D5682" s="102">
        <v>56001</v>
      </c>
      <c r="E5682" s="136" t="str">
        <f>INDEX([1]道具配置表!$D:$D,MATCH(D5682,[1]道具配置表!$A:$A,0))</f>
        <v>锻造装备消耗材料</v>
      </c>
      <c r="F5682" s="102">
        <v>20</v>
      </c>
      <c r="G5682" s="102"/>
      <c r="H5682" s="102"/>
      <c r="I5682" s="102"/>
      <c r="J5682" s="102"/>
      <c r="K5682" s="102">
        <v>1</v>
      </c>
      <c r="L5682" s="102"/>
      <c r="M5682" s="22" t="b">
        <v>1</v>
      </c>
    </row>
    <row r="5683" spans="1:13" x14ac:dyDescent="0.25">
      <c r="A5683" s="102"/>
      <c r="B5683" s="102" t="s">
        <v>119</v>
      </c>
      <c r="C5683" s="102"/>
      <c r="D5683" s="102">
        <v>6197</v>
      </c>
      <c r="E5683" s="136" t="str">
        <f>INDEX([1]道具配置表!$D:$D,MATCH(D5683,[1]道具配置表!$A:$A,0))</f>
        <v>5分钟锻造加速</v>
      </c>
      <c r="F5683" s="102">
        <v>1</v>
      </c>
      <c r="G5683" s="102"/>
      <c r="H5683" s="102"/>
      <c r="I5683" s="102"/>
      <c r="J5683" s="102"/>
      <c r="K5683" s="102">
        <v>1</v>
      </c>
      <c r="L5683" s="102"/>
      <c r="M5683" s="22" t="b">
        <v>1</v>
      </c>
    </row>
    <row r="5684" spans="1:13" x14ac:dyDescent="0.25">
      <c r="A5684" s="102">
        <v>6650077</v>
      </c>
      <c r="B5684" s="102" t="s">
        <v>1248</v>
      </c>
      <c r="C5684" s="102"/>
      <c r="D5684" s="102">
        <v>3000001</v>
      </c>
      <c r="E5684" s="136" t="str">
        <f>INDEX([1]道具配置表!$D:$D,MATCH(D5684,[1]道具配置表!$A:$A,0))</f>
        <v>自走棋放置货币</v>
      </c>
      <c r="F5684" s="102">
        <v>20</v>
      </c>
      <c r="G5684" s="102"/>
      <c r="H5684" s="102"/>
      <c r="I5684" s="102"/>
      <c r="J5684" s="102"/>
      <c r="K5684" s="102">
        <v>1</v>
      </c>
      <c r="L5684" s="102"/>
      <c r="M5684" s="22" t="b">
        <v>1</v>
      </c>
    </row>
    <row r="5685" spans="1:13" x14ac:dyDescent="0.25">
      <c r="A5685" s="102"/>
      <c r="B5685" s="102" t="s">
        <v>119</v>
      </c>
      <c r="C5685" s="102"/>
      <c r="D5685" s="102">
        <v>7228</v>
      </c>
      <c r="E5685" s="136" t="str">
        <f>INDEX([1]道具配置表!$D:$D,MATCH(D5685,[1]道具配置表!$A:$A,0))</f>
        <v>经验书*10000</v>
      </c>
      <c r="F5685" s="102">
        <v>1</v>
      </c>
      <c r="G5685" s="102"/>
      <c r="H5685" s="102"/>
      <c r="I5685" s="102"/>
      <c r="J5685" s="102"/>
      <c r="K5685" s="102">
        <v>1</v>
      </c>
      <c r="L5685" s="102"/>
      <c r="M5685" s="22" t="b">
        <v>1</v>
      </c>
    </row>
    <row r="5686" spans="1:13" x14ac:dyDescent="0.25">
      <c r="A5686" s="102"/>
      <c r="B5686" s="102" t="s">
        <v>119</v>
      </c>
      <c r="C5686" s="102"/>
      <c r="D5686" s="102">
        <v>20000</v>
      </c>
      <c r="E5686" s="136" t="str">
        <f>INDEX([1]道具配置表!$D:$D,MATCH(D5686,[1]道具配置表!$A:$A,0))</f>
        <v>技能点1</v>
      </c>
      <c r="F5686" s="102">
        <v>50</v>
      </c>
      <c r="G5686" s="102"/>
      <c r="H5686" s="102"/>
      <c r="I5686" s="102"/>
      <c r="J5686" s="102"/>
      <c r="K5686" s="102">
        <v>1</v>
      </c>
      <c r="L5686" s="102"/>
      <c r="M5686" s="22" t="b">
        <v>1</v>
      </c>
    </row>
    <row r="5687" spans="1:13" x14ac:dyDescent="0.25">
      <c r="A5687" s="102"/>
      <c r="B5687" s="102" t="s">
        <v>119</v>
      </c>
      <c r="C5687" s="102"/>
      <c r="D5687" s="102">
        <v>56001</v>
      </c>
      <c r="E5687" s="136" t="str">
        <f>INDEX([1]道具配置表!$D:$D,MATCH(D5687,[1]道具配置表!$A:$A,0))</f>
        <v>锻造装备消耗材料</v>
      </c>
      <c r="F5687" s="102">
        <v>20</v>
      </c>
      <c r="G5687" s="102"/>
      <c r="H5687" s="102"/>
      <c r="I5687" s="102"/>
      <c r="J5687" s="102"/>
      <c r="K5687" s="102">
        <v>1</v>
      </c>
      <c r="L5687" s="102"/>
      <c r="M5687" s="22" t="b">
        <v>1</v>
      </c>
    </row>
    <row r="5688" spans="1:13" x14ac:dyDescent="0.25">
      <c r="A5688" s="102"/>
      <c r="B5688" s="102" t="s">
        <v>119</v>
      </c>
      <c r="C5688" s="102"/>
      <c r="D5688" s="102">
        <v>6197</v>
      </c>
      <c r="E5688" s="136" t="str">
        <f>INDEX([1]道具配置表!$D:$D,MATCH(D5688,[1]道具配置表!$A:$A,0))</f>
        <v>5分钟锻造加速</v>
      </c>
      <c r="F5688" s="102">
        <v>1</v>
      </c>
      <c r="G5688" s="102"/>
      <c r="H5688" s="102"/>
      <c r="I5688" s="102"/>
      <c r="J5688" s="102"/>
      <c r="K5688" s="102">
        <v>1</v>
      </c>
      <c r="L5688" s="102"/>
      <c r="M5688" s="22" t="b">
        <v>1</v>
      </c>
    </row>
    <row r="5689" spans="1:13" x14ac:dyDescent="0.25">
      <c r="A5689" s="102">
        <v>6650078</v>
      </c>
      <c r="B5689" s="102" t="s">
        <v>1249</v>
      </c>
      <c r="C5689" s="102"/>
      <c r="D5689" s="102">
        <v>3000001</v>
      </c>
      <c r="E5689" s="136" t="str">
        <f>INDEX([1]道具配置表!$D:$D,MATCH(D5689,[1]道具配置表!$A:$A,0))</f>
        <v>自走棋放置货币</v>
      </c>
      <c r="F5689" s="102">
        <v>20</v>
      </c>
      <c r="G5689" s="102"/>
      <c r="H5689" s="102"/>
      <c r="I5689" s="102"/>
      <c r="J5689" s="102"/>
      <c r="K5689" s="102">
        <v>1</v>
      </c>
      <c r="L5689" s="102"/>
      <c r="M5689" s="22" t="b">
        <v>1</v>
      </c>
    </row>
    <row r="5690" spans="1:13" x14ac:dyDescent="0.25">
      <c r="A5690" s="102"/>
      <c r="B5690" s="102" t="s">
        <v>119</v>
      </c>
      <c r="C5690" s="102"/>
      <c r="D5690" s="102">
        <v>7228</v>
      </c>
      <c r="E5690" s="136" t="str">
        <f>INDEX([1]道具配置表!$D:$D,MATCH(D5690,[1]道具配置表!$A:$A,0))</f>
        <v>经验书*10000</v>
      </c>
      <c r="F5690" s="102">
        <v>1</v>
      </c>
      <c r="G5690" s="102"/>
      <c r="H5690" s="102"/>
      <c r="I5690" s="102"/>
      <c r="J5690" s="102"/>
      <c r="K5690" s="102">
        <v>1</v>
      </c>
      <c r="L5690" s="102"/>
      <c r="M5690" s="22" t="b">
        <v>1</v>
      </c>
    </row>
    <row r="5691" spans="1:13" x14ac:dyDescent="0.25">
      <c r="A5691" s="102"/>
      <c r="B5691" s="102" t="s">
        <v>119</v>
      </c>
      <c r="C5691" s="102"/>
      <c r="D5691" s="102">
        <v>20000</v>
      </c>
      <c r="E5691" s="136" t="str">
        <f>INDEX([1]道具配置表!$D:$D,MATCH(D5691,[1]道具配置表!$A:$A,0))</f>
        <v>技能点1</v>
      </c>
      <c r="F5691" s="102">
        <v>50</v>
      </c>
      <c r="G5691" s="102"/>
      <c r="H5691" s="102"/>
      <c r="I5691" s="102"/>
      <c r="J5691" s="102"/>
      <c r="K5691" s="102">
        <v>1</v>
      </c>
      <c r="L5691" s="102"/>
      <c r="M5691" s="22" t="b">
        <v>1</v>
      </c>
    </row>
    <row r="5692" spans="1:13" x14ac:dyDescent="0.25">
      <c r="A5692" s="102"/>
      <c r="B5692" s="102" t="s">
        <v>119</v>
      </c>
      <c r="C5692" s="102"/>
      <c r="D5692" s="102">
        <v>56001</v>
      </c>
      <c r="E5692" s="136" t="str">
        <f>INDEX([1]道具配置表!$D:$D,MATCH(D5692,[1]道具配置表!$A:$A,0))</f>
        <v>锻造装备消耗材料</v>
      </c>
      <c r="F5692" s="102">
        <v>20</v>
      </c>
      <c r="G5692" s="102"/>
      <c r="H5692" s="102"/>
      <c r="I5692" s="102"/>
      <c r="J5692" s="102"/>
      <c r="K5692" s="102">
        <v>1</v>
      </c>
      <c r="L5692" s="102"/>
      <c r="M5692" s="22" t="b">
        <v>1</v>
      </c>
    </row>
    <row r="5693" spans="1:13" x14ac:dyDescent="0.25">
      <c r="A5693" s="102"/>
      <c r="B5693" s="102" t="s">
        <v>119</v>
      </c>
      <c r="C5693" s="102"/>
      <c r="D5693" s="102">
        <v>6197</v>
      </c>
      <c r="E5693" s="136" t="str">
        <f>INDEX([1]道具配置表!$D:$D,MATCH(D5693,[1]道具配置表!$A:$A,0))</f>
        <v>5分钟锻造加速</v>
      </c>
      <c r="F5693" s="102">
        <v>1</v>
      </c>
      <c r="G5693" s="102"/>
      <c r="H5693" s="102"/>
      <c r="I5693" s="102"/>
      <c r="J5693" s="102"/>
      <c r="K5693" s="102">
        <v>1</v>
      </c>
      <c r="L5693" s="102"/>
      <c r="M5693" s="22" t="b">
        <v>1</v>
      </c>
    </row>
    <row r="5694" spans="1:13" x14ac:dyDescent="0.25">
      <c r="A5694" s="102">
        <v>6650079</v>
      </c>
      <c r="B5694" s="102" t="s">
        <v>1250</v>
      </c>
      <c r="C5694" s="102"/>
      <c r="D5694" s="102">
        <v>3000001</v>
      </c>
      <c r="E5694" s="136" t="str">
        <f>INDEX([1]道具配置表!$D:$D,MATCH(D5694,[1]道具配置表!$A:$A,0))</f>
        <v>自走棋放置货币</v>
      </c>
      <c r="F5694" s="102">
        <v>20</v>
      </c>
      <c r="G5694" s="102"/>
      <c r="H5694" s="102"/>
      <c r="I5694" s="102"/>
      <c r="J5694" s="102"/>
      <c r="K5694" s="102">
        <v>1</v>
      </c>
      <c r="L5694" s="102"/>
      <c r="M5694" s="22" t="b">
        <v>1</v>
      </c>
    </row>
    <row r="5695" spans="1:13" x14ac:dyDescent="0.25">
      <c r="A5695" s="102"/>
      <c r="B5695" s="102" t="s">
        <v>119</v>
      </c>
      <c r="C5695" s="102"/>
      <c r="D5695" s="102">
        <v>7228</v>
      </c>
      <c r="E5695" s="136" t="str">
        <f>INDEX([1]道具配置表!$D:$D,MATCH(D5695,[1]道具配置表!$A:$A,0))</f>
        <v>经验书*10000</v>
      </c>
      <c r="F5695" s="102">
        <v>1</v>
      </c>
      <c r="G5695" s="102"/>
      <c r="H5695" s="102"/>
      <c r="I5695" s="102"/>
      <c r="J5695" s="102"/>
      <c r="K5695" s="102">
        <v>1</v>
      </c>
      <c r="L5695" s="102"/>
      <c r="M5695" s="22" t="b">
        <v>1</v>
      </c>
    </row>
    <row r="5696" spans="1:13" x14ac:dyDescent="0.25">
      <c r="A5696" s="102"/>
      <c r="B5696" s="102" t="s">
        <v>119</v>
      </c>
      <c r="C5696" s="102"/>
      <c r="D5696" s="102">
        <v>20000</v>
      </c>
      <c r="E5696" s="136" t="str">
        <f>INDEX([1]道具配置表!$D:$D,MATCH(D5696,[1]道具配置表!$A:$A,0))</f>
        <v>技能点1</v>
      </c>
      <c r="F5696" s="102">
        <v>50</v>
      </c>
      <c r="G5696" s="102"/>
      <c r="H5696" s="102"/>
      <c r="I5696" s="102"/>
      <c r="J5696" s="102"/>
      <c r="K5696" s="102">
        <v>1</v>
      </c>
      <c r="L5696" s="102"/>
      <c r="M5696" s="22" t="b">
        <v>1</v>
      </c>
    </row>
    <row r="5697" spans="1:13" x14ac:dyDescent="0.25">
      <c r="A5697" s="102"/>
      <c r="B5697" s="102" t="s">
        <v>119</v>
      </c>
      <c r="C5697" s="102"/>
      <c r="D5697" s="102">
        <v>56001</v>
      </c>
      <c r="E5697" s="136" t="str">
        <f>INDEX([1]道具配置表!$D:$D,MATCH(D5697,[1]道具配置表!$A:$A,0))</f>
        <v>锻造装备消耗材料</v>
      </c>
      <c r="F5697" s="102">
        <v>20</v>
      </c>
      <c r="G5697" s="102"/>
      <c r="H5697" s="102"/>
      <c r="I5697" s="102"/>
      <c r="J5697" s="102"/>
      <c r="K5697" s="102">
        <v>1</v>
      </c>
      <c r="L5697" s="102"/>
      <c r="M5697" s="22" t="b">
        <v>1</v>
      </c>
    </row>
    <row r="5698" spans="1:13" x14ac:dyDescent="0.25">
      <c r="A5698" s="102"/>
      <c r="B5698" s="102" t="s">
        <v>119</v>
      </c>
      <c r="C5698" s="102"/>
      <c r="D5698" s="102">
        <v>6197</v>
      </c>
      <c r="E5698" s="136" t="str">
        <f>INDEX([1]道具配置表!$D:$D,MATCH(D5698,[1]道具配置表!$A:$A,0))</f>
        <v>5分钟锻造加速</v>
      </c>
      <c r="F5698" s="102">
        <v>1</v>
      </c>
      <c r="G5698" s="102"/>
      <c r="H5698" s="102"/>
      <c r="I5698" s="102"/>
      <c r="J5698" s="102"/>
      <c r="K5698" s="102">
        <v>1</v>
      </c>
      <c r="L5698" s="102"/>
      <c r="M5698" s="22" t="b">
        <v>1</v>
      </c>
    </row>
    <row r="5699" spans="1:13" x14ac:dyDescent="0.25">
      <c r="A5699" s="102">
        <v>6650080</v>
      </c>
      <c r="B5699" s="102" t="s">
        <v>1251</v>
      </c>
      <c r="C5699" s="102"/>
      <c r="D5699" s="102">
        <v>56166</v>
      </c>
      <c r="E5699" s="136" t="str">
        <f>INDEX([1]道具配置表!$D:$D,MATCH(D5699,[1]道具配置表!$A:$A,0))</f>
        <v>隼羽软甲</v>
      </c>
      <c r="F5699" s="102">
        <v>1</v>
      </c>
      <c r="G5699" s="102"/>
      <c r="H5699" s="102"/>
      <c r="I5699" s="102"/>
      <c r="J5699" s="102"/>
      <c r="K5699" s="102">
        <v>1</v>
      </c>
      <c r="L5699" s="102"/>
      <c r="M5699" s="22" t="b">
        <v>1</v>
      </c>
    </row>
    <row r="5700" spans="1:13" x14ac:dyDescent="0.25">
      <c r="A5700" s="102"/>
      <c r="B5700" s="102" t="s">
        <v>119</v>
      </c>
      <c r="C5700" s="102"/>
      <c r="D5700" s="102">
        <v>3000001</v>
      </c>
      <c r="E5700" s="136" t="str">
        <f>INDEX([1]道具配置表!$D:$D,MATCH(D5700,[1]道具配置表!$A:$A,0))</f>
        <v>自走棋放置货币</v>
      </c>
      <c r="F5700" s="102">
        <v>40</v>
      </c>
      <c r="G5700" s="102"/>
      <c r="H5700" s="102"/>
      <c r="I5700" s="102"/>
      <c r="J5700" s="102"/>
      <c r="K5700" s="102">
        <v>1</v>
      </c>
      <c r="L5700" s="102"/>
      <c r="M5700" s="22" t="b">
        <v>1</v>
      </c>
    </row>
    <row r="5701" spans="1:13" x14ac:dyDescent="0.25">
      <c r="A5701" s="102"/>
      <c r="B5701" s="102" t="s">
        <v>119</v>
      </c>
      <c r="C5701" s="102"/>
      <c r="D5701" s="102">
        <v>7228</v>
      </c>
      <c r="E5701" s="136" t="str">
        <f>INDEX([1]道具配置表!$D:$D,MATCH(D5701,[1]道具配置表!$A:$A,0))</f>
        <v>经验书*10000</v>
      </c>
      <c r="F5701" s="102">
        <v>2</v>
      </c>
      <c r="G5701" s="102"/>
      <c r="H5701" s="102"/>
      <c r="I5701" s="102"/>
      <c r="J5701" s="102"/>
      <c r="K5701" s="102">
        <v>1</v>
      </c>
      <c r="L5701" s="102"/>
      <c r="M5701" s="22" t="b">
        <v>1</v>
      </c>
    </row>
    <row r="5702" spans="1:13" x14ac:dyDescent="0.25">
      <c r="A5702" s="102"/>
      <c r="B5702" s="102" t="s">
        <v>119</v>
      </c>
      <c r="C5702" s="102"/>
      <c r="D5702" s="102">
        <v>20000</v>
      </c>
      <c r="E5702" s="136" t="str">
        <f>INDEX([1]道具配置表!$D:$D,MATCH(D5702,[1]道具配置表!$A:$A,0))</f>
        <v>技能点1</v>
      </c>
      <c r="F5702" s="102">
        <v>100</v>
      </c>
      <c r="G5702" s="102"/>
      <c r="H5702" s="102"/>
      <c r="I5702" s="102"/>
      <c r="J5702" s="102"/>
      <c r="K5702" s="102">
        <v>1</v>
      </c>
      <c r="L5702" s="102"/>
      <c r="M5702" s="22" t="b">
        <v>1</v>
      </c>
    </row>
    <row r="5703" spans="1:13" x14ac:dyDescent="0.25">
      <c r="A5703" s="102"/>
      <c r="B5703" s="102" t="s">
        <v>119</v>
      </c>
      <c r="C5703" s="102"/>
      <c r="D5703" s="102">
        <v>56001</v>
      </c>
      <c r="E5703" s="136" t="str">
        <f>INDEX([1]道具配置表!$D:$D,MATCH(D5703,[1]道具配置表!$A:$A,0))</f>
        <v>锻造装备消耗材料</v>
      </c>
      <c r="F5703" s="102">
        <v>50</v>
      </c>
      <c r="G5703" s="102"/>
      <c r="H5703" s="102"/>
      <c r="I5703" s="102"/>
      <c r="J5703" s="102"/>
      <c r="K5703" s="102">
        <v>1</v>
      </c>
      <c r="L5703" s="102"/>
      <c r="M5703" s="22" t="b">
        <v>1</v>
      </c>
    </row>
    <row r="5704" spans="1:13" x14ac:dyDescent="0.25">
      <c r="A5704" s="102"/>
      <c r="B5704" s="102" t="s">
        <v>119</v>
      </c>
      <c r="C5704" s="102"/>
      <c r="D5704" s="102">
        <v>6201</v>
      </c>
      <c r="E5704" s="136" t="str">
        <f>INDEX([1]道具配置表!$D:$D,MATCH(D5704,[1]道具配置表!$A:$A,0))</f>
        <v>60分钟锻造加速</v>
      </c>
      <c r="F5704" s="102">
        <v>1</v>
      </c>
      <c r="G5704" s="102"/>
      <c r="H5704" s="102"/>
      <c r="I5704" s="102"/>
      <c r="J5704" s="102"/>
      <c r="K5704" s="102">
        <v>1</v>
      </c>
      <c r="L5704" s="102"/>
      <c r="M5704" s="22" t="b">
        <v>1</v>
      </c>
    </row>
    <row r="5705" spans="1:13" x14ac:dyDescent="0.25">
      <c r="A5705" s="102"/>
      <c r="B5705" s="102" t="s">
        <v>119</v>
      </c>
      <c r="C5705" s="102"/>
      <c r="D5705" s="102">
        <v>56002</v>
      </c>
      <c r="E5705" s="136" t="str">
        <f>INDEX([1]道具配置表!$D:$D,MATCH(D5705,[1]道具配置表!$A:$A,0))</f>
        <v>强化装备消耗材料</v>
      </c>
      <c r="F5705" s="102">
        <v>20</v>
      </c>
      <c r="G5705" s="102"/>
      <c r="H5705" s="102"/>
      <c r="I5705" s="102"/>
      <c r="J5705" s="102"/>
      <c r="K5705" s="102">
        <v>1</v>
      </c>
      <c r="L5705" s="102"/>
      <c r="M5705" s="22" t="b">
        <v>1</v>
      </c>
    </row>
    <row r="5706" spans="1:13" x14ac:dyDescent="0.25">
      <c r="A5706" s="102">
        <v>6650081</v>
      </c>
      <c r="B5706" s="102" t="s">
        <v>1252</v>
      </c>
      <c r="C5706" s="102"/>
      <c r="D5706" s="102">
        <v>3000001</v>
      </c>
      <c r="E5706" s="136" t="str">
        <f>INDEX([1]道具配置表!$D:$D,MATCH(D5706,[1]道具配置表!$A:$A,0))</f>
        <v>自走棋放置货币</v>
      </c>
      <c r="F5706" s="102">
        <v>20</v>
      </c>
      <c r="G5706" s="102"/>
      <c r="H5706" s="102"/>
      <c r="I5706" s="102"/>
      <c r="J5706" s="102"/>
      <c r="K5706" s="102">
        <v>1</v>
      </c>
      <c r="L5706" s="102"/>
      <c r="M5706" s="22" t="b">
        <v>1</v>
      </c>
    </row>
    <row r="5707" spans="1:13" x14ac:dyDescent="0.25">
      <c r="A5707" s="102"/>
      <c r="B5707" s="102" t="s">
        <v>119</v>
      </c>
      <c r="C5707" s="102"/>
      <c r="D5707" s="102">
        <v>7228</v>
      </c>
      <c r="E5707" s="136" t="str">
        <f>INDEX([1]道具配置表!$D:$D,MATCH(D5707,[1]道具配置表!$A:$A,0))</f>
        <v>经验书*10000</v>
      </c>
      <c r="F5707" s="102">
        <v>1</v>
      </c>
      <c r="G5707" s="102"/>
      <c r="H5707" s="102"/>
      <c r="I5707" s="102"/>
      <c r="J5707" s="102"/>
      <c r="K5707" s="102">
        <v>1</v>
      </c>
      <c r="L5707" s="102"/>
      <c r="M5707" s="22" t="b">
        <v>1</v>
      </c>
    </row>
    <row r="5708" spans="1:13" x14ac:dyDescent="0.25">
      <c r="A5708" s="102"/>
      <c r="B5708" s="102" t="s">
        <v>119</v>
      </c>
      <c r="C5708" s="102"/>
      <c r="D5708" s="102">
        <v>20000</v>
      </c>
      <c r="E5708" s="136" t="str">
        <f>INDEX([1]道具配置表!$D:$D,MATCH(D5708,[1]道具配置表!$A:$A,0))</f>
        <v>技能点1</v>
      </c>
      <c r="F5708" s="102">
        <v>50</v>
      </c>
      <c r="G5708" s="102"/>
      <c r="H5708" s="102"/>
      <c r="I5708" s="102"/>
      <c r="J5708" s="102"/>
      <c r="K5708" s="102">
        <v>1</v>
      </c>
      <c r="L5708" s="102"/>
      <c r="M5708" s="22" t="b">
        <v>1</v>
      </c>
    </row>
    <row r="5709" spans="1:13" x14ac:dyDescent="0.25">
      <c r="A5709" s="102"/>
      <c r="B5709" s="102" t="s">
        <v>119</v>
      </c>
      <c r="C5709" s="102"/>
      <c r="D5709" s="102">
        <v>56001</v>
      </c>
      <c r="E5709" s="136" t="str">
        <f>INDEX([1]道具配置表!$D:$D,MATCH(D5709,[1]道具配置表!$A:$A,0))</f>
        <v>锻造装备消耗材料</v>
      </c>
      <c r="F5709" s="102">
        <v>20</v>
      </c>
      <c r="G5709" s="102"/>
      <c r="H5709" s="102"/>
      <c r="I5709" s="102"/>
      <c r="J5709" s="102"/>
      <c r="K5709" s="102">
        <v>1</v>
      </c>
      <c r="L5709" s="102"/>
      <c r="M5709" s="22" t="b">
        <v>1</v>
      </c>
    </row>
    <row r="5710" spans="1:13" x14ac:dyDescent="0.25">
      <c r="A5710" s="102"/>
      <c r="B5710" s="102" t="s">
        <v>119</v>
      </c>
      <c r="C5710" s="102"/>
      <c r="D5710" s="102">
        <v>6197</v>
      </c>
      <c r="E5710" s="136" t="str">
        <f>INDEX([1]道具配置表!$D:$D,MATCH(D5710,[1]道具配置表!$A:$A,0))</f>
        <v>5分钟锻造加速</v>
      </c>
      <c r="F5710" s="102">
        <v>1</v>
      </c>
      <c r="G5710" s="102"/>
      <c r="H5710" s="102"/>
      <c r="I5710" s="102"/>
      <c r="J5710" s="102"/>
      <c r="K5710" s="102">
        <v>1</v>
      </c>
      <c r="L5710" s="102"/>
      <c r="M5710" s="22" t="b">
        <v>1</v>
      </c>
    </row>
    <row r="5711" spans="1:13" x14ac:dyDescent="0.25">
      <c r="A5711" s="102">
        <v>6650082</v>
      </c>
      <c r="B5711" s="102" t="s">
        <v>1253</v>
      </c>
      <c r="C5711" s="102"/>
      <c r="D5711" s="102">
        <v>3000001</v>
      </c>
      <c r="E5711" s="136" t="str">
        <f>INDEX([1]道具配置表!$D:$D,MATCH(D5711,[1]道具配置表!$A:$A,0))</f>
        <v>自走棋放置货币</v>
      </c>
      <c r="F5711" s="102">
        <v>20</v>
      </c>
      <c r="G5711" s="102"/>
      <c r="H5711" s="102"/>
      <c r="I5711" s="102"/>
      <c r="J5711" s="102"/>
      <c r="K5711" s="102">
        <v>1</v>
      </c>
      <c r="L5711" s="102"/>
      <c r="M5711" s="22" t="b">
        <v>1</v>
      </c>
    </row>
    <row r="5712" spans="1:13" x14ac:dyDescent="0.25">
      <c r="A5712" s="102"/>
      <c r="B5712" s="102" t="s">
        <v>119</v>
      </c>
      <c r="C5712" s="102"/>
      <c r="D5712" s="102">
        <v>7228</v>
      </c>
      <c r="E5712" s="136" t="str">
        <f>INDEX([1]道具配置表!$D:$D,MATCH(D5712,[1]道具配置表!$A:$A,0))</f>
        <v>经验书*10000</v>
      </c>
      <c r="F5712" s="102">
        <v>1</v>
      </c>
      <c r="G5712" s="102"/>
      <c r="H5712" s="102"/>
      <c r="I5712" s="102"/>
      <c r="J5712" s="102"/>
      <c r="K5712" s="102">
        <v>1</v>
      </c>
      <c r="L5712" s="102"/>
      <c r="M5712" s="22" t="b">
        <v>1</v>
      </c>
    </row>
    <row r="5713" spans="1:13" x14ac:dyDescent="0.25">
      <c r="A5713" s="102"/>
      <c r="B5713" s="102" t="s">
        <v>119</v>
      </c>
      <c r="C5713" s="102"/>
      <c r="D5713" s="102">
        <v>20000</v>
      </c>
      <c r="E5713" s="136" t="str">
        <f>INDEX([1]道具配置表!$D:$D,MATCH(D5713,[1]道具配置表!$A:$A,0))</f>
        <v>技能点1</v>
      </c>
      <c r="F5713" s="102">
        <v>50</v>
      </c>
      <c r="G5713" s="102"/>
      <c r="H5713" s="102"/>
      <c r="I5713" s="102"/>
      <c r="J5713" s="102"/>
      <c r="K5713" s="102">
        <v>1</v>
      </c>
      <c r="L5713" s="102"/>
      <c r="M5713" s="22" t="b">
        <v>1</v>
      </c>
    </row>
    <row r="5714" spans="1:13" x14ac:dyDescent="0.25">
      <c r="A5714" s="102"/>
      <c r="B5714" s="102" t="s">
        <v>119</v>
      </c>
      <c r="C5714" s="102"/>
      <c r="D5714" s="102">
        <v>56001</v>
      </c>
      <c r="E5714" s="136" t="str">
        <f>INDEX([1]道具配置表!$D:$D,MATCH(D5714,[1]道具配置表!$A:$A,0))</f>
        <v>锻造装备消耗材料</v>
      </c>
      <c r="F5714" s="102">
        <v>20</v>
      </c>
      <c r="G5714" s="102"/>
      <c r="H5714" s="102"/>
      <c r="I5714" s="102"/>
      <c r="J5714" s="102"/>
      <c r="K5714" s="102">
        <v>1</v>
      </c>
      <c r="L5714" s="102"/>
      <c r="M5714" s="22" t="b">
        <v>1</v>
      </c>
    </row>
    <row r="5715" spans="1:13" x14ac:dyDescent="0.25">
      <c r="A5715" s="102"/>
      <c r="B5715" s="102" t="s">
        <v>119</v>
      </c>
      <c r="C5715" s="102"/>
      <c r="D5715" s="102">
        <v>6197</v>
      </c>
      <c r="E5715" s="136" t="str">
        <f>INDEX([1]道具配置表!$D:$D,MATCH(D5715,[1]道具配置表!$A:$A,0))</f>
        <v>5分钟锻造加速</v>
      </c>
      <c r="F5715" s="102">
        <v>1</v>
      </c>
      <c r="G5715" s="102"/>
      <c r="H5715" s="102"/>
      <c r="I5715" s="102"/>
      <c r="J5715" s="102"/>
      <c r="K5715" s="102">
        <v>1</v>
      </c>
      <c r="L5715" s="102"/>
      <c r="M5715" s="22" t="b">
        <v>1</v>
      </c>
    </row>
    <row r="5716" spans="1:13" x14ac:dyDescent="0.25">
      <c r="A5716" s="102">
        <v>6650083</v>
      </c>
      <c r="B5716" s="102" t="s">
        <v>1254</v>
      </c>
      <c r="C5716" s="102"/>
      <c r="D5716" s="102">
        <v>3000001</v>
      </c>
      <c r="E5716" s="136" t="str">
        <f>INDEX([1]道具配置表!$D:$D,MATCH(D5716,[1]道具配置表!$A:$A,0))</f>
        <v>自走棋放置货币</v>
      </c>
      <c r="F5716" s="102">
        <v>20</v>
      </c>
      <c r="G5716" s="102"/>
      <c r="H5716" s="102"/>
      <c r="I5716" s="102"/>
      <c r="J5716" s="102"/>
      <c r="K5716" s="102">
        <v>1</v>
      </c>
      <c r="L5716" s="102"/>
      <c r="M5716" s="22" t="b">
        <v>1</v>
      </c>
    </row>
    <row r="5717" spans="1:13" x14ac:dyDescent="0.25">
      <c r="A5717" s="102"/>
      <c r="B5717" s="102" t="s">
        <v>119</v>
      </c>
      <c r="C5717" s="102"/>
      <c r="D5717" s="102">
        <v>7228</v>
      </c>
      <c r="E5717" s="136" t="str">
        <f>INDEX([1]道具配置表!$D:$D,MATCH(D5717,[1]道具配置表!$A:$A,0))</f>
        <v>经验书*10000</v>
      </c>
      <c r="F5717" s="102">
        <v>1</v>
      </c>
      <c r="G5717" s="102"/>
      <c r="H5717" s="102"/>
      <c r="I5717" s="102"/>
      <c r="J5717" s="102"/>
      <c r="K5717" s="102">
        <v>1</v>
      </c>
      <c r="L5717" s="102"/>
      <c r="M5717" s="22" t="b">
        <v>1</v>
      </c>
    </row>
    <row r="5718" spans="1:13" x14ac:dyDescent="0.25">
      <c r="A5718" s="102"/>
      <c r="B5718" s="102" t="s">
        <v>119</v>
      </c>
      <c r="C5718" s="102"/>
      <c r="D5718" s="102">
        <v>20000</v>
      </c>
      <c r="E5718" s="136" t="str">
        <f>INDEX([1]道具配置表!$D:$D,MATCH(D5718,[1]道具配置表!$A:$A,0))</f>
        <v>技能点1</v>
      </c>
      <c r="F5718" s="102">
        <v>50</v>
      </c>
      <c r="G5718" s="102"/>
      <c r="H5718" s="102"/>
      <c r="I5718" s="102"/>
      <c r="J5718" s="102"/>
      <c r="K5718" s="102">
        <v>1</v>
      </c>
      <c r="L5718" s="102"/>
      <c r="M5718" s="22" t="b">
        <v>1</v>
      </c>
    </row>
    <row r="5719" spans="1:13" x14ac:dyDescent="0.25">
      <c r="A5719" s="102"/>
      <c r="B5719" s="102" t="s">
        <v>119</v>
      </c>
      <c r="C5719" s="102"/>
      <c r="D5719" s="102">
        <v>56001</v>
      </c>
      <c r="E5719" s="136" t="str">
        <f>INDEX([1]道具配置表!$D:$D,MATCH(D5719,[1]道具配置表!$A:$A,0))</f>
        <v>锻造装备消耗材料</v>
      </c>
      <c r="F5719" s="102">
        <v>20</v>
      </c>
      <c r="G5719" s="102"/>
      <c r="H5719" s="102"/>
      <c r="I5719" s="102"/>
      <c r="J5719" s="102"/>
      <c r="K5719" s="102">
        <v>1</v>
      </c>
      <c r="L5719" s="102"/>
      <c r="M5719" s="22" t="b">
        <v>1</v>
      </c>
    </row>
    <row r="5720" spans="1:13" x14ac:dyDescent="0.25">
      <c r="A5720" s="102"/>
      <c r="B5720" s="102" t="s">
        <v>119</v>
      </c>
      <c r="C5720" s="102"/>
      <c r="D5720" s="102">
        <v>6197</v>
      </c>
      <c r="E5720" s="136" t="str">
        <f>INDEX([1]道具配置表!$D:$D,MATCH(D5720,[1]道具配置表!$A:$A,0))</f>
        <v>5分钟锻造加速</v>
      </c>
      <c r="F5720" s="102">
        <v>1</v>
      </c>
      <c r="G5720" s="102"/>
      <c r="H5720" s="102"/>
      <c r="I5720" s="102"/>
      <c r="J5720" s="102"/>
      <c r="K5720" s="102">
        <v>1</v>
      </c>
      <c r="L5720" s="102"/>
      <c r="M5720" s="22" t="b">
        <v>1</v>
      </c>
    </row>
    <row r="5721" spans="1:13" x14ac:dyDescent="0.25">
      <c r="A5721" s="102">
        <v>6650084</v>
      </c>
      <c r="B5721" s="102" t="s">
        <v>1255</v>
      </c>
      <c r="C5721" s="102"/>
      <c r="D5721" s="102">
        <v>3000001</v>
      </c>
      <c r="E5721" s="136" t="str">
        <f>INDEX([1]道具配置表!$D:$D,MATCH(D5721,[1]道具配置表!$A:$A,0))</f>
        <v>自走棋放置货币</v>
      </c>
      <c r="F5721" s="102">
        <v>20</v>
      </c>
      <c r="G5721" s="102"/>
      <c r="H5721" s="102"/>
      <c r="I5721" s="102"/>
      <c r="J5721" s="102"/>
      <c r="K5721" s="102">
        <v>1</v>
      </c>
      <c r="L5721" s="102"/>
      <c r="M5721" s="22" t="b">
        <v>1</v>
      </c>
    </row>
    <row r="5722" spans="1:13" x14ac:dyDescent="0.25">
      <c r="A5722" s="102"/>
      <c r="B5722" s="102" t="s">
        <v>119</v>
      </c>
      <c r="C5722" s="102"/>
      <c r="D5722" s="102">
        <v>7228</v>
      </c>
      <c r="E5722" s="136" t="str">
        <f>INDEX([1]道具配置表!$D:$D,MATCH(D5722,[1]道具配置表!$A:$A,0))</f>
        <v>经验书*10000</v>
      </c>
      <c r="F5722" s="102">
        <v>1</v>
      </c>
      <c r="G5722" s="102"/>
      <c r="H5722" s="102"/>
      <c r="I5722" s="102"/>
      <c r="J5722" s="102"/>
      <c r="K5722" s="102">
        <v>1</v>
      </c>
      <c r="L5722" s="102"/>
      <c r="M5722" s="22" t="b">
        <v>1</v>
      </c>
    </row>
    <row r="5723" spans="1:13" x14ac:dyDescent="0.25">
      <c r="A5723" s="102"/>
      <c r="B5723" s="102" t="s">
        <v>119</v>
      </c>
      <c r="C5723" s="102"/>
      <c r="D5723" s="102">
        <v>20000</v>
      </c>
      <c r="E5723" s="136" t="str">
        <f>INDEX([1]道具配置表!$D:$D,MATCH(D5723,[1]道具配置表!$A:$A,0))</f>
        <v>技能点1</v>
      </c>
      <c r="F5723" s="102">
        <v>50</v>
      </c>
      <c r="G5723" s="102"/>
      <c r="H5723" s="102"/>
      <c r="I5723" s="102"/>
      <c r="J5723" s="102"/>
      <c r="K5723" s="102">
        <v>1</v>
      </c>
      <c r="L5723" s="102"/>
      <c r="M5723" s="22" t="b">
        <v>1</v>
      </c>
    </row>
    <row r="5724" spans="1:13" x14ac:dyDescent="0.25">
      <c r="A5724" s="102"/>
      <c r="B5724" s="102" t="s">
        <v>119</v>
      </c>
      <c r="C5724" s="102"/>
      <c r="D5724" s="102">
        <v>56001</v>
      </c>
      <c r="E5724" s="136" t="str">
        <f>INDEX([1]道具配置表!$D:$D,MATCH(D5724,[1]道具配置表!$A:$A,0))</f>
        <v>锻造装备消耗材料</v>
      </c>
      <c r="F5724" s="102">
        <v>20</v>
      </c>
      <c r="G5724" s="102"/>
      <c r="H5724" s="102"/>
      <c r="I5724" s="102"/>
      <c r="J5724" s="102"/>
      <c r="K5724" s="102">
        <v>1</v>
      </c>
      <c r="L5724" s="102"/>
      <c r="M5724" s="22" t="b">
        <v>1</v>
      </c>
    </row>
    <row r="5725" spans="1:13" x14ac:dyDescent="0.25">
      <c r="A5725" s="102"/>
      <c r="B5725" s="102" t="s">
        <v>119</v>
      </c>
      <c r="C5725" s="102"/>
      <c r="D5725" s="102">
        <v>6197</v>
      </c>
      <c r="E5725" s="136" t="str">
        <f>INDEX([1]道具配置表!$D:$D,MATCH(D5725,[1]道具配置表!$A:$A,0))</f>
        <v>5分钟锻造加速</v>
      </c>
      <c r="F5725" s="102">
        <v>1</v>
      </c>
      <c r="G5725" s="102"/>
      <c r="H5725" s="102"/>
      <c r="I5725" s="102"/>
      <c r="J5725" s="102"/>
      <c r="K5725" s="102">
        <v>1</v>
      </c>
      <c r="L5725" s="102"/>
      <c r="M5725" s="22" t="b">
        <v>1</v>
      </c>
    </row>
    <row r="5726" spans="1:13" x14ac:dyDescent="0.25">
      <c r="A5726" s="102">
        <v>6650085</v>
      </c>
      <c r="B5726" s="102" t="s">
        <v>1256</v>
      </c>
      <c r="C5726" s="102"/>
      <c r="D5726" s="102">
        <v>56178</v>
      </c>
      <c r="E5726" s="136" t="str">
        <f>INDEX([1]道具配置表!$D:$D,MATCH(D5726,[1]道具配置表!$A:$A,0))</f>
        <v>灰熊胸甲</v>
      </c>
      <c r="F5726" s="102">
        <v>1</v>
      </c>
      <c r="G5726" s="102"/>
      <c r="H5726" s="102"/>
      <c r="I5726" s="102"/>
      <c r="J5726" s="102"/>
      <c r="K5726" s="102">
        <v>1</v>
      </c>
      <c r="L5726" s="102"/>
      <c r="M5726" s="22" t="b">
        <v>1</v>
      </c>
    </row>
    <row r="5727" spans="1:13" x14ac:dyDescent="0.25">
      <c r="A5727" s="102"/>
      <c r="B5727" s="102" t="s">
        <v>119</v>
      </c>
      <c r="C5727" s="102"/>
      <c r="D5727" s="102">
        <v>3000001</v>
      </c>
      <c r="E5727" s="136" t="str">
        <f>INDEX([1]道具配置表!$D:$D,MATCH(D5727,[1]道具配置表!$A:$A,0))</f>
        <v>自走棋放置货币</v>
      </c>
      <c r="F5727" s="102">
        <v>40</v>
      </c>
      <c r="G5727" s="102"/>
      <c r="H5727" s="102"/>
      <c r="I5727" s="102"/>
      <c r="J5727" s="102"/>
      <c r="K5727" s="102">
        <v>1</v>
      </c>
      <c r="L5727" s="102"/>
      <c r="M5727" s="22" t="b">
        <v>1</v>
      </c>
    </row>
    <row r="5728" spans="1:13" x14ac:dyDescent="0.25">
      <c r="A5728" s="102"/>
      <c r="B5728" s="102" t="s">
        <v>119</v>
      </c>
      <c r="C5728" s="102"/>
      <c r="D5728" s="102">
        <v>7228</v>
      </c>
      <c r="E5728" s="136" t="str">
        <f>INDEX([1]道具配置表!$D:$D,MATCH(D5728,[1]道具配置表!$A:$A,0))</f>
        <v>经验书*10000</v>
      </c>
      <c r="F5728" s="102">
        <v>2</v>
      </c>
      <c r="G5728" s="102"/>
      <c r="H5728" s="102"/>
      <c r="I5728" s="102"/>
      <c r="J5728" s="102"/>
      <c r="K5728" s="102">
        <v>1</v>
      </c>
      <c r="L5728" s="102"/>
      <c r="M5728" s="22" t="b">
        <v>1</v>
      </c>
    </row>
    <row r="5729" spans="1:13" x14ac:dyDescent="0.25">
      <c r="A5729" s="102"/>
      <c r="B5729" s="102" t="s">
        <v>119</v>
      </c>
      <c r="C5729" s="102"/>
      <c r="D5729" s="102">
        <v>20000</v>
      </c>
      <c r="E5729" s="136" t="str">
        <f>INDEX([1]道具配置表!$D:$D,MATCH(D5729,[1]道具配置表!$A:$A,0))</f>
        <v>技能点1</v>
      </c>
      <c r="F5729" s="102">
        <v>100</v>
      </c>
      <c r="G5729" s="102"/>
      <c r="H5729" s="102"/>
      <c r="I5729" s="102"/>
      <c r="J5729" s="102"/>
      <c r="K5729" s="102">
        <v>1</v>
      </c>
      <c r="L5729" s="102"/>
      <c r="M5729" s="22" t="b">
        <v>1</v>
      </c>
    </row>
    <row r="5730" spans="1:13" x14ac:dyDescent="0.25">
      <c r="A5730" s="102"/>
      <c r="B5730" s="102" t="s">
        <v>119</v>
      </c>
      <c r="C5730" s="102"/>
      <c r="D5730" s="102">
        <v>56001</v>
      </c>
      <c r="E5730" s="136" t="str">
        <f>INDEX([1]道具配置表!$D:$D,MATCH(D5730,[1]道具配置表!$A:$A,0))</f>
        <v>锻造装备消耗材料</v>
      </c>
      <c r="F5730" s="102">
        <v>50</v>
      </c>
      <c r="G5730" s="102"/>
      <c r="H5730" s="102"/>
      <c r="I5730" s="102"/>
      <c r="J5730" s="102"/>
      <c r="K5730" s="102">
        <v>1</v>
      </c>
      <c r="L5730" s="102"/>
      <c r="M5730" s="22" t="b">
        <v>1</v>
      </c>
    </row>
    <row r="5731" spans="1:13" x14ac:dyDescent="0.25">
      <c r="A5731" s="102"/>
      <c r="B5731" s="102" t="s">
        <v>119</v>
      </c>
      <c r="C5731" s="102"/>
      <c r="D5731" s="102">
        <v>6201</v>
      </c>
      <c r="E5731" s="136" t="str">
        <f>INDEX([1]道具配置表!$D:$D,MATCH(D5731,[1]道具配置表!$A:$A,0))</f>
        <v>60分钟锻造加速</v>
      </c>
      <c r="F5731" s="102">
        <v>1</v>
      </c>
      <c r="G5731" s="102"/>
      <c r="H5731" s="102"/>
      <c r="I5731" s="102"/>
      <c r="J5731" s="102"/>
      <c r="K5731" s="102">
        <v>1</v>
      </c>
      <c r="L5731" s="102"/>
      <c r="M5731" s="22" t="b">
        <v>1</v>
      </c>
    </row>
    <row r="5732" spans="1:13" x14ac:dyDescent="0.25">
      <c r="A5732" s="102"/>
      <c r="B5732" s="102" t="s">
        <v>119</v>
      </c>
      <c r="C5732" s="102"/>
      <c r="D5732" s="102">
        <v>56002</v>
      </c>
      <c r="E5732" s="136" t="str">
        <f>INDEX([1]道具配置表!$D:$D,MATCH(D5732,[1]道具配置表!$A:$A,0))</f>
        <v>强化装备消耗材料</v>
      </c>
      <c r="F5732" s="102">
        <v>20</v>
      </c>
      <c r="G5732" s="102"/>
      <c r="H5732" s="102"/>
      <c r="I5732" s="102"/>
      <c r="J5732" s="102"/>
      <c r="K5732" s="102">
        <v>1</v>
      </c>
      <c r="L5732" s="102"/>
      <c r="M5732" s="22" t="b">
        <v>1</v>
      </c>
    </row>
    <row r="5733" spans="1:13" x14ac:dyDescent="0.25">
      <c r="A5733" s="102">
        <v>6650086</v>
      </c>
      <c r="B5733" s="102" t="s">
        <v>1257</v>
      </c>
      <c r="C5733" s="102"/>
      <c r="D5733" s="102">
        <v>3000001</v>
      </c>
      <c r="E5733" s="136" t="str">
        <f>INDEX([1]道具配置表!$D:$D,MATCH(D5733,[1]道具配置表!$A:$A,0))</f>
        <v>自走棋放置货币</v>
      </c>
      <c r="F5733" s="102">
        <v>20</v>
      </c>
      <c r="G5733" s="102"/>
      <c r="H5733" s="102"/>
      <c r="I5733" s="102"/>
      <c r="J5733" s="102"/>
      <c r="K5733" s="102">
        <v>1</v>
      </c>
      <c r="L5733" s="102"/>
      <c r="M5733" s="22" t="b">
        <v>1</v>
      </c>
    </row>
    <row r="5734" spans="1:13" x14ac:dyDescent="0.25">
      <c r="A5734" s="102"/>
      <c r="B5734" s="102" t="s">
        <v>119</v>
      </c>
      <c r="C5734" s="102"/>
      <c r="D5734" s="102">
        <v>7228</v>
      </c>
      <c r="E5734" s="136" t="str">
        <f>INDEX([1]道具配置表!$D:$D,MATCH(D5734,[1]道具配置表!$A:$A,0))</f>
        <v>经验书*10000</v>
      </c>
      <c r="F5734" s="102">
        <v>1</v>
      </c>
      <c r="G5734" s="102"/>
      <c r="H5734" s="102"/>
      <c r="I5734" s="102"/>
      <c r="J5734" s="102"/>
      <c r="K5734" s="102">
        <v>1</v>
      </c>
      <c r="L5734" s="102"/>
      <c r="M5734" s="22" t="b">
        <v>1</v>
      </c>
    </row>
    <row r="5735" spans="1:13" x14ac:dyDescent="0.25">
      <c r="A5735" s="102"/>
      <c r="B5735" s="102" t="s">
        <v>119</v>
      </c>
      <c r="C5735" s="102"/>
      <c r="D5735" s="102">
        <v>20000</v>
      </c>
      <c r="E5735" s="136" t="str">
        <f>INDEX([1]道具配置表!$D:$D,MATCH(D5735,[1]道具配置表!$A:$A,0))</f>
        <v>技能点1</v>
      </c>
      <c r="F5735" s="102">
        <v>50</v>
      </c>
      <c r="G5735" s="102"/>
      <c r="H5735" s="102"/>
      <c r="I5735" s="102"/>
      <c r="J5735" s="102"/>
      <c r="K5735" s="102">
        <v>1</v>
      </c>
      <c r="L5735" s="102"/>
      <c r="M5735" s="22" t="b">
        <v>1</v>
      </c>
    </row>
    <row r="5736" spans="1:13" x14ac:dyDescent="0.25">
      <c r="A5736" s="102"/>
      <c r="B5736" s="102" t="s">
        <v>119</v>
      </c>
      <c r="C5736" s="102"/>
      <c r="D5736" s="102">
        <v>56001</v>
      </c>
      <c r="E5736" s="136" t="str">
        <f>INDEX([1]道具配置表!$D:$D,MATCH(D5736,[1]道具配置表!$A:$A,0))</f>
        <v>锻造装备消耗材料</v>
      </c>
      <c r="F5736" s="102">
        <v>20</v>
      </c>
      <c r="G5736" s="102"/>
      <c r="H5736" s="102"/>
      <c r="I5736" s="102"/>
      <c r="J5736" s="102"/>
      <c r="K5736" s="102">
        <v>1</v>
      </c>
      <c r="L5736" s="102"/>
      <c r="M5736" s="22" t="b">
        <v>1</v>
      </c>
    </row>
    <row r="5737" spans="1:13" x14ac:dyDescent="0.25">
      <c r="A5737" s="102"/>
      <c r="B5737" s="102" t="s">
        <v>119</v>
      </c>
      <c r="C5737" s="102"/>
      <c r="D5737" s="102">
        <v>6197</v>
      </c>
      <c r="E5737" s="136" t="str">
        <f>INDEX([1]道具配置表!$D:$D,MATCH(D5737,[1]道具配置表!$A:$A,0))</f>
        <v>5分钟锻造加速</v>
      </c>
      <c r="F5737" s="102">
        <v>1</v>
      </c>
      <c r="G5737" s="102"/>
      <c r="H5737" s="102"/>
      <c r="I5737" s="102"/>
      <c r="J5737" s="102"/>
      <c r="K5737" s="102">
        <v>1</v>
      </c>
      <c r="L5737" s="102"/>
      <c r="M5737" s="22" t="b">
        <v>1</v>
      </c>
    </row>
    <row r="5738" spans="1:13" x14ac:dyDescent="0.25">
      <c r="A5738" s="102">
        <v>6650087</v>
      </c>
      <c r="B5738" s="102" t="s">
        <v>1258</v>
      </c>
      <c r="C5738" s="102"/>
      <c r="D5738" s="102">
        <v>3000001</v>
      </c>
      <c r="E5738" s="136" t="str">
        <f>INDEX([1]道具配置表!$D:$D,MATCH(D5738,[1]道具配置表!$A:$A,0))</f>
        <v>自走棋放置货币</v>
      </c>
      <c r="F5738" s="102">
        <v>20</v>
      </c>
      <c r="G5738" s="102"/>
      <c r="H5738" s="102"/>
      <c r="I5738" s="102"/>
      <c r="J5738" s="102"/>
      <c r="K5738" s="102">
        <v>1</v>
      </c>
      <c r="L5738" s="102"/>
      <c r="M5738" s="22" t="b">
        <v>1</v>
      </c>
    </row>
    <row r="5739" spans="1:13" x14ac:dyDescent="0.25">
      <c r="A5739" s="102"/>
      <c r="B5739" s="102" t="s">
        <v>119</v>
      </c>
      <c r="C5739" s="102"/>
      <c r="D5739" s="102">
        <v>7228</v>
      </c>
      <c r="E5739" s="136" t="str">
        <f>INDEX([1]道具配置表!$D:$D,MATCH(D5739,[1]道具配置表!$A:$A,0))</f>
        <v>经验书*10000</v>
      </c>
      <c r="F5739" s="102">
        <v>1</v>
      </c>
      <c r="G5739" s="102"/>
      <c r="H5739" s="102"/>
      <c r="I5739" s="102"/>
      <c r="J5739" s="102"/>
      <c r="K5739" s="102">
        <v>1</v>
      </c>
      <c r="L5739" s="102"/>
      <c r="M5739" s="22" t="b">
        <v>1</v>
      </c>
    </row>
    <row r="5740" spans="1:13" x14ac:dyDescent="0.25">
      <c r="A5740" s="102"/>
      <c r="B5740" s="102" t="s">
        <v>119</v>
      </c>
      <c r="C5740" s="102"/>
      <c r="D5740" s="102">
        <v>20000</v>
      </c>
      <c r="E5740" s="136" t="str">
        <f>INDEX([1]道具配置表!$D:$D,MATCH(D5740,[1]道具配置表!$A:$A,0))</f>
        <v>技能点1</v>
      </c>
      <c r="F5740" s="102">
        <v>50</v>
      </c>
      <c r="G5740" s="102"/>
      <c r="H5740" s="102"/>
      <c r="I5740" s="102"/>
      <c r="J5740" s="102"/>
      <c r="K5740" s="102">
        <v>1</v>
      </c>
      <c r="L5740" s="102"/>
      <c r="M5740" s="22" t="b">
        <v>1</v>
      </c>
    </row>
    <row r="5741" spans="1:13" x14ac:dyDescent="0.25">
      <c r="A5741" s="102"/>
      <c r="B5741" s="102" t="s">
        <v>119</v>
      </c>
      <c r="C5741" s="102"/>
      <c r="D5741" s="102">
        <v>56001</v>
      </c>
      <c r="E5741" s="136" t="str">
        <f>INDEX([1]道具配置表!$D:$D,MATCH(D5741,[1]道具配置表!$A:$A,0))</f>
        <v>锻造装备消耗材料</v>
      </c>
      <c r="F5741" s="102">
        <v>20</v>
      </c>
      <c r="G5741" s="102"/>
      <c r="H5741" s="102"/>
      <c r="I5741" s="102"/>
      <c r="J5741" s="102"/>
      <c r="K5741" s="102">
        <v>1</v>
      </c>
      <c r="L5741" s="102"/>
      <c r="M5741" s="22" t="b">
        <v>1</v>
      </c>
    </row>
    <row r="5742" spans="1:13" x14ac:dyDescent="0.25">
      <c r="A5742" s="102"/>
      <c r="B5742" s="102" t="s">
        <v>119</v>
      </c>
      <c r="C5742" s="102"/>
      <c r="D5742" s="102">
        <v>6197</v>
      </c>
      <c r="E5742" s="136" t="str">
        <f>INDEX([1]道具配置表!$D:$D,MATCH(D5742,[1]道具配置表!$A:$A,0))</f>
        <v>5分钟锻造加速</v>
      </c>
      <c r="F5742" s="102">
        <v>1</v>
      </c>
      <c r="G5742" s="102"/>
      <c r="H5742" s="102"/>
      <c r="I5742" s="102"/>
      <c r="J5742" s="102"/>
      <c r="K5742" s="102">
        <v>1</v>
      </c>
      <c r="L5742" s="102"/>
      <c r="M5742" s="22" t="b">
        <v>1</v>
      </c>
    </row>
    <row r="5743" spans="1:13" x14ac:dyDescent="0.25">
      <c r="A5743" s="102">
        <v>6650088</v>
      </c>
      <c r="B5743" s="102" t="s">
        <v>1259</v>
      </c>
      <c r="C5743" s="102"/>
      <c r="D5743" s="102">
        <v>3000001</v>
      </c>
      <c r="E5743" s="136" t="str">
        <f>INDEX([1]道具配置表!$D:$D,MATCH(D5743,[1]道具配置表!$A:$A,0))</f>
        <v>自走棋放置货币</v>
      </c>
      <c r="F5743" s="102">
        <v>20</v>
      </c>
      <c r="G5743" s="102"/>
      <c r="H5743" s="102"/>
      <c r="I5743" s="102"/>
      <c r="J5743" s="102"/>
      <c r="K5743" s="102">
        <v>1</v>
      </c>
      <c r="L5743" s="102"/>
      <c r="M5743" s="22" t="b">
        <v>1</v>
      </c>
    </row>
    <row r="5744" spans="1:13" x14ac:dyDescent="0.25">
      <c r="A5744" s="102"/>
      <c r="B5744" s="102" t="s">
        <v>119</v>
      </c>
      <c r="C5744" s="102"/>
      <c r="D5744" s="102">
        <v>7228</v>
      </c>
      <c r="E5744" s="136" t="str">
        <f>INDEX([1]道具配置表!$D:$D,MATCH(D5744,[1]道具配置表!$A:$A,0))</f>
        <v>经验书*10000</v>
      </c>
      <c r="F5744" s="102">
        <v>1</v>
      </c>
      <c r="G5744" s="102"/>
      <c r="H5744" s="102"/>
      <c r="I5744" s="102"/>
      <c r="J5744" s="102"/>
      <c r="K5744" s="102">
        <v>1</v>
      </c>
      <c r="L5744" s="102"/>
      <c r="M5744" s="22" t="b">
        <v>1</v>
      </c>
    </row>
    <row r="5745" spans="1:13" x14ac:dyDescent="0.25">
      <c r="A5745" s="102"/>
      <c r="B5745" s="102" t="s">
        <v>119</v>
      </c>
      <c r="C5745" s="102"/>
      <c r="D5745" s="102">
        <v>20000</v>
      </c>
      <c r="E5745" s="136" t="str">
        <f>INDEX([1]道具配置表!$D:$D,MATCH(D5745,[1]道具配置表!$A:$A,0))</f>
        <v>技能点1</v>
      </c>
      <c r="F5745" s="102">
        <v>50</v>
      </c>
      <c r="G5745" s="102"/>
      <c r="H5745" s="102"/>
      <c r="I5745" s="102"/>
      <c r="J5745" s="102"/>
      <c r="K5745" s="102">
        <v>1</v>
      </c>
      <c r="L5745" s="102"/>
      <c r="M5745" s="22" t="b">
        <v>1</v>
      </c>
    </row>
    <row r="5746" spans="1:13" x14ac:dyDescent="0.25">
      <c r="A5746" s="102"/>
      <c r="B5746" s="102" t="s">
        <v>119</v>
      </c>
      <c r="C5746" s="102"/>
      <c r="D5746" s="102">
        <v>56001</v>
      </c>
      <c r="E5746" s="136" t="str">
        <f>INDEX([1]道具配置表!$D:$D,MATCH(D5746,[1]道具配置表!$A:$A,0))</f>
        <v>锻造装备消耗材料</v>
      </c>
      <c r="F5746" s="102">
        <v>20</v>
      </c>
      <c r="G5746" s="102"/>
      <c r="H5746" s="102"/>
      <c r="I5746" s="102"/>
      <c r="J5746" s="102"/>
      <c r="K5746" s="102">
        <v>1</v>
      </c>
      <c r="L5746" s="102"/>
      <c r="M5746" s="22" t="b">
        <v>1</v>
      </c>
    </row>
    <row r="5747" spans="1:13" x14ac:dyDescent="0.25">
      <c r="A5747" s="102"/>
      <c r="B5747" s="102" t="s">
        <v>119</v>
      </c>
      <c r="C5747" s="102"/>
      <c r="D5747" s="102">
        <v>6197</v>
      </c>
      <c r="E5747" s="136" t="str">
        <f>INDEX([1]道具配置表!$D:$D,MATCH(D5747,[1]道具配置表!$A:$A,0))</f>
        <v>5分钟锻造加速</v>
      </c>
      <c r="F5747" s="102">
        <v>1</v>
      </c>
      <c r="G5747" s="102"/>
      <c r="H5747" s="102"/>
      <c r="I5747" s="102"/>
      <c r="J5747" s="102"/>
      <c r="K5747" s="102">
        <v>1</v>
      </c>
      <c r="L5747" s="102"/>
      <c r="M5747" s="22" t="b">
        <v>1</v>
      </c>
    </row>
    <row r="5748" spans="1:13" x14ac:dyDescent="0.25">
      <c r="A5748" s="102">
        <v>6650089</v>
      </c>
      <c r="B5748" s="102" t="s">
        <v>1260</v>
      </c>
      <c r="C5748" s="102"/>
      <c r="D5748" s="102">
        <v>3000001</v>
      </c>
      <c r="E5748" s="136" t="str">
        <f>INDEX([1]道具配置表!$D:$D,MATCH(D5748,[1]道具配置表!$A:$A,0))</f>
        <v>自走棋放置货币</v>
      </c>
      <c r="F5748" s="102">
        <v>20</v>
      </c>
      <c r="G5748" s="102"/>
      <c r="H5748" s="102"/>
      <c r="I5748" s="102"/>
      <c r="J5748" s="102"/>
      <c r="K5748" s="102">
        <v>1</v>
      </c>
      <c r="L5748" s="102"/>
      <c r="M5748" s="22" t="b">
        <v>1</v>
      </c>
    </row>
    <row r="5749" spans="1:13" x14ac:dyDescent="0.25">
      <c r="A5749" s="102"/>
      <c r="B5749" s="102" t="s">
        <v>119</v>
      </c>
      <c r="C5749" s="102"/>
      <c r="D5749" s="102">
        <v>7228</v>
      </c>
      <c r="E5749" s="136" t="str">
        <f>INDEX([1]道具配置表!$D:$D,MATCH(D5749,[1]道具配置表!$A:$A,0))</f>
        <v>经验书*10000</v>
      </c>
      <c r="F5749" s="102">
        <v>1</v>
      </c>
      <c r="G5749" s="102"/>
      <c r="H5749" s="102"/>
      <c r="I5749" s="102"/>
      <c r="J5749" s="102"/>
      <c r="K5749" s="102">
        <v>1</v>
      </c>
      <c r="L5749" s="102"/>
      <c r="M5749" s="22" t="b">
        <v>1</v>
      </c>
    </row>
    <row r="5750" spans="1:13" x14ac:dyDescent="0.25">
      <c r="A5750" s="102"/>
      <c r="B5750" s="102" t="s">
        <v>119</v>
      </c>
      <c r="C5750" s="102"/>
      <c r="D5750" s="102">
        <v>20000</v>
      </c>
      <c r="E5750" s="136" t="str">
        <f>INDEX([1]道具配置表!$D:$D,MATCH(D5750,[1]道具配置表!$A:$A,0))</f>
        <v>技能点1</v>
      </c>
      <c r="F5750" s="102">
        <v>50</v>
      </c>
      <c r="G5750" s="102"/>
      <c r="H5750" s="102"/>
      <c r="I5750" s="102"/>
      <c r="J5750" s="102"/>
      <c r="K5750" s="102">
        <v>1</v>
      </c>
      <c r="L5750" s="102"/>
      <c r="M5750" s="22" t="b">
        <v>1</v>
      </c>
    </row>
    <row r="5751" spans="1:13" x14ac:dyDescent="0.25">
      <c r="A5751" s="102"/>
      <c r="B5751" s="102" t="s">
        <v>119</v>
      </c>
      <c r="C5751" s="102"/>
      <c r="D5751" s="102">
        <v>56001</v>
      </c>
      <c r="E5751" s="136" t="str">
        <f>INDEX([1]道具配置表!$D:$D,MATCH(D5751,[1]道具配置表!$A:$A,0))</f>
        <v>锻造装备消耗材料</v>
      </c>
      <c r="F5751" s="102">
        <v>20</v>
      </c>
      <c r="G5751" s="102"/>
      <c r="H5751" s="102"/>
      <c r="I5751" s="102"/>
      <c r="J5751" s="102"/>
      <c r="K5751" s="102">
        <v>1</v>
      </c>
      <c r="L5751" s="102"/>
      <c r="M5751" s="22" t="b">
        <v>1</v>
      </c>
    </row>
    <row r="5752" spans="1:13" x14ac:dyDescent="0.25">
      <c r="A5752" s="102"/>
      <c r="B5752" s="102" t="s">
        <v>119</v>
      </c>
      <c r="C5752" s="102"/>
      <c r="D5752" s="102">
        <v>6197</v>
      </c>
      <c r="E5752" s="136" t="str">
        <f>INDEX([1]道具配置表!$D:$D,MATCH(D5752,[1]道具配置表!$A:$A,0))</f>
        <v>5分钟锻造加速</v>
      </c>
      <c r="F5752" s="102">
        <v>1</v>
      </c>
      <c r="G5752" s="102"/>
      <c r="H5752" s="102"/>
      <c r="I5752" s="102"/>
      <c r="J5752" s="102"/>
      <c r="K5752" s="102">
        <v>1</v>
      </c>
      <c r="L5752" s="102"/>
      <c r="M5752" s="22" t="b">
        <v>1</v>
      </c>
    </row>
    <row r="5753" spans="1:13" x14ac:dyDescent="0.25">
      <c r="A5753" s="102">
        <v>6650090</v>
      </c>
      <c r="B5753" s="102" t="s">
        <v>1261</v>
      </c>
      <c r="C5753" s="102"/>
      <c r="D5753" s="102">
        <v>56190</v>
      </c>
      <c r="E5753" s="136" t="str">
        <f>INDEX([1]道具配置表!$D:$D,MATCH(D5753,[1]道具配置表!$A:$A,0))</f>
        <v>丝绸短衫</v>
      </c>
      <c r="F5753" s="102">
        <v>1</v>
      </c>
      <c r="G5753" s="102"/>
      <c r="H5753" s="102"/>
      <c r="I5753" s="102"/>
      <c r="J5753" s="102"/>
      <c r="K5753" s="102">
        <v>1</v>
      </c>
      <c r="L5753" s="102"/>
      <c r="M5753" s="22" t="b">
        <v>1</v>
      </c>
    </row>
    <row r="5754" spans="1:13" x14ac:dyDescent="0.25">
      <c r="A5754" s="102"/>
      <c r="B5754" s="102" t="s">
        <v>119</v>
      </c>
      <c r="C5754" s="102"/>
      <c r="D5754" s="102">
        <v>3000001</v>
      </c>
      <c r="E5754" s="136" t="str">
        <f>INDEX([1]道具配置表!$D:$D,MATCH(D5754,[1]道具配置表!$A:$A,0))</f>
        <v>自走棋放置货币</v>
      </c>
      <c r="F5754" s="102">
        <v>40</v>
      </c>
      <c r="G5754" s="102"/>
      <c r="H5754" s="102"/>
      <c r="I5754" s="102"/>
      <c r="J5754" s="102"/>
      <c r="K5754" s="102">
        <v>1</v>
      </c>
      <c r="L5754" s="102"/>
      <c r="M5754" s="22" t="b">
        <v>1</v>
      </c>
    </row>
    <row r="5755" spans="1:13" x14ac:dyDescent="0.25">
      <c r="A5755" s="102"/>
      <c r="B5755" s="102" t="s">
        <v>119</v>
      </c>
      <c r="C5755" s="102"/>
      <c r="D5755" s="102">
        <v>7228</v>
      </c>
      <c r="E5755" s="136" t="str">
        <f>INDEX([1]道具配置表!$D:$D,MATCH(D5755,[1]道具配置表!$A:$A,0))</f>
        <v>经验书*10000</v>
      </c>
      <c r="F5755" s="102">
        <v>2</v>
      </c>
      <c r="G5755" s="102"/>
      <c r="H5755" s="102"/>
      <c r="I5755" s="102"/>
      <c r="J5755" s="102"/>
      <c r="K5755" s="102">
        <v>1</v>
      </c>
      <c r="L5755" s="102"/>
      <c r="M5755" s="22" t="b">
        <v>1</v>
      </c>
    </row>
    <row r="5756" spans="1:13" x14ac:dyDescent="0.25">
      <c r="A5756" s="102"/>
      <c r="B5756" s="102" t="s">
        <v>119</v>
      </c>
      <c r="C5756" s="102"/>
      <c r="D5756" s="102">
        <v>20000</v>
      </c>
      <c r="E5756" s="136" t="str">
        <f>INDEX([1]道具配置表!$D:$D,MATCH(D5756,[1]道具配置表!$A:$A,0))</f>
        <v>技能点1</v>
      </c>
      <c r="F5756" s="102">
        <v>100</v>
      </c>
      <c r="G5756" s="102"/>
      <c r="H5756" s="102"/>
      <c r="I5756" s="102"/>
      <c r="J5756" s="102"/>
      <c r="K5756" s="102">
        <v>1</v>
      </c>
      <c r="L5756" s="102"/>
      <c r="M5756" s="22" t="b">
        <v>1</v>
      </c>
    </row>
    <row r="5757" spans="1:13" x14ac:dyDescent="0.25">
      <c r="A5757" s="102"/>
      <c r="B5757" s="102" t="s">
        <v>119</v>
      </c>
      <c r="C5757" s="102"/>
      <c r="D5757" s="102">
        <v>56001</v>
      </c>
      <c r="E5757" s="136" t="str">
        <f>INDEX([1]道具配置表!$D:$D,MATCH(D5757,[1]道具配置表!$A:$A,0))</f>
        <v>锻造装备消耗材料</v>
      </c>
      <c r="F5757" s="102">
        <v>50</v>
      </c>
      <c r="G5757" s="102"/>
      <c r="H5757" s="102"/>
      <c r="I5757" s="102"/>
      <c r="J5757" s="102"/>
      <c r="K5757" s="102">
        <v>1</v>
      </c>
      <c r="L5757" s="102"/>
      <c r="M5757" s="22" t="b">
        <v>1</v>
      </c>
    </row>
    <row r="5758" spans="1:13" x14ac:dyDescent="0.25">
      <c r="A5758" s="102"/>
      <c r="B5758" s="102" t="s">
        <v>119</v>
      </c>
      <c r="C5758" s="102"/>
      <c r="D5758" s="102">
        <v>6201</v>
      </c>
      <c r="E5758" s="136" t="str">
        <f>INDEX([1]道具配置表!$D:$D,MATCH(D5758,[1]道具配置表!$A:$A,0))</f>
        <v>60分钟锻造加速</v>
      </c>
      <c r="F5758" s="102">
        <v>1</v>
      </c>
      <c r="G5758" s="102"/>
      <c r="H5758" s="102"/>
      <c r="I5758" s="102"/>
      <c r="J5758" s="102"/>
      <c r="K5758" s="102">
        <v>1</v>
      </c>
      <c r="L5758" s="102"/>
      <c r="M5758" s="22" t="b">
        <v>1</v>
      </c>
    </row>
    <row r="5759" spans="1:13" x14ac:dyDescent="0.25">
      <c r="A5759" s="102"/>
      <c r="B5759" s="102" t="s">
        <v>119</v>
      </c>
      <c r="C5759" s="102"/>
      <c r="D5759" s="102">
        <v>56002</v>
      </c>
      <c r="E5759" s="136" t="str">
        <f>INDEX([1]道具配置表!$D:$D,MATCH(D5759,[1]道具配置表!$A:$A,0))</f>
        <v>强化装备消耗材料</v>
      </c>
      <c r="F5759" s="102">
        <v>20</v>
      </c>
      <c r="G5759" s="102"/>
      <c r="H5759" s="102"/>
      <c r="I5759" s="102"/>
      <c r="J5759" s="102"/>
      <c r="K5759" s="102">
        <v>1</v>
      </c>
      <c r="L5759" s="102"/>
      <c r="M5759" s="22" t="b">
        <v>1</v>
      </c>
    </row>
    <row r="5760" spans="1:13" x14ac:dyDescent="0.25">
      <c r="A5760" s="102">
        <v>6650091</v>
      </c>
      <c r="B5760" s="102" t="s">
        <v>1262</v>
      </c>
      <c r="C5760" s="102"/>
      <c r="D5760" s="102">
        <v>3000001</v>
      </c>
      <c r="E5760" s="136" t="str">
        <f>INDEX([1]道具配置表!$D:$D,MATCH(D5760,[1]道具配置表!$A:$A,0))</f>
        <v>自走棋放置货币</v>
      </c>
      <c r="F5760" s="102">
        <v>20</v>
      </c>
      <c r="G5760" s="102"/>
      <c r="H5760" s="102"/>
      <c r="I5760" s="102"/>
      <c r="J5760" s="102"/>
      <c r="K5760" s="102">
        <v>1</v>
      </c>
      <c r="L5760" s="102"/>
      <c r="M5760" s="22" t="b">
        <v>1</v>
      </c>
    </row>
    <row r="5761" spans="1:13" x14ac:dyDescent="0.25">
      <c r="A5761" s="102"/>
      <c r="B5761" s="102" t="s">
        <v>119</v>
      </c>
      <c r="C5761" s="102"/>
      <c r="D5761" s="102">
        <v>7228</v>
      </c>
      <c r="E5761" s="136" t="str">
        <f>INDEX([1]道具配置表!$D:$D,MATCH(D5761,[1]道具配置表!$A:$A,0))</f>
        <v>经验书*10000</v>
      </c>
      <c r="F5761" s="102">
        <v>1</v>
      </c>
      <c r="G5761" s="102"/>
      <c r="H5761" s="102"/>
      <c r="I5761" s="102"/>
      <c r="J5761" s="102"/>
      <c r="K5761" s="102">
        <v>1</v>
      </c>
      <c r="L5761" s="102"/>
      <c r="M5761" s="22" t="b">
        <v>1</v>
      </c>
    </row>
    <row r="5762" spans="1:13" x14ac:dyDescent="0.25">
      <c r="A5762" s="102"/>
      <c r="B5762" s="102" t="s">
        <v>119</v>
      </c>
      <c r="C5762" s="102"/>
      <c r="D5762" s="102">
        <v>20000</v>
      </c>
      <c r="E5762" s="136" t="str">
        <f>INDEX([1]道具配置表!$D:$D,MATCH(D5762,[1]道具配置表!$A:$A,0))</f>
        <v>技能点1</v>
      </c>
      <c r="F5762" s="102">
        <v>50</v>
      </c>
      <c r="G5762" s="102"/>
      <c r="H5762" s="102"/>
      <c r="I5762" s="102"/>
      <c r="J5762" s="102"/>
      <c r="K5762" s="102">
        <v>1</v>
      </c>
      <c r="L5762" s="102"/>
      <c r="M5762" s="22" t="b">
        <v>1</v>
      </c>
    </row>
    <row r="5763" spans="1:13" x14ac:dyDescent="0.25">
      <c r="A5763" s="102"/>
      <c r="B5763" s="102" t="s">
        <v>119</v>
      </c>
      <c r="C5763" s="102"/>
      <c r="D5763" s="102">
        <v>56001</v>
      </c>
      <c r="E5763" s="136" t="str">
        <f>INDEX([1]道具配置表!$D:$D,MATCH(D5763,[1]道具配置表!$A:$A,0))</f>
        <v>锻造装备消耗材料</v>
      </c>
      <c r="F5763" s="102">
        <v>20</v>
      </c>
      <c r="G5763" s="102"/>
      <c r="H5763" s="102"/>
      <c r="I5763" s="102"/>
      <c r="J5763" s="102"/>
      <c r="K5763" s="102">
        <v>1</v>
      </c>
      <c r="L5763" s="102"/>
      <c r="M5763" s="22" t="b">
        <v>1</v>
      </c>
    </row>
    <row r="5764" spans="1:13" x14ac:dyDescent="0.25">
      <c r="A5764" s="102"/>
      <c r="B5764" s="102" t="s">
        <v>119</v>
      </c>
      <c r="C5764" s="102"/>
      <c r="D5764" s="102">
        <v>6197</v>
      </c>
      <c r="E5764" s="136" t="str">
        <f>INDEX([1]道具配置表!$D:$D,MATCH(D5764,[1]道具配置表!$A:$A,0))</f>
        <v>5分钟锻造加速</v>
      </c>
      <c r="F5764" s="102">
        <v>1</v>
      </c>
      <c r="G5764" s="102"/>
      <c r="H5764" s="102"/>
      <c r="I5764" s="102"/>
      <c r="J5764" s="102"/>
      <c r="K5764" s="102">
        <v>1</v>
      </c>
      <c r="L5764" s="102"/>
      <c r="M5764" s="22" t="b">
        <v>1</v>
      </c>
    </row>
    <row r="5765" spans="1:13" x14ac:dyDescent="0.25">
      <c r="A5765" s="102">
        <v>6650092</v>
      </c>
      <c r="B5765" s="102" t="s">
        <v>1263</v>
      </c>
      <c r="C5765" s="102"/>
      <c r="D5765" s="102">
        <v>3000001</v>
      </c>
      <c r="E5765" s="136" t="str">
        <f>INDEX([1]道具配置表!$D:$D,MATCH(D5765,[1]道具配置表!$A:$A,0))</f>
        <v>自走棋放置货币</v>
      </c>
      <c r="F5765" s="102">
        <v>20</v>
      </c>
      <c r="G5765" s="102"/>
      <c r="H5765" s="102"/>
      <c r="I5765" s="102"/>
      <c r="J5765" s="102"/>
      <c r="K5765" s="102">
        <v>1</v>
      </c>
      <c r="L5765" s="102"/>
      <c r="M5765" s="22" t="b">
        <v>1</v>
      </c>
    </row>
    <row r="5766" spans="1:13" x14ac:dyDescent="0.25">
      <c r="A5766" s="102"/>
      <c r="B5766" s="102" t="s">
        <v>119</v>
      </c>
      <c r="C5766" s="102"/>
      <c r="D5766" s="102">
        <v>7228</v>
      </c>
      <c r="E5766" s="136" t="str">
        <f>INDEX([1]道具配置表!$D:$D,MATCH(D5766,[1]道具配置表!$A:$A,0))</f>
        <v>经验书*10000</v>
      </c>
      <c r="F5766" s="102">
        <v>1</v>
      </c>
      <c r="G5766" s="102"/>
      <c r="H5766" s="102"/>
      <c r="I5766" s="102"/>
      <c r="J5766" s="102"/>
      <c r="K5766" s="102">
        <v>1</v>
      </c>
      <c r="L5766" s="102"/>
      <c r="M5766" s="22" t="b">
        <v>1</v>
      </c>
    </row>
    <row r="5767" spans="1:13" x14ac:dyDescent="0.25">
      <c r="A5767" s="102"/>
      <c r="B5767" s="102" t="s">
        <v>119</v>
      </c>
      <c r="C5767" s="102"/>
      <c r="D5767" s="102">
        <v>20000</v>
      </c>
      <c r="E5767" s="136" t="str">
        <f>INDEX([1]道具配置表!$D:$D,MATCH(D5767,[1]道具配置表!$A:$A,0))</f>
        <v>技能点1</v>
      </c>
      <c r="F5767" s="102">
        <v>50</v>
      </c>
      <c r="G5767" s="102"/>
      <c r="H5767" s="102"/>
      <c r="I5767" s="102"/>
      <c r="J5767" s="102"/>
      <c r="K5767" s="102">
        <v>1</v>
      </c>
      <c r="L5767" s="102"/>
      <c r="M5767" s="22" t="b">
        <v>1</v>
      </c>
    </row>
    <row r="5768" spans="1:13" x14ac:dyDescent="0.25">
      <c r="A5768" s="102"/>
      <c r="B5768" s="102" t="s">
        <v>119</v>
      </c>
      <c r="C5768" s="102"/>
      <c r="D5768" s="102">
        <v>56001</v>
      </c>
      <c r="E5768" s="136" t="str">
        <f>INDEX([1]道具配置表!$D:$D,MATCH(D5768,[1]道具配置表!$A:$A,0))</f>
        <v>锻造装备消耗材料</v>
      </c>
      <c r="F5768" s="102">
        <v>20</v>
      </c>
      <c r="G5768" s="102"/>
      <c r="H5768" s="102"/>
      <c r="I5768" s="102"/>
      <c r="J5768" s="102"/>
      <c r="K5768" s="102">
        <v>1</v>
      </c>
      <c r="L5768" s="102"/>
      <c r="M5768" s="22" t="b">
        <v>1</v>
      </c>
    </row>
    <row r="5769" spans="1:13" x14ac:dyDescent="0.25">
      <c r="A5769" s="102"/>
      <c r="B5769" s="102" t="s">
        <v>119</v>
      </c>
      <c r="C5769" s="102"/>
      <c r="D5769" s="102">
        <v>6197</v>
      </c>
      <c r="E5769" s="136" t="str">
        <f>INDEX([1]道具配置表!$D:$D,MATCH(D5769,[1]道具配置表!$A:$A,0))</f>
        <v>5分钟锻造加速</v>
      </c>
      <c r="F5769" s="102">
        <v>1</v>
      </c>
      <c r="G5769" s="102"/>
      <c r="H5769" s="102"/>
      <c r="I5769" s="102"/>
      <c r="J5769" s="102"/>
      <c r="K5769" s="102">
        <v>1</v>
      </c>
      <c r="L5769" s="102"/>
      <c r="M5769" s="22" t="b">
        <v>1</v>
      </c>
    </row>
    <row r="5770" spans="1:13" x14ac:dyDescent="0.25">
      <c r="A5770" s="102">
        <v>6650093</v>
      </c>
      <c r="B5770" s="102" t="s">
        <v>1264</v>
      </c>
      <c r="C5770" s="102"/>
      <c r="D5770" s="102">
        <v>3000001</v>
      </c>
      <c r="E5770" s="136" t="str">
        <f>INDEX([1]道具配置表!$D:$D,MATCH(D5770,[1]道具配置表!$A:$A,0))</f>
        <v>自走棋放置货币</v>
      </c>
      <c r="F5770" s="102">
        <v>20</v>
      </c>
      <c r="G5770" s="102"/>
      <c r="H5770" s="102"/>
      <c r="I5770" s="102"/>
      <c r="J5770" s="102"/>
      <c r="K5770" s="102">
        <v>1</v>
      </c>
      <c r="L5770" s="102"/>
      <c r="M5770" s="22" t="b">
        <v>1</v>
      </c>
    </row>
    <row r="5771" spans="1:13" x14ac:dyDescent="0.25">
      <c r="A5771" s="102"/>
      <c r="B5771" s="102" t="s">
        <v>119</v>
      </c>
      <c r="C5771" s="102"/>
      <c r="D5771" s="102">
        <v>7228</v>
      </c>
      <c r="E5771" s="136" t="str">
        <f>INDEX([1]道具配置表!$D:$D,MATCH(D5771,[1]道具配置表!$A:$A,0))</f>
        <v>经验书*10000</v>
      </c>
      <c r="F5771" s="102">
        <v>1</v>
      </c>
      <c r="G5771" s="102"/>
      <c r="H5771" s="102"/>
      <c r="I5771" s="102"/>
      <c r="J5771" s="102"/>
      <c r="K5771" s="102">
        <v>1</v>
      </c>
      <c r="L5771" s="102"/>
      <c r="M5771" s="22" t="b">
        <v>1</v>
      </c>
    </row>
    <row r="5772" spans="1:13" x14ac:dyDescent="0.25">
      <c r="A5772" s="102"/>
      <c r="B5772" s="102" t="s">
        <v>119</v>
      </c>
      <c r="C5772" s="102"/>
      <c r="D5772" s="102">
        <v>20000</v>
      </c>
      <c r="E5772" s="136" t="str">
        <f>INDEX([1]道具配置表!$D:$D,MATCH(D5772,[1]道具配置表!$A:$A,0))</f>
        <v>技能点1</v>
      </c>
      <c r="F5772" s="102">
        <v>50</v>
      </c>
      <c r="G5772" s="102"/>
      <c r="H5772" s="102"/>
      <c r="I5772" s="102"/>
      <c r="J5772" s="102"/>
      <c r="K5772" s="102">
        <v>1</v>
      </c>
      <c r="L5772" s="102"/>
      <c r="M5772" s="22" t="b">
        <v>1</v>
      </c>
    </row>
    <row r="5773" spans="1:13" x14ac:dyDescent="0.25">
      <c r="A5773" s="102"/>
      <c r="B5773" s="102" t="s">
        <v>119</v>
      </c>
      <c r="C5773" s="102"/>
      <c r="D5773" s="102">
        <v>56001</v>
      </c>
      <c r="E5773" s="136" t="str">
        <f>INDEX([1]道具配置表!$D:$D,MATCH(D5773,[1]道具配置表!$A:$A,0))</f>
        <v>锻造装备消耗材料</v>
      </c>
      <c r="F5773" s="102">
        <v>20</v>
      </c>
      <c r="G5773" s="102"/>
      <c r="H5773" s="102"/>
      <c r="I5773" s="102"/>
      <c r="J5773" s="102"/>
      <c r="K5773" s="102">
        <v>1</v>
      </c>
      <c r="L5773" s="102"/>
      <c r="M5773" s="22" t="b">
        <v>1</v>
      </c>
    </row>
    <row r="5774" spans="1:13" x14ac:dyDescent="0.25">
      <c r="A5774" s="102"/>
      <c r="B5774" s="102" t="s">
        <v>119</v>
      </c>
      <c r="C5774" s="102"/>
      <c r="D5774" s="102">
        <v>6197</v>
      </c>
      <c r="E5774" s="136" t="str">
        <f>INDEX([1]道具配置表!$D:$D,MATCH(D5774,[1]道具配置表!$A:$A,0))</f>
        <v>5分钟锻造加速</v>
      </c>
      <c r="F5774" s="102">
        <v>1</v>
      </c>
      <c r="G5774" s="102"/>
      <c r="H5774" s="102"/>
      <c r="I5774" s="102"/>
      <c r="J5774" s="102"/>
      <c r="K5774" s="102">
        <v>1</v>
      </c>
      <c r="L5774" s="102"/>
      <c r="M5774" s="22" t="b">
        <v>1</v>
      </c>
    </row>
    <row r="5775" spans="1:13" x14ac:dyDescent="0.25">
      <c r="A5775" s="102">
        <v>6650094</v>
      </c>
      <c r="B5775" s="102" t="s">
        <v>1265</v>
      </c>
      <c r="C5775" s="102"/>
      <c r="D5775" s="102">
        <v>3000001</v>
      </c>
      <c r="E5775" s="136" t="str">
        <f>INDEX([1]道具配置表!$D:$D,MATCH(D5775,[1]道具配置表!$A:$A,0))</f>
        <v>自走棋放置货币</v>
      </c>
      <c r="F5775" s="102">
        <v>20</v>
      </c>
      <c r="G5775" s="102"/>
      <c r="H5775" s="102"/>
      <c r="I5775" s="102"/>
      <c r="J5775" s="102"/>
      <c r="K5775" s="102">
        <v>1</v>
      </c>
      <c r="L5775" s="102"/>
      <c r="M5775" s="22" t="b">
        <v>1</v>
      </c>
    </row>
    <row r="5776" spans="1:13" x14ac:dyDescent="0.25">
      <c r="A5776" s="102"/>
      <c r="B5776" s="102" t="s">
        <v>119</v>
      </c>
      <c r="C5776" s="102"/>
      <c r="D5776" s="102">
        <v>7228</v>
      </c>
      <c r="E5776" s="136" t="str">
        <f>INDEX([1]道具配置表!$D:$D,MATCH(D5776,[1]道具配置表!$A:$A,0))</f>
        <v>经验书*10000</v>
      </c>
      <c r="F5776" s="102">
        <v>1</v>
      </c>
      <c r="G5776" s="102"/>
      <c r="H5776" s="102"/>
      <c r="I5776" s="102"/>
      <c r="J5776" s="102"/>
      <c r="K5776" s="102">
        <v>1</v>
      </c>
      <c r="L5776" s="102"/>
      <c r="M5776" s="22" t="b">
        <v>1</v>
      </c>
    </row>
    <row r="5777" spans="1:13" x14ac:dyDescent="0.25">
      <c r="A5777" s="102"/>
      <c r="B5777" s="102" t="s">
        <v>119</v>
      </c>
      <c r="C5777" s="102"/>
      <c r="D5777" s="102">
        <v>20000</v>
      </c>
      <c r="E5777" s="136" t="str">
        <f>INDEX([1]道具配置表!$D:$D,MATCH(D5777,[1]道具配置表!$A:$A,0))</f>
        <v>技能点1</v>
      </c>
      <c r="F5777" s="102">
        <v>50</v>
      </c>
      <c r="G5777" s="102"/>
      <c r="H5777" s="102"/>
      <c r="I5777" s="102"/>
      <c r="J5777" s="102"/>
      <c r="K5777" s="102">
        <v>1</v>
      </c>
      <c r="L5777" s="102"/>
      <c r="M5777" s="22" t="b">
        <v>1</v>
      </c>
    </row>
    <row r="5778" spans="1:13" x14ac:dyDescent="0.25">
      <c r="A5778" s="102"/>
      <c r="B5778" s="102" t="s">
        <v>119</v>
      </c>
      <c r="C5778" s="102"/>
      <c r="D5778" s="102">
        <v>56001</v>
      </c>
      <c r="E5778" s="136" t="str">
        <f>INDEX([1]道具配置表!$D:$D,MATCH(D5778,[1]道具配置表!$A:$A,0))</f>
        <v>锻造装备消耗材料</v>
      </c>
      <c r="F5778" s="102">
        <v>20</v>
      </c>
      <c r="G5778" s="102"/>
      <c r="H5778" s="102"/>
      <c r="I5778" s="102"/>
      <c r="J5778" s="102"/>
      <c r="K5778" s="102">
        <v>1</v>
      </c>
      <c r="L5778" s="102"/>
      <c r="M5778" s="22" t="b">
        <v>1</v>
      </c>
    </row>
    <row r="5779" spans="1:13" x14ac:dyDescent="0.25">
      <c r="A5779" s="102"/>
      <c r="B5779" s="102" t="s">
        <v>119</v>
      </c>
      <c r="C5779" s="102"/>
      <c r="D5779" s="102">
        <v>6197</v>
      </c>
      <c r="E5779" s="136" t="str">
        <f>INDEX([1]道具配置表!$D:$D,MATCH(D5779,[1]道具配置表!$A:$A,0))</f>
        <v>5分钟锻造加速</v>
      </c>
      <c r="F5779" s="102">
        <v>1</v>
      </c>
      <c r="G5779" s="102"/>
      <c r="H5779" s="102"/>
      <c r="I5779" s="102"/>
      <c r="J5779" s="102"/>
      <c r="K5779" s="102">
        <v>1</v>
      </c>
      <c r="L5779" s="102"/>
      <c r="M5779" s="22" t="b">
        <v>1</v>
      </c>
    </row>
    <row r="5780" spans="1:13" x14ac:dyDescent="0.25">
      <c r="A5780" s="102">
        <v>6650095</v>
      </c>
      <c r="B5780" s="102" t="s">
        <v>1266</v>
      </c>
      <c r="C5780" s="102"/>
      <c r="D5780" s="102">
        <v>3000001</v>
      </c>
      <c r="E5780" s="136" t="str">
        <f>INDEX([1]道具配置表!$D:$D,MATCH(D5780,[1]道具配置表!$A:$A,0))</f>
        <v>自走棋放置货币</v>
      </c>
      <c r="F5780" s="102">
        <v>40</v>
      </c>
      <c r="G5780" s="102"/>
      <c r="H5780" s="102"/>
      <c r="I5780" s="102"/>
      <c r="J5780" s="102"/>
      <c r="K5780" s="102">
        <v>1</v>
      </c>
      <c r="L5780" s="102"/>
      <c r="M5780" s="22" t="b">
        <v>1</v>
      </c>
    </row>
    <row r="5781" spans="1:13" x14ac:dyDescent="0.25">
      <c r="A5781" s="102"/>
      <c r="B5781" s="102" t="s">
        <v>119</v>
      </c>
      <c r="C5781" s="102"/>
      <c r="D5781" s="102">
        <v>7228</v>
      </c>
      <c r="E5781" s="136" t="str">
        <f>INDEX([1]道具配置表!$D:$D,MATCH(D5781,[1]道具配置表!$A:$A,0))</f>
        <v>经验书*10000</v>
      </c>
      <c r="F5781" s="102">
        <v>2</v>
      </c>
      <c r="G5781" s="102"/>
      <c r="H5781" s="102"/>
      <c r="I5781" s="102"/>
      <c r="J5781" s="102"/>
      <c r="K5781" s="102">
        <v>1</v>
      </c>
      <c r="L5781" s="102"/>
      <c r="M5781" s="22" t="b">
        <v>1</v>
      </c>
    </row>
    <row r="5782" spans="1:13" x14ac:dyDescent="0.25">
      <c r="A5782" s="102"/>
      <c r="B5782" s="102" t="s">
        <v>119</v>
      </c>
      <c r="C5782" s="102"/>
      <c r="D5782" s="102">
        <v>20000</v>
      </c>
      <c r="E5782" s="136" t="str">
        <f>INDEX([1]道具配置表!$D:$D,MATCH(D5782,[1]道具配置表!$A:$A,0))</f>
        <v>技能点1</v>
      </c>
      <c r="F5782" s="102">
        <v>100</v>
      </c>
      <c r="G5782" s="102"/>
      <c r="H5782" s="102"/>
      <c r="I5782" s="102"/>
      <c r="J5782" s="102"/>
      <c r="K5782" s="102">
        <v>1</v>
      </c>
      <c r="L5782" s="102"/>
      <c r="M5782" s="22" t="b">
        <v>1</v>
      </c>
    </row>
    <row r="5783" spans="1:13" x14ac:dyDescent="0.25">
      <c r="A5783" s="102"/>
      <c r="B5783" s="102" t="s">
        <v>119</v>
      </c>
      <c r="C5783" s="102"/>
      <c r="D5783" s="102">
        <v>56001</v>
      </c>
      <c r="E5783" s="136" t="str">
        <f>INDEX([1]道具配置表!$D:$D,MATCH(D5783,[1]道具配置表!$A:$A,0))</f>
        <v>锻造装备消耗材料</v>
      </c>
      <c r="F5783" s="102">
        <v>50</v>
      </c>
      <c r="G5783" s="102"/>
      <c r="H5783" s="102"/>
      <c r="I5783" s="102"/>
      <c r="J5783" s="102"/>
      <c r="K5783" s="102">
        <v>1</v>
      </c>
      <c r="L5783" s="102"/>
      <c r="M5783" s="22" t="b">
        <v>1</v>
      </c>
    </row>
    <row r="5784" spans="1:13" x14ac:dyDescent="0.25">
      <c r="A5784" s="102"/>
      <c r="B5784" s="102" t="s">
        <v>119</v>
      </c>
      <c r="C5784" s="102"/>
      <c r="D5784" s="102">
        <v>6197</v>
      </c>
      <c r="E5784" s="136" t="str">
        <f>INDEX([1]道具配置表!$D:$D,MATCH(D5784,[1]道具配置表!$A:$A,0))</f>
        <v>5分钟锻造加速</v>
      </c>
      <c r="F5784" s="102">
        <v>1</v>
      </c>
      <c r="G5784" s="102"/>
      <c r="H5784" s="102"/>
      <c r="I5784" s="102"/>
      <c r="J5784" s="102"/>
      <c r="K5784" s="102">
        <v>1</v>
      </c>
      <c r="L5784" s="102"/>
      <c r="M5784" s="22" t="b">
        <v>1</v>
      </c>
    </row>
    <row r="5785" spans="1:13" x14ac:dyDescent="0.25">
      <c r="A5785" s="102">
        <v>6650096</v>
      </c>
      <c r="B5785" s="102" t="s">
        <v>1267</v>
      </c>
      <c r="C5785" s="102"/>
      <c r="D5785" s="102">
        <v>3000001</v>
      </c>
      <c r="E5785" s="136" t="str">
        <f>INDEX([1]道具配置表!$D:$D,MATCH(D5785,[1]道具配置表!$A:$A,0))</f>
        <v>自走棋放置货币</v>
      </c>
      <c r="F5785" s="102">
        <v>20</v>
      </c>
      <c r="G5785" s="102"/>
      <c r="H5785" s="102"/>
      <c r="I5785" s="102"/>
      <c r="J5785" s="102"/>
      <c r="K5785" s="102">
        <v>1</v>
      </c>
      <c r="L5785" s="102"/>
      <c r="M5785" s="22" t="b">
        <v>1</v>
      </c>
    </row>
    <row r="5786" spans="1:13" x14ac:dyDescent="0.25">
      <c r="A5786" s="102"/>
      <c r="B5786" s="102" t="s">
        <v>119</v>
      </c>
      <c r="C5786" s="102"/>
      <c r="D5786" s="102">
        <v>7228</v>
      </c>
      <c r="E5786" s="136" t="str">
        <f>INDEX([1]道具配置表!$D:$D,MATCH(D5786,[1]道具配置表!$A:$A,0))</f>
        <v>经验书*10000</v>
      </c>
      <c r="F5786" s="102">
        <v>1</v>
      </c>
      <c r="G5786" s="102"/>
      <c r="H5786" s="102"/>
      <c r="I5786" s="102"/>
      <c r="J5786" s="102"/>
      <c r="K5786" s="102">
        <v>1</v>
      </c>
      <c r="L5786" s="102"/>
      <c r="M5786" s="22" t="b">
        <v>1</v>
      </c>
    </row>
    <row r="5787" spans="1:13" x14ac:dyDescent="0.25">
      <c r="A5787" s="102"/>
      <c r="B5787" s="102" t="s">
        <v>119</v>
      </c>
      <c r="C5787" s="102"/>
      <c r="D5787" s="102">
        <v>20000</v>
      </c>
      <c r="E5787" s="136" t="str">
        <f>INDEX([1]道具配置表!$D:$D,MATCH(D5787,[1]道具配置表!$A:$A,0))</f>
        <v>技能点1</v>
      </c>
      <c r="F5787" s="102">
        <v>50</v>
      </c>
      <c r="G5787" s="102"/>
      <c r="H5787" s="102"/>
      <c r="I5787" s="102"/>
      <c r="J5787" s="102"/>
      <c r="K5787" s="102">
        <v>1</v>
      </c>
      <c r="L5787" s="102"/>
      <c r="M5787" s="22" t="b">
        <v>1</v>
      </c>
    </row>
    <row r="5788" spans="1:13" x14ac:dyDescent="0.25">
      <c r="A5788" s="102"/>
      <c r="B5788" s="102" t="s">
        <v>119</v>
      </c>
      <c r="C5788" s="102"/>
      <c r="D5788" s="102">
        <v>56001</v>
      </c>
      <c r="E5788" s="136" t="str">
        <f>INDEX([1]道具配置表!$D:$D,MATCH(D5788,[1]道具配置表!$A:$A,0))</f>
        <v>锻造装备消耗材料</v>
      </c>
      <c r="F5788" s="102">
        <v>20</v>
      </c>
      <c r="G5788" s="102"/>
      <c r="H5788" s="102"/>
      <c r="I5788" s="102"/>
      <c r="J5788" s="102"/>
      <c r="K5788" s="102">
        <v>1</v>
      </c>
      <c r="L5788" s="102"/>
      <c r="M5788" s="22" t="b">
        <v>1</v>
      </c>
    </row>
    <row r="5789" spans="1:13" x14ac:dyDescent="0.25">
      <c r="A5789" s="102"/>
      <c r="B5789" s="102" t="s">
        <v>119</v>
      </c>
      <c r="C5789" s="102"/>
      <c r="D5789" s="102">
        <v>6197</v>
      </c>
      <c r="E5789" s="136" t="str">
        <f>INDEX([1]道具配置表!$D:$D,MATCH(D5789,[1]道具配置表!$A:$A,0))</f>
        <v>5分钟锻造加速</v>
      </c>
      <c r="F5789" s="102">
        <v>1</v>
      </c>
      <c r="G5789" s="102"/>
      <c r="H5789" s="102"/>
      <c r="I5789" s="102"/>
      <c r="J5789" s="102"/>
      <c r="K5789" s="102">
        <v>1</v>
      </c>
      <c r="L5789" s="102"/>
      <c r="M5789" s="22" t="b">
        <v>1</v>
      </c>
    </row>
    <row r="5790" spans="1:13" x14ac:dyDescent="0.25">
      <c r="A5790" s="102">
        <v>6650097</v>
      </c>
      <c r="B5790" s="102" t="s">
        <v>1268</v>
      </c>
      <c r="C5790" s="102"/>
      <c r="D5790" s="102">
        <v>3000001</v>
      </c>
      <c r="E5790" s="136" t="str">
        <f>INDEX([1]道具配置表!$D:$D,MATCH(D5790,[1]道具配置表!$A:$A,0))</f>
        <v>自走棋放置货币</v>
      </c>
      <c r="F5790" s="102">
        <v>20</v>
      </c>
      <c r="G5790" s="102"/>
      <c r="H5790" s="102"/>
      <c r="I5790" s="102"/>
      <c r="J5790" s="102"/>
      <c r="K5790" s="102">
        <v>1</v>
      </c>
      <c r="L5790" s="102"/>
      <c r="M5790" s="22" t="b">
        <v>1</v>
      </c>
    </row>
    <row r="5791" spans="1:13" x14ac:dyDescent="0.25">
      <c r="A5791" s="102"/>
      <c r="B5791" s="102" t="s">
        <v>119</v>
      </c>
      <c r="C5791" s="102"/>
      <c r="D5791" s="102">
        <v>7228</v>
      </c>
      <c r="E5791" s="136" t="str">
        <f>INDEX([1]道具配置表!$D:$D,MATCH(D5791,[1]道具配置表!$A:$A,0))</f>
        <v>经验书*10000</v>
      </c>
      <c r="F5791" s="102">
        <v>1</v>
      </c>
      <c r="G5791" s="102"/>
      <c r="H5791" s="102"/>
      <c r="I5791" s="102"/>
      <c r="J5791" s="102"/>
      <c r="K5791" s="102">
        <v>1</v>
      </c>
      <c r="L5791" s="102"/>
      <c r="M5791" s="22" t="b">
        <v>1</v>
      </c>
    </row>
    <row r="5792" spans="1:13" x14ac:dyDescent="0.25">
      <c r="A5792" s="102"/>
      <c r="B5792" s="102" t="s">
        <v>119</v>
      </c>
      <c r="C5792" s="102"/>
      <c r="D5792" s="102">
        <v>20000</v>
      </c>
      <c r="E5792" s="136" t="str">
        <f>INDEX([1]道具配置表!$D:$D,MATCH(D5792,[1]道具配置表!$A:$A,0))</f>
        <v>技能点1</v>
      </c>
      <c r="F5792" s="102">
        <v>50</v>
      </c>
      <c r="G5792" s="102"/>
      <c r="H5792" s="102"/>
      <c r="I5792" s="102"/>
      <c r="J5792" s="102"/>
      <c r="K5792" s="102">
        <v>1</v>
      </c>
      <c r="L5792" s="102"/>
      <c r="M5792" s="22" t="b">
        <v>1</v>
      </c>
    </row>
    <row r="5793" spans="1:13" x14ac:dyDescent="0.25">
      <c r="A5793" s="102"/>
      <c r="B5793" s="102" t="s">
        <v>119</v>
      </c>
      <c r="C5793" s="102"/>
      <c r="D5793" s="102">
        <v>56001</v>
      </c>
      <c r="E5793" s="136" t="str">
        <f>INDEX([1]道具配置表!$D:$D,MATCH(D5793,[1]道具配置表!$A:$A,0))</f>
        <v>锻造装备消耗材料</v>
      </c>
      <c r="F5793" s="102">
        <v>20</v>
      </c>
      <c r="G5793" s="102"/>
      <c r="H5793" s="102"/>
      <c r="I5793" s="102"/>
      <c r="J5793" s="102"/>
      <c r="K5793" s="102">
        <v>1</v>
      </c>
      <c r="L5793" s="102"/>
      <c r="M5793" s="22" t="b">
        <v>1</v>
      </c>
    </row>
    <row r="5794" spans="1:13" x14ac:dyDescent="0.25">
      <c r="A5794" s="102"/>
      <c r="B5794" s="102" t="s">
        <v>119</v>
      </c>
      <c r="C5794" s="102"/>
      <c r="D5794" s="102">
        <v>6197</v>
      </c>
      <c r="E5794" s="136" t="str">
        <f>INDEX([1]道具配置表!$D:$D,MATCH(D5794,[1]道具配置表!$A:$A,0))</f>
        <v>5分钟锻造加速</v>
      </c>
      <c r="F5794" s="102">
        <v>1</v>
      </c>
      <c r="G5794" s="102"/>
      <c r="H5794" s="102"/>
      <c r="I5794" s="102"/>
      <c r="J5794" s="102"/>
      <c r="K5794" s="102">
        <v>1</v>
      </c>
      <c r="L5794" s="102"/>
      <c r="M5794" s="22" t="b">
        <v>1</v>
      </c>
    </row>
    <row r="5795" spans="1:13" x14ac:dyDescent="0.25">
      <c r="A5795" s="102">
        <v>6650098</v>
      </c>
      <c r="B5795" s="102" t="s">
        <v>1269</v>
      </c>
      <c r="C5795" s="102"/>
      <c r="D5795" s="102">
        <v>3000001</v>
      </c>
      <c r="E5795" s="136" t="str">
        <f>INDEX([1]道具配置表!$D:$D,MATCH(D5795,[1]道具配置表!$A:$A,0))</f>
        <v>自走棋放置货币</v>
      </c>
      <c r="F5795" s="102">
        <v>20</v>
      </c>
      <c r="G5795" s="102"/>
      <c r="H5795" s="102"/>
      <c r="I5795" s="102"/>
      <c r="J5795" s="102"/>
      <c r="K5795" s="102">
        <v>1</v>
      </c>
      <c r="L5795" s="102"/>
      <c r="M5795" s="22" t="b">
        <v>1</v>
      </c>
    </row>
    <row r="5796" spans="1:13" x14ac:dyDescent="0.25">
      <c r="A5796" s="102"/>
      <c r="B5796" s="102" t="s">
        <v>119</v>
      </c>
      <c r="C5796" s="102"/>
      <c r="D5796" s="102">
        <v>7228</v>
      </c>
      <c r="E5796" s="136" t="str">
        <f>INDEX([1]道具配置表!$D:$D,MATCH(D5796,[1]道具配置表!$A:$A,0))</f>
        <v>经验书*10000</v>
      </c>
      <c r="F5796" s="102">
        <v>1</v>
      </c>
      <c r="G5796" s="102"/>
      <c r="H5796" s="102"/>
      <c r="I5796" s="102"/>
      <c r="J5796" s="102"/>
      <c r="K5796" s="102">
        <v>1</v>
      </c>
      <c r="L5796" s="102"/>
      <c r="M5796" s="22" t="b">
        <v>1</v>
      </c>
    </row>
    <row r="5797" spans="1:13" x14ac:dyDescent="0.25">
      <c r="A5797" s="102"/>
      <c r="B5797" s="102" t="s">
        <v>119</v>
      </c>
      <c r="C5797" s="102"/>
      <c r="D5797" s="102">
        <v>20000</v>
      </c>
      <c r="E5797" s="136" t="str">
        <f>INDEX([1]道具配置表!$D:$D,MATCH(D5797,[1]道具配置表!$A:$A,0))</f>
        <v>技能点1</v>
      </c>
      <c r="F5797" s="102">
        <v>50</v>
      </c>
      <c r="G5797" s="102"/>
      <c r="H5797" s="102"/>
      <c r="I5797" s="102"/>
      <c r="J5797" s="102"/>
      <c r="K5797" s="102">
        <v>1</v>
      </c>
      <c r="L5797" s="102"/>
      <c r="M5797" s="22" t="b">
        <v>1</v>
      </c>
    </row>
    <row r="5798" spans="1:13" x14ac:dyDescent="0.25">
      <c r="A5798" s="102"/>
      <c r="B5798" s="102" t="s">
        <v>119</v>
      </c>
      <c r="C5798" s="102"/>
      <c r="D5798" s="102">
        <v>56001</v>
      </c>
      <c r="E5798" s="136" t="str">
        <f>INDEX([1]道具配置表!$D:$D,MATCH(D5798,[1]道具配置表!$A:$A,0))</f>
        <v>锻造装备消耗材料</v>
      </c>
      <c r="F5798" s="102">
        <v>20</v>
      </c>
      <c r="G5798" s="102"/>
      <c r="H5798" s="102"/>
      <c r="I5798" s="102"/>
      <c r="J5798" s="102"/>
      <c r="K5798" s="102">
        <v>1</v>
      </c>
      <c r="L5798" s="102"/>
      <c r="M5798" s="22" t="b">
        <v>1</v>
      </c>
    </row>
    <row r="5799" spans="1:13" x14ac:dyDescent="0.25">
      <c r="A5799" s="102"/>
      <c r="B5799" s="102" t="s">
        <v>119</v>
      </c>
      <c r="C5799" s="102"/>
      <c r="D5799" s="102">
        <v>6197</v>
      </c>
      <c r="E5799" s="136" t="str">
        <f>INDEX([1]道具配置表!$D:$D,MATCH(D5799,[1]道具配置表!$A:$A,0))</f>
        <v>5分钟锻造加速</v>
      </c>
      <c r="F5799" s="102">
        <v>1</v>
      </c>
      <c r="G5799" s="102"/>
      <c r="H5799" s="102"/>
      <c r="I5799" s="102"/>
      <c r="J5799" s="102"/>
      <c r="K5799" s="102">
        <v>1</v>
      </c>
      <c r="L5799" s="102"/>
      <c r="M5799" s="22" t="b">
        <v>1</v>
      </c>
    </row>
    <row r="5800" spans="1:13" x14ac:dyDescent="0.25">
      <c r="A5800" s="102">
        <v>6650099</v>
      </c>
      <c r="B5800" s="102" t="s">
        <v>1270</v>
      </c>
      <c r="C5800" s="102"/>
      <c r="D5800" s="102">
        <v>3000001</v>
      </c>
      <c r="E5800" s="136" t="str">
        <f>INDEX([1]道具配置表!$D:$D,MATCH(D5800,[1]道具配置表!$A:$A,0))</f>
        <v>自走棋放置货币</v>
      </c>
      <c r="F5800" s="102">
        <v>20</v>
      </c>
      <c r="G5800" s="102"/>
      <c r="H5800" s="102"/>
      <c r="I5800" s="102"/>
      <c r="J5800" s="102"/>
      <c r="K5800" s="102">
        <v>1</v>
      </c>
      <c r="L5800" s="102"/>
      <c r="M5800" s="22" t="b">
        <v>1</v>
      </c>
    </row>
    <row r="5801" spans="1:13" x14ac:dyDescent="0.25">
      <c r="A5801" s="102"/>
      <c r="B5801" s="102" t="s">
        <v>119</v>
      </c>
      <c r="C5801" s="102"/>
      <c r="D5801" s="102">
        <v>7228</v>
      </c>
      <c r="E5801" s="136" t="str">
        <f>INDEX([1]道具配置表!$D:$D,MATCH(D5801,[1]道具配置表!$A:$A,0))</f>
        <v>经验书*10000</v>
      </c>
      <c r="F5801" s="102">
        <v>1</v>
      </c>
      <c r="G5801" s="102"/>
      <c r="H5801" s="102"/>
      <c r="I5801" s="102"/>
      <c r="J5801" s="102"/>
      <c r="K5801" s="102">
        <v>1</v>
      </c>
      <c r="L5801" s="102"/>
      <c r="M5801" s="22" t="b">
        <v>1</v>
      </c>
    </row>
    <row r="5802" spans="1:13" x14ac:dyDescent="0.25">
      <c r="A5802" s="102"/>
      <c r="B5802" s="102" t="s">
        <v>119</v>
      </c>
      <c r="C5802" s="102"/>
      <c r="D5802" s="102">
        <v>20000</v>
      </c>
      <c r="E5802" s="136" t="str">
        <f>INDEX([1]道具配置表!$D:$D,MATCH(D5802,[1]道具配置表!$A:$A,0))</f>
        <v>技能点1</v>
      </c>
      <c r="F5802" s="102">
        <v>50</v>
      </c>
      <c r="G5802" s="102"/>
      <c r="H5802" s="102"/>
      <c r="I5802" s="102"/>
      <c r="J5802" s="102"/>
      <c r="K5802" s="102">
        <v>1</v>
      </c>
      <c r="L5802" s="102"/>
      <c r="M5802" s="22" t="b">
        <v>1</v>
      </c>
    </row>
    <row r="5803" spans="1:13" x14ac:dyDescent="0.25">
      <c r="A5803" s="102"/>
      <c r="B5803" s="102" t="s">
        <v>119</v>
      </c>
      <c r="C5803" s="102"/>
      <c r="D5803" s="102">
        <v>56001</v>
      </c>
      <c r="E5803" s="136" t="str">
        <f>INDEX([1]道具配置表!$D:$D,MATCH(D5803,[1]道具配置表!$A:$A,0))</f>
        <v>锻造装备消耗材料</v>
      </c>
      <c r="F5803" s="102">
        <v>20</v>
      </c>
      <c r="G5803" s="102"/>
      <c r="H5803" s="102"/>
      <c r="I5803" s="102"/>
      <c r="J5803" s="102"/>
      <c r="K5803" s="102">
        <v>1</v>
      </c>
      <c r="L5803" s="102"/>
      <c r="M5803" s="22" t="b">
        <v>1</v>
      </c>
    </row>
    <row r="5804" spans="1:13" x14ac:dyDescent="0.25">
      <c r="A5804" s="102"/>
      <c r="B5804" s="102" t="s">
        <v>119</v>
      </c>
      <c r="C5804" s="102"/>
      <c r="D5804" s="102">
        <v>6197</v>
      </c>
      <c r="E5804" s="136" t="str">
        <f>INDEX([1]道具配置表!$D:$D,MATCH(D5804,[1]道具配置表!$A:$A,0))</f>
        <v>5分钟锻造加速</v>
      </c>
      <c r="F5804" s="102">
        <v>1</v>
      </c>
      <c r="G5804" s="102"/>
      <c r="H5804" s="102"/>
      <c r="I5804" s="102"/>
      <c r="J5804" s="102"/>
      <c r="K5804" s="102">
        <v>1</v>
      </c>
      <c r="L5804" s="102"/>
      <c r="M5804" s="22" t="b">
        <v>1</v>
      </c>
    </row>
    <row r="5805" spans="1:13" x14ac:dyDescent="0.25">
      <c r="A5805" s="102">
        <v>6650100</v>
      </c>
      <c r="B5805" s="102" t="s">
        <v>1271</v>
      </c>
      <c r="C5805" s="102"/>
      <c r="D5805" s="102">
        <v>3000001</v>
      </c>
      <c r="E5805" s="136" t="str">
        <f>INDEX([1]道具配置表!$D:$D,MATCH(D5805,[1]道具配置表!$A:$A,0))</f>
        <v>自走棋放置货币</v>
      </c>
      <c r="F5805" s="102">
        <v>40</v>
      </c>
      <c r="G5805" s="102"/>
      <c r="H5805" s="102"/>
      <c r="I5805" s="102"/>
      <c r="J5805" s="102"/>
      <c r="K5805" s="102">
        <v>1</v>
      </c>
      <c r="L5805" s="102"/>
      <c r="M5805" s="22" t="b">
        <v>1</v>
      </c>
    </row>
    <row r="5806" spans="1:13" x14ac:dyDescent="0.25">
      <c r="A5806" s="102"/>
      <c r="B5806" s="102" t="s">
        <v>119</v>
      </c>
      <c r="C5806" s="102"/>
      <c r="D5806" s="102">
        <v>7228</v>
      </c>
      <c r="E5806" s="136" t="str">
        <f>INDEX([1]道具配置表!$D:$D,MATCH(D5806,[1]道具配置表!$A:$A,0))</f>
        <v>经验书*10000</v>
      </c>
      <c r="F5806" s="102">
        <v>2</v>
      </c>
      <c r="G5806" s="102"/>
      <c r="H5806" s="102"/>
      <c r="I5806" s="102"/>
      <c r="J5806" s="102"/>
      <c r="K5806" s="102">
        <v>1</v>
      </c>
      <c r="L5806" s="102"/>
      <c r="M5806" s="22" t="b">
        <v>1</v>
      </c>
    </row>
    <row r="5807" spans="1:13" x14ac:dyDescent="0.25">
      <c r="A5807" s="102"/>
      <c r="B5807" s="102" t="s">
        <v>119</v>
      </c>
      <c r="C5807" s="102"/>
      <c r="D5807" s="102">
        <v>20000</v>
      </c>
      <c r="E5807" s="136" t="str">
        <f>INDEX([1]道具配置表!$D:$D,MATCH(D5807,[1]道具配置表!$A:$A,0))</f>
        <v>技能点1</v>
      </c>
      <c r="F5807" s="102">
        <v>100</v>
      </c>
      <c r="G5807" s="102"/>
      <c r="H5807" s="102"/>
      <c r="I5807" s="102"/>
      <c r="J5807" s="102"/>
      <c r="K5807" s="102">
        <v>1</v>
      </c>
      <c r="L5807" s="102"/>
      <c r="M5807" s="22" t="b">
        <v>1</v>
      </c>
    </row>
    <row r="5808" spans="1:13" x14ac:dyDescent="0.25">
      <c r="A5808" s="102"/>
      <c r="B5808" s="102" t="s">
        <v>119</v>
      </c>
      <c r="C5808" s="102"/>
      <c r="D5808" s="102">
        <v>56001</v>
      </c>
      <c r="E5808" s="136" t="str">
        <f>INDEX([1]道具配置表!$D:$D,MATCH(D5808,[1]道具配置表!$A:$A,0))</f>
        <v>锻造装备消耗材料</v>
      </c>
      <c r="F5808" s="102">
        <v>50</v>
      </c>
      <c r="G5808" s="102"/>
      <c r="H5808" s="102"/>
      <c r="I5808" s="102"/>
      <c r="J5808" s="102"/>
      <c r="K5808" s="102">
        <v>1</v>
      </c>
      <c r="L5808" s="102"/>
      <c r="M5808" s="22" t="b">
        <v>1</v>
      </c>
    </row>
    <row r="5809" spans="1:13" x14ac:dyDescent="0.25">
      <c r="A5809" s="102"/>
      <c r="B5809" s="102" t="s">
        <v>119</v>
      </c>
      <c r="C5809" s="102"/>
      <c r="D5809" s="102">
        <v>6197</v>
      </c>
      <c r="E5809" s="136" t="str">
        <f>INDEX([1]道具配置表!$D:$D,MATCH(D5809,[1]道具配置表!$A:$A,0))</f>
        <v>5分钟锻造加速</v>
      </c>
      <c r="F5809" s="102">
        <v>1</v>
      </c>
      <c r="G5809" s="102"/>
      <c r="H5809" s="102"/>
      <c r="I5809" s="102"/>
      <c r="J5809" s="102"/>
      <c r="K5809" s="102">
        <v>1</v>
      </c>
      <c r="L5809" s="102"/>
      <c r="M5809" s="22" t="b">
        <v>1</v>
      </c>
    </row>
    <row r="5810" spans="1:13" x14ac:dyDescent="0.25">
      <c r="A5810" s="102">
        <v>6652001</v>
      </c>
      <c r="B5810" s="102" t="s">
        <v>1306</v>
      </c>
      <c r="C5810" s="102"/>
      <c r="D5810" s="102">
        <v>2007</v>
      </c>
      <c r="E5810" s="136" t="str">
        <f>INDEX([1]道具配置表!$D:$D,MATCH(D5810,[1]道具配置表!$A:$A,0))</f>
        <v>大奖池招募券</v>
      </c>
      <c r="F5810" s="102">
        <v>1</v>
      </c>
      <c r="G5810" s="102"/>
      <c r="H5810" s="102"/>
      <c r="I5810" s="102"/>
      <c r="J5810" s="102"/>
      <c r="K5810" s="102">
        <v>1</v>
      </c>
      <c r="L5810" s="102"/>
      <c r="M5810" s="22" t="b">
        <v>1</v>
      </c>
    </row>
    <row r="5811" spans="1:13" x14ac:dyDescent="0.25">
      <c r="A5811" s="102"/>
      <c r="B5811" s="102"/>
      <c r="C5811" s="102"/>
      <c r="D5811" s="102">
        <v>7228</v>
      </c>
      <c r="E5811" s="136" t="str">
        <f>INDEX([1]道具配置表!$D:$D,MATCH(D5811,[1]道具配置表!$A:$A,0))</f>
        <v>经验书*10000</v>
      </c>
      <c r="F5811" s="102">
        <v>3</v>
      </c>
      <c r="G5811" s="102"/>
      <c r="H5811" s="102"/>
      <c r="I5811" s="102"/>
      <c r="J5811" s="102"/>
      <c r="K5811" s="102">
        <v>1</v>
      </c>
      <c r="L5811" s="102"/>
      <c r="M5811" s="22" t="b">
        <v>1</v>
      </c>
    </row>
    <row r="5812" spans="1:13" x14ac:dyDescent="0.25">
      <c r="A5812" s="102"/>
      <c r="B5812" s="102"/>
      <c r="C5812" s="102"/>
      <c r="D5812" s="102">
        <v>20000</v>
      </c>
      <c r="E5812" s="136" t="str">
        <f>INDEX([1]道具配置表!$D:$D,MATCH(D5812,[1]道具配置表!$A:$A,0))</f>
        <v>技能点1</v>
      </c>
      <c r="F5812" s="102">
        <v>50</v>
      </c>
      <c r="G5812" s="102"/>
      <c r="H5812" s="102"/>
      <c r="I5812" s="102"/>
      <c r="J5812" s="102"/>
      <c r="K5812" s="102">
        <v>1</v>
      </c>
      <c r="L5812" s="102"/>
      <c r="M5812" s="22" t="b">
        <v>1</v>
      </c>
    </row>
    <row r="5813" spans="1:13" x14ac:dyDescent="0.25">
      <c r="A5813" s="102"/>
      <c r="B5813" s="102"/>
      <c r="C5813" s="102"/>
      <c r="D5813" s="102">
        <v>222</v>
      </c>
      <c r="E5813" s="136" t="str">
        <f>INDEX([1]道具配置表!$D:$D,MATCH(D5813,[1]道具配置表!$A:$A,0))</f>
        <v>1千食物</v>
      </c>
      <c r="F5813" s="102">
        <v>10</v>
      </c>
      <c r="G5813" s="102"/>
      <c r="H5813" s="102"/>
      <c r="I5813" s="102"/>
      <c r="J5813" s="102"/>
      <c r="K5813" s="102">
        <v>1</v>
      </c>
      <c r="L5813" s="102"/>
      <c r="M5813" s="22" t="b">
        <v>1</v>
      </c>
    </row>
    <row r="5814" spans="1:13" x14ac:dyDescent="0.25">
      <c r="A5814" s="102"/>
      <c r="B5814" s="102"/>
      <c r="C5814" s="102"/>
      <c r="D5814" s="102">
        <v>221</v>
      </c>
      <c r="E5814" s="136" t="str">
        <f>INDEX([1]道具配置表!$D:$D,MATCH(D5814,[1]道具配置表!$A:$A,0))</f>
        <v>1千木材</v>
      </c>
      <c r="F5814" s="102">
        <v>10</v>
      </c>
      <c r="G5814" s="102"/>
      <c r="H5814" s="102"/>
      <c r="I5814" s="102"/>
      <c r="J5814" s="102"/>
      <c r="K5814" s="102">
        <v>1</v>
      </c>
      <c r="L5814" s="102"/>
      <c r="M5814" s="22" t="b">
        <v>1</v>
      </c>
    </row>
    <row r="5815" spans="1:13" x14ac:dyDescent="0.25">
      <c r="A5815" s="102"/>
      <c r="B5815" s="102"/>
      <c r="C5815" s="102"/>
      <c r="D5815" s="102">
        <v>223</v>
      </c>
      <c r="E5815" s="136" t="str">
        <f>INDEX([1]道具配置表!$D:$D,MATCH(D5815,[1]道具配置表!$A:$A,0))</f>
        <v>1千石头</v>
      </c>
      <c r="F5815" s="102">
        <v>10</v>
      </c>
      <c r="G5815" s="102"/>
      <c r="H5815" s="102"/>
      <c r="I5815" s="102"/>
      <c r="J5815" s="102"/>
      <c r="K5815" s="102">
        <v>1</v>
      </c>
      <c r="L5815" s="102"/>
      <c r="M5815" s="22" t="b">
        <v>1</v>
      </c>
    </row>
    <row r="5816" spans="1:13" x14ac:dyDescent="0.25">
      <c r="A5816" s="102">
        <v>6652002</v>
      </c>
      <c r="B5816" s="102" t="s">
        <v>1307</v>
      </c>
      <c r="C5816" s="102"/>
      <c r="D5816" s="102">
        <v>7228</v>
      </c>
      <c r="E5816" s="136" t="str">
        <f>INDEX([1]道具配置表!$D:$D,MATCH(D5816,[1]道具配置表!$A:$A,0))</f>
        <v>经验书*10000</v>
      </c>
      <c r="F5816" s="102">
        <v>3</v>
      </c>
      <c r="G5816" s="102"/>
      <c r="H5816" s="102"/>
      <c r="I5816" s="102"/>
      <c r="J5816" s="102"/>
      <c r="K5816" s="102">
        <v>1</v>
      </c>
      <c r="L5816" s="102"/>
      <c r="M5816" s="22" t="b">
        <v>1</v>
      </c>
    </row>
    <row r="5817" spans="1:13" x14ac:dyDescent="0.25">
      <c r="A5817" s="102"/>
      <c r="B5817" s="102"/>
      <c r="C5817" s="102"/>
      <c r="D5817" s="102">
        <v>20000</v>
      </c>
      <c r="E5817" s="136" t="str">
        <f>INDEX([1]道具配置表!$D:$D,MATCH(D5817,[1]道具配置表!$A:$A,0))</f>
        <v>技能点1</v>
      </c>
      <c r="F5817" s="102">
        <v>50</v>
      </c>
      <c r="G5817" s="102"/>
      <c r="H5817" s="102"/>
      <c r="I5817" s="102"/>
      <c r="J5817" s="102"/>
      <c r="K5817" s="102">
        <v>1</v>
      </c>
      <c r="L5817" s="102"/>
      <c r="M5817" s="22" t="b">
        <v>1</v>
      </c>
    </row>
    <row r="5818" spans="1:13" x14ac:dyDescent="0.25">
      <c r="A5818" s="102"/>
      <c r="B5818" s="102"/>
      <c r="C5818" s="102"/>
      <c r="D5818" s="102">
        <v>222</v>
      </c>
      <c r="E5818" s="136" t="str">
        <f>INDEX([1]道具配置表!$D:$D,MATCH(D5818,[1]道具配置表!$A:$A,0))</f>
        <v>1千食物</v>
      </c>
      <c r="F5818" s="102">
        <v>10</v>
      </c>
      <c r="G5818" s="102"/>
      <c r="H5818" s="102"/>
      <c r="I5818" s="102"/>
      <c r="J5818" s="102"/>
      <c r="K5818" s="102">
        <v>1</v>
      </c>
      <c r="L5818" s="102"/>
      <c r="M5818" s="22" t="b">
        <v>1</v>
      </c>
    </row>
    <row r="5819" spans="1:13" x14ac:dyDescent="0.25">
      <c r="A5819" s="102"/>
      <c r="B5819" s="102"/>
      <c r="C5819" s="102"/>
      <c r="D5819" s="102">
        <v>221</v>
      </c>
      <c r="E5819" s="136" t="str">
        <f>INDEX([1]道具配置表!$D:$D,MATCH(D5819,[1]道具配置表!$A:$A,0))</f>
        <v>1千木材</v>
      </c>
      <c r="F5819" s="102">
        <v>10</v>
      </c>
      <c r="G5819" s="102"/>
      <c r="H5819" s="102"/>
      <c r="I5819" s="102"/>
      <c r="J5819" s="102"/>
      <c r="K5819" s="102">
        <v>1</v>
      </c>
      <c r="L5819" s="102"/>
      <c r="M5819" s="22" t="b">
        <v>1</v>
      </c>
    </row>
    <row r="5820" spans="1:13" x14ac:dyDescent="0.25">
      <c r="A5820" s="102"/>
      <c r="B5820" s="102"/>
      <c r="C5820" s="102"/>
      <c r="D5820" s="102">
        <v>223</v>
      </c>
      <c r="E5820" s="136" t="str">
        <f>INDEX([1]道具配置表!$D:$D,MATCH(D5820,[1]道具配置表!$A:$A,0))</f>
        <v>1千石头</v>
      </c>
      <c r="F5820" s="102">
        <v>10</v>
      </c>
      <c r="G5820" s="102"/>
      <c r="H5820" s="102"/>
      <c r="I5820" s="102"/>
      <c r="J5820" s="102"/>
      <c r="K5820" s="102">
        <v>1</v>
      </c>
      <c r="L5820" s="102"/>
      <c r="M5820" s="22" t="b">
        <v>1</v>
      </c>
    </row>
    <row r="5821" spans="1:13" x14ac:dyDescent="0.25">
      <c r="A5821" s="102">
        <v>6652003</v>
      </c>
      <c r="B5821" s="102" t="s">
        <v>1308</v>
      </c>
      <c r="C5821" s="102"/>
      <c r="D5821" s="102">
        <v>7228</v>
      </c>
      <c r="E5821" s="136" t="str">
        <f>INDEX([1]道具配置表!$D:$D,MATCH(D5821,[1]道具配置表!$A:$A,0))</f>
        <v>经验书*10000</v>
      </c>
      <c r="F5821" s="102">
        <v>5</v>
      </c>
      <c r="G5821" s="102"/>
      <c r="H5821" s="102"/>
      <c r="I5821" s="102"/>
      <c r="J5821" s="102"/>
      <c r="K5821" s="102">
        <v>1</v>
      </c>
      <c r="L5821" s="102"/>
      <c r="M5821" s="22" t="b">
        <v>1</v>
      </c>
    </row>
    <row r="5822" spans="1:13" x14ac:dyDescent="0.25">
      <c r="A5822" s="102"/>
      <c r="B5822" s="102"/>
      <c r="C5822" s="102"/>
      <c r="D5822" s="102">
        <v>20000</v>
      </c>
      <c r="E5822" s="136" t="str">
        <f>INDEX([1]道具配置表!$D:$D,MATCH(D5822,[1]道具配置表!$A:$A,0))</f>
        <v>技能点1</v>
      </c>
      <c r="F5822" s="102">
        <v>50</v>
      </c>
      <c r="G5822" s="102"/>
      <c r="H5822" s="102"/>
      <c r="I5822" s="102"/>
      <c r="J5822" s="102"/>
      <c r="K5822" s="102">
        <v>1</v>
      </c>
      <c r="L5822" s="102"/>
      <c r="M5822" s="22" t="b">
        <v>1</v>
      </c>
    </row>
    <row r="5823" spans="1:13" x14ac:dyDescent="0.25">
      <c r="A5823" s="102"/>
      <c r="B5823" s="102"/>
      <c r="C5823" s="102"/>
      <c r="D5823" s="102">
        <v>222</v>
      </c>
      <c r="E5823" s="136" t="str">
        <f>INDEX([1]道具配置表!$D:$D,MATCH(D5823,[1]道具配置表!$A:$A,0))</f>
        <v>1千食物</v>
      </c>
      <c r="F5823" s="102">
        <v>10</v>
      </c>
      <c r="G5823" s="102"/>
      <c r="H5823" s="102"/>
      <c r="I5823" s="102"/>
      <c r="J5823" s="102"/>
      <c r="K5823" s="102">
        <v>1</v>
      </c>
      <c r="L5823" s="102"/>
      <c r="M5823" s="22" t="b">
        <v>1</v>
      </c>
    </row>
    <row r="5824" spans="1:13" x14ac:dyDescent="0.25">
      <c r="A5824" s="102"/>
      <c r="B5824" s="102"/>
      <c r="C5824" s="102"/>
      <c r="D5824" s="102">
        <v>221</v>
      </c>
      <c r="E5824" s="136" t="str">
        <f>INDEX([1]道具配置表!$D:$D,MATCH(D5824,[1]道具配置表!$A:$A,0))</f>
        <v>1千木材</v>
      </c>
      <c r="F5824" s="102">
        <v>10</v>
      </c>
      <c r="G5824" s="102"/>
      <c r="H5824" s="102"/>
      <c r="I5824" s="102"/>
      <c r="J5824" s="102"/>
      <c r="K5824" s="102">
        <v>1</v>
      </c>
      <c r="L5824" s="102"/>
      <c r="M5824" s="22" t="b">
        <v>1</v>
      </c>
    </row>
    <row r="5825" spans="1:13" x14ac:dyDescent="0.25">
      <c r="A5825" s="102"/>
      <c r="B5825" s="102"/>
      <c r="C5825" s="102"/>
      <c r="D5825" s="102">
        <v>223</v>
      </c>
      <c r="E5825" s="136" t="str">
        <f>INDEX([1]道具配置表!$D:$D,MATCH(D5825,[1]道具配置表!$A:$A,0))</f>
        <v>1千石头</v>
      </c>
      <c r="F5825" s="102">
        <v>10</v>
      </c>
      <c r="G5825" s="102"/>
      <c r="H5825" s="102"/>
      <c r="I5825" s="102"/>
      <c r="J5825" s="102"/>
      <c r="K5825" s="102">
        <v>1</v>
      </c>
      <c r="L5825" s="102"/>
      <c r="M5825" s="22" t="b">
        <v>1</v>
      </c>
    </row>
    <row r="5826" spans="1:13" x14ac:dyDescent="0.25">
      <c r="A5826" s="102">
        <v>6652004</v>
      </c>
      <c r="B5826" s="102" t="s">
        <v>1309</v>
      </c>
      <c r="C5826" s="102"/>
      <c r="D5826" s="102">
        <v>7228</v>
      </c>
      <c r="E5826" s="136" t="str">
        <f>INDEX([1]道具配置表!$D:$D,MATCH(D5826,[1]道具配置表!$A:$A,0))</f>
        <v>经验书*10000</v>
      </c>
      <c r="F5826" s="102">
        <v>5</v>
      </c>
      <c r="G5826" s="102"/>
      <c r="H5826" s="102"/>
      <c r="I5826" s="102"/>
      <c r="J5826" s="102"/>
      <c r="K5826" s="102">
        <v>1</v>
      </c>
      <c r="L5826" s="102"/>
      <c r="M5826" s="22" t="b">
        <v>1</v>
      </c>
    </row>
    <row r="5827" spans="1:13" x14ac:dyDescent="0.25">
      <c r="A5827" s="102"/>
      <c r="B5827" s="102"/>
      <c r="C5827" s="102"/>
      <c r="D5827" s="102">
        <v>20000</v>
      </c>
      <c r="E5827" s="136" t="str">
        <f>INDEX([1]道具配置表!$D:$D,MATCH(D5827,[1]道具配置表!$A:$A,0))</f>
        <v>技能点1</v>
      </c>
      <c r="F5827" s="102">
        <v>50</v>
      </c>
      <c r="G5827" s="102"/>
      <c r="H5827" s="102"/>
      <c r="I5827" s="102"/>
      <c r="J5827" s="102"/>
      <c r="K5827" s="102">
        <v>1</v>
      </c>
      <c r="L5827" s="102"/>
      <c r="M5827" s="22" t="b">
        <v>1</v>
      </c>
    </row>
    <row r="5828" spans="1:13" x14ac:dyDescent="0.25">
      <c r="A5828" s="102"/>
      <c r="B5828" s="102"/>
      <c r="C5828" s="102"/>
      <c r="D5828" s="102">
        <v>222</v>
      </c>
      <c r="E5828" s="136" t="str">
        <f>INDEX([1]道具配置表!$D:$D,MATCH(D5828,[1]道具配置表!$A:$A,0))</f>
        <v>1千食物</v>
      </c>
      <c r="F5828" s="102">
        <v>10</v>
      </c>
      <c r="G5828" s="102"/>
      <c r="H5828" s="102"/>
      <c r="I5828" s="102"/>
      <c r="J5828" s="102"/>
      <c r="K5828" s="102">
        <v>1</v>
      </c>
      <c r="L5828" s="102"/>
      <c r="M5828" s="22" t="b">
        <v>1</v>
      </c>
    </row>
    <row r="5829" spans="1:13" x14ac:dyDescent="0.25">
      <c r="A5829" s="102"/>
      <c r="B5829" s="102"/>
      <c r="C5829" s="102"/>
      <c r="D5829" s="102">
        <v>221</v>
      </c>
      <c r="E5829" s="136" t="str">
        <f>INDEX([1]道具配置表!$D:$D,MATCH(D5829,[1]道具配置表!$A:$A,0))</f>
        <v>1千木材</v>
      </c>
      <c r="F5829" s="102">
        <v>10</v>
      </c>
      <c r="G5829" s="102"/>
      <c r="H5829" s="102"/>
      <c r="I5829" s="102"/>
      <c r="J5829" s="102"/>
      <c r="K5829" s="102">
        <v>1</v>
      </c>
      <c r="L5829" s="102"/>
      <c r="M5829" s="22" t="b">
        <v>1</v>
      </c>
    </row>
    <row r="5830" spans="1:13" x14ac:dyDescent="0.25">
      <c r="A5830" s="102"/>
      <c r="B5830" s="102"/>
      <c r="C5830" s="102"/>
      <c r="D5830" s="102">
        <v>223</v>
      </c>
      <c r="E5830" s="136" t="str">
        <f>INDEX([1]道具配置表!$D:$D,MATCH(D5830,[1]道具配置表!$A:$A,0))</f>
        <v>1千石头</v>
      </c>
      <c r="F5830" s="102">
        <v>10</v>
      </c>
      <c r="G5830" s="102"/>
      <c r="H5830" s="102"/>
      <c r="I5830" s="102"/>
      <c r="J5830" s="102"/>
      <c r="K5830" s="102">
        <v>1</v>
      </c>
      <c r="L5830" s="102"/>
      <c r="M5830" s="22" t="b">
        <v>1</v>
      </c>
    </row>
    <row r="5831" spans="1:13" x14ac:dyDescent="0.25">
      <c r="A5831" s="102">
        <v>6652005</v>
      </c>
      <c r="B5831" s="102" t="s">
        <v>1310</v>
      </c>
      <c r="C5831" s="102"/>
      <c r="D5831" s="102">
        <v>7228</v>
      </c>
      <c r="E5831" s="136" t="str">
        <f>INDEX([1]道具配置表!$D:$D,MATCH(D5831,[1]道具配置表!$A:$A,0))</f>
        <v>经验书*10000</v>
      </c>
      <c r="F5831" s="102">
        <v>2</v>
      </c>
      <c r="G5831" s="102"/>
      <c r="H5831" s="102"/>
      <c r="I5831" s="102"/>
      <c r="J5831" s="102"/>
      <c r="K5831" s="102">
        <v>1</v>
      </c>
      <c r="L5831" s="102"/>
      <c r="M5831" s="22" t="b">
        <v>1</v>
      </c>
    </row>
    <row r="5832" spans="1:13" x14ac:dyDescent="0.25">
      <c r="A5832" s="102"/>
      <c r="B5832" s="102"/>
      <c r="C5832" s="102"/>
      <c r="D5832" s="102">
        <v>20000</v>
      </c>
      <c r="E5832" s="136" t="str">
        <f>INDEX([1]道具配置表!$D:$D,MATCH(D5832,[1]道具配置表!$A:$A,0))</f>
        <v>技能点1</v>
      </c>
      <c r="F5832" s="102">
        <v>100</v>
      </c>
      <c r="G5832" s="102"/>
      <c r="H5832" s="102"/>
      <c r="I5832" s="102"/>
      <c r="J5832" s="102"/>
      <c r="K5832" s="102">
        <v>1</v>
      </c>
      <c r="L5832" s="102"/>
      <c r="M5832" s="22" t="b">
        <v>1</v>
      </c>
    </row>
    <row r="5833" spans="1:13" x14ac:dyDescent="0.25">
      <c r="A5833" s="102"/>
      <c r="B5833" s="102"/>
      <c r="C5833" s="102"/>
      <c r="D5833" s="102">
        <v>222</v>
      </c>
      <c r="E5833" s="136" t="str">
        <f>INDEX([1]道具配置表!$D:$D,MATCH(D5833,[1]道具配置表!$A:$A,0))</f>
        <v>1千食物</v>
      </c>
      <c r="F5833" s="102">
        <v>20</v>
      </c>
      <c r="G5833" s="102"/>
      <c r="H5833" s="102"/>
      <c r="I5833" s="102"/>
      <c r="J5833" s="102"/>
      <c r="K5833" s="102">
        <v>1</v>
      </c>
      <c r="L5833" s="102"/>
      <c r="M5833" s="22" t="b">
        <v>1</v>
      </c>
    </row>
    <row r="5834" spans="1:13" x14ac:dyDescent="0.25">
      <c r="A5834" s="102"/>
      <c r="B5834" s="102"/>
      <c r="C5834" s="102"/>
      <c r="D5834" s="102">
        <v>221</v>
      </c>
      <c r="E5834" s="136" t="str">
        <f>INDEX([1]道具配置表!$D:$D,MATCH(D5834,[1]道具配置表!$A:$A,0))</f>
        <v>1千木材</v>
      </c>
      <c r="F5834" s="102">
        <v>20</v>
      </c>
      <c r="G5834" s="102"/>
      <c r="H5834" s="102"/>
      <c r="I5834" s="102"/>
      <c r="J5834" s="102"/>
      <c r="K5834" s="102">
        <v>1</v>
      </c>
      <c r="L5834" s="102"/>
      <c r="M5834" s="22" t="b">
        <v>1</v>
      </c>
    </row>
    <row r="5835" spans="1:13" x14ac:dyDescent="0.25">
      <c r="A5835" s="102"/>
      <c r="B5835" s="102"/>
      <c r="C5835" s="102"/>
      <c r="D5835" s="102">
        <v>223</v>
      </c>
      <c r="E5835" s="136" t="str">
        <f>INDEX([1]道具配置表!$D:$D,MATCH(D5835,[1]道具配置表!$A:$A,0))</f>
        <v>1千石头</v>
      </c>
      <c r="F5835" s="102">
        <v>20</v>
      </c>
      <c r="G5835" s="102"/>
      <c r="H5835" s="102"/>
      <c r="I5835" s="102"/>
      <c r="J5835" s="102"/>
      <c r="K5835" s="102">
        <v>1</v>
      </c>
      <c r="L5835" s="102"/>
      <c r="M5835" s="22" t="b">
        <v>1</v>
      </c>
    </row>
    <row r="5836" spans="1:13" x14ac:dyDescent="0.25">
      <c r="A5836" s="102">
        <v>6652006</v>
      </c>
      <c r="B5836" s="102" t="s">
        <v>1311</v>
      </c>
      <c r="C5836" s="102"/>
      <c r="D5836" s="102">
        <v>7228</v>
      </c>
      <c r="E5836" s="136" t="str">
        <f>INDEX([1]道具配置表!$D:$D,MATCH(D5836,[1]道具配置表!$A:$A,0))</f>
        <v>经验书*10000</v>
      </c>
      <c r="F5836" s="102">
        <v>1</v>
      </c>
      <c r="G5836" s="102"/>
      <c r="H5836" s="102"/>
      <c r="I5836" s="102"/>
      <c r="J5836" s="102"/>
      <c r="K5836" s="102">
        <v>1</v>
      </c>
      <c r="L5836" s="102"/>
      <c r="M5836" s="22" t="b">
        <v>1</v>
      </c>
    </row>
    <row r="5837" spans="1:13" x14ac:dyDescent="0.25">
      <c r="A5837" s="102"/>
      <c r="B5837" s="102"/>
      <c r="C5837" s="102"/>
      <c r="D5837" s="102">
        <v>20000</v>
      </c>
      <c r="E5837" s="136" t="str">
        <f>INDEX([1]道具配置表!$D:$D,MATCH(D5837,[1]道具配置表!$A:$A,0))</f>
        <v>技能点1</v>
      </c>
      <c r="F5837" s="102">
        <v>50</v>
      </c>
      <c r="G5837" s="102"/>
      <c r="H5837" s="102"/>
      <c r="I5837" s="102"/>
      <c r="J5837" s="102"/>
      <c r="K5837" s="102">
        <v>1</v>
      </c>
      <c r="L5837" s="102"/>
      <c r="M5837" s="22" t="b">
        <v>1</v>
      </c>
    </row>
    <row r="5838" spans="1:13" x14ac:dyDescent="0.25">
      <c r="A5838" s="102"/>
      <c r="B5838" s="102"/>
      <c r="C5838" s="102"/>
      <c r="D5838" s="102">
        <v>222</v>
      </c>
      <c r="E5838" s="136" t="str">
        <f>INDEX([1]道具配置表!$D:$D,MATCH(D5838,[1]道具配置表!$A:$A,0))</f>
        <v>1千食物</v>
      </c>
      <c r="F5838" s="102">
        <v>10</v>
      </c>
      <c r="G5838" s="102"/>
      <c r="H5838" s="102"/>
      <c r="I5838" s="102"/>
      <c r="J5838" s="102"/>
      <c r="K5838" s="102">
        <v>1</v>
      </c>
      <c r="L5838" s="102"/>
      <c r="M5838" s="22" t="b">
        <v>1</v>
      </c>
    </row>
    <row r="5839" spans="1:13" x14ac:dyDescent="0.25">
      <c r="A5839" s="102"/>
      <c r="B5839" s="102"/>
      <c r="C5839" s="102"/>
      <c r="D5839" s="102">
        <v>221</v>
      </c>
      <c r="E5839" s="136" t="str">
        <f>INDEX([1]道具配置表!$D:$D,MATCH(D5839,[1]道具配置表!$A:$A,0))</f>
        <v>1千木材</v>
      </c>
      <c r="F5839" s="102">
        <v>10</v>
      </c>
      <c r="G5839" s="102"/>
      <c r="H5839" s="102"/>
      <c r="I5839" s="102"/>
      <c r="J5839" s="102"/>
      <c r="K5839" s="102">
        <v>1</v>
      </c>
      <c r="L5839" s="102"/>
      <c r="M5839" s="22" t="b">
        <v>1</v>
      </c>
    </row>
    <row r="5840" spans="1:13" x14ac:dyDescent="0.25">
      <c r="A5840" s="102"/>
      <c r="B5840" s="102"/>
      <c r="C5840" s="102"/>
      <c r="D5840" s="102">
        <v>223</v>
      </c>
      <c r="E5840" s="136" t="str">
        <f>INDEX([1]道具配置表!$D:$D,MATCH(D5840,[1]道具配置表!$A:$A,0))</f>
        <v>1千石头</v>
      </c>
      <c r="F5840" s="102">
        <v>10</v>
      </c>
      <c r="G5840" s="102"/>
      <c r="H5840" s="102"/>
      <c r="I5840" s="102"/>
      <c r="J5840" s="102"/>
      <c r="K5840" s="102">
        <v>1</v>
      </c>
      <c r="L5840" s="102"/>
      <c r="M5840" s="22" t="b">
        <v>1</v>
      </c>
    </row>
    <row r="5841" spans="1:13" x14ac:dyDescent="0.25">
      <c r="A5841" s="102">
        <v>6652007</v>
      </c>
      <c r="B5841" s="102" t="s">
        <v>1312</v>
      </c>
      <c r="C5841" s="102"/>
      <c r="D5841" s="102">
        <v>7228</v>
      </c>
      <c r="E5841" s="136" t="str">
        <f>INDEX([1]道具配置表!$D:$D,MATCH(D5841,[1]道具配置表!$A:$A,0))</f>
        <v>经验书*10000</v>
      </c>
      <c r="F5841" s="102">
        <v>1</v>
      </c>
      <c r="G5841" s="102"/>
      <c r="H5841" s="102"/>
      <c r="I5841" s="102"/>
      <c r="J5841" s="102"/>
      <c r="K5841" s="102">
        <v>1</v>
      </c>
      <c r="L5841" s="102"/>
      <c r="M5841" s="22" t="b">
        <v>1</v>
      </c>
    </row>
    <row r="5842" spans="1:13" x14ac:dyDescent="0.25">
      <c r="A5842" s="102"/>
      <c r="B5842" s="102"/>
      <c r="C5842" s="102"/>
      <c r="D5842" s="102">
        <v>20000</v>
      </c>
      <c r="E5842" s="136" t="str">
        <f>INDEX([1]道具配置表!$D:$D,MATCH(D5842,[1]道具配置表!$A:$A,0))</f>
        <v>技能点1</v>
      </c>
      <c r="F5842" s="102">
        <v>50</v>
      </c>
      <c r="G5842" s="102"/>
      <c r="H5842" s="102"/>
      <c r="I5842" s="102"/>
      <c r="J5842" s="102"/>
      <c r="K5842" s="102">
        <v>1</v>
      </c>
      <c r="L5842" s="102"/>
      <c r="M5842" s="22" t="b">
        <v>1</v>
      </c>
    </row>
    <row r="5843" spans="1:13" x14ac:dyDescent="0.25">
      <c r="A5843" s="102"/>
      <c r="B5843" s="102"/>
      <c r="C5843" s="102"/>
      <c r="D5843" s="102">
        <v>222</v>
      </c>
      <c r="E5843" s="136" t="str">
        <f>INDEX([1]道具配置表!$D:$D,MATCH(D5843,[1]道具配置表!$A:$A,0))</f>
        <v>1千食物</v>
      </c>
      <c r="F5843" s="102">
        <v>10</v>
      </c>
      <c r="G5843" s="102"/>
      <c r="H5843" s="102"/>
      <c r="I5843" s="102"/>
      <c r="J5843" s="102"/>
      <c r="K5843" s="102">
        <v>1</v>
      </c>
      <c r="L5843" s="102"/>
      <c r="M5843" s="22" t="b">
        <v>1</v>
      </c>
    </row>
    <row r="5844" spans="1:13" x14ac:dyDescent="0.25">
      <c r="A5844" s="102"/>
      <c r="B5844" s="102"/>
      <c r="C5844" s="102"/>
      <c r="D5844" s="102">
        <v>221</v>
      </c>
      <c r="E5844" s="136" t="str">
        <f>INDEX([1]道具配置表!$D:$D,MATCH(D5844,[1]道具配置表!$A:$A,0))</f>
        <v>1千木材</v>
      </c>
      <c r="F5844" s="102">
        <v>10</v>
      </c>
      <c r="G5844" s="102"/>
      <c r="H5844" s="102"/>
      <c r="I5844" s="102"/>
      <c r="J5844" s="102"/>
      <c r="K5844" s="102">
        <v>1</v>
      </c>
      <c r="L5844" s="102"/>
      <c r="M5844" s="22" t="b">
        <v>1</v>
      </c>
    </row>
    <row r="5845" spans="1:13" x14ac:dyDescent="0.25">
      <c r="A5845" s="102"/>
      <c r="B5845" s="102"/>
      <c r="C5845" s="102"/>
      <c r="D5845" s="102">
        <v>223</v>
      </c>
      <c r="E5845" s="136" t="str">
        <f>INDEX([1]道具配置表!$D:$D,MATCH(D5845,[1]道具配置表!$A:$A,0))</f>
        <v>1千石头</v>
      </c>
      <c r="F5845" s="102">
        <v>10</v>
      </c>
      <c r="G5845" s="102"/>
      <c r="H5845" s="102"/>
      <c r="I5845" s="102"/>
      <c r="J5845" s="102"/>
      <c r="K5845" s="102">
        <v>1</v>
      </c>
      <c r="L5845" s="102"/>
      <c r="M5845" s="22" t="b">
        <v>1</v>
      </c>
    </row>
    <row r="5846" spans="1:13" x14ac:dyDescent="0.25">
      <c r="A5846" s="102">
        <v>6652008</v>
      </c>
      <c r="B5846" s="102" t="s">
        <v>1313</v>
      </c>
      <c r="C5846" s="102"/>
      <c r="D5846" s="102">
        <v>7228</v>
      </c>
      <c r="E5846" s="136" t="str">
        <f>INDEX([1]道具配置表!$D:$D,MATCH(D5846,[1]道具配置表!$A:$A,0))</f>
        <v>经验书*10000</v>
      </c>
      <c r="F5846" s="102">
        <v>1</v>
      </c>
      <c r="G5846" s="102"/>
      <c r="H5846" s="102"/>
      <c r="I5846" s="102"/>
      <c r="J5846" s="102"/>
      <c r="K5846" s="102">
        <v>1</v>
      </c>
      <c r="L5846" s="102"/>
      <c r="M5846" s="22" t="b">
        <v>1</v>
      </c>
    </row>
    <row r="5847" spans="1:13" x14ac:dyDescent="0.25">
      <c r="A5847" s="102"/>
      <c r="B5847" s="102"/>
      <c r="C5847" s="102"/>
      <c r="D5847" s="102">
        <v>20000</v>
      </c>
      <c r="E5847" s="136" t="str">
        <f>INDEX([1]道具配置表!$D:$D,MATCH(D5847,[1]道具配置表!$A:$A,0))</f>
        <v>技能点1</v>
      </c>
      <c r="F5847" s="102">
        <v>50</v>
      </c>
      <c r="G5847" s="102"/>
      <c r="H5847" s="102"/>
      <c r="I5847" s="102"/>
      <c r="J5847" s="102"/>
      <c r="K5847" s="102">
        <v>1</v>
      </c>
      <c r="L5847" s="102"/>
      <c r="M5847" s="22" t="b">
        <v>1</v>
      </c>
    </row>
    <row r="5848" spans="1:13" x14ac:dyDescent="0.25">
      <c r="A5848" s="102"/>
      <c r="B5848" s="102"/>
      <c r="C5848" s="102"/>
      <c r="D5848" s="102">
        <v>222</v>
      </c>
      <c r="E5848" s="136" t="str">
        <f>INDEX([1]道具配置表!$D:$D,MATCH(D5848,[1]道具配置表!$A:$A,0))</f>
        <v>1千食物</v>
      </c>
      <c r="F5848" s="102">
        <v>10</v>
      </c>
      <c r="G5848" s="102"/>
      <c r="H5848" s="102"/>
      <c r="I5848" s="102"/>
      <c r="J5848" s="102"/>
      <c r="K5848" s="102">
        <v>1</v>
      </c>
      <c r="L5848" s="102"/>
      <c r="M5848" s="22" t="b">
        <v>1</v>
      </c>
    </row>
    <row r="5849" spans="1:13" x14ac:dyDescent="0.25">
      <c r="A5849" s="102"/>
      <c r="B5849" s="102"/>
      <c r="C5849" s="102"/>
      <c r="D5849" s="102">
        <v>221</v>
      </c>
      <c r="E5849" s="136" t="str">
        <f>INDEX([1]道具配置表!$D:$D,MATCH(D5849,[1]道具配置表!$A:$A,0))</f>
        <v>1千木材</v>
      </c>
      <c r="F5849" s="102">
        <v>10</v>
      </c>
      <c r="G5849" s="102"/>
      <c r="H5849" s="102"/>
      <c r="I5849" s="102"/>
      <c r="J5849" s="102"/>
      <c r="K5849" s="102">
        <v>1</v>
      </c>
      <c r="L5849" s="102"/>
      <c r="M5849" s="22" t="b">
        <v>1</v>
      </c>
    </row>
    <row r="5850" spans="1:13" x14ac:dyDescent="0.25">
      <c r="A5850" s="102"/>
      <c r="B5850" s="102"/>
      <c r="C5850" s="102"/>
      <c r="D5850" s="102">
        <v>223</v>
      </c>
      <c r="E5850" s="136" t="str">
        <f>INDEX([1]道具配置表!$D:$D,MATCH(D5850,[1]道具配置表!$A:$A,0))</f>
        <v>1千石头</v>
      </c>
      <c r="F5850" s="102">
        <v>10</v>
      </c>
      <c r="G5850" s="102"/>
      <c r="H5850" s="102"/>
      <c r="I5850" s="102"/>
      <c r="J5850" s="102"/>
      <c r="K5850" s="102">
        <v>1</v>
      </c>
      <c r="L5850" s="102"/>
      <c r="M5850" s="22" t="b">
        <v>1</v>
      </c>
    </row>
    <row r="5851" spans="1:13" x14ac:dyDescent="0.25">
      <c r="A5851" s="102">
        <v>6652009</v>
      </c>
      <c r="B5851" s="102" t="s">
        <v>1314</v>
      </c>
      <c r="C5851" s="102"/>
      <c r="D5851" s="102">
        <v>7228</v>
      </c>
      <c r="E5851" s="136" t="str">
        <f>INDEX([1]道具配置表!$D:$D,MATCH(D5851,[1]道具配置表!$A:$A,0))</f>
        <v>经验书*10000</v>
      </c>
      <c r="F5851" s="102">
        <v>1</v>
      </c>
      <c r="G5851" s="102"/>
      <c r="H5851" s="102"/>
      <c r="I5851" s="102"/>
      <c r="J5851" s="102"/>
      <c r="K5851" s="102">
        <v>1</v>
      </c>
      <c r="L5851" s="102"/>
      <c r="M5851" s="22" t="b">
        <v>1</v>
      </c>
    </row>
    <row r="5852" spans="1:13" x14ac:dyDescent="0.25">
      <c r="A5852" s="102"/>
      <c r="B5852" s="102"/>
      <c r="C5852" s="102"/>
      <c r="D5852" s="102">
        <v>20000</v>
      </c>
      <c r="E5852" s="136" t="str">
        <f>INDEX([1]道具配置表!$D:$D,MATCH(D5852,[1]道具配置表!$A:$A,0))</f>
        <v>技能点1</v>
      </c>
      <c r="F5852" s="102">
        <v>50</v>
      </c>
      <c r="G5852" s="102"/>
      <c r="H5852" s="102"/>
      <c r="I5852" s="102"/>
      <c r="J5852" s="102"/>
      <c r="K5852" s="102">
        <v>1</v>
      </c>
      <c r="L5852" s="102"/>
      <c r="M5852" s="22" t="b">
        <v>1</v>
      </c>
    </row>
    <row r="5853" spans="1:13" x14ac:dyDescent="0.25">
      <c r="A5853" s="102"/>
      <c r="B5853" s="102"/>
      <c r="C5853" s="102"/>
      <c r="D5853" s="102">
        <v>222</v>
      </c>
      <c r="E5853" s="136" t="str">
        <f>INDEX([1]道具配置表!$D:$D,MATCH(D5853,[1]道具配置表!$A:$A,0))</f>
        <v>1千食物</v>
      </c>
      <c r="F5853" s="102">
        <v>10</v>
      </c>
      <c r="G5853" s="102"/>
      <c r="H5853" s="102"/>
      <c r="I5853" s="102"/>
      <c r="J5853" s="102"/>
      <c r="K5853" s="102">
        <v>1</v>
      </c>
      <c r="L5853" s="102"/>
      <c r="M5853" s="22" t="b">
        <v>1</v>
      </c>
    </row>
    <row r="5854" spans="1:13" x14ac:dyDescent="0.25">
      <c r="A5854" s="102"/>
      <c r="B5854" s="102"/>
      <c r="C5854" s="102"/>
      <c r="D5854" s="102">
        <v>221</v>
      </c>
      <c r="E5854" s="136" t="str">
        <f>INDEX([1]道具配置表!$D:$D,MATCH(D5854,[1]道具配置表!$A:$A,0))</f>
        <v>1千木材</v>
      </c>
      <c r="F5854" s="102">
        <v>10</v>
      </c>
      <c r="G5854" s="102"/>
      <c r="H5854" s="102"/>
      <c r="I5854" s="102"/>
      <c r="J5854" s="102"/>
      <c r="K5854" s="102">
        <v>1</v>
      </c>
      <c r="L5854" s="102"/>
      <c r="M5854" s="22" t="b">
        <v>1</v>
      </c>
    </row>
    <row r="5855" spans="1:13" x14ac:dyDescent="0.25">
      <c r="A5855" s="102"/>
      <c r="B5855" s="102"/>
      <c r="C5855" s="102"/>
      <c r="D5855" s="102">
        <v>223</v>
      </c>
      <c r="E5855" s="136" t="str">
        <f>INDEX([1]道具配置表!$D:$D,MATCH(D5855,[1]道具配置表!$A:$A,0))</f>
        <v>1千石头</v>
      </c>
      <c r="F5855" s="102">
        <v>10</v>
      </c>
      <c r="G5855" s="102"/>
      <c r="H5855" s="102"/>
      <c r="I5855" s="102"/>
      <c r="J5855" s="102"/>
      <c r="K5855" s="102">
        <v>1</v>
      </c>
      <c r="L5855" s="102"/>
      <c r="M5855" s="22" t="b">
        <v>1</v>
      </c>
    </row>
    <row r="5856" spans="1:13" x14ac:dyDescent="0.25">
      <c r="A5856" s="102">
        <v>6652010</v>
      </c>
      <c r="B5856" s="102" t="s">
        <v>1315</v>
      </c>
      <c r="C5856" s="102"/>
      <c r="D5856" s="102">
        <v>7228</v>
      </c>
      <c r="E5856" s="136" t="str">
        <f>INDEX([1]道具配置表!$D:$D,MATCH(D5856,[1]道具配置表!$A:$A,0))</f>
        <v>经验书*10000</v>
      </c>
      <c r="F5856" s="102">
        <v>2</v>
      </c>
      <c r="G5856" s="102"/>
      <c r="H5856" s="102"/>
      <c r="I5856" s="102"/>
      <c r="J5856" s="102"/>
      <c r="K5856" s="102">
        <v>1</v>
      </c>
      <c r="L5856" s="102"/>
      <c r="M5856" s="22" t="b">
        <v>1</v>
      </c>
    </row>
    <row r="5857" spans="1:13" x14ac:dyDescent="0.25">
      <c r="A5857" s="102"/>
      <c r="B5857" s="102"/>
      <c r="C5857" s="102"/>
      <c r="D5857" s="102">
        <v>20000</v>
      </c>
      <c r="E5857" s="136" t="str">
        <f>INDEX([1]道具配置表!$D:$D,MATCH(D5857,[1]道具配置表!$A:$A,0))</f>
        <v>技能点1</v>
      </c>
      <c r="F5857" s="102">
        <v>100</v>
      </c>
      <c r="G5857" s="102"/>
      <c r="H5857" s="102"/>
      <c r="I5857" s="102"/>
      <c r="J5857" s="102"/>
      <c r="K5857" s="102">
        <v>1</v>
      </c>
      <c r="L5857" s="102"/>
      <c r="M5857" s="22" t="b">
        <v>1</v>
      </c>
    </row>
    <row r="5858" spans="1:13" x14ac:dyDescent="0.25">
      <c r="A5858" s="102"/>
      <c r="B5858" s="102"/>
      <c r="C5858" s="102"/>
      <c r="D5858" s="102">
        <v>222</v>
      </c>
      <c r="E5858" s="136" t="str">
        <f>INDEX([1]道具配置表!$D:$D,MATCH(D5858,[1]道具配置表!$A:$A,0))</f>
        <v>1千食物</v>
      </c>
      <c r="F5858" s="102">
        <v>20</v>
      </c>
      <c r="G5858" s="102"/>
      <c r="H5858" s="102"/>
      <c r="I5858" s="102"/>
      <c r="J5858" s="102"/>
      <c r="K5858" s="102">
        <v>1</v>
      </c>
      <c r="L5858" s="102"/>
      <c r="M5858" s="22" t="b">
        <v>1</v>
      </c>
    </row>
    <row r="5859" spans="1:13" x14ac:dyDescent="0.25">
      <c r="A5859" s="102"/>
      <c r="B5859" s="102"/>
      <c r="C5859" s="102"/>
      <c r="D5859" s="102">
        <v>221</v>
      </c>
      <c r="E5859" s="136" t="str">
        <f>INDEX([1]道具配置表!$D:$D,MATCH(D5859,[1]道具配置表!$A:$A,0))</f>
        <v>1千木材</v>
      </c>
      <c r="F5859" s="102">
        <v>20</v>
      </c>
      <c r="G5859" s="102"/>
      <c r="H5859" s="102"/>
      <c r="I5859" s="102"/>
      <c r="J5859" s="102"/>
      <c r="K5859" s="102">
        <v>1</v>
      </c>
      <c r="L5859" s="102"/>
      <c r="M5859" s="22" t="b">
        <v>1</v>
      </c>
    </row>
    <row r="5860" spans="1:13" x14ac:dyDescent="0.25">
      <c r="A5860" s="102"/>
      <c r="B5860" s="102"/>
      <c r="C5860" s="102"/>
      <c r="D5860" s="102">
        <v>223</v>
      </c>
      <c r="E5860" s="136" t="str">
        <f>INDEX([1]道具配置表!$D:$D,MATCH(D5860,[1]道具配置表!$A:$A,0))</f>
        <v>1千石头</v>
      </c>
      <c r="F5860" s="102">
        <v>20</v>
      </c>
      <c r="G5860" s="102"/>
      <c r="H5860" s="102"/>
      <c r="I5860" s="102"/>
      <c r="J5860" s="102"/>
      <c r="K5860" s="102">
        <v>1</v>
      </c>
      <c r="L5860" s="102"/>
      <c r="M5860" s="22" t="b">
        <v>1</v>
      </c>
    </row>
    <row r="5861" spans="1:13" x14ac:dyDescent="0.25">
      <c r="A5861" s="102">
        <v>6652011</v>
      </c>
      <c r="B5861" s="102" t="s">
        <v>1316</v>
      </c>
      <c r="C5861" s="102"/>
      <c r="D5861" s="102">
        <v>7228</v>
      </c>
      <c r="E5861" s="136" t="str">
        <f>INDEX([1]道具配置表!$D:$D,MATCH(D5861,[1]道具配置表!$A:$A,0))</f>
        <v>经验书*10000</v>
      </c>
      <c r="F5861" s="102">
        <v>1</v>
      </c>
      <c r="G5861" s="102"/>
      <c r="H5861" s="102"/>
      <c r="I5861" s="102"/>
      <c r="J5861" s="102"/>
      <c r="K5861" s="102">
        <v>1</v>
      </c>
      <c r="L5861" s="102"/>
      <c r="M5861" s="22" t="b">
        <v>1</v>
      </c>
    </row>
    <row r="5862" spans="1:13" x14ac:dyDescent="0.25">
      <c r="A5862" s="102"/>
      <c r="B5862" s="102" t="s">
        <v>119</v>
      </c>
      <c r="C5862" s="102"/>
      <c r="D5862" s="102">
        <v>20000</v>
      </c>
      <c r="E5862" s="136" t="str">
        <f>INDEX([1]道具配置表!$D:$D,MATCH(D5862,[1]道具配置表!$A:$A,0))</f>
        <v>技能点1</v>
      </c>
      <c r="F5862" s="102">
        <v>50</v>
      </c>
      <c r="G5862" s="102"/>
      <c r="H5862" s="102"/>
      <c r="I5862" s="102"/>
      <c r="J5862" s="102"/>
      <c r="K5862" s="102">
        <v>1</v>
      </c>
      <c r="L5862" s="102"/>
      <c r="M5862" s="22" t="b">
        <v>1</v>
      </c>
    </row>
    <row r="5863" spans="1:13" x14ac:dyDescent="0.25">
      <c r="A5863" s="102"/>
      <c r="B5863" s="102" t="s">
        <v>119</v>
      </c>
      <c r="C5863" s="102"/>
      <c r="D5863" s="102">
        <v>222</v>
      </c>
      <c r="E5863" s="136" t="str">
        <f>INDEX([1]道具配置表!$D:$D,MATCH(D5863,[1]道具配置表!$A:$A,0))</f>
        <v>1千食物</v>
      </c>
      <c r="F5863" s="102">
        <v>10</v>
      </c>
      <c r="G5863" s="102"/>
      <c r="H5863" s="102"/>
      <c r="I5863" s="102"/>
      <c r="J5863" s="102"/>
      <c r="K5863" s="102">
        <v>1</v>
      </c>
      <c r="L5863" s="102"/>
      <c r="M5863" s="22" t="b">
        <v>1</v>
      </c>
    </row>
    <row r="5864" spans="1:13" x14ac:dyDescent="0.25">
      <c r="A5864" s="102"/>
      <c r="B5864" s="102" t="s">
        <v>119</v>
      </c>
      <c r="C5864" s="102"/>
      <c r="D5864" s="102">
        <v>221</v>
      </c>
      <c r="E5864" s="136" t="str">
        <f>INDEX([1]道具配置表!$D:$D,MATCH(D5864,[1]道具配置表!$A:$A,0))</f>
        <v>1千木材</v>
      </c>
      <c r="F5864" s="102">
        <v>10</v>
      </c>
      <c r="G5864" s="102"/>
      <c r="H5864" s="102"/>
      <c r="I5864" s="102"/>
      <c r="J5864" s="102"/>
      <c r="K5864" s="102">
        <v>1</v>
      </c>
      <c r="L5864" s="102"/>
      <c r="M5864" s="22" t="b">
        <v>1</v>
      </c>
    </row>
    <row r="5865" spans="1:13" x14ac:dyDescent="0.25">
      <c r="A5865" s="102"/>
      <c r="B5865" s="102"/>
      <c r="C5865" s="102"/>
      <c r="D5865" s="102">
        <v>223</v>
      </c>
      <c r="E5865" s="136" t="str">
        <f>INDEX([1]道具配置表!$D:$D,MATCH(D5865,[1]道具配置表!$A:$A,0))</f>
        <v>1千石头</v>
      </c>
      <c r="F5865" s="102">
        <v>10</v>
      </c>
      <c r="G5865" s="102"/>
      <c r="H5865" s="102"/>
      <c r="I5865" s="102"/>
      <c r="J5865" s="102"/>
      <c r="K5865" s="102">
        <v>1</v>
      </c>
      <c r="L5865" s="102"/>
      <c r="M5865" s="22" t="b">
        <v>1</v>
      </c>
    </row>
    <row r="5866" spans="1:13" x14ac:dyDescent="0.25">
      <c r="A5866" s="102">
        <v>6652012</v>
      </c>
      <c r="B5866" s="102" t="s">
        <v>1317</v>
      </c>
      <c r="C5866" s="102"/>
      <c r="D5866" s="102">
        <v>7228</v>
      </c>
      <c r="E5866" s="136" t="str">
        <f>INDEX([1]道具配置表!$D:$D,MATCH(D5866,[1]道具配置表!$A:$A,0))</f>
        <v>经验书*10000</v>
      </c>
      <c r="F5866" s="102">
        <v>1</v>
      </c>
      <c r="G5866" s="102"/>
      <c r="H5866" s="102"/>
      <c r="I5866" s="102"/>
      <c r="J5866" s="102"/>
      <c r="K5866" s="102">
        <v>1</v>
      </c>
      <c r="L5866" s="102"/>
      <c r="M5866" s="22" t="b">
        <v>1</v>
      </c>
    </row>
    <row r="5867" spans="1:13" x14ac:dyDescent="0.25">
      <c r="A5867" s="102"/>
      <c r="B5867" s="102" t="s">
        <v>119</v>
      </c>
      <c r="C5867" s="102"/>
      <c r="D5867" s="102">
        <v>20000</v>
      </c>
      <c r="E5867" s="136" t="str">
        <f>INDEX([1]道具配置表!$D:$D,MATCH(D5867,[1]道具配置表!$A:$A,0))</f>
        <v>技能点1</v>
      </c>
      <c r="F5867" s="102">
        <v>50</v>
      </c>
      <c r="G5867" s="102"/>
      <c r="H5867" s="102"/>
      <c r="I5867" s="102"/>
      <c r="J5867" s="102"/>
      <c r="K5867" s="102">
        <v>1</v>
      </c>
      <c r="L5867" s="102"/>
      <c r="M5867" s="22" t="b">
        <v>1</v>
      </c>
    </row>
    <row r="5868" spans="1:13" x14ac:dyDescent="0.25">
      <c r="A5868" s="102"/>
      <c r="B5868" s="102" t="s">
        <v>119</v>
      </c>
      <c r="C5868" s="102"/>
      <c r="D5868" s="102">
        <v>222</v>
      </c>
      <c r="E5868" s="136" t="str">
        <f>INDEX([1]道具配置表!$D:$D,MATCH(D5868,[1]道具配置表!$A:$A,0))</f>
        <v>1千食物</v>
      </c>
      <c r="F5868" s="102">
        <v>10</v>
      </c>
      <c r="G5868" s="102"/>
      <c r="H5868" s="102"/>
      <c r="I5868" s="102"/>
      <c r="J5868" s="102"/>
      <c r="K5868" s="102">
        <v>1</v>
      </c>
      <c r="L5868" s="102"/>
      <c r="M5868" s="22" t="b">
        <v>1</v>
      </c>
    </row>
    <row r="5869" spans="1:13" x14ac:dyDescent="0.25">
      <c r="A5869" s="102"/>
      <c r="B5869" s="102" t="s">
        <v>119</v>
      </c>
      <c r="C5869" s="102"/>
      <c r="D5869" s="102">
        <v>221</v>
      </c>
      <c r="E5869" s="136" t="str">
        <f>INDEX([1]道具配置表!$D:$D,MATCH(D5869,[1]道具配置表!$A:$A,0))</f>
        <v>1千木材</v>
      </c>
      <c r="F5869" s="102">
        <v>10</v>
      </c>
      <c r="G5869" s="102"/>
      <c r="H5869" s="102"/>
      <c r="I5869" s="102"/>
      <c r="J5869" s="102"/>
      <c r="K5869" s="102">
        <v>1</v>
      </c>
      <c r="L5869" s="102"/>
      <c r="M5869" s="22" t="b">
        <v>1</v>
      </c>
    </row>
    <row r="5870" spans="1:13" x14ac:dyDescent="0.25">
      <c r="A5870" s="102"/>
      <c r="B5870" s="102"/>
      <c r="C5870" s="102"/>
      <c r="D5870" s="102">
        <v>223</v>
      </c>
      <c r="E5870" s="136" t="str">
        <f>INDEX([1]道具配置表!$D:$D,MATCH(D5870,[1]道具配置表!$A:$A,0))</f>
        <v>1千石头</v>
      </c>
      <c r="F5870" s="102">
        <v>10</v>
      </c>
      <c r="G5870" s="102"/>
      <c r="H5870" s="102"/>
      <c r="I5870" s="102"/>
      <c r="J5870" s="102"/>
      <c r="K5870" s="102">
        <v>1</v>
      </c>
      <c r="L5870" s="102"/>
      <c r="M5870" s="22" t="b">
        <v>1</v>
      </c>
    </row>
    <row r="5871" spans="1:13" x14ac:dyDescent="0.25">
      <c r="A5871" s="102">
        <v>6652013</v>
      </c>
      <c r="B5871" s="102" t="s">
        <v>1318</v>
      </c>
      <c r="C5871" s="102"/>
      <c r="D5871" s="102">
        <v>7228</v>
      </c>
      <c r="E5871" s="136" t="str">
        <f>INDEX([1]道具配置表!$D:$D,MATCH(D5871,[1]道具配置表!$A:$A,0))</f>
        <v>经验书*10000</v>
      </c>
      <c r="F5871" s="102">
        <v>1</v>
      </c>
      <c r="G5871" s="102"/>
      <c r="H5871" s="102"/>
      <c r="I5871" s="102"/>
      <c r="J5871" s="102"/>
      <c r="K5871" s="102">
        <v>1</v>
      </c>
      <c r="L5871" s="102"/>
      <c r="M5871" s="22" t="b">
        <v>1</v>
      </c>
    </row>
    <row r="5872" spans="1:13" x14ac:dyDescent="0.25">
      <c r="A5872" s="102"/>
      <c r="B5872" s="102" t="s">
        <v>119</v>
      </c>
      <c r="C5872" s="102"/>
      <c r="D5872" s="102">
        <v>20000</v>
      </c>
      <c r="E5872" s="136" t="str">
        <f>INDEX([1]道具配置表!$D:$D,MATCH(D5872,[1]道具配置表!$A:$A,0))</f>
        <v>技能点1</v>
      </c>
      <c r="F5872" s="102">
        <v>50</v>
      </c>
      <c r="G5872" s="102"/>
      <c r="H5872" s="102"/>
      <c r="I5872" s="102"/>
      <c r="J5872" s="102"/>
      <c r="K5872" s="102">
        <v>1</v>
      </c>
      <c r="L5872" s="102"/>
      <c r="M5872" s="22" t="b">
        <v>1</v>
      </c>
    </row>
    <row r="5873" spans="1:13" x14ac:dyDescent="0.25">
      <c r="A5873" s="102"/>
      <c r="B5873" s="102" t="s">
        <v>119</v>
      </c>
      <c r="C5873" s="102"/>
      <c r="D5873" s="102">
        <v>222</v>
      </c>
      <c r="E5873" s="136" t="str">
        <f>INDEX([1]道具配置表!$D:$D,MATCH(D5873,[1]道具配置表!$A:$A,0))</f>
        <v>1千食物</v>
      </c>
      <c r="F5873" s="102">
        <v>10</v>
      </c>
      <c r="G5873" s="102"/>
      <c r="H5873" s="102"/>
      <c r="I5873" s="102"/>
      <c r="J5873" s="102"/>
      <c r="K5873" s="102">
        <v>1</v>
      </c>
      <c r="L5873" s="102"/>
      <c r="M5873" s="22" t="b">
        <v>1</v>
      </c>
    </row>
    <row r="5874" spans="1:13" x14ac:dyDescent="0.25">
      <c r="A5874" s="102"/>
      <c r="B5874" s="102" t="s">
        <v>119</v>
      </c>
      <c r="C5874" s="102"/>
      <c r="D5874" s="102">
        <v>221</v>
      </c>
      <c r="E5874" s="136" t="str">
        <f>INDEX([1]道具配置表!$D:$D,MATCH(D5874,[1]道具配置表!$A:$A,0))</f>
        <v>1千木材</v>
      </c>
      <c r="F5874" s="102">
        <v>10</v>
      </c>
      <c r="G5874" s="102"/>
      <c r="H5874" s="102"/>
      <c r="I5874" s="102"/>
      <c r="J5874" s="102"/>
      <c r="K5874" s="102">
        <v>1</v>
      </c>
      <c r="L5874" s="102"/>
      <c r="M5874" s="22" t="b">
        <v>1</v>
      </c>
    </row>
    <row r="5875" spans="1:13" x14ac:dyDescent="0.25">
      <c r="A5875" s="102"/>
      <c r="B5875" s="102"/>
      <c r="C5875" s="102"/>
      <c r="D5875" s="102">
        <v>223</v>
      </c>
      <c r="E5875" s="136" t="str">
        <f>INDEX([1]道具配置表!$D:$D,MATCH(D5875,[1]道具配置表!$A:$A,0))</f>
        <v>1千石头</v>
      </c>
      <c r="F5875" s="102">
        <v>10</v>
      </c>
      <c r="G5875" s="102"/>
      <c r="H5875" s="102"/>
      <c r="I5875" s="102"/>
      <c r="J5875" s="102"/>
      <c r="K5875" s="102">
        <v>1</v>
      </c>
      <c r="L5875" s="102"/>
      <c r="M5875" s="22" t="b">
        <v>1</v>
      </c>
    </row>
    <row r="5876" spans="1:13" x14ac:dyDescent="0.25">
      <c r="A5876" s="102">
        <v>6652014</v>
      </c>
      <c r="B5876" s="102" t="s">
        <v>1319</v>
      </c>
      <c r="C5876" s="102"/>
      <c r="D5876" s="102">
        <v>7228</v>
      </c>
      <c r="E5876" s="136" t="str">
        <f>INDEX([1]道具配置表!$D:$D,MATCH(D5876,[1]道具配置表!$A:$A,0))</f>
        <v>经验书*10000</v>
      </c>
      <c r="F5876" s="102">
        <v>1</v>
      </c>
      <c r="G5876" s="102"/>
      <c r="H5876" s="102"/>
      <c r="I5876" s="102"/>
      <c r="J5876" s="102"/>
      <c r="K5876" s="102">
        <v>1</v>
      </c>
      <c r="L5876" s="102"/>
      <c r="M5876" s="22" t="b">
        <v>1</v>
      </c>
    </row>
    <row r="5877" spans="1:13" x14ac:dyDescent="0.25">
      <c r="A5877" s="102"/>
      <c r="B5877" s="102" t="s">
        <v>119</v>
      </c>
      <c r="C5877" s="102"/>
      <c r="D5877" s="102">
        <v>20000</v>
      </c>
      <c r="E5877" s="136" t="str">
        <f>INDEX([1]道具配置表!$D:$D,MATCH(D5877,[1]道具配置表!$A:$A,0))</f>
        <v>技能点1</v>
      </c>
      <c r="F5877" s="102">
        <v>50</v>
      </c>
      <c r="G5877" s="102"/>
      <c r="H5877" s="102"/>
      <c r="I5877" s="102"/>
      <c r="J5877" s="102"/>
      <c r="K5877" s="102">
        <v>1</v>
      </c>
      <c r="L5877" s="102"/>
      <c r="M5877" s="22" t="b">
        <v>1</v>
      </c>
    </row>
    <row r="5878" spans="1:13" x14ac:dyDescent="0.25">
      <c r="A5878" s="102"/>
      <c r="B5878" s="102" t="s">
        <v>119</v>
      </c>
      <c r="C5878" s="102"/>
      <c r="D5878" s="102">
        <v>222</v>
      </c>
      <c r="E5878" s="136" t="str">
        <f>INDEX([1]道具配置表!$D:$D,MATCH(D5878,[1]道具配置表!$A:$A,0))</f>
        <v>1千食物</v>
      </c>
      <c r="F5878" s="102">
        <v>10</v>
      </c>
      <c r="G5878" s="102"/>
      <c r="H5878" s="102"/>
      <c r="I5878" s="102"/>
      <c r="J5878" s="102"/>
      <c r="K5878" s="102">
        <v>1</v>
      </c>
      <c r="L5878" s="102"/>
      <c r="M5878" s="22" t="b">
        <v>1</v>
      </c>
    </row>
    <row r="5879" spans="1:13" x14ac:dyDescent="0.25">
      <c r="A5879" s="102"/>
      <c r="B5879" s="102" t="s">
        <v>119</v>
      </c>
      <c r="C5879" s="102"/>
      <c r="D5879" s="102">
        <v>221</v>
      </c>
      <c r="E5879" s="136" t="str">
        <f>INDEX([1]道具配置表!$D:$D,MATCH(D5879,[1]道具配置表!$A:$A,0))</f>
        <v>1千木材</v>
      </c>
      <c r="F5879" s="102">
        <v>10</v>
      </c>
      <c r="G5879" s="102"/>
      <c r="H5879" s="102"/>
      <c r="I5879" s="102"/>
      <c r="J5879" s="102"/>
      <c r="K5879" s="102">
        <v>1</v>
      </c>
      <c r="L5879" s="102"/>
      <c r="M5879" s="22" t="b">
        <v>1</v>
      </c>
    </row>
    <row r="5880" spans="1:13" x14ac:dyDescent="0.25">
      <c r="A5880" s="102"/>
      <c r="B5880" s="102"/>
      <c r="C5880" s="102"/>
      <c r="D5880" s="102">
        <v>223</v>
      </c>
      <c r="E5880" s="136" t="str">
        <f>INDEX([1]道具配置表!$D:$D,MATCH(D5880,[1]道具配置表!$A:$A,0))</f>
        <v>1千石头</v>
      </c>
      <c r="F5880" s="102">
        <v>10</v>
      </c>
      <c r="G5880" s="102"/>
      <c r="H5880" s="102"/>
      <c r="I5880" s="102"/>
      <c r="J5880" s="102"/>
      <c r="K5880" s="102">
        <v>1</v>
      </c>
      <c r="L5880" s="102"/>
      <c r="M5880" s="22" t="b">
        <v>1</v>
      </c>
    </row>
    <row r="5881" spans="1:13" x14ac:dyDescent="0.25">
      <c r="A5881" s="102">
        <v>6652015</v>
      </c>
      <c r="B5881" s="102" t="s">
        <v>1320</v>
      </c>
      <c r="C5881" s="102"/>
      <c r="D5881" s="102">
        <v>7228</v>
      </c>
      <c r="E5881" s="136" t="str">
        <f>INDEX([1]道具配置表!$D:$D,MATCH(D5881,[1]道具配置表!$A:$A,0))</f>
        <v>经验书*10000</v>
      </c>
      <c r="F5881" s="102">
        <v>2</v>
      </c>
      <c r="G5881" s="102"/>
      <c r="H5881" s="102"/>
      <c r="I5881" s="102"/>
      <c r="J5881" s="102"/>
      <c r="K5881" s="102">
        <v>1</v>
      </c>
      <c r="L5881" s="102"/>
      <c r="M5881" s="22" t="b">
        <v>1</v>
      </c>
    </row>
    <row r="5882" spans="1:13" x14ac:dyDescent="0.25">
      <c r="A5882" s="102"/>
      <c r="B5882" s="102" t="s">
        <v>119</v>
      </c>
      <c r="C5882" s="102"/>
      <c r="D5882" s="102">
        <v>20000</v>
      </c>
      <c r="E5882" s="136" t="str">
        <f>INDEX([1]道具配置表!$D:$D,MATCH(D5882,[1]道具配置表!$A:$A,0))</f>
        <v>技能点1</v>
      </c>
      <c r="F5882" s="102">
        <v>100</v>
      </c>
      <c r="G5882" s="102"/>
      <c r="H5882" s="102"/>
      <c r="I5882" s="102"/>
      <c r="J5882" s="102"/>
      <c r="K5882" s="102">
        <v>1</v>
      </c>
      <c r="L5882" s="102"/>
      <c r="M5882" s="22" t="b">
        <v>1</v>
      </c>
    </row>
    <row r="5883" spans="1:13" x14ac:dyDescent="0.25">
      <c r="A5883" s="102"/>
      <c r="B5883" s="102" t="s">
        <v>119</v>
      </c>
      <c r="C5883" s="102"/>
      <c r="D5883" s="102">
        <v>222</v>
      </c>
      <c r="E5883" s="136" t="str">
        <f>INDEX([1]道具配置表!$D:$D,MATCH(D5883,[1]道具配置表!$A:$A,0))</f>
        <v>1千食物</v>
      </c>
      <c r="F5883" s="102">
        <v>20</v>
      </c>
      <c r="G5883" s="102"/>
      <c r="H5883" s="102"/>
      <c r="I5883" s="102"/>
      <c r="J5883" s="102"/>
      <c r="K5883" s="102">
        <v>1</v>
      </c>
      <c r="L5883" s="102"/>
      <c r="M5883" s="22" t="b">
        <v>1</v>
      </c>
    </row>
    <row r="5884" spans="1:13" x14ac:dyDescent="0.25">
      <c r="A5884" s="102"/>
      <c r="B5884" s="102" t="s">
        <v>119</v>
      </c>
      <c r="C5884" s="102"/>
      <c r="D5884" s="102">
        <v>221</v>
      </c>
      <c r="E5884" s="136" t="str">
        <f>INDEX([1]道具配置表!$D:$D,MATCH(D5884,[1]道具配置表!$A:$A,0))</f>
        <v>1千木材</v>
      </c>
      <c r="F5884" s="102">
        <v>20</v>
      </c>
      <c r="G5884" s="102"/>
      <c r="H5884" s="102"/>
      <c r="I5884" s="102"/>
      <c r="J5884" s="102"/>
      <c r="K5884" s="102">
        <v>1</v>
      </c>
      <c r="L5884" s="102"/>
      <c r="M5884" s="22" t="b">
        <v>1</v>
      </c>
    </row>
    <row r="5885" spans="1:13" x14ac:dyDescent="0.25">
      <c r="A5885" s="102"/>
      <c r="B5885" s="102" t="s">
        <v>119</v>
      </c>
      <c r="C5885" s="102"/>
      <c r="D5885" s="102">
        <v>223</v>
      </c>
      <c r="E5885" s="136" t="str">
        <f>INDEX([1]道具配置表!$D:$D,MATCH(D5885,[1]道具配置表!$A:$A,0))</f>
        <v>1千石头</v>
      </c>
      <c r="F5885" s="102">
        <v>20</v>
      </c>
      <c r="G5885" s="102"/>
      <c r="H5885" s="102"/>
      <c r="I5885" s="102"/>
      <c r="J5885" s="102"/>
      <c r="K5885" s="102">
        <v>1</v>
      </c>
      <c r="L5885" s="102"/>
      <c r="M5885" s="22" t="b">
        <v>1</v>
      </c>
    </row>
    <row r="5886" spans="1:13" x14ac:dyDescent="0.25">
      <c r="A5886" s="102">
        <v>6652016</v>
      </c>
      <c r="B5886" s="102" t="s">
        <v>1321</v>
      </c>
      <c r="C5886" s="102"/>
      <c r="D5886" s="102">
        <v>7228</v>
      </c>
      <c r="E5886" s="136" t="str">
        <f>INDEX([1]道具配置表!$D:$D,MATCH(D5886,[1]道具配置表!$A:$A,0))</f>
        <v>经验书*10000</v>
      </c>
      <c r="F5886" s="102">
        <v>1</v>
      </c>
      <c r="G5886" s="102"/>
      <c r="H5886" s="102"/>
      <c r="I5886" s="102"/>
      <c r="J5886" s="102"/>
      <c r="K5886" s="102">
        <v>1</v>
      </c>
      <c r="L5886" s="102"/>
      <c r="M5886" s="22" t="b">
        <v>1</v>
      </c>
    </row>
    <row r="5887" spans="1:13" x14ac:dyDescent="0.25">
      <c r="A5887" s="102"/>
      <c r="B5887" s="102" t="s">
        <v>119</v>
      </c>
      <c r="C5887" s="102"/>
      <c r="D5887" s="102">
        <v>20000</v>
      </c>
      <c r="E5887" s="136" t="str">
        <f>INDEX([1]道具配置表!$D:$D,MATCH(D5887,[1]道具配置表!$A:$A,0))</f>
        <v>技能点1</v>
      </c>
      <c r="F5887" s="102">
        <v>50</v>
      </c>
      <c r="G5887" s="102"/>
      <c r="H5887" s="102"/>
      <c r="I5887" s="102"/>
      <c r="J5887" s="102"/>
      <c r="K5887" s="102">
        <v>1</v>
      </c>
      <c r="L5887" s="102"/>
      <c r="M5887" s="22" t="b">
        <v>1</v>
      </c>
    </row>
    <row r="5888" spans="1:13" x14ac:dyDescent="0.25">
      <c r="A5888" s="102"/>
      <c r="B5888" s="102" t="s">
        <v>119</v>
      </c>
      <c r="C5888" s="102"/>
      <c r="D5888" s="102">
        <v>222</v>
      </c>
      <c r="E5888" s="136" t="str">
        <f>INDEX([1]道具配置表!$D:$D,MATCH(D5888,[1]道具配置表!$A:$A,0))</f>
        <v>1千食物</v>
      </c>
      <c r="F5888" s="102">
        <v>10</v>
      </c>
      <c r="G5888" s="102"/>
      <c r="H5888" s="102"/>
      <c r="I5888" s="102"/>
      <c r="J5888" s="102"/>
      <c r="K5888" s="102">
        <v>1</v>
      </c>
      <c r="L5888" s="102"/>
      <c r="M5888" s="22" t="b">
        <v>1</v>
      </c>
    </row>
    <row r="5889" spans="1:13" x14ac:dyDescent="0.25">
      <c r="A5889" s="102"/>
      <c r="B5889" s="102" t="s">
        <v>119</v>
      </c>
      <c r="C5889" s="102"/>
      <c r="D5889" s="102">
        <v>221</v>
      </c>
      <c r="E5889" s="136" t="str">
        <f>INDEX([1]道具配置表!$D:$D,MATCH(D5889,[1]道具配置表!$A:$A,0))</f>
        <v>1千木材</v>
      </c>
      <c r="F5889" s="102">
        <v>10</v>
      </c>
      <c r="G5889" s="102"/>
      <c r="H5889" s="102"/>
      <c r="I5889" s="102"/>
      <c r="J5889" s="102"/>
      <c r="K5889" s="102">
        <v>1</v>
      </c>
      <c r="L5889" s="102"/>
      <c r="M5889" s="22" t="b">
        <v>1</v>
      </c>
    </row>
    <row r="5890" spans="1:13" x14ac:dyDescent="0.25">
      <c r="A5890" s="102"/>
      <c r="B5890" s="102"/>
      <c r="C5890" s="102"/>
      <c r="D5890" s="102">
        <v>223</v>
      </c>
      <c r="E5890" s="136" t="str">
        <f>INDEX([1]道具配置表!$D:$D,MATCH(D5890,[1]道具配置表!$A:$A,0))</f>
        <v>1千石头</v>
      </c>
      <c r="F5890" s="102">
        <v>10</v>
      </c>
      <c r="G5890" s="102"/>
      <c r="H5890" s="102"/>
      <c r="I5890" s="102"/>
      <c r="J5890" s="102"/>
      <c r="K5890" s="102">
        <v>1</v>
      </c>
      <c r="L5890" s="102"/>
      <c r="M5890" s="22" t="b">
        <v>1</v>
      </c>
    </row>
    <row r="5891" spans="1:13" x14ac:dyDescent="0.25">
      <c r="A5891" s="102">
        <v>6652017</v>
      </c>
      <c r="B5891" s="102" t="s">
        <v>1322</v>
      </c>
      <c r="C5891" s="102"/>
      <c r="D5891" s="102">
        <v>7228</v>
      </c>
      <c r="E5891" s="136" t="str">
        <f>INDEX([1]道具配置表!$D:$D,MATCH(D5891,[1]道具配置表!$A:$A,0))</f>
        <v>经验书*10000</v>
      </c>
      <c r="F5891" s="102">
        <v>1</v>
      </c>
      <c r="G5891" s="102"/>
      <c r="H5891" s="102"/>
      <c r="I5891" s="102"/>
      <c r="J5891" s="102"/>
      <c r="K5891" s="102">
        <v>1</v>
      </c>
      <c r="L5891" s="102"/>
      <c r="M5891" s="22" t="b">
        <v>1</v>
      </c>
    </row>
    <row r="5892" spans="1:13" x14ac:dyDescent="0.25">
      <c r="A5892" s="102"/>
      <c r="B5892" s="102" t="s">
        <v>119</v>
      </c>
      <c r="C5892" s="102"/>
      <c r="D5892" s="102">
        <v>20000</v>
      </c>
      <c r="E5892" s="136" t="str">
        <f>INDEX([1]道具配置表!$D:$D,MATCH(D5892,[1]道具配置表!$A:$A,0))</f>
        <v>技能点1</v>
      </c>
      <c r="F5892" s="102">
        <v>50</v>
      </c>
      <c r="G5892" s="102"/>
      <c r="H5892" s="102"/>
      <c r="I5892" s="102"/>
      <c r="J5892" s="102"/>
      <c r="K5892" s="102">
        <v>1</v>
      </c>
      <c r="L5892" s="102"/>
      <c r="M5892" s="22" t="b">
        <v>1</v>
      </c>
    </row>
    <row r="5893" spans="1:13" x14ac:dyDescent="0.25">
      <c r="A5893" s="102"/>
      <c r="B5893" s="102" t="s">
        <v>119</v>
      </c>
      <c r="C5893" s="102"/>
      <c r="D5893" s="102">
        <v>222</v>
      </c>
      <c r="E5893" s="136" t="str">
        <f>INDEX([1]道具配置表!$D:$D,MATCH(D5893,[1]道具配置表!$A:$A,0))</f>
        <v>1千食物</v>
      </c>
      <c r="F5893" s="102">
        <v>10</v>
      </c>
      <c r="G5893" s="102"/>
      <c r="H5893" s="102"/>
      <c r="I5893" s="102"/>
      <c r="J5893" s="102"/>
      <c r="K5893" s="102">
        <v>1</v>
      </c>
      <c r="L5893" s="102"/>
      <c r="M5893" s="22" t="b">
        <v>1</v>
      </c>
    </row>
    <row r="5894" spans="1:13" x14ac:dyDescent="0.25">
      <c r="A5894" s="102"/>
      <c r="B5894" s="102" t="s">
        <v>119</v>
      </c>
      <c r="C5894" s="102"/>
      <c r="D5894" s="102">
        <v>221</v>
      </c>
      <c r="E5894" s="136" t="str">
        <f>INDEX([1]道具配置表!$D:$D,MATCH(D5894,[1]道具配置表!$A:$A,0))</f>
        <v>1千木材</v>
      </c>
      <c r="F5894" s="102">
        <v>10</v>
      </c>
      <c r="G5894" s="102"/>
      <c r="H5894" s="102"/>
      <c r="I5894" s="102"/>
      <c r="J5894" s="102"/>
      <c r="K5894" s="102">
        <v>1</v>
      </c>
      <c r="L5894" s="102"/>
      <c r="M5894" s="22" t="b">
        <v>1</v>
      </c>
    </row>
    <row r="5895" spans="1:13" x14ac:dyDescent="0.25">
      <c r="A5895" s="102"/>
      <c r="B5895" s="102"/>
      <c r="C5895" s="102"/>
      <c r="D5895" s="102">
        <v>223</v>
      </c>
      <c r="E5895" s="136" t="str">
        <f>INDEX([1]道具配置表!$D:$D,MATCH(D5895,[1]道具配置表!$A:$A,0))</f>
        <v>1千石头</v>
      </c>
      <c r="F5895" s="102">
        <v>10</v>
      </c>
      <c r="G5895" s="102"/>
      <c r="H5895" s="102"/>
      <c r="I5895" s="102"/>
      <c r="J5895" s="102"/>
      <c r="K5895" s="102">
        <v>1</v>
      </c>
      <c r="L5895" s="102"/>
      <c r="M5895" s="22" t="b">
        <v>1</v>
      </c>
    </row>
    <row r="5896" spans="1:13" x14ac:dyDescent="0.25">
      <c r="A5896" s="102">
        <v>6652018</v>
      </c>
      <c r="B5896" s="102" t="s">
        <v>1323</v>
      </c>
      <c r="C5896" s="102"/>
      <c r="D5896" s="102">
        <v>7228</v>
      </c>
      <c r="E5896" s="136" t="str">
        <f>INDEX([1]道具配置表!$D:$D,MATCH(D5896,[1]道具配置表!$A:$A,0))</f>
        <v>经验书*10000</v>
      </c>
      <c r="F5896" s="102">
        <v>1</v>
      </c>
      <c r="G5896" s="102"/>
      <c r="H5896" s="102"/>
      <c r="I5896" s="102"/>
      <c r="J5896" s="102"/>
      <c r="K5896" s="102">
        <v>1</v>
      </c>
      <c r="L5896" s="102"/>
      <c r="M5896" s="22" t="b">
        <v>1</v>
      </c>
    </row>
    <row r="5897" spans="1:13" x14ac:dyDescent="0.25">
      <c r="A5897" s="102"/>
      <c r="B5897" s="102" t="s">
        <v>119</v>
      </c>
      <c r="C5897" s="102"/>
      <c r="D5897" s="102">
        <v>20000</v>
      </c>
      <c r="E5897" s="136" t="str">
        <f>INDEX([1]道具配置表!$D:$D,MATCH(D5897,[1]道具配置表!$A:$A,0))</f>
        <v>技能点1</v>
      </c>
      <c r="F5897" s="102">
        <v>50</v>
      </c>
      <c r="G5897" s="102"/>
      <c r="H5897" s="102"/>
      <c r="I5897" s="102"/>
      <c r="J5897" s="102"/>
      <c r="K5897" s="102">
        <v>1</v>
      </c>
      <c r="L5897" s="102"/>
      <c r="M5897" s="22" t="b">
        <v>1</v>
      </c>
    </row>
    <row r="5898" spans="1:13" x14ac:dyDescent="0.25">
      <c r="A5898" s="102"/>
      <c r="B5898" s="102" t="s">
        <v>119</v>
      </c>
      <c r="C5898" s="102"/>
      <c r="D5898" s="102">
        <v>222</v>
      </c>
      <c r="E5898" s="136" t="str">
        <f>INDEX([1]道具配置表!$D:$D,MATCH(D5898,[1]道具配置表!$A:$A,0))</f>
        <v>1千食物</v>
      </c>
      <c r="F5898" s="102">
        <v>10</v>
      </c>
      <c r="G5898" s="102"/>
      <c r="H5898" s="102"/>
      <c r="I5898" s="102"/>
      <c r="J5898" s="102"/>
      <c r="K5898" s="102">
        <v>1</v>
      </c>
      <c r="L5898" s="102"/>
      <c r="M5898" s="22" t="b">
        <v>1</v>
      </c>
    </row>
    <row r="5899" spans="1:13" x14ac:dyDescent="0.25">
      <c r="A5899" s="102"/>
      <c r="B5899" s="102" t="s">
        <v>119</v>
      </c>
      <c r="C5899" s="102"/>
      <c r="D5899" s="102">
        <v>221</v>
      </c>
      <c r="E5899" s="136" t="str">
        <f>INDEX([1]道具配置表!$D:$D,MATCH(D5899,[1]道具配置表!$A:$A,0))</f>
        <v>1千木材</v>
      </c>
      <c r="F5899" s="102">
        <v>10</v>
      </c>
      <c r="G5899" s="102"/>
      <c r="H5899" s="102"/>
      <c r="I5899" s="102"/>
      <c r="J5899" s="102"/>
      <c r="K5899" s="102">
        <v>1</v>
      </c>
      <c r="L5899" s="102"/>
      <c r="M5899" s="22" t="b">
        <v>1</v>
      </c>
    </row>
    <row r="5900" spans="1:13" x14ac:dyDescent="0.25">
      <c r="A5900" s="102"/>
      <c r="B5900" s="102"/>
      <c r="C5900" s="102"/>
      <c r="D5900" s="102">
        <v>223</v>
      </c>
      <c r="E5900" s="136" t="str">
        <f>INDEX([1]道具配置表!$D:$D,MATCH(D5900,[1]道具配置表!$A:$A,0))</f>
        <v>1千石头</v>
      </c>
      <c r="F5900" s="102">
        <v>10</v>
      </c>
      <c r="G5900" s="102"/>
      <c r="H5900" s="102"/>
      <c r="I5900" s="102"/>
      <c r="J5900" s="102"/>
      <c r="K5900" s="102">
        <v>1</v>
      </c>
      <c r="L5900" s="102"/>
      <c r="M5900" s="22" t="b">
        <v>1</v>
      </c>
    </row>
    <row r="5901" spans="1:13" x14ac:dyDescent="0.25">
      <c r="A5901" s="102">
        <v>6652019</v>
      </c>
      <c r="B5901" s="102" t="s">
        <v>1324</v>
      </c>
      <c r="C5901" s="102"/>
      <c r="D5901" s="102">
        <v>7228</v>
      </c>
      <c r="E5901" s="136" t="str">
        <f>INDEX([1]道具配置表!$D:$D,MATCH(D5901,[1]道具配置表!$A:$A,0))</f>
        <v>经验书*10000</v>
      </c>
      <c r="F5901" s="102">
        <v>1</v>
      </c>
      <c r="G5901" s="102"/>
      <c r="H5901" s="102"/>
      <c r="I5901" s="102"/>
      <c r="J5901" s="102"/>
      <c r="K5901" s="102">
        <v>1</v>
      </c>
      <c r="L5901" s="102"/>
      <c r="M5901" s="22" t="b">
        <v>1</v>
      </c>
    </row>
    <row r="5902" spans="1:13" x14ac:dyDescent="0.25">
      <c r="A5902" s="102"/>
      <c r="B5902" s="102" t="s">
        <v>119</v>
      </c>
      <c r="C5902" s="102"/>
      <c r="D5902" s="102">
        <v>20000</v>
      </c>
      <c r="E5902" s="136" t="str">
        <f>INDEX([1]道具配置表!$D:$D,MATCH(D5902,[1]道具配置表!$A:$A,0))</f>
        <v>技能点1</v>
      </c>
      <c r="F5902" s="102">
        <v>50</v>
      </c>
      <c r="G5902" s="102"/>
      <c r="H5902" s="102"/>
      <c r="I5902" s="102"/>
      <c r="J5902" s="102"/>
      <c r="K5902" s="102">
        <v>1</v>
      </c>
      <c r="L5902" s="102"/>
      <c r="M5902" s="22" t="b">
        <v>1</v>
      </c>
    </row>
    <row r="5903" spans="1:13" x14ac:dyDescent="0.25">
      <c r="A5903" s="102"/>
      <c r="B5903" s="102" t="s">
        <v>119</v>
      </c>
      <c r="C5903" s="102"/>
      <c r="D5903" s="102">
        <v>222</v>
      </c>
      <c r="E5903" s="136" t="str">
        <f>INDEX([1]道具配置表!$D:$D,MATCH(D5903,[1]道具配置表!$A:$A,0))</f>
        <v>1千食物</v>
      </c>
      <c r="F5903" s="102">
        <v>10</v>
      </c>
      <c r="G5903" s="102"/>
      <c r="H5903" s="102"/>
      <c r="I5903" s="102"/>
      <c r="J5903" s="102"/>
      <c r="K5903" s="102">
        <v>1</v>
      </c>
      <c r="L5903" s="102"/>
      <c r="M5903" s="22" t="b">
        <v>1</v>
      </c>
    </row>
    <row r="5904" spans="1:13" x14ac:dyDescent="0.25">
      <c r="A5904" s="102"/>
      <c r="B5904" s="102" t="s">
        <v>119</v>
      </c>
      <c r="C5904" s="102"/>
      <c r="D5904" s="102">
        <v>221</v>
      </c>
      <c r="E5904" s="136" t="str">
        <f>INDEX([1]道具配置表!$D:$D,MATCH(D5904,[1]道具配置表!$A:$A,0))</f>
        <v>1千木材</v>
      </c>
      <c r="F5904" s="102">
        <v>10</v>
      </c>
      <c r="G5904" s="102"/>
      <c r="H5904" s="102"/>
      <c r="I5904" s="102"/>
      <c r="J5904" s="102"/>
      <c r="K5904" s="102">
        <v>1</v>
      </c>
      <c r="L5904" s="102"/>
      <c r="M5904" s="22" t="b">
        <v>1</v>
      </c>
    </row>
    <row r="5905" spans="1:13" x14ac:dyDescent="0.25">
      <c r="A5905" s="102"/>
      <c r="B5905" s="102"/>
      <c r="C5905" s="102"/>
      <c r="D5905" s="102">
        <v>223</v>
      </c>
      <c r="E5905" s="136" t="str">
        <f>INDEX([1]道具配置表!$D:$D,MATCH(D5905,[1]道具配置表!$A:$A,0))</f>
        <v>1千石头</v>
      </c>
      <c r="F5905" s="102">
        <v>10</v>
      </c>
      <c r="G5905" s="102"/>
      <c r="H5905" s="102"/>
      <c r="I5905" s="102"/>
      <c r="J5905" s="102"/>
      <c r="K5905" s="102">
        <v>1</v>
      </c>
      <c r="L5905" s="102"/>
      <c r="M5905" s="22" t="b">
        <v>1</v>
      </c>
    </row>
    <row r="5906" spans="1:13" x14ac:dyDescent="0.25">
      <c r="A5906" s="102">
        <v>6652020</v>
      </c>
      <c r="B5906" s="102" t="s">
        <v>1325</v>
      </c>
      <c r="C5906" s="102"/>
      <c r="D5906" s="102">
        <v>7228</v>
      </c>
      <c r="E5906" s="136" t="str">
        <f>INDEX([1]道具配置表!$D:$D,MATCH(D5906,[1]道具配置表!$A:$A,0))</f>
        <v>经验书*10000</v>
      </c>
      <c r="F5906" s="102">
        <v>2</v>
      </c>
      <c r="G5906" s="102"/>
      <c r="H5906" s="102"/>
      <c r="I5906" s="102"/>
      <c r="J5906" s="102"/>
      <c r="K5906" s="102">
        <v>1</v>
      </c>
      <c r="L5906" s="102"/>
      <c r="M5906" s="22" t="b">
        <v>1</v>
      </c>
    </row>
    <row r="5907" spans="1:13" x14ac:dyDescent="0.25">
      <c r="A5907" s="102"/>
      <c r="B5907" s="102" t="s">
        <v>119</v>
      </c>
      <c r="C5907" s="102"/>
      <c r="D5907" s="102">
        <v>20000</v>
      </c>
      <c r="E5907" s="136" t="str">
        <f>INDEX([1]道具配置表!$D:$D,MATCH(D5907,[1]道具配置表!$A:$A,0))</f>
        <v>技能点1</v>
      </c>
      <c r="F5907" s="102">
        <v>100</v>
      </c>
      <c r="G5907" s="102"/>
      <c r="H5907" s="102"/>
      <c r="I5907" s="102"/>
      <c r="J5907" s="102"/>
      <c r="K5907" s="102">
        <v>1</v>
      </c>
      <c r="L5907" s="102"/>
      <c r="M5907" s="22" t="b">
        <v>1</v>
      </c>
    </row>
    <row r="5908" spans="1:13" x14ac:dyDescent="0.25">
      <c r="A5908" s="102"/>
      <c r="B5908" s="102" t="s">
        <v>119</v>
      </c>
      <c r="C5908" s="102"/>
      <c r="D5908" s="102">
        <v>56001</v>
      </c>
      <c r="E5908" s="136" t="str">
        <f>INDEX([1]道具配置表!$D:$D,MATCH(D5908,[1]道具配置表!$A:$A,0))</f>
        <v>锻造装备消耗材料</v>
      </c>
      <c r="F5908" s="102">
        <v>50</v>
      </c>
      <c r="G5908" s="102"/>
      <c r="H5908" s="102"/>
      <c r="I5908" s="102"/>
      <c r="J5908" s="102"/>
      <c r="K5908" s="102">
        <v>1</v>
      </c>
      <c r="L5908" s="102"/>
      <c r="M5908" s="22" t="b">
        <v>1</v>
      </c>
    </row>
    <row r="5909" spans="1:13" x14ac:dyDescent="0.25">
      <c r="A5909" s="102"/>
      <c r="B5909" s="102" t="s">
        <v>119</v>
      </c>
      <c r="C5909" s="102"/>
      <c r="D5909" s="102">
        <v>6197</v>
      </c>
      <c r="E5909" s="136" t="str">
        <f>INDEX([1]道具配置表!$D:$D,MATCH(D5909,[1]道具配置表!$A:$A,0))</f>
        <v>5分钟锻造加速</v>
      </c>
      <c r="F5909" s="102">
        <v>1</v>
      </c>
      <c r="G5909" s="102"/>
      <c r="H5909" s="102"/>
      <c r="I5909" s="102"/>
      <c r="J5909" s="102"/>
      <c r="K5909" s="102">
        <v>1</v>
      </c>
      <c r="L5909" s="102"/>
      <c r="M5909" s="22" t="b">
        <v>1</v>
      </c>
    </row>
    <row r="5910" spans="1:13" x14ac:dyDescent="0.25">
      <c r="A5910" s="102">
        <v>6652021</v>
      </c>
      <c r="B5910" s="102" t="s">
        <v>1326</v>
      </c>
      <c r="C5910" s="102"/>
      <c r="D5910" s="102">
        <v>7228</v>
      </c>
      <c r="E5910" s="136" t="str">
        <f>INDEX([1]道具配置表!$D:$D,MATCH(D5910,[1]道具配置表!$A:$A,0))</f>
        <v>经验书*10000</v>
      </c>
      <c r="F5910" s="102">
        <v>1</v>
      </c>
      <c r="G5910" s="102"/>
      <c r="H5910" s="102"/>
      <c r="I5910" s="102"/>
      <c r="J5910" s="102"/>
      <c r="K5910" s="102">
        <v>1</v>
      </c>
      <c r="L5910" s="102"/>
      <c r="M5910" s="22" t="b">
        <v>1</v>
      </c>
    </row>
    <row r="5911" spans="1:13" x14ac:dyDescent="0.25">
      <c r="A5911" s="102"/>
      <c r="B5911" s="102" t="s">
        <v>119</v>
      </c>
      <c r="C5911" s="102"/>
      <c r="D5911" s="102">
        <v>20000</v>
      </c>
      <c r="E5911" s="136" t="str">
        <f>INDEX([1]道具配置表!$D:$D,MATCH(D5911,[1]道具配置表!$A:$A,0))</f>
        <v>技能点1</v>
      </c>
      <c r="F5911" s="102">
        <v>50</v>
      </c>
      <c r="G5911" s="102"/>
      <c r="H5911" s="102"/>
      <c r="I5911" s="102"/>
      <c r="J5911" s="102"/>
      <c r="K5911" s="102">
        <v>1</v>
      </c>
      <c r="L5911" s="102"/>
      <c r="M5911" s="22" t="b">
        <v>1</v>
      </c>
    </row>
    <row r="5912" spans="1:13" x14ac:dyDescent="0.25">
      <c r="A5912" s="102"/>
      <c r="B5912" s="102" t="s">
        <v>119</v>
      </c>
      <c r="C5912" s="102"/>
      <c r="D5912" s="102">
        <v>56001</v>
      </c>
      <c r="E5912" s="136" t="str">
        <f>INDEX([1]道具配置表!$D:$D,MATCH(D5912,[1]道具配置表!$A:$A,0))</f>
        <v>锻造装备消耗材料</v>
      </c>
      <c r="F5912" s="102">
        <v>20</v>
      </c>
      <c r="G5912" s="102"/>
      <c r="H5912" s="102"/>
      <c r="I5912" s="102"/>
      <c r="J5912" s="102"/>
      <c r="K5912" s="102">
        <v>1</v>
      </c>
      <c r="L5912" s="102"/>
      <c r="M5912" s="22" t="b">
        <v>1</v>
      </c>
    </row>
    <row r="5913" spans="1:13" x14ac:dyDescent="0.25">
      <c r="A5913" s="102"/>
      <c r="B5913" s="102" t="s">
        <v>119</v>
      </c>
      <c r="C5913" s="102"/>
      <c r="D5913" s="102">
        <v>6197</v>
      </c>
      <c r="E5913" s="136" t="str">
        <f>INDEX([1]道具配置表!$D:$D,MATCH(D5913,[1]道具配置表!$A:$A,0))</f>
        <v>5分钟锻造加速</v>
      </c>
      <c r="F5913" s="102">
        <v>1</v>
      </c>
      <c r="G5913" s="102"/>
      <c r="H5913" s="102"/>
      <c r="I5913" s="102"/>
      <c r="J5913" s="102"/>
      <c r="K5913" s="102">
        <v>1</v>
      </c>
      <c r="L5913" s="102"/>
      <c r="M5913" s="22" t="b">
        <v>1</v>
      </c>
    </row>
    <row r="5914" spans="1:13" x14ac:dyDescent="0.25">
      <c r="A5914" s="102">
        <v>6652022</v>
      </c>
      <c r="B5914" s="102" t="s">
        <v>1327</v>
      </c>
      <c r="C5914" s="102"/>
      <c r="D5914" s="102">
        <v>7228</v>
      </c>
      <c r="E5914" s="136" t="str">
        <f>INDEX([1]道具配置表!$D:$D,MATCH(D5914,[1]道具配置表!$A:$A,0))</f>
        <v>经验书*10000</v>
      </c>
      <c r="F5914" s="102">
        <v>1</v>
      </c>
      <c r="G5914" s="102"/>
      <c r="H5914" s="102"/>
      <c r="I5914" s="102"/>
      <c r="J5914" s="102"/>
      <c r="K5914" s="102">
        <v>1</v>
      </c>
      <c r="L5914" s="102"/>
      <c r="M5914" s="22" t="b">
        <v>1</v>
      </c>
    </row>
    <row r="5915" spans="1:13" x14ac:dyDescent="0.25">
      <c r="A5915" s="102"/>
      <c r="B5915" s="102" t="s">
        <v>119</v>
      </c>
      <c r="C5915" s="102"/>
      <c r="D5915" s="102">
        <v>20000</v>
      </c>
      <c r="E5915" s="136" t="str">
        <f>INDEX([1]道具配置表!$D:$D,MATCH(D5915,[1]道具配置表!$A:$A,0))</f>
        <v>技能点1</v>
      </c>
      <c r="F5915" s="102">
        <v>50</v>
      </c>
      <c r="G5915" s="102"/>
      <c r="H5915" s="102"/>
      <c r="I5915" s="102"/>
      <c r="J5915" s="102"/>
      <c r="K5915" s="102">
        <v>1</v>
      </c>
      <c r="L5915" s="102"/>
      <c r="M5915" s="22" t="b">
        <v>1</v>
      </c>
    </row>
    <row r="5916" spans="1:13" x14ac:dyDescent="0.25">
      <c r="A5916" s="102"/>
      <c r="B5916" s="102" t="s">
        <v>119</v>
      </c>
      <c r="C5916" s="102"/>
      <c r="D5916" s="102">
        <v>56001</v>
      </c>
      <c r="E5916" s="136" t="str">
        <f>INDEX([1]道具配置表!$D:$D,MATCH(D5916,[1]道具配置表!$A:$A,0))</f>
        <v>锻造装备消耗材料</v>
      </c>
      <c r="F5916" s="102">
        <v>20</v>
      </c>
      <c r="G5916" s="102"/>
      <c r="H5916" s="102"/>
      <c r="I5916" s="102"/>
      <c r="J5916" s="102"/>
      <c r="K5916" s="102">
        <v>1</v>
      </c>
      <c r="L5916" s="102"/>
      <c r="M5916" s="22" t="b">
        <v>1</v>
      </c>
    </row>
    <row r="5917" spans="1:13" x14ac:dyDescent="0.25">
      <c r="A5917" s="102"/>
      <c r="B5917" s="102" t="s">
        <v>119</v>
      </c>
      <c r="C5917" s="102"/>
      <c r="D5917" s="102">
        <v>6197</v>
      </c>
      <c r="E5917" s="136" t="str">
        <f>INDEX([1]道具配置表!$D:$D,MATCH(D5917,[1]道具配置表!$A:$A,0))</f>
        <v>5分钟锻造加速</v>
      </c>
      <c r="F5917" s="102">
        <v>1</v>
      </c>
      <c r="G5917" s="102"/>
      <c r="H5917" s="102"/>
      <c r="I5917" s="102"/>
      <c r="J5917" s="102"/>
      <c r="K5917" s="102">
        <v>1</v>
      </c>
      <c r="L5917" s="102"/>
      <c r="M5917" s="22" t="b">
        <v>1</v>
      </c>
    </row>
    <row r="5918" spans="1:13" x14ac:dyDescent="0.25">
      <c r="A5918" s="102">
        <v>6652023</v>
      </c>
      <c r="B5918" s="102" t="s">
        <v>1328</v>
      </c>
      <c r="C5918" s="102"/>
      <c r="D5918" s="102">
        <v>7228</v>
      </c>
      <c r="E5918" s="136" t="str">
        <f>INDEX([1]道具配置表!$D:$D,MATCH(D5918,[1]道具配置表!$A:$A,0))</f>
        <v>经验书*10000</v>
      </c>
      <c r="F5918" s="102">
        <v>1</v>
      </c>
      <c r="G5918" s="102"/>
      <c r="H5918" s="102"/>
      <c r="I5918" s="102"/>
      <c r="J5918" s="102"/>
      <c r="K5918" s="102">
        <v>1</v>
      </c>
      <c r="L5918" s="102"/>
      <c r="M5918" s="22" t="b">
        <v>1</v>
      </c>
    </row>
    <row r="5919" spans="1:13" x14ac:dyDescent="0.25">
      <c r="A5919" s="102"/>
      <c r="B5919" s="102" t="s">
        <v>119</v>
      </c>
      <c r="C5919" s="102"/>
      <c r="D5919" s="102">
        <v>20000</v>
      </c>
      <c r="E5919" s="136" t="str">
        <f>INDEX([1]道具配置表!$D:$D,MATCH(D5919,[1]道具配置表!$A:$A,0))</f>
        <v>技能点1</v>
      </c>
      <c r="F5919" s="102">
        <v>50</v>
      </c>
      <c r="G5919" s="102"/>
      <c r="H5919" s="102"/>
      <c r="I5919" s="102"/>
      <c r="J5919" s="102"/>
      <c r="K5919" s="102">
        <v>1</v>
      </c>
      <c r="L5919" s="102"/>
      <c r="M5919" s="22" t="b">
        <v>1</v>
      </c>
    </row>
    <row r="5920" spans="1:13" x14ac:dyDescent="0.25">
      <c r="A5920" s="102"/>
      <c r="B5920" s="102" t="s">
        <v>119</v>
      </c>
      <c r="C5920" s="102"/>
      <c r="D5920" s="102">
        <v>56001</v>
      </c>
      <c r="E5920" s="136" t="str">
        <f>INDEX([1]道具配置表!$D:$D,MATCH(D5920,[1]道具配置表!$A:$A,0))</f>
        <v>锻造装备消耗材料</v>
      </c>
      <c r="F5920" s="102">
        <v>20</v>
      </c>
      <c r="G5920" s="102"/>
      <c r="H5920" s="102"/>
      <c r="I5920" s="102"/>
      <c r="J5920" s="102"/>
      <c r="K5920" s="102">
        <v>1</v>
      </c>
      <c r="L5920" s="102"/>
      <c r="M5920" s="22" t="b">
        <v>1</v>
      </c>
    </row>
    <row r="5921" spans="1:13" x14ac:dyDescent="0.25">
      <c r="A5921" s="102"/>
      <c r="B5921" s="102" t="s">
        <v>119</v>
      </c>
      <c r="C5921" s="102"/>
      <c r="D5921" s="102">
        <v>6197</v>
      </c>
      <c r="E5921" s="136" t="str">
        <f>INDEX([1]道具配置表!$D:$D,MATCH(D5921,[1]道具配置表!$A:$A,0))</f>
        <v>5分钟锻造加速</v>
      </c>
      <c r="F5921" s="102">
        <v>1</v>
      </c>
      <c r="G5921" s="102"/>
      <c r="H5921" s="102"/>
      <c r="I5921" s="102"/>
      <c r="J5921" s="102"/>
      <c r="K5921" s="102">
        <v>1</v>
      </c>
      <c r="L5921" s="102"/>
      <c r="M5921" s="22" t="b">
        <v>1</v>
      </c>
    </row>
    <row r="5922" spans="1:13" x14ac:dyDescent="0.25">
      <c r="A5922" s="102">
        <v>6652024</v>
      </c>
      <c r="B5922" s="102" t="s">
        <v>1329</v>
      </c>
      <c r="C5922" s="102"/>
      <c r="D5922" s="102">
        <v>7228</v>
      </c>
      <c r="E5922" s="136" t="str">
        <f>INDEX([1]道具配置表!$D:$D,MATCH(D5922,[1]道具配置表!$A:$A,0))</f>
        <v>经验书*10000</v>
      </c>
      <c r="F5922" s="102">
        <v>1</v>
      </c>
      <c r="G5922" s="102"/>
      <c r="H5922" s="102"/>
      <c r="I5922" s="102"/>
      <c r="J5922" s="102"/>
      <c r="K5922" s="102">
        <v>1</v>
      </c>
      <c r="L5922" s="102"/>
      <c r="M5922" s="22" t="b">
        <v>1</v>
      </c>
    </row>
    <row r="5923" spans="1:13" x14ac:dyDescent="0.25">
      <c r="A5923" s="102"/>
      <c r="B5923" s="102" t="s">
        <v>119</v>
      </c>
      <c r="C5923" s="102"/>
      <c r="D5923" s="102">
        <v>20000</v>
      </c>
      <c r="E5923" s="136" t="str">
        <f>INDEX([1]道具配置表!$D:$D,MATCH(D5923,[1]道具配置表!$A:$A,0))</f>
        <v>技能点1</v>
      </c>
      <c r="F5923" s="102">
        <v>50</v>
      </c>
      <c r="G5923" s="102"/>
      <c r="H5923" s="102"/>
      <c r="I5923" s="102"/>
      <c r="J5923" s="102"/>
      <c r="K5923" s="102">
        <v>1</v>
      </c>
      <c r="L5923" s="102"/>
      <c r="M5923" s="22" t="b">
        <v>1</v>
      </c>
    </row>
    <row r="5924" spans="1:13" x14ac:dyDescent="0.25">
      <c r="A5924" s="102"/>
      <c r="B5924" s="102" t="s">
        <v>119</v>
      </c>
      <c r="C5924" s="102"/>
      <c r="D5924" s="102">
        <v>56001</v>
      </c>
      <c r="E5924" s="136" t="str">
        <f>INDEX([1]道具配置表!$D:$D,MATCH(D5924,[1]道具配置表!$A:$A,0))</f>
        <v>锻造装备消耗材料</v>
      </c>
      <c r="F5924" s="102">
        <v>20</v>
      </c>
      <c r="G5924" s="102"/>
      <c r="H5924" s="102"/>
      <c r="I5924" s="102"/>
      <c r="J5924" s="102"/>
      <c r="K5924" s="102">
        <v>1</v>
      </c>
      <c r="L5924" s="102"/>
      <c r="M5924" s="22" t="b">
        <v>1</v>
      </c>
    </row>
    <row r="5925" spans="1:13" x14ac:dyDescent="0.25">
      <c r="A5925" s="102"/>
      <c r="B5925" s="102" t="s">
        <v>119</v>
      </c>
      <c r="C5925" s="102"/>
      <c r="D5925" s="102">
        <v>6197</v>
      </c>
      <c r="E5925" s="136" t="str">
        <f>INDEX([1]道具配置表!$D:$D,MATCH(D5925,[1]道具配置表!$A:$A,0))</f>
        <v>5分钟锻造加速</v>
      </c>
      <c r="F5925" s="102">
        <v>1</v>
      </c>
      <c r="G5925" s="102"/>
      <c r="H5925" s="102"/>
      <c r="I5925" s="102"/>
      <c r="J5925" s="102"/>
      <c r="K5925" s="102">
        <v>1</v>
      </c>
      <c r="L5925" s="102"/>
      <c r="M5925" s="22" t="b">
        <v>1</v>
      </c>
    </row>
    <row r="5926" spans="1:13" x14ac:dyDescent="0.25">
      <c r="A5926" s="102">
        <v>6652025</v>
      </c>
      <c r="B5926" s="102" t="s">
        <v>1330</v>
      </c>
      <c r="C5926" s="102"/>
      <c r="D5926" s="102">
        <v>7228</v>
      </c>
      <c r="E5926" s="136" t="str">
        <f>INDEX([1]道具配置表!$D:$D,MATCH(D5926,[1]道具配置表!$A:$A,0))</f>
        <v>经验书*10000</v>
      </c>
      <c r="F5926" s="102">
        <v>2</v>
      </c>
      <c r="G5926" s="102"/>
      <c r="H5926" s="102"/>
      <c r="I5926" s="102"/>
      <c r="J5926" s="102"/>
      <c r="K5926" s="102">
        <v>1</v>
      </c>
      <c r="L5926" s="102"/>
      <c r="M5926" s="22" t="b">
        <v>1</v>
      </c>
    </row>
    <row r="5927" spans="1:13" x14ac:dyDescent="0.25">
      <c r="A5927" s="102"/>
      <c r="B5927" s="102" t="s">
        <v>119</v>
      </c>
      <c r="C5927" s="102"/>
      <c r="D5927" s="102">
        <v>20000</v>
      </c>
      <c r="E5927" s="136" t="str">
        <f>INDEX([1]道具配置表!$D:$D,MATCH(D5927,[1]道具配置表!$A:$A,0))</f>
        <v>技能点1</v>
      </c>
      <c r="F5927" s="102">
        <v>100</v>
      </c>
      <c r="G5927" s="102"/>
      <c r="H5927" s="102"/>
      <c r="I5927" s="102"/>
      <c r="J5927" s="102"/>
      <c r="K5927" s="102">
        <v>1</v>
      </c>
      <c r="L5927" s="102"/>
      <c r="M5927" s="22" t="b">
        <v>1</v>
      </c>
    </row>
    <row r="5928" spans="1:13" x14ac:dyDescent="0.25">
      <c r="A5928" s="102"/>
      <c r="B5928" s="102" t="s">
        <v>119</v>
      </c>
      <c r="C5928" s="102"/>
      <c r="D5928" s="102">
        <v>56001</v>
      </c>
      <c r="E5928" s="136" t="str">
        <f>INDEX([1]道具配置表!$D:$D,MATCH(D5928,[1]道具配置表!$A:$A,0))</f>
        <v>锻造装备消耗材料</v>
      </c>
      <c r="F5928" s="102">
        <v>50</v>
      </c>
      <c r="G5928" s="102"/>
      <c r="H5928" s="102"/>
      <c r="I5928" s="102"/>
      <c r="J5928" s="102"/>
      <c r="K5928" s="102">
        <v>1</v>
      </c>
      <c r="L5928" s="102"/>
      <c r="M5928" s="22" t="b">
        <v>1</v>
      </c>
    </row>
    <row r="5929" spans="1:13" x14ac:dyDescent="0.25">
      <c r="A5929" s="102"/>
      <c r="B5929" s="102" t="s">
        <v>119</v>
      </c>
      <c r="C5929" s="102"/>
      <c r="D5929" s="102">
        <v>6197</v>
      </c>
      <c r="E5929" s="136" t="str">
        <f>INDEX([1]道具配置表!$D:$D,MATCH(D5929,[1]道具配置表!$A:$A,0))</f>
        <v>5分钟锻造加速</v>
      </c>
      <c r="F5929" s="102">
        <v>1</v>
      </c>
      <c r="G5929" s="102"/>
      <c r="H5929" s="102"/>
      <c r="I5929" s="102"/>
      <c r="J5929" s="102"/>
      <c r="K5929" s="102">
        <v>1</v>
      </c>
      <c r="L5929" s="102"/>
      <c r="M5929" s="22" t="b">
        <v>1</v>
      </c>
    </row>
    <row r="5930" spans="1:13" x14ac:dyDescent="0.25">
      <c r="A5930" s="102">
        <v>6652026</v>
      </c>
      <c r="B5930" s="102" t="s">
        <v>1331</v>
      </c>
      <c r="C5930" s="102"/>
      <c r="D5930" s="102">
        <v>7228</v>
      </c>
      <c r="E5930" s="136" t="str">
        <f>INDEX([1]道具配置表!$D:$D,MATCH(D5930,[1]道具配置表!$A:$A,0))</f>
        <v>经验书*10000</v>
      </c>
      <c r="F5930" s="102">
        <v>1</v>
      </c>
      <c r="G5930" s="102"/>
      <c r="H5930" s="102"/>
      <c r="I5930" s="102"/>
      <c r="J5930" s="102"/>
      <c r="K5930" s="102">
        <v>1</v>
      </c>
      <c r="L5930" s="102"/>
      <c r="M5930" s="22" t="b">
        <v>1</v>
      </c>
    </row>
    <row r="5931" spans="1:13" x14ac:dyDescent="0.25">
      <c r="A5931" s="102"/>
      <c r="B5931" s="102" t="s">
        <v>119</v>
      </c>
      <c r="C5931" s="102"/>
      <c r="D5931" s="102">
        <v>20000</v>
      </c>
      <c r="E5931" s="136" t="str">
        <f>INDEX([1]道具配置表!$D:$D,MATCH(D5931,[1]道具配置表!$A:$A,0))</f>
        <v>技能点1</v>
      </c>
      <c r="F5931" s="102">
        <v>50</v>
      </c>
      <c r="G5931" s="102"/>
      <c r="H5931" s="102"/>
      <c r="I5931" s="102"/>
      <c r="J5931" s="102"/>
      <c r="K5931" s="102">
        <v>1</v>
      </c>
      <c r="L5931" s="102"/>
      <c r="M5931" s="22" t="b">
        <v>1</v>
      </c>
    </row>
    <row r="5932" spans="1:13" x14ac:dyDescent="0.25">
      <c r="A5932" s="102"/>
      <c r="B5932" s="102" t="s">
        <v>119</v>
      </c>
      <c r="C5932" s="102"/>
      <c r="D5932" s="102">
        <v>56001</v>
      </c>
      <c r="E5932" s="136" t="str">
        <f>INDEX([1]道具配置表!$D:$D,MATCH(D5932,[1]道具配置表!$A:$A,0))</f>
        <v>锻造装备消耗材料</v>
      </c>
      <c r="F5932" s="102">
        <v>20</v>
      </c>
      <c r="G5932" s="102"/>
      <c r="H5932" s="102"/>
      <c r="I5932" s="102"/>
      <c r="J5932" s="102"/>
      <c r="K5932" s="102">
        <v>1</v>
      </c>
      <c r="L5932" s="102"/>
      <c r="M5932" s="22" t="b">
        <v>1</v>
      </c>
    </row>
    <row r="5933" spans="1:13" x14ac:dyDescent="0.25">
      <c r="A5933" s="102"/>
      <c r="B5933" s="102" t="s">
        <v>119</v>
      </c>
      <c r="C5933" s="102"/>
      <c r="D5933" s="102">
        <v>6197</v>
      </c>
      <c r="E5933" s="136" t="str">
        <f>INDEX([1]道具配置表!$D:$D,MATCH(D5933,[1]道具配置表!$A:$A,0))</f>
        <v>5分钟锻造加速</v>
      </c>
      <c r="F5933" s="102">
        <v>1</v>
      </c>
      <c r="G5933" s="102"/>
      <c r="H5933" s="102"/>
      <c r="I5933" s="102"/>
      <c r="J5933" s="102"/>
      <c r="K5933" s="102">
        <v>1</v>
      </c>
      <c r="L5933" s="102"/>
      <c r="M5933" s="22" t="b">
        <v>1</v>
      </c>
    </row>
    <row r="5934" spans="1:13" x14ac:dyDescent="0.25">
      <c r="A5934" s="102">
        <v>6652027</v>
      </c>
      <c r="B5934" s="102" t="s">
        <v>1332</v>
      </c>
      <c r="C5934" s="102"/>
      <c r="D5934" s="102">
        <v>7228</v>
      </c>
      <c r="E5934" s="136" t="str">
        <f>INDEX([1]道具配置表!$D:$D,MATCH(D5934,[1]道具配置表!$A:$A,0))</f>
        <v>经验书*10000</v>
      </c>
      <c r="F5934" s="102">
        <v>1</v>
      </c>
      <c r="G5934" s="102"/>
      <c r="H5934" s="102"/>
      <c r="I5934" s="102"/>
      <c r="J5934" s="102"/>
      <c r="K5934" s="102">
        <v>1</v>
      </c>
      <c r="L5934" s="102"/>
      <c r="M5934" s="22" t="b">
        <v>1</v>
      </c>
    </row>
    <row r="5935" spans="1:13" x14ac:dyDescent="0.25">
      <c r="A5935" s="102"/>
      <c r="B5935" s="102" t="s">
        <v>119</v>
      </c>
      <c r="C5935" s="102"/>
      <c r="D5935" s="102">
        <v>20000</v>
      </c>
      <c r="E5935" s="136" t="str">
        <f>INDEX([1]道具配置表!$D:$D,MATCH(D5935,[1]道具配置表!$A:$A,0))</f>
        <v>技能点1</v>
      </c>
      <c r="F5935" s="102">
        <v>50</v>
      </c>
      <c r="G5935" s="102"/>
      <c r="H5935" s="102"/>
      <c r="I5935" s="102"/>
      <c r="J5935" s="102"/>
      <c r="K5935" s="102">
        <v>1</v>
      </c>
      <c r="L5935" s="102"/>
      <c r="M5935" s="22" t="b">
        <v>1</v>
      </c>
    </row>
    <row r="5936" spans="1:13" x14ac:dyDescent="0.25">
      <c r="A5936" s="102"/>
      <c r="B5936" s="102" t="s">
        <v>119</v>
      </c>
      <c r="C5936" s="102"/>
      <c r="D5936" s="102">
        <v>56001</v>
      </c>
      <c r="E5936" s="136" t="str">
        <f>INDEX([1]道具配置表!$D:$D,MATCH(D5936,[1]道具配置表!$A:$A,0))</f>
        <v>锻造装备消耗材料</v>
      </c>
      <c r="F5936" s="102">
        <v>20</v>
      </c>
      <c r="G5936" s="102"/>
      <c r="H5936" s="102"/>
      <c r="I5936" s="102"/>
      <c r="J5936" s="102"/>
      <c r="K5936" s="102">
        <v>1</v>
      </c>
      <c r="L5936" s="102"/>
      <c r="M5936" s="22" t="b">
        <v>1</v>
      </c>
    </row>
    <row r="5937" spans="1:13" x14ac:dyDescent="0.25">
      <c r="A5937" s="102"/>
      <c r="B5937" s="102" t="s">
        <v>119</v>
      </c>
      <c r="C5937" s="102"/>
      <c r="D5937" s="102">
        <v>6197</v>
      </c>
      <c r="E5937" s="136" t="str">
        <f>INDEX([1]道具配置表!$D:$D,MATCH(D5937,[1]道具配置表!$A:$A,0))</f>
        <v>5分钟锻造加速</v>
      </c>
      <c r="F5937" s="102">
        <v>1</v>
      </c>
      <c r="G5937" s="102"/>
      <c r="H5937" s="102"/>
      <c r="I5937" s="102"/>
      <c r="J5937" s="102"/>
      <c r="K5937" s="102">
        <v>1</v>
      </c>
      <c r="L5937" s="102"/>
      <c r="M5937" s="22" t="b">
        <v>1</v>
      </c>
    </row>
    <row r="5938" spans="1:13" x14ac:dyDescent="0.25">
      <c r="A5938" s="102">
        <v>6652028</v>
      </c>
      <c r="B5938" s="102" t="s">
        <v>1333</v>
      </c>
      <c r="C5938" s="102"/>
      <c r="D5938" s="102">
        <v>7228</v>
      </c>
      <c r="E5938" s="136" t="str">
        <f>INDEX([1]道具配置表!$D:$D,MATCH(D5938,[1]道具配置表!$A:$A,0))</f>
        <v>经验书*10000</v>
      </c>
      <c r="F5938" s="102">
        <v>1</v>
      </c>
      <c r="G5938" s="102"/>
      <c r="H5938" s="102"/>
      <c r="I5938" s="102"/>
      <c r="J5938" s="102"/>
      <c r="K5938" s="102">
        <v>1</v>
      </c>
      <c r="L5938" s="102"/>
      <c r="M5938" s="22" t="b">
        <v>1</v>
      </c>
    </row>
    <row r="5939" spans="1:13" x14ac:dyDescent="0.25">
      <c r="A5939" s="102"/>
      <c r="B5939" s="102" t="s">
        <v>119</v>
      </c>
      <c r="C5939" s="102"/>
      <c r="D5939" s="102">
        <v>20000</v>
      </c>
      <c r="E5939" s="136" t="str">
        <f>INDEX([1]道具配置表!$D:$D,MATCH(D5939,[1]道具配置表!$A:$A,0))</f>
        <v>技能点1</v>
      </c>
      <c r="F5939" s="102">
        <v>50</v>
      </c>
      <c r="G5939" s="102"/>
      <c r="H5939" s="102"/>
      <c r="I5939" s="102"/>
      <c r="J5939" s="102"/>
      <c r="K5939" s="102">
        <v>1</v>
      </c>
      <c r="L5939" s="102"/>
      <c r="M5939" s="22" t="b">
        <v>1</v>
      </c>
    </row>
    <row r="5940" spans="1:13" x14ac:dyDescent="0.25">
      <c r="A5940" s="102"/>
      <c r="B5940" s="102" t="s">
        <v>119</v>
      </c>
      <c r="C5940" s="102"/>
      <c r="D5940" s="102">
        <v>56001</v>
      </c>
      <c r="E5940" s="136" t="str">
        <f>INDEX([1]道具配置表!$D:$D,MATCH(D5940,[1]道具配置表!$A:$A,0))</f>
        <v>锻造装备消耗材料</v>
      </c>
      <c r="F5940" s="102">
        <v>20</v>
      </c>
      <c r="G5940" s="102"/>
      <c r="H5940" s="102"/>
      <c r="I5940" s="102"/>
      <c r="J5940" s="102"/>
      <c r="K5940" s="102">
        <v>1</v>
      </c>
      <c r="L5940" s="102"/>
      <c r="M5940" s="22" t="b">
        <v>1</v>
      </c>
    </row>
    <row r="5941" spans="1:13" x14ac:dyDescent="0.25">
      <c r="A5941" s="102"/>
      <c r="B5941" s="102" t="s">
        <v>119</v>
      </c>
      <c r="C5941" s="102"/>
      <c r="D5941" s="102">
        <v>6197</v>
      </c>
      <c r="E5941" s="136" t="str">
        <f>INDEX([1]道具配置表!$D:$D,MATCH(D5941,[1]道具配置表!$A:$A,0))</f>
        <v>5分钟锻造加速</v>
      </c>
      <c r="F5941" s="102">
        <v>1</v>
      </c>
      <c r="G5941" s="102"/>
      <c r="H5941" s="102"/>
      <c r="I5941" s="102"/>
      <c r="J5941" s="102"/>
      <c r="K5941" s="102">
        <v>1</v>
      </c>
      <c r="L5941" s="102"/>
      <c r="M5941" s="22" t="b">
        <v>1</v>
      </c>
    </row>
    <row r="5942" spans="1:13" x14ac:dyDescent="0.25">
      <c r="A5942" s="102">
        <v>6652029</v>
      </c>
      <c r="B5942" s="102" t="s">
        <v>1334</v>
      </c>
      <c r="C5942" s="102"/>
      <c r="D5942" s="102">
        <v>7228</v>
      </c>
      <c r="E5942" s="136" t="str">
        <f>INDEX([1]道具配置表!$D:$D,MATCH(D5942,[1]道具配置表!$A:$A,0))</f>
        <v>经验书*10000</v>
      </c>
      <c r="F5942" s="102">
        <v>1</v>
      </c>
      <c r="G5942" s="102"/>
      <c r="H5942" s="102"/>
      <c r="I5942" s="102"/>
      <c r="J5942" s="102"/>
      <c r="K5942" s="102">
        <v>1</v>
      </c>
      <c r="L5942" s="102"/>
      <c r="M5942" s="22" t="b">
        <v>1</v>
      </c>
    </row>
    <row r="5943" spans="1:13" x14ac:dyDescent="0.25">
      <c r="A5943" s="102"/>
      <c r="B5943" s="102" t="s">
        <v>119</v>
      </c>
      <c r="C5943" s="102"/>
      <c r="D5943" s="102">
        <v>20000</v>
      </c>
      <c r="E5943" s="136" t="str">
        <f>INDEX([1]道具配置表!$D:$D,MATCH(D5943,[1]道具配置表!$A:$A,0))</f>
        <v>技能点1</v>
      </c>
      <c r="F5943" s="102">
        <v>50</v>
      </c>
      <c r="G5943" s="102"/>
      <c r="H5943" s="102"/>
      <c r="I5943" s="102"/>
      <c r="J5943" s="102"/>
      <c r="K5943" s="102">
        <v>1</v>
      </c>
      <c r="L5943" s="102"/>
      <c r="M5943" s="22" t="b">
        <v>1</v>
      </c>
    </row>
    <row r="5944" spans="1:13" x14ac:dyDescent="0.25">
      <c r="A5944" s="102"/>
      <c r="B5944" s="102" t="s">
        <v>119</v>
      </c>
      <c r="C5944" s="102"/>
      <c r="D5944" s="102">
        <v>56001</v>
      </c>
      <c r="E5944" s="136" t="str">
        <f>INDEX([1]道具配置表!$D:$D,MATCH(D5944,[1]道具配置表!$A:$A,0))</f>
        <v>锻造装备消耗材料</v>
      </c>
      <c r="F5944" s="102">
        <v>20</v>
      </c>
      <c r="G5944" s="102"/>
      <c r="H5944" s="102"/>
      <c r="I5944" s="102"/>
      <c r="J5944" s="102"/>
      <c r="K5944" s="102">
        <v>1</v>
      </c>
      <c r="L5944" s="102"/>
      <c r="M5944" s="22" t="b">
        <v>1</v>
      </c>
    </row>
    <row r="5945" spans="1:13" x14ac:dyDescent="0.25">
      <c r="A5945" s="102"/>
      <c r="B5945" s="102" t="s">
        <v>119</v>
      </c>
      <c r="C5945" s="102"/>
      <c r="D5945" s="102">
        <v>6197</v>
      </c>
      <c r="E5945" s="136" t="str">
        <f>INDEX([1]道具配置表!$D:$D,MATCH(D5945,[1]道具配置表!$A:$A,0))</f>
        <v>5分钟锻造加速</v>
      </c>
      <c r="F5945" s="102">
        <v>1</v>
      </c>
      <c r="G5945" s="102"/>
      <c r="H5945" s="102"/>
      <c r="I5945" s="102"/>
      <c r="J5945" s="102"/>
      <c r="K5945" s="102">
        <v>1</v>
      </c>
      <c r="L5945" s="102"/>
      <c r="M5945" s="22" t="b">
        <v>1</v>
      </c>
    </row>
    <row r="5946" spans="1:13" x14ac:dyDescent="0.25">
      <c r="A5946" s="102">
        <v>6652030</v>
      </c>
      <c r="B5946" s="102" t="s">
        <v>1335</v>
      </c>
      <c r="C5946" s="102"/>
      <c r="D5946" s="102">
        <v>7228</v>
      </c>
      <c r="E5946" s="136" t="str">
        <f>INDEX([1]道具配置表!$D:$D,MATCH(D5946,[1]道具配置表!$A:$A,0))</f>
        <v>经验书*10000</v>
      </c>
      <c r="F5946" s="102">
        <v>2</v>
      </c>
      <c r="G5946" s="102"/>
      <c r="H5946" s="102"/>
      <c r="I5946" s="102"/>
      <c r="J5946" s="102"/>
      <c r="K5946" s="102">
        <v>1</v>
      </c>
      <c r="L5946" s="102"/>
      <c r="M5946" s="22" t="b">
        <v>1</v>
      </c>
    </row>
    <row r="5947" spans="1:13" x14ac:dyDescent="0.25">
      <c r="A5947" s="102"/>
      <c r="B5947" s="102" t="s">
        <v>119</v>
      </c>
      <c r="C5947" s="102"/>
      <c r="D5947" s="102">
        <v>20000</v>
      </c>
      <c r="E5947" s="136" t="str">
        <f>INDEX([1]道具配置表!$D:$D,MATCH(D5947,[1]道具配置表!$A:$A,0))</f>
        <v>技能点1</v>
      </c>
      <c r="F5947" s="102">
        <v>100</v>
      </c>
      <c r="G5947" s="102"/>
      <c r="H5947" s="102"/>
      <c r="I5947" s="102"/>
      <c r="J5947" s="102"/>
      <c r="K5947" s="102">
        <v>1</v>
      </c>
      <c r="L5947" s="102"/>
      <c r="M5947" s="22" t="b">
        <v>1</v>
      </c>
    </row>
    <row r="5948" spans="1:13" x14ac:dyDescent="0.25">
      <c r="A5948" s="102"/>
      <c r="B5948" s="102" t="s">
        <v>119</v>
      </c>
      <c r="C5948" s="102"/>
      <c r="D5948" s="102">
        <v>56001</v>
      </c>
      <c r="E5948" s="136" t="str">
        <f>INDEX([1]道具配置表!$D:$D,MATCH(D5948,[1]道具配置表!$A:$A,0))</f>
        <v>锻造装备消耗材料</v>
      </c>
      <c r="F5948" s="102">
        <v>50</v>
      </c>
      <c r="G5948" s="102"/>
      <c r="H5948" s="102"/>
      <c r="I5948" s="102"/>
      <c r="J5948" s="102"/>
      <c r="K5948" s="102">
        <v>1</v>
      </c>
      <c r="L5948" s="102"/>
      <c r="M5948" s="22" t="b">
        <v>1</v>
      </c>
    </row>
    <row r="5949" spans="1:13" x14ac:dyDescent="0.25">
      <c r="A5949" s="102"/>
      <c r="B5949" s="102" t="s">
        <v>119</v>
      </c>
      <c r="C5949" s="102"/>
      <c r="D5949" s="102">
        <v>6197</v>
      </c>
      <c r="E5949" s="136" t="str">
        <f>INDEX([1]道具配置表!$D:$D,MATCH(D5949,[1]道具配置表!$A:$A,0))</f>
        <v>5分钟锻造加速</v>
      </c>
      <c r="F5949" s="102">
        <v>1</v>
      </c>
      <c r="G5949" s="102"/>
      <c r="H5949" s="102"/>
      <c r="I5949" s="102"/>
      <c r="J5949" s="102"/>
      <c r="K5949" s="102">
        <v>1</v>
      </c>
      <c r="L5949" s="102"/>
      <c r="M5949" s="22" t="b">
        <v>1</v>
      </c>
    </row>
    <row r="5950" spans="1:13" x14ac:dyDescent="0.25">
      <c r="A5950" s="102">
        <v>6652031</v>
      </c>
      <c r="B5950" s="102" t="s">
        <v>1336</v>
      </c>
      <c r="C5950" s="102"/>
      <c r="D5950" s="102">
        <v>7228</v>
      </c>
      <c r="E5950" s="136" t="str">
        <f>INDEX([1]道具配置表!$D:$D,MATCH(D5950,[1]道具配置表!$A:$A,0))</f>
        <v>经验书*10000</v>
      </c>
      <c r="F5950" s="102">
        <v>1</v>
      </c>
      <c r="G5950" s="102"/>
      <c r="H5950" s="102"/>
      <c r="I5950" s="102"/>
      <c r="J5950" s="102"/>
      <c r="K5950" s="102">
        <v>1</v>
      </c>
      <c r="L5950" s="102"/>
      <c r="M5950" s="22" t="b">
        <v>1</v>
      </c>
    </row>
    <row r="5951" spans="1:13" x14ac:dyDescent="0.25">
      <c r="A5951" s="102"/>
      <c r="B5951" s="102" t="s">
        <v>119</v>
      </c>
      <c r="C5951" s="102"/>
      <c r="D5951" s="102">
        <v>20000</v>
      </c>
      <c r="E5951" s="136" t="str">
        <f>INDEX([1]道具配置表!$D:$D,MATCH(D5951,[1]道具配置表!$A:$A,0))</f>
        <v>技能点1</v>
      </c>
      <c r="F5951" s="102">
        <v>50</v>
      </c>
      <c r="G5951" s="102"/>
      <c r="H5951" s="102"/>
      <c r="I5951" s="102"/>
      <c r="J5951" s="102"/>
      <c r="K5951" s="102">
        <v>1</v>
      </c>
      <c r="L5951" s="102"/>
      <c r="M5951" s="22" t="b">
        <v>1</v>
      </c>
    </row>
    <row r="5952" spans="1:13" x14ac:dyDescent="0.25">
      <c r="A5952" s="102"/>
      <c r="B5952" s="102" t="s">
        <v>119</v>
      </c>
      <c r="C5952" s="102"/>
      <c r="D5952" s="102">
        <v>56001</v>
      </c>
      <c r="E5952" s="136" t="str">
        <f>INDEX([1]道具配置表!$D:$D,MATCH(D5952,[1]道具配置表!$A:$A,0))</f>
        <v>锻造装备消耗材料</v>
      </c>
      <c r="F5952" s="102">
        <v>20</v>
      </c>
      <c r="G5952" s="102"/>
      <c r="H5952" s="102"/>
      <c r="I5952" s="102"/>
      <c r="J5952" s="102"/>
      <c r="K5952" s="102">
        <v>1</v>
      </c>
      <c r="L5952" s="102"/>
      <c r="M5952" s="22" t="b">
        <v>1</v>
      </c>
    </row>
    <row r="5953" spans="1:13" x14ac:dyDescent="0.25">
      <c r="A5953" s="102"/>
      <c r="B5953" s="102" t="s">
        <v>119</v>
      </c>
      <c r="C5953" s="102"/>
      <c r="D5953" s="102">
        <v>6197</v>
      </c>
      <c r="E5953" s="136" t="str">
        <f>INDEX([1]道具配置表!$D:$D,MATCH(D5953,[1]道具配置表!$A:$A,0))</f>
        <v>5分钟锻造加速</v>
      </c>
      <c r="F5953" s="102">
        <v>1</v>
      </c>
      <c r="G5953" s="102"/>
      <c r="H5953" s="102"/>
      <c r="I5953" s="102"/>
      <c r="J5953" s="102"/>
      <c r="K5953" s="102">
        <v>1</v>
      </c>
      <c r="L5953" s="102"/>
      <c r="M5953" s="22" t="b">
        <v>1</v>
      </c>
    </row>
    <row r="5954" spans="1:13" x14ac:dyDescent="0.25">
      <c r="A5954" s="102">
        <v>6652032</v>
      </c>
      <c r="B5954" s="102" t="s">
        <v>1337</v>
      </c>
      <c r="C5954" s="102"/>
      <c r="D5954" s="102">
        <v>7228</v>
      </c>
      <c r="E5954" s="136" t="str">
        <f>INDEX([1]道具配置表!$D:$D,MATCH(D5954,[1]道具配置表!$A:$A,0))</f>
        <v>经验书*10000</v>
      </c>
      <c r="F5954" s="102">
        <v>1</v>
      </c>
      <c r="G5954" s="102"/>
      <c r="H5954" s="102"/>
      <c r="I5954" s="102"/>
      <c r="J5954" s="102"/>
      <c r="K5954" s="102">
        <v>1</v>
      </c>
      <c r="L5954" s="102"/>
      <c r="M5954" s="22" t="b">
        <v>1</v>
      </c>
    </row>
    <row r="5955" spans="1:13" x14ac:dyDescent="0.25">
      <c r="A5955" s="102"/>
      <c r="B5955" s="102" t="s">
        <v>119</v>
      </c>
      <c r="C5955" s="102"/>
      <c r="D5955" s="102">
        <v>20000</v>
      </c>
      <c r="E5955" s="136" t="str">
        <f>INDEX([1]道具配置表!$D:$D,MATCH(D5955,[1]道具配置表!$A:$A,0))</f>
        <v>技能点1</v>
      </c>
      <c r="F5955" s="102">
        <v>50</v>
      </c>
      <c r="G5955" s="102"/>
      <c r="H5955" s="102"/>
      <c r="I5955" s="102"/>
      <c r="J5955" s="102"/>
      <c r="K5955" s="102">
        <v>1</v>
      </c>
      <c r="L5955" s="102"/>
      <c r="M5955" s="22" t="b">
        <v>1</v>
      </c>
    </row>
    <row r="5956" spans="1:13" x14ac:dyDescent="0.25">
      <c r="A5956" s="102"/>
      <c r="B5956" s="102" t="s">
        <v>119</v>
      </c>
      <c r="C5956" s="102"/>
      <c r="D5956" s="102">
        <v>56001</v>
      </c>
      <c r="E5956" s="136" t="str">
        <f>INDEX([1]道具配置表!$D:$D,MATCH(D5956,[1]道具配置表!$A:$A,0))</f>
        <v>锻造装备消耗材料</v>
      </c>
      <c r="F5956" s="102">
        <v>20</v>
      </c>
      <c r="G5956" s="102"/>
      <c r="H5956" s="102"/>
      <c r="I5956" s="102"/>
      <c r="J5956" s="102"/>
      <c r="K5956" s="102">
        <v>1</v>
      </c>
      <c r="L5956" s="102"/>
      <c r="M5956" s="22" t="b">
        <v>1</v>
      </c>
    </row>
    <row r="5957" spans="1:13" x14ac:dyDescent="0.25">
      <c r="A5957" s="102"/>
      <c r="B5957" s="102" t="s">
        <v>119</v>
      </c>
      <c r="C5957" s="102"/>
      <c r="D5957" s="102">
        <v>6197</v>
      </c>
      <c r="E5957" s="136" t="str">
        <f>INDEX([1]道具配置表!$D:$D,MATCH(D5957,[1]道具配置表!$A:$A,0))</f>
        <v>5分钟锻造加速</v>
      </c>
      <c r="F5957" s="102">
        <v>1</v>
      </c>
      <c r="G5957" s="102"/>
      <c r="H5957" s="102"/>
      <c r="I5957" s="102"/>
      <c r="J5957" s="102"/>
      <c r="K5957" s="102">
        <v>1</v>
      </c>
      <c r="L5957" s="102"/>
      <c r="M5957" s="22" t="b">
        <v>1</v>
      </c>
    </row>
    <row r="5958" spans="1:13" x14ac:dyDescent="0.25">
      <c r="A5958" s="102">
        <v>6652033</v>
      </c>
      <c r="B5958" s="102" t="s">
        <v>1338</v>
      </c>
      <c r="C5958" s="102"/>
      <c r="D5958" s="102">
        <v>7228</v>
      </c>
      <c r="E5958" s="136" t="str">
        <f>INDEX([1]道具配置表!$D:$D,MATCH(D5958,[1]道具配置表!$A:$A,0))</f>
        <v>经验书*10000</v>
      </c>
      <c r="F5958" s="102">
        <v>1</v>
      </c>
      <c r="G5958" s="102"/>
      <c r="H5958" s="102"/>
      <c r="I5958" s="102"/>
      <c r="J5958" s="102"/>
      <c r="K5958" s="102">
        <v>1</v>
      </c>
      <c r="L5958" s="102"/>
      <c r="M5958" s="22" t="b">
        <v>1</v>
      </c>
    </row>
    <row r="5959" spans="1:13" x14ac:dyDescent="0.25">
      <c r="A5959" s="102"/>
      <c r="B5959" s="102" t="s">
        <v>119</v>
      </c>
      <c r="C5959" s="102"/>
      <c r="D5959" s="102">
        <v>20000</v>
      </c>
      <c r="E5959" s="136" t="str">
        <f>INDEX([1]道具配置表!$D:$D,MATCH(D5959,[1]道具配置表!$A:$A,0))</f>
        <v>技能点1</v>
      </c>
      <c r="F5959" s="102">
        <v>50</v>
      </c>
      <c r="G5959" s="102"/>
      <c r="H5959" s="102"/>
      <c r="I5959" s="102"/>
      <c r="J5959" s="102"/>
      <c r="K5959" s="102">
        <v>1</v>
      </c>
      <c r="L5959" s="102"/>
      <c r="M5959" s="22" t="b">
        <v>1</v>
      </c>
    </row>
    <row r="5960" spans="1:13" x14ac:dyDescent="0.25">
      <c r="A5960" s="102"/>
      <c r="B5960" s="102" t="s">
        <v>119</v>
      </c>
      <c r="C5960" s="102"/>
      <c r="D5960" s="102">
        <v>56001</v>
      </c>
      <c r="E5960" s="136" t="str">
        <f>INDEX([1]道具配置表!$D:$D,MATCH(D5960,[1]道具配置表!$A:$A,0))</f>
        <v>锻造装备消耗材料</v>
      </c>
      <c r="F5960" s="102">
        <v>20</v>
      </c>
      <c r="G5960" s="102"/>
      <c r="H5960" s="102"/>
      <c r="I5960" s="102"/>
      <c r="J5960" s="102"/>
      <c r="K5960" s="102">
        <v>1</v>
      </c>
      <c r="L5960" s="102"/>
      <c r="M5960" s="22" t="b">
        <v>1</v>
      </c>
    </row>
    <row r="5961" spans="1:13" x14ac:dyDescent="0.25">
      <c r="A5961" s="102"/>
      <c r="B5961" s="102" t="s">
        <v>119</v>
      </c>
      <c r="C5961" s="102"/>
      <c r="D5961" s="102">
        <v>6197</v>
      </c>
      <c r="E5961" s="136" t="str">
        <f>INDEX([1]道具配置表!$D:$D,MATCH(D5961,[1]道具配置表!$A:$A,0))</f>
        <v>5分钟锻造加速</v>
      </c>
      <c r="F5961" s="102">
        <v>1</v>
      </c>
      <c r="G5961" s="102"/>
      <c r="H5961" s="102"/>
      <c r="I5961" s="102"/>
      <c r="J5961" s="102"/>
      <c r="K5961" s="102">
        <v>1</v>
      </c>
      <c r="L5961" s="102"/>
      <c r="M5961" s="22" t="b">
        <v>1</v>
      </c>
    </row>
    <row r="5962" spans="1:13" x14ac:dyDescent="0.25">
      <c r="A5962" s="102">
        <v>6652034</v>
      </c>
      <c r="B5962" s="102" t="s">
        <v>1339</v>
      </c>
      <c r="C5962" s="102"/>
      <c r="D5962" s="102">
        <v>7228</v>
      </c>
      <c r="E5962" s="136" t="str">
        <f>INDEX([1]道具配置表!$D:$D,MATCH(D5962,[1]道具配置表!$A:$A,0))</f>
        <v>经验书*10000</v>
      </c>
      <c r="F5962" s="102">
        <v>1</v>
      </c>
      <c r="G5962" s="102"/>
      <c r="H5962" s="102"/>
      <c r="I5962" s="102"/>
      <c r="J5962" s="102"/>
      <c r="K5962" s="102">
        <v>1</v>
      </c>
      <c r="L5962" s="102"/>
      <c r="M5962" s="22" t="b">
        <v>1</v>
      </c>
    </row>
    <row r="5963" spans="1:13" x14ac:dyDescent="0.25">
      <c r="A5963" s="102"/>
      <c r="B5963" s="102" t="s">
        <v>119</v>
      </c>
      <c r="C5963" s="102"/>
      <c r="D5963" s="102">
        <v>20000</v>
      </c>
      <c r="E5963" s="136" t="str">
        <f>INDEX([1]道具配置表!$D:$D,MATCH(D5963,[1]道具配置表!$A:$A,0))</f>
        <v>技能点1</v>
      </c>
      <c r="F5963" s="102">
        <v>50</v>
      </c>
      <c r="G5963" s="102"/>
      <c r="H5963" s="102"/>
      <c r="I5963" s="102"/>
      <c r="J5963" s="102"/>
      <c r="K5963" s="102">
        <v>1</v>
      </c>
      <c r="L5963" s="102"/>
      <c r="M5963" s="22" t="b">
        <v>1</v>
      </c>
    </row>
    <row r="5964" spans="1:13" x14ac:dyDescent="0.25">
      <c r="A5964" s="102"/>
      <c r="B5964" s="102" t="s">
        <v>119</v>
      </c>
      <c r="C5964" s="102"/>
      <c r="D5964" s="102">
        <v>56001</v>
      </c>
      <c r="E5964" s="136" t="str">
        <f>INDEX([1]道具配置表!$D:$D,MATCH(D5964,[1]道具配置表!$A:$A,0))</f>
        <v>锻造装备消耗材料</v>
      </c>
      <c r="F5964" s="102">
        <v>20</v>
      </c>
      <c r="G5964" s="102"/>
      <c r="H5964" s="102"/>
      <c r="I5964" s="102"/>
      <c r="J5964" s="102"/>
      <c r="K5964" s="102">
        <v>1</v>
      </c>
      <c r="L5964" s="102"/>
      <c r="M5964" s="22" t="b">
        <v>1</v>
      </c>
    </row>
    <row r="5965" spans="1:13" x14ac:dyDescent="0.25">
      <c r="A5965" s="102"/>
      <c r="B5965" s="102" t="s">
        <v>119</v>
      </c>
      <c r="C5965" s="102"/>
      <c r="D5965" s="102">
        <v>6197</v>
      </c>
      <c r="E5965" s="136" t="str">
        <f>INDEX([1]道具配置表!$D:$D,MATCH(D5965,[1]道具配置表!$A:$A,0))</f>
        <v>5分钟锻造加速</v>
      </c>
      <c r="F5965" s="102">
        <v>1</v>
      </c>
      <c r="G5965" s="102"/>
      <c r="H5965" s="102"/>
      <c r="I5965" s="102"/>
      <c r="J5965" s="102"/>
      <c r="K5965" s="102">
        <v>1</v>
      </c>
      <c r="L5965" s="102"/>
      <c r="M5965" s="22" t="b">
        <v>1</v>
      </c>
    </row>
    <row r="5966" spans="1:13" x14ac:dyDescent="0.25">
      <c r="A5966" s="102">
        <v>6652035</v>
      </c>
      <c r="B5966" s="102" t="s">
        <v>1340</v>
      </c>
      <c r="C5966" s="102"/>
      <c r="D5966" s="102">
        <v>7228</v>
      </c>
      <c r="E5966" s="136" t="str">
        <f>INDEX([1]道具配置表!$D:$D,MATCH(D5966,[1]道具配置表!$A:$A,0))</f>
        <v>经验书*10000</v>
      </c>
      <c r="F5966" s="102">
        <v>2</v>
      </c>
      <c r="G5966" s="102"/>
      <c r="H5966" s="102"/>
      <c r="I5966" s="102"/>
      <c r="J5966" s="102"/>
      <c r="K5966" s="102">
        <v>1</v>
      </c>
      <c r="L5966" s="102"/>
      <c r="M5966" s="22" t="b">
        <v>1</v>
      </c>
    </row>
    <row r="5967" spans="1:13" x14ac:dyDescent="0.25">
      <c r="A5967" s="102"/>
      <c r="B5967" s="102" t="s">
        <v>119</v>
      </c>
      <c r="C5967" s="102"/>
      <c r="D5967" s="102">
        <v>20000</v>
      </c>
      <c r="E5967" s="136" t="str">
        <f>INDEX([1]道具配置表!$D:$D,MATCH(D5967,[1]道具配置表!$A:$A,0))</f>
        <v>技能点1</v>
      </c>
      <c r="F5967" s="102">
        <v>100</v>
      </c>
      <c r="G5967" s="102"/>
      <c r="H5967" s="102"/>
      <c r="I5967" s="102"/>
      <c r="J5967" s="102"/>
      <c r="K5967" s="102">
        <v>1</v>
      </c>
      <c r="L5967" s="102"/>
      <c r="M5967" s="22" t="b">
        <v>1</v>
      </c>
    </row>
    <row r="5968" spans="1:13" x14ac:dyDescent="0.25">
      <c r="A5968" s="102"/>
      <c r="B5968" s="102" t="s">
        <v>119</v>
      </c>
      <c r="C5968" s="102"/>
      <c r="D5968" s="102">
        <v>56001</v>
      </c>
      <c r="E5968" s="136" t="str">
        <f>INDEX([1]道具配置表!$D:$D,MATCH(D5968,[1]道具配置表!$A:$A,0))</f>
        <v>锻造装备消耗材料</v>
      </c>
      <c r="F5968" s="102">
        <v>50</v>
      </c>
      <c r="G5968" s="102"/>
      <c r="H5968" s="102"/>
      <c r="I5968" s="102"/>
      <c r="J5968" s="102"/>
      <c r="K5968" s="102">
        <v>1</v>
      </c>
      <c r="L5968" s="102"/>
      <c r="M5968" s="22" t="b">
        <v>1</v>
      </c>
    </row>
    <row r="5969" spans="1:13" x14ac:dyDescent="0.25">
      <c r="A5969" s="102"/>
      <c r="B5969" s="102" t="s">
        <v>119</v>
      </c>
      <c r="C5969" s="102"/>
      <c r="D5969" s="102">
        <v>6197</v>
      </c>
      <c r="E5969" s="136" t="str">
        <f>INDEX([1]道具配置表!$D:$D,MATCH(D5969,[1]道具配置表!$A:$A,0))</f>
        <v>5分钟锻造加速</v>
      </c>
      <c r="F5969" s="102">
        <v>1</v>
      </c>
      <c r="G5969" s="102"/>
      <c r="H5969" s="102"/>
      <c r="I5969" s="102"/>
      <c r="J5969" s="102"/>
      <c r="K5969" s="102">
        <v>1</v>
      </c>
      <c r="L5969" s="102"/>
      <c r="M5969" s="22" t="b">
        <v>1</v>
      </c>
    </row>
    <row r="5970" spans="1:13" x14ac:dyDescent="0.25">
      <c r="A5970" s="102">
        <v>6652036</v>
      </c>
      <c r="B5970" s="102" t="s">
        <v>1341</v>
      </c>
      <c r="C5970" s="102"/>
      <c r="D5970" s="102">
        <v>7228</v>
      </c>
      <c r="E5970" s="136" t="str">
        <f>INDEX([1]道具配置表!$D:$D,MATCH(D5970,[1]道具配置表!$A:$A,0))</f>
        <v>经验书*10000</v>
      </c>
      <c r="F5970" s="102">
        <v>1</v>
      </c>
      <c r="G5970" s="102"/>
      <c r="H5970" s="102"/>
      <c r="I5970" s="102"/>
      <c r="J5970" s="102"/>
      <c r="K5970" s="102">
        <v>1</v>
      </c>
      <c r="L5970" s="102"/>
      <c r="M5970" s="22" t="b">
        <v>1</v>
      </c>
    </row>
    <row r="5971" spans="1:13" x14ac:dyDescent="0.25">
      <c r="A5971" s="102"/>
      <c r="B5971" s="102" t="s">
        <v>119</v>
      </c>
      <c r="C5971" s="102"/>
      <c r="D5971" s="102">
        <v>20000</v>
      </c>
      <c r="E5971" s="136" t="str">
        <f>INDEX([1]道具配置表!$D:$D,MATCH(D5971,[1]道具配置表!$A:$A,0))</f>
        <v>技能点1</v>
      </c>
      <c r="F5971" s="102">
        <v>50</v>
      </c>
      <c r="G5971" s="102"/>
      <c r="H5971" s="102"/>
      <c r="I5971" s="102"/>
      <c r="J5971" s="102"/>
      <c r="K5971" s="102">
        <v>1</v>
      </c>
      <c r="L5971" s="102"/>
      <c r="M5971" s="22" t="b">
        <v>1</v>
      </c>
    </row>
    <row r="5972" spans="1:13" x14ac:dyDescent="0.25">
      <c r="A5972" s="102"/>
      <c r="B5972" s="102" t="s">
        <v>119</v>
      </c>
      <c r="C5972" s="102"/>
      <c r="D5972" s="102">
        <v>56001</v>
      </c>
      <c r="E5972" s="136" t="str">
        <f>INDEX([1]道具配置表!$D:$D,MATCH(D5972,[1]道具配置表!$A:$A,0))</f>
        <v>锻造装备消耗材料</v>
      </c>
      <c r="F5972" s="102">
        <v>20</v>
      </c>
      <c r="G5972" s="102"/>
      <c r="H5972" s="102"/>
      <c r="I5972" s="102"/>
      <c r="J5972" s="102"/>
      <c r="K5972" s="102">
        <v>1</v>
      </c>
      <c r="L5972" s="102"/>
      <c r="M5972" s="22" t="b">
        <v>1</v>
      </c>
    </row>
    <row r="5973" spans="1:13" x14ac:dyDescent="0.25">
      <c r="A5973" s="102"/>
      <c r="B5973" s="102" t="s">
        <v>119</v>
      </c>
      <c r="C5973" s="102"/>
      <c r="D5973" s="102">
        <v>6197</v>
      </c>
      <c r="E5973" s="136" t="str">
        <f>INDEX([1]道具配置表!$D:$D,MATCH(D5973,[1]道具配置表!$A:$A,0))</f>
        <v>5分钟锻造加速</v>
      </c>
      <c r="F5973" s="102">
        <v>1</v>
      </c>
      <c r="G5973" s="102"/>
      <c r="H5973" s="102"/>
      <c r="I5973" s="102"/>
      <c r="J5973" s="102"/>
      <c r="K5973" s="102">
        <v>1</v>
      </c>
      <c r="L5973" s="102"/>
      <c r="M5973" s="22" t="b">
        <v>1</v>
      </c>
    </row>
    <row r="5974" spans="1:13" x14ac:dyDescent="0.25">
      <c r="A5974" s="102">
        <v>6652037</v>
      </c>
      <c r="B5974" s="102" t="s">
        <v>1342</v>
      </c>
      <c r="C5974" s="102"/>
      <c r="D5974" s="102">
        <v>7228</v>
      </c>
      <c r="E5974" s="136" t="str">
        <f>INDEX([1]道具配置表!$D:$D,MATCH(D5974,[1]道具配置表!$A:$A,0))</f>
        <v>经验书*10000</v>
      </c>
      <c r="F5974" s="102">
        <v>1</v>
      </c>
      <c r="G5974" s="102"/>
      <c r="H5974" s="102"/>
      <c r="I5974" s="102"/>
      <c r="J5974" s="102"/>
      <c r="K5974" s="102">
        <v>1</v>
      </c>
      <c r="L5974" s="102"/>
      <c r="M5974" s="22" t="b">
        <v>1</v>
      </c>
    </row>
    <row r="5975" spans="1:13" x14ac:dyDescent="0.25">
      <c r="A5975" s="102"/>
      <c r="B5975" s="102" t="s">
        <v>119</v>
      </c>
      <c r="C5975" s="102"/>
      <c r="D5975" s="102">
        <v>20000</v>
      </c>
      <c r="E5975" s="136" t="str">
        <f>INDEX([1]道具配置表!$D:$D,MATCH(D5975,[1]道具配置表!$A:$A,0))</f>
        <v>技能点1</v>
      </c>
      <c r="F5975" s="102">
        <v>50</v>
      </c>
      <c r="G5975" s="102"/>
      <c r="H5975" s="102"/>
      <c r="I5975" s="102"/>
      <c r="J5975" s="102"/>
      <c r="K5975" s="102">
        <v>1</v>
      </c>
      <c r="L5975" s="102"/>
      <c r="M5975" s="22" t="b">
        <v>1</v>
      </c>
    </row>
    <row r="5976" spans="1:13" x14ac:dyDescent="0.25">
      <c r="A5976" s="102"/>
      <c r="B5976" s="102" t="s">
        <v>119</v>
      </c>
      <c r="C5976" s="102"/>
      <c r="D5976" s="102">
        <v>56001</v>
      </c>
      <c r="E5976" s="136" t="str">
        <f>INDEX([1]道具配置表!$D:$D,MATCH(D5976,[1]道具配置表!$A:$A,0))</f>
        <v>锻造装备消耗材料</v>
      </c>
      <c r="F5976" s="102">
        <v>20</v>
      </c>
      <c r="G5976" s="102"/>
      <c r="H5976" s="102"/>
      <c r="I5976" s="102"/>
      <c r="J5976" s="102"/>
      <c r="K5976" s="102">
        <v>1</v>
      </c>
      <c r="L5976" s="102"/>
      <c r="M5976" s="22" t="b">
        <v>1</v>
      </c>
    </row>
    <row r="5977" spans="1:13" x14ac:dyDescent="0.25">
      <c r="A5977" s="102"/>
      <c r="B5977" s="102" t="s">
        <v>119</v>
      </c>
      <c r="C5977" s="102"/>
      <c r="D5977" s="102">
        <v>6197</v>
      </c>
      <c r="E5977" s="136" t="str">
        <f>INDEX([1]道具配置表!$D:$D,MATCH(D5977,[1]道具配置表!$A:$A,0))</f>
        <v>5分钟锻造加速</v>
      </c>
      <c r="F5977" s="102">
        <v>1</v>
      </c>
      <c r="G5977" s="102"/>
      <c r="H5977" s="102"/>
      <c r="I5977" s="102"/>
      <c r="J5977" s="102"/>
      <c r="K5977" s="102">
        <v>1</v>
      </c>
      <c r="L5977" s="102"/>
      <c r="M5977" s="22" t="b">
        <v>1</v>
      </c>
    </row>
    <row r="5978" spans="1:13" x14ac:dyDescent="0.25">
      <c r="A5978" s="102">
        <v>6652038</v>
      </c>
      <c r="B5978" s="102" t="s">
        <v>1343</v>
      </c>
      <c r="C5978" s="102"/>
      <c r="D5978" s="102">
        <v>7228</v>
      </c>
      <c r="E5978" s="136" t="str">
        <f>INDEX([1]道具配置表!$D:$D,MATCH(D5978,[1]道具配置表!$A:$A,0))</f>
        <v>经验书*10000</v>
      </c>
      <c r="F5978" s="102">
        <v>1</v>
      </c>
      <c r="G5978" s="102"/>
      <c r="H5978" s="102"/>
      <c r="I5978" s="102"/>
      <c r="J5978" s="102"/>
      <c r="K5978" s="102">
        <v>1</v>
      </c>
      <c r="L5978" s="102"/>
      <c r="M5978" s="22" t="b">
        <v>1</v>
      </c>
    </row>
    <row r="5979" spans="1:13" x14ac:dyDescent="0.25">
      <c r="A5979" s="102"/>
      <c r="B5979" s="102" t="s">
        <v>119</v>
      </c>
      <c r="C5979" s="102"/>
      <c r="D5979" s="102">
        <v>20000</v>
      </c>
      <c r="E5979" s="136" t="str">
        <f>INDEX([1]道具配置表!$D:$D,MATCH(D5979,[1]道具配置表!$A:$A,0))</f>
        <v>技能点1</v>
      </c>
      <c r="F5979" s="102">
        <v>50</v>
      </c>
      <c r="G5979" s="102"/>
      <c r="H5979" s="102"/>
      <c r="I5979" s="102"/>
      <c r="J5979" s="102"/>
      <c r="K5979" s="102">
        <v>1</v>
      </c>
      <c r="L5979" s="102"/>
      <c r="M5979" s="22" t="b">
        <v>1</v>
      </c>
    </row>
    <row r="5980" spans="1:13" x14ac:dyDescent="0.25">
      <c r="A5980" s="102"/>
      <c r="B5980" s="102" t="s">
        <v>119</v>
      </c>
      <c r="C5980" s="102"/>
      <c r="D5980" s="102">
        <v>56001</v>
      </c>
      <c r="E5980" s="136" t="str">
        <f>INDEX([1]道具配置表!$D:$D,MATCH(D5980,[1]道具配置表!$A:$A,0))</f>
        <v>锻造装备消耗材料</v>
      </c>
      <c r="F5980" s="102">
        <v>20</v>
      </c>
      <c r="G5980" s="102"/>
      <c r="H5980" s="102"/>
      <c r="I5980" s="102"/>
      <c r="J5980" s="102"/>
      <c r="K5980" s="102">
        <v>1</v>
      </c>
      <c r="L5980" s="102"/>
      <c r="M5980" s="22" t="b">
        <v>1</v>
      </c>
    </row>
    <row r="5981" spans="1:13" x14ac:dyDescent="0.25">
      <c r="A5981" s="102"/>
      <c r="B5981" s="102" t="s">
        <v>119</v>
      </c>
      <c r="C5981" s="102"/>
      <c r="D5981" s="102">
        <v>6197</v>
      </c>
      <c r="E5981" s="136" t="str">
        <f>INDEX([1]道具配置表!$D:$D,MATCH(D5981,[1]道具配置表!$A:$A,0))</f>
        <v>5分钟锻造加速</v>
      </c>
      <c r="F5981" s="102">
        <v>1</v>
      </c>
      <c r="G5981" s="102"/>
      <c r="H5981" s="102"/>
      <c r="I5981" s="102"/>
      <c r="J5981" s="102"/>
      <c r="K5981" s="102">
        <v>1</v>
      </c>
      <c r="L5981" s="102"/>
      <c r="M5981" s="22" t="b">
        <v>1</v>
      </c>
    </row>
    <row r="5982" spans="1:13" x14ac:dyDescent="0.25">
      <c r="A5982" s="102">
        <v>6652039</v>
      </c>
      <c r="B5982" s="102" t="s">
        <v>1344</v>
      </c>
      <c r="C5982" s="102"/>
      <c r="D5982" s="102">
        <v>7228</v>
      </c>
      <c r="E5982" s="136" t="str">
        <f>INDEX([1]道具配置表!$D:$D,MATCH(D5982,[1]道具配置表!$A:$A,0))</f>
        <v>经验书*10000</v>
      </c>
      <c r="F5982" s="102">
        <v>1</v>
      </c>
      <c r="G5982" s="102"/>
      <c r="H5982" s="102"/>
      <c r="I5982" s="102"/>
      <c r="J5982" s="102"/>
      <c r="K5982" s="102">
        <v>1</v>
      </c>
      <c r="L5982" s="102"/>
      <c r="M5982" s="22" t="b">
        <v>1</v>
      </c>
    </row>
    <row r="5983" spans="1:13" x14ac:dyDescent="0.25">
      <c r="A5983" s="102"/>
      <c r="B5983" s="102" t="s">
        <v>119</v>
      </c>
      <c r="C5983" s="102"/>
      <c r="D5983" s="102">
        <v>20000</v>
      </c>
      <c r="E5983" s="136" t="str">
        <f>INDEX([1]道具配置表!$D:$D,MATCH(D5983,[1]道具配置表!$A:$A,0))</f>
        <v>技能点1</v>
      </c>
      <c r="F5983" s="102">
        <v>50</v>
      </c>
      <c r="G5983" s="102"/>
      <c r="H5983" s="102"/>
      <c r="I5983" s="102"/>
      <c r="J5983" s="102"/>
      <c r="K5983" s="102">
        <v>1</v>
      </c>
      <c r="L5983" s="102"/>
      <c r="M5983" s="22" t="b">
        <v>1</v>
      </c>
    </row>
    <row r="5984" spans="1:13" x14ac:dyDescent="0.25">
      <c r="A5984" s="102"/>
      <c r="B5984" s="102" t="s">
        <v>119</v>
      </c>
      <c r="C5984" s="102"/>
      <c r="D5984" s="102">
        <v>56001</v>
      </c>
      <c r="E5984" s="136" t="str">
        <f>INDEX([1]道具配置表!$D:$D,MATCH(D5984,[1]道具配置表!$A:$A,0))</f>
        <v>锻造装备消耗材料</v>
      </c>
      <c r="F5984" s="102">
        <v>20</v>
      </c>
      <c r="G5984" s="102"/>
      <c r="H5984" s="102"/>
      <c r="I5984" s="102"/>
      <c r="J5984" s="102"/>
      <c r="K5984" s="102">
        <v>1</v>
      </c>
      <c r="L5984" s="102"/>
      <c r="M5984" s="22" t="b">
        <v>1</v>
      </c>
    </row>
    <row r="5985" spans="1:13" x14ac:dyDescent="0.25">
      <c r="A5985" s="102"/>
      <c r="B5985" s="102" t="s">
        <v>119</v>
      </c>
      <c r="C5985" s="102"/>
      <c r="D5985" s="102">
        <v>6197</v>
      </c>
      <c r="E5985" s="136" t="str">
        <f>INDEX([1]道具配置表!$D:$D,MATCH(D5985,[1]道具配置表!$A:$A,0))</f>
        <v>5分钟锻造加速</v>
      </c>
      <c r="F5985" s="102">
        <v>1</v>
      </c>
      <c r="G5985" s="102"/>
      <c r="H5985" s="102"/>
      <c r="I5985" s="102"/>
      <c r="J5985" s="102"/>
      <c r="K5985" s="102">
        <v>1</v>
      </c>
      <c r="L5985" s="102"/>
      <c r="M5985" s="22" t="b">
        <v>1</v>
      </c>
    </row>
    <row r="5986" spans="1:13" x14ac:dyDescent="0.25">
      <c r="A5986" s="102">
        <v>6652040</v>
      </c>
      <c r="B5986" s="102" t="s">
        <v>1345</v>
      </c>
      <c r="C5986" s="102"/>
      <c r="D5986" s="102">
        <v>56148</v>
      </c>
      <c r="E5986" s="136" t="str">
        <f>INDEX([1]道具配置表!$D:$D,MATCH(D5986,[1]道具配置表!$A:$A,0))</f>
        <v>粗麻头巾</v>
      </c>
      <c r="F5986" s="102">
        <v>1</v>
      </c>
      <c r="G5986" s="102"/>
      <c r="H5986" s="102"/>
      <c r="I5986" s="102"/>
      <c r="J5986" s="102"/>
      <c r="K5986" s="102">
        <v>1</v>
      </c>
      <c r="L5986" s="102"/>
      <c r="M5986" s="22" t="b">
        <v>1</v>
      </c>
    </row>
    <row r="5987" spans="1:13" x14ac:dyDescent="0.25">
      <c r="A5987" s="102"/>
      <c r="B5987" s="102"/>
      <c r="C5987" s="102"/>
      <c r="D5987" s="102">
        <v>56002</v>
      </c>
      <c r="E5987" s="136" t="str">
        <f>INDEX([1]道具配置表!$D:$D,MATCH(D5987,[1]道具配置表!$A:$A,0))</f>
        <v>强化装备消耗材料</v>
      </c>
      <c r="F5987" s="102">
        <v>20</v>
      </c>
      <c r="G5987" s="102"/>
      <c r="H5987" s="102"/>
      <c r="I5987" s="102"/>
      <c r="J5987" s="102"/>
      <c r="K5987" s="102">
        <v>1</v>
      </c>
      <c r="L5987" s="102"/>
      <c r="M5987" s="22" t="b">
        <v>1</v>
      </c>
    </row>
    <row r="5988" spans="1:13" x14ac:dyDescent="0.25">
      <c r="A5988" s="102"/>
      <c r="B5988" s="102"/>
      <c r="C5988" s="102"/>
      <c r="D5988" s="102">
        <v>7228</v>
      </c>
      <c r="E5988" s="136" t="str">
        <f>INDEX([1]道具配置表!$D:$D,MATCH(D5988,[1]道具配置表!$A:$A,0))</f>
        <v>经验书*10000</v>
      </c>
      <c r="F5988" s="102">
        <v>2</v>
      </c>
      <c r="G5988" s="102"/>
      <c r="H5988" s="102"/>
      <c r="I5988" s="102"/>
      <c r="J5988" s="102"/>
      <c r="K5988" s="102">
        <v>1</v>
      </c>
      <c r="L5988" s="102"/>
      <c r="M5988" s="22" t="b">
        <v>1</v>
      </c>
    </row>
    <row r="5989" spans="1:13" x14ac:dyDescent="0.25">
      <c r="A5989" s="102"/>
      <c r="B5989" s="102" t="s">
        <v>119</v>
      </c>
      <c r="C5989" s="102"/>
      <c r="D5989" s="102">
        <v>20000</v>
      </c>
      <c r="E5989" s="136" t="str">
        <f>INDEX([1]道具配置表!$D:$D,MATCH(D5989,[1]道具配置表!$A:$A,0))</f>
        <v>技能点1</v>
      </c>
      <c r="F5989" s="102">
        <v>100</v>
      </c>
      <c r="G5989" s="102"/>
      <c r="H5989" s="102"/>
      <c r="I5989" s="102"/>
      <c r="J5989" s="102"/>
      <c r="K5989" s="102">
        <v>1</v>
      </c>
      <c r="L5989" s="102"/>
      <c r="M5989" s="22" t="b">
        <v>1</v>
      </c>
    </row>
    <row r="5990" spans="1:13" x14ac:dyDescent="0.25">
      <c r="A5990" s="102"/>
      <c r="B5990" s="102" t="s">
        <v>119</v>
      </c>
      <c r="C5990" s="102"/>
      <c r="D5990" s="102">
        <v>56001</v>
      </c>
      <c r="E5990" s="136" t="str">
        <f>INDEX([1]道具配置表!$D:$D,MATCH(D5990,[1]道具配置表!$A:$A,0))</f>
        <v>锻造装备消耗材料</v>
      </c>
      <c r="F5990" s="102">
        <v>50</v>
      </c>
      <c r="G5990" s="102"/>
      <c r="H5990" s="102"/>
      <c r="I5990" s="102"/>
      <c r="J5990" s="102"/>
      <c r="K5990" s="102">
        <v>1</v>
      </c>
      <c r="L5990" s="102"/>
      <c r="M5990" s="22" t="b">
        <v>1</v>
      </c>
    </row>
    <row r="5991" spans="1:13" x14ac:dyDescent="0.25">
      <c r="A5991" s="102"/>
      <c r="B5991" s="102" t="s">
        <v>119</v>
      </c>
      <c r="C5991" s="102"/>
      <c r="D5991" s="102">
        <v>6197</v>
      </c>
      <c r="E5991" s="136" t="str">
        <f>INDEX([1]道具配置表!$D:$D,MATCH(D5991,[1]道具配置表!$A:$A,0))</f>
        <v>5分钟锻造加速</v>
      </c>
      <c r="F5991" s="102">
        <v>1</v>
      </c>
      <c r="G5991" s="102"/>
      <c r="H5991" s="102"/>
      <c r="I5991" s="102"/>
      <c r="J5991" s="102"/>
      <c r="K5991" s="102">
        <v>1</v>
      </c>
      <c r="L5991" s="102"/>
      <c r="M5991" s="22" t="b">
        <v>1</v>
      </c>
    </row>
    <row r="5992" spans="1:13" x14ac:dyDescent="0.25">
      <c r="A5992" s="102">
        <v>6652041</v>
      </c>
      <c r="B5992" s="102" t="s">
        <v>1346</v>
      </c>
      <c r="C5992" s="102"/>
      <c r="D5992" s="102">
        <v>7228</v>
      </c>
      <c r="E5992" s="136" t="str">
        <f>INDEX([1]道具配置表!$D:$D,MATCH(D5992,[1]道具配置表!$A:$A,0))</f>
        <v>经验书*10000</v>
      </c>
      <c r="F5992" s="102">
        <v>1</v>
      </c>
      <c r="G5992" s="102"/>
      <c r="H5992" s="102"/>
      <c r="I5992" s="102"/>
      <c r="J5992" s="102"/>
      <c r="K5992" s="102">
        <v>1</v>
      </c>
      <c r="L5992" s="102"/>
      <c r="M5992" s="22" t="b">
        <v>1</v>
      </c>
    </row>
    <row r="5993" spans="1:13" x14ac:dyDescent="0.25">
      <c r="A5993" s="102"/>
      <c r="B5993" s="102"/>
      <c r="C5993" s="102"/>
      <c r="D5993" s="102">
        <v>20000</v>
      </c>
      <c r="E5993" s="136" t="str">
        <f>INDEX([1]道具配置表!$D:$D,MATCH(D5993,[1]道具配置表!$A:$A,0))</f>
        <v>技能点1</v>
      </c>
      <c r="F5993" s="102">
        <v>50</v>
      </c>
      <c r="G5993" s="102"/>
      <c r="H5993" s="102"/>
      <c r="I5993" s="102"/>
      <c r="J5993" s="102"/>
      <c r="K5993" s="102">
        <v>1</v>
      </c>
      <c r="L5993" s="102"/>
      <c r="M5993" s="22" t="b">
        <v>1</v>
      </c>
    </row>
    <row r="5994" spans="1:13" x14ac:dyDescent="0.25">
      <c r="A5994" s="102"/>
      <c r="B5994" s="102"/>
      <c r="C5994" s="102"/>
      <c r="D5994" s="102">
        <v>56001</v>
      </c>
      <c r="E5994" s="136" t="str">
        <f>INDEX([1]道具配置表!$D:$D,MATCH(D5994,[1]道具配置表!$A:$A,0))</f>
        <v>锻造装备消耗材料</v>
      </c>
      <c r="F5994" s="102">
        <v>20</v>
      </c>
      <c r="G5994" s="102"/>
      <c r="H5994" s="102"/>
      <c r="I5994" s="102"/>
      <c r="J5994" s="102"/>
      <c r="K5994" s="102">
        <v>1</v>
      </c>
      <c r="L5994" s="102"/>
      <c r="M5994" s="22" t="b">
        <v>1</v>
      </c>
    </row>
    <row r="5995" spans="1:13" x14ac:dyDescent="0.25">
      <c r="A5995" s="102"/>
      <c r="B5995" s="102"/>
      <c r="C5995" s="102"/>
      <c r="D5995" s="102">
        <v>6197</v>
      </c>
      <c r="E5995" s="136" t="str">
        <f>INDEX([1]道具配置表!$D:$D,MATCH(D5995,[1]道具配置表!$A:$A,0))</f>
        <v>5分钟锻造加速</v>
      </c>
      <c r="F5995" s="102">
        <v>1</v>
      </c>
      <c r="G5995" s="102"/>
      <c r="H5995" s="102"/>
      <c r="I5995" s="102"/>
      <c r="J5995" s="102"/>
      <c r="K5995" s="102">
        <v>1</v>
      </c>
      <c r="L5995" s="102"/>
      <c r="M5995" s="22" t="b">
        <v>1</v>
      </c>
    </row>
    <row r="5996" spans="1:13" x14ac:dyDescent="0.25">
      <c r="A5996" s="102">
        <v>6652042</v>
      </c>
      <c r="B5996" s="102" t="s">
        <v>1347</v>
      </c>
      <c r="C5996" s="102"/>
      <c r="D5996" s="102">
        <v>56160</v>
      </c>
      <c r="E5996" s="136" t="str">
        <f>INDEX([1]道具配置表!$D:$D,MATCH(D5996,[1]道具配置表!$A:$A,0))</f>
        <v>鹿皮猎帽</v>
      </c>
      <c r="F5996" s="102">
        <v>1</v>
      </c>
      <c r="G5996" s="102"/>
      <c r="H5996" s="102"/>
      <c r="I5996" s="102"/>
      <c r="J5996" s="102"/>
      <c r="K5996" s="102">
        <v>1</v>
      </c>
      <c r="L5996" s="102"/>
      <c r="M5996" s="22" t="b">
        <v>1</v>
      </c>
    </row>
    <row r="5997" spans="1:13" x14ac:dyDescent="0.25">
      <c r="A5997" s="102"/>
      <c r="B5997" s="102"/>
      <c r="C5997" s="102"/>
      <c r="D5997" s="102">
        <v>56002</v>
      </c>
      <c r="E5997" s="136" t="str">
        <f>INDEX([1]道具配置表!$D:$D,MATCH(D5997,[1]道具配置表!$A:$A,0))</f>
        <v>强化装备消耗材料</v>
      </c>
      <c r="F5997" s="102">
        <v>20</v>
      </c>
      <c r="G5997" s="102"/>
      <c r="H5997" s="102"/>
      <c r="I5997" s="102"/>
      <c r="J5997" s="102"/>
      <c r="K5997" s="102">
        <v>1</v>
      </c>
      <c r="L5997" s="102"/>
      <c r="M5997" s="22" t="b">
        <v>1</v>
      </c>
    </row>
    <row r="5998" spans="1:13" x14ac:dyDescent="0.25">
      <c r="A5998" s="102"/>
      <c r="B5998" s="102"/>
      <c r="C5998" s="102"/>
      <c r="D5998" s="102">
        <v>7228</v>
      </c>
      <c r="E5998" s="136" t="str">
        <f>INDEX([1]道具配置表!$D:$D,MATCH(D5998,[1]道具配置表!$A:$A,0))</f>
        <v>经验书*10000</v>
      </c>
      <c r="F5998" s="102">
        <v>1</v>
      </c>
      <c r="G5998" s="102"/>
      <c r="H5998" s="102"/>
      <c r="I5998" s="102"/>
      <c r="J5998" s="102"/>
      <c r="K5998" s="102">
        <v>1</v>
      </c>
      <c r="L5998" s="102"/>
      <c r="M5998" s="22" t="b">
        <v>1</v>
      </c>
    </row>
    <row r="5999" spans="1:13" x14ac:dyDescent="0.25">
      <c r="A5999" s="102"/>
      <c r="B5999" s="102" t="s">
        <v>119</v>
      </c>
      <c r="C5999" s="102"/>
      <c r="D5999" s="102">
        <v>20000</v>
      </c>
      <c r="E5999" s="136" t="str">
        <f>INDEX([1]道具配置表!$D:$D,MATCH(D5999,[1]道具配置表!$A:$A,0))</f>
        <v>技能点1</v>
      </c>
      <c r="F5999" s="102">
        <v>50</v>
      </c>
      <c r="G5999" s="102"/>
      <c r="H5999" s="102"/>
      <c r="I5999" s="102"/>
      <c r="J5999" s="102"/>
      <c r="K5999" s="102">
        <v>1</v>
      </c>
      <c r="L5999" s="102"/>
      <c r="M5999" s="22" t="b">
        <v>1</v>
      </c>
    </row>
    <row r="6000" spans="1:13" x14ac:dyDescent="0.25">
      <c r="A6000" s="102"/>
      <c r="B6000" s="102" t="s">
        <v>119</v>
      </c>
      <c r="C6000" s="102"/>
      <c r="D6000" s="102">
        <v>56001</v>
      </c>
      <c r="E6000" s="136" t="str">
        <f>INDEX([1]道具配置表!$D:$D,MATCH(D6000,[1]道具配置表!$A:$A,0))</f>
        <v>锻造装备消耗材料</v>
      </c>
      <c r="F6000" s="102">
        <v>20</v>
      </c>
      <c r="G6000" s="102"/>
      <c r="H6000" s="102"/>
      <c r="I6000" s="102"/>
      <c r="J6000" s="102"/>
      <c r="K6000" s="102">
        <v>1</v>
      </c>
      <c r="L6000" s="102"/>
      <c r="M6000" s="22" t="b">
        <v>1</v>
      </c>
    </row>
    <row r="6001" spans="1:13" x14ac:dyDescent="0.25">
      <c r="A6001" s="102"/>
      <c r="B6001" s="102" t="s">
        <v>119</v>
      </c>
      <c r="C6001" s="102"/>
      <c r="D6001" s="102">
        <v>6197</v>
      </c>
      <c r="E6001" s="136" t="str">
        <f>INDEX([1]道具配置表!$D:$D,MATCH(D6001,[1]道具配置表!$A:$A,0))</f>
        <v>5分钟锻造加速</v>
      </c>
      <c r="F6001" s="102">
        <v>1</v>
      </c>
      <c r="G6001" s="102"/>
      <c r="H6001" s="102"/>
      <c r="I6001" s="102"/>
      <c r="J6001" s="102"/>
      <c r="K6001" s="102">
        <v>1</v>
      </c>
      <c r="L6001" s="102"/>
      <c r="M6001" s="22" t="b">
        <v>1</v>
      </c>
    </row>
    <row r="6002" spans="1:13" x14ac:dyDescent="0.25">
      <c r="A6002" s="102">
        <v>6652043</v>
      </c>
      <c r="B6002" s="102" t="s">
        <v>1348</v>
      </c>
      <c r="C6002" s="102"/>
      <c r="D6002" s="102">
        <v>7228</v>
      </c>
      <c r="E6002" s="136" t="str">
        <f>INDEX([1]道具配置表!$D:$D,MATCH(D6002,[1]道具配置表!$A:$A,0))</f>
        <v>经验书*10000</v>
      </c>
      <c r="F6002" s="102">
        <v>1</v>
      </c>
      <c r="G6002" s="102"/>
      <c r="H6002" s="102"/>
      <c r="I6002" s="102"/>
      <c r="J6002" s="102"/>
      <c r="K6002" s="102">
        <v>1</v>
      </c>
      <c r="L6002" s="102"/>
      <c r="M6002" s="22" t="b">
        <v>1</v>
      </c>
    </row>
    <row r="6003" spans="1:13" x14ac:dyDescent="0.25">
      <c r="A6003" s="102"/>
      <c r="B6003" s="102" t="s">
        <v>119</v>
      </c>
      <c r="C6003" s="102"/>
      <c r="D6003" s="102">
        <v>20000</v>
      </c>
      <c r="E6003" s="136" t="str">
        <f>INDEX([1]道具配置表!$D:$D,MATCH(D6003,[1]道具配置表!$A:$A,0))</f>
        <v>技能点1</v>
      </c>
      <c r="F6003" s="102">
        <v>50</v>
      </c>
      <c r="G6003" s="102"/>
      <c r="H6003" s="102"/>
      <c r="I6003" s="102"/>
      <c r="J6003" s="102"/>
      <c r="K6003" s="102">
        <v>1</v>
      </c>
      <c r="L6003" s="102"/>
      <c r="M6003" s="22" t="b">
        <v>1</v>
      </c>
    </row>
    <row r="6004" spans="1:13" x14ac:dyDescent="0.25">
      <c r="A6004" s="102"/>
      <c r="B6004" s="102" t="s">
        <v>119</v>
      </c>
      <c r="C6004" s="102"/>
      <c r="D6004" s="102">
        <v>56001</v>
      </c>
      <c r="E6004" s="136" t="str">
        <f>INDEX([1]道具配置表!$D:$D,MATCH(D6004,[1]道具配置表!$A:$A,0))</f>
        <v>锻造装备消耗材料</v>
      </c>
      <c r="F6004" s="102">
        <v>20</v>
      </c>
      <c r="G6004" s="102"/>
      <c r="H6004" s="102"/>
      <c r="I6004" s="102"/>
      <c r="J6004" s="102"/>
      <c r="K6004" s="102">
        <v>1</v>
      </c>
      <c r="L6004" s="102"/>
      <c r="M6004" s="22" t="b">
        <v>1</v>
      </c>
    </row>
    <row r="6005" spans="1:13" x14ac:dyDescent="0.25">
      <c r="A6005" s="102"/>
      <c r="B6005" s="102" t="s">
        <v>119</v>
      </c>
      <c r="C6005" s="102"/>
      <c r="D6005" s="102">
        <v>6197</v>
      </c>
      <c r="E6005" s="136" t="str">
        <f>INDEX([1]道具配置表!$D:$D,MATCH(D6005,[1]道具配置表!$A:$A,0))</f>
        <v>5分钟锻造加速</v>
      </c>
      <c r="F6005" s="102">
        <v>1</v>
      </c>
      <c r="G6005" s="102"/>
      <c r="H6005" s="102"/>
      <c r="I6005" s="102"/>
      <c r="J6005" s="102"/>
      <c r="K6005" s="102">
        <v>1</v>
      </c>
      <c r="L6005" s="102"/>
      <c r="M6005" s="22" t="b">
        <v>1</v>
      </c>
    </row>
    <row r="6006" spans="1:13" x14ac:dyDescent="0.25">
      <c r="A6006" s="102">
        <v>6652044</v>
      </c>
      <c r="B6006" s="102" t="s">
        <v>1349</v>
      </c>
      <c r="C6006" s="102"/>
      <c r="D6006" s="102">
        <v>56172</v>
      </c>
      <c r="E6006" s="136" t="str">
        <f>INDEX([1]道具配置表!$D:$D,MATCH(D6006,[1]道具配置表!$A:$A,0))</f>
        <v>羊毡风帽</v>
      </c>
      <c r="F6006" s="102">
        <v>1</v>
      </c>
      <c r="G6006" s="102"/>
      <c r="H6006" s="102"/>
      <c r="I6006" s="102"/>
      <c r="J6006" s="102"/>
      <c r="K6006" s="102">
        <v>1</v>
      </c>
      <c r="L6006" s="102"/>
      <c r="M6006" s="22" t="b">
        <v>1</v>
      </c>
    </row>
    <row r="6007" spans="1:13" x14ac:dyDescent="0.25">
      <c r="A6007" s="102"/>
      <c r="B6007" s="102" t="s">
        <v>119</v>
      </c>
      <c r="C6007" s="102"/>
      <c r="D6007" s="102">
        <v>56002</v>
      </c>
      <c r="E6007" s="136" t="str">
        <f>INDEX([1]道具配置表!$D:$D,MATCH(D6007,[1]道具配置表!$A:$A,0))</f>
        <v>强化装备消耗材料</v>
      </c>
      <c r="F6007" s="102">
        <v>20</v>
      </c>
      <c r="G6007" s="102"/>
      <c r="H6007" s="102"/>
      <c r="I6007" s="102"/>
      <c r="J6007" s="102"/>
      <c r="K6007" s="102">
        <v>1</v>
      </c>
      <c r="L6007" s="102"/>
      <c r="M6007" s="22" t="b">
        <v>1</v>
      </c>
    </row>
    <row r="6008" spans="1:13" x14ac:dyDescent="0.25">
      <c r="A6008" s="102"/>
      <c r="B6008" s="102" t="s">
        <v>119</v>
      </c>
      <c r="C6008" s="102"/>
      <c r="D6008" s="102">
        <v>7228</v>
      </c>
      <c r="E6008" s="136" t="str">
        <f>INDEX([1]道具配置表!$D:$D,MATCH(D6008,[1]道具配置表!$A:$A,0))</f>
        <v>经验书*10000</v>
      </c>
      <c r="F6008" s="102">
        <v>1</v>
      </c>
      <c r="G6008" s="102"/>
      <c r="H6008" s="102"/>
      <c r="I6008" s="102"/>
      <c r="J6008" s="102"/>
      <c r="K6008" s="102">
        <v>1</v>
      </c>
      <c r="L6008" s="102"/>
      <c r="M6008" s="22" t="b">
        <v>1</v>
      </c>
    </row>
    <row r="6009" spans="1:13" x14ac:dyDescent="0.25">
      <c r="A6009" s="102"/>
      <c r="B6009" s="102" t="s">
        <v>119</v>
      </c>
      <c r="C6009" s="102"/>
      <c r="D6009" s="102">
        <v>20000</v>
      </c>
      <c r="E6009" s="136" t="str">
        <f>INDEX([1]道具配置表!$D:$D,MATCH(D6009,[1]道具配置表!$A:$A,0))</f>
        <v>技能点1</v>
      </c>
      <c r="F6009" s="102">
        <v>50</v>
      </c>
      <c r="G6009" s="102"/>
      <c r="H6009" s="102"/>
      <c r="I6009" s="102"/>
      <c r="J6009" s="102"/>
      <c r="K6009" s="102">
        <v>1</v>
      </c>
      <c r="L6009" s="102"/>
      <c r="M6009" s="22" t="b">
        <v>1</v>
      </c>
    </row>
    <row r="6010" spans="1:13" x14ac:dyDescent="0.25">
      <c r="A6010" s="102"/>
      <c r="B6010" s="102" t="s">
        <v>119</v>
      </c>
      <c r="C6010" s="102"/>
      <c r="D6010" s="102">
        <v>56001</v>
      </c>
      <c r="E6010" s="136" t="str">
        <f>INDEX([1]道具配置表!$D:$D,MATCH(D6010,[1]道具配置表!$A:$A,0))</f>
        <v>锻造装备消耗材料</v>
      </c>
      <c r="F6010" s="102">
        <v>20</v>
      </c>
      <c r="G6010" s="102"/>
      <c r="H6010" s="102"/>
      <c r="I6010" s="102"/>
      <c r="J6010" s="102"/>
      <c r="K6010" s="102">
        <v>1</v>
      </c>
      <c r="L6010" s="102"/>
      <c r="M6010" s="22" t="b">
        <v>1</v>
      </c>
    </row>
    <row r="6011" spans="1:13" x14ac:dyDescent="0.25">
      <c r="A6011" s="102"/>
      <c r="B6011" s="102"/>
      <c r="C6011" s="102"/>
      <c r="D6011" s="102">
        <v>6197</v>
      </c>
      <c r="E6011" s="136" t="str">
        <f>INDEX([1]道具配置表!$D:$D,MATCH(D6011,[1]道具配置表!$A:$A,0))</f>
        <v>5分钟锻造加速</v>
      </c>
      <c r="F6011" s="102">
        <v>1</v>
      </c>
      <c r="G6011" s="102"/>
      <c r="H6011" s="102"/>
      <c r="I6011" s="102"/>
      <c r="J6011" s="102"/>
      <c r="K6011" s="102">
        <v>1</v>
      </c>
      <c r="L6011" s="102"/>
      <c r="M6011" s="22" t="b">
        <v>1</v>
      </c>
    </row>
    <row r="6012" spans="1:13" x14ac:dyDescent="0.25">
      <c r="A6012" s="102">
        <v>6652045</v>
      </c>
      <c r="B6012" s="102" t="s">
        <v>1350</v>
      </c>
      <c r="C6012" s="102"/>
      <c r="D6012" s="102">
        <v>7228</v>
      </c>
      <c r="E6012" s="136" t="str">
        <f>INDEX([1]道具配置表!$D:$D,MATCH(D6012,[1]道具配置表!$A:$A,0))</f>
        <v>经验书*10000</v>
      </c>
      <c r="F6012" s="102">
        <v>2</v>
      </c>
      <c r="G6012" s="102"/>
      <c r="H6012" s="102"/>
      <c r="I6012" s="102"/>
      <c r="J6012" s="102"/>
      <c r="K6012" s="102">
        <v>1</v>
      </c>
      <c r="L6012" s="102"/>
      <c r="M6012" s="22" t="b">
        <v>1</v>
      </c>
    </row>
    <row r="6013" spans="1:13" x14ac:dyDescent="0.25">
      <c r="A6013" s="102"/>
      <c r="B6013" s="102" t="s">
        <v>119</v>
      </c>
      <c r="C6013" s="102"/>
      <c r="D6013" s="102">
        <v>20000</v>
      </c>
      <c r="E6013" s="136" t="str">
        <f>INDEX([1]道具配置表!$D:$D,MATCH(D6013,[1]道具配置表!$A:$A,0))</f>
        <v>技能点1</v>
      </c>
      <c r="F6013" s="102">
        <v>100</v>
      </c>
      <c r="G6013" s="102"/>
      <c r="H6013" s="102"/>
      <c r="I6013" s="102"/>
      <c r="J6013" s="102"/>
      <c r="K6013" s="102">
        <v>1</v>
      </c>
      <c r="L6013" s="102"/>
      <c r="M6013" s="22" t="b">
        <v>1</v>
      </c>
    </row>
    <row r="6014" spans="1:13" x14ac:dyDescent="0.25">
      <c r="A6014" s="102"/>
      <c r="B6014" s="102" t="s">
        <v>119</v>
      </c>
      <c r="C6014" s="102"/>
      <c r="D6014" s="102">
        <v>56001</v>
      </c>
      <c r="E6014" s="136" t="str">
        <f>INDEX([1]道具配置表!$D:$D,MATCH(D6014,[1]道具配置表!$A:$A,0))</f>
        <v>锻造装备消耗材料</v>
      </c>
      <c r="F6014" s="102">
        <v>50</v>
      </c>
      <c r="G6014" s="102"/>
      <c r="H6014" s="102"/>
      <c r="I6014" s="102"/>
      <c r="J6014" s="102"/>
      <c r="K6014" s="102">
        <v>1</v>
      </c>
      <c r="L6014" s="102"/>
      <c r="M6014" s="22" t="b">
        <v>1</v>
      </c>
    </row>
    <row r="6015" spans="1:13" x14ac:dyDescent="0.25">
      <c r="A6015" s="102"/>
      <c r="B6015" s="102" t="s">
        <v>119</v>
      </c>
      <c r="C6015" s="102"/>
      <c r="D6015" s="102">
        <v>6197</v>
      </c>
      <c r="E6015" s="136" t="str">
        <f>INDEX([1]道具配置表!$D:$D,MATCH(D6015,[1]道具配置表!$A:$A,0))</f>
        <v>5分钟锻造加速</v>
      </c>
      <c r="F6015" s="102">
        <v>1</v>
      </c>
      <c r="G6015" s="102"/>
      <c r="H6015" s="102"/>
      <c r="I6015" s="102"/>
      <c r="J6015" s="102"/>
      <c r="K6015" s="102">
        <v>1</v>
      </c>
      <c r="L6015" s="102"/>
      <c r="M6015" s="22" t="b">
        <v>1</v>
      </c>
    </row>
    <row r="6016" spans="1:13" x14ac:dyDescent="0.25">
      <c r="A6016" s="102">
        <v>6652046</v>
      </c>
      <c r="B6016" s="102" t="s">
        <v>1351</v>
      </c>
      <c r="C6016" s="102"/>
      <c r="D6016" s="102">
        <v>56184</v>
      </c>
      <c r="E6016" s="136" t="str">
        <f>INDEX([1]道具配置表!$D:$D,MATCH(D6016,[1]道具配置表!$A:$A,0))</f>
        <v>简易草帽</v>
      </c>
      <c r="F6016" s="102">
        <v>1</v>
      </c>
      <c r="G6016" s="102"/>
      <c r="H6016" s="102"/>
      <c r="I6016" s="102"/>
      <c r="J6016" s="102"/>
      <c r="K6016" s="102">
        <v>1</v>
      </c>
      <c r="L6016" s="102"/>
      <c r="M6016" s="22" t="b">
        <v>1</v>
      </c>
    </row>
    <row r="6017" spans="1:13" x14ac:dyDescent="0.25">
      <c r="A6017" s="102"/>
      <c r="B6017" s="102" t="s">
        <v>119</v>
      </c>
      <c r="C6017" s="102"/>
      <c r="D6017" s="102">
        <v>56002</v>
      </c>
      <c r="E6017" s="136" t="str">
        <f>INDEX([1]道具配置表!$D:$D,MATCH(D6017,[1]道具配置表!$A:$A,0))</f>
        <v>强化装备消耗材料</v>
      </c>
      <c r="F6017" s="102">
        <v>20</v>
      </c>
      <c r="G6017" s="102"/>
      <c r="H6017" s="102"/>
      <c r="I6017" s="102"/>
      <c r="J6017" s="102"/>
      <c r="K6017" s="102">
        <v>1</v>
      </c>
      <c r="L6017" s="102"/>
      <c r="M6017" s="22" t="b">
        <v>1</v>
      </c>
    </row>
    <row r="6018" spans="1:13" x14ac:dyDescent="0.25">
      <c r="A6018" s="102"/>
      <c r="B6018" s="102" t="s">
        <v>119</v>
      </c>
      <c r="C6018" s="102"/>
      <c r="D6018" s="102">
        <v>7228</v>
      </c>
      <c r="E6018" s="136" t="str">
        <f>INDEX([1]道具配置表!$D:$D,MATCH(D6018,[1]道具配置表!$A:$A,0))</f>
        <v>经验书*10000</v>
      </c>
      <c r="F6018" s="102">
        <v>2</v>
      </c>
      <c r="G6018" s="102"/>
      <c r="H6018" s="102"/>
      <c r="I6018" s="102"/>
      <c r="J6018" s="102"/>
      <c r="K6018" s="102">
        <v>1</v>
      </c>
      <c r="L6018" s="102"/>
      <c r="M6018" s="22" t="b">
        <v>1</v>
      </c>
    </row>
    <row r="6019" spans="1:13" x14ac:dyDescent="0.25">
      <c r="A6019" s="102"/>
      <c r="B6019" s="102" t="s">
        <v>119</v>
      </c>
      <c r="C6019" s="102"/>
      <c r="D6019" s="102">
        <v>20000</v>
      </c>
      <c r="E6019" s="136" t="str">
        <f>INDEX([1]道具配置表!$D:$D,MATCH(D6019,[1]道具配置表!$A:$A,0))</f>
        <v>技能点1</v>
      </c>
      <c r="F6019" s="102">
        <v>100</v>
      </c>
      <c r="G6019" s="102"/>
      <c r="H6019" s="102"/>
      <c r="I6019" s="102"/>
      <c r="J6019" s="102"/>
      <c r="K6019" s="102">
        <v>1</v>
      </c>
      <c r="L6019" s="102"/>
      <c r="M6019" s="22" t="b">
        <v>1</v>
      </c>
    </row>
    <row r="6020" spans="1:13" x14ac:dyDescent="0.25">
      <c r="A6020" s="102"/>
      <c r="B6020" s="102" t="s">
        <v>119</v>
      </c>
      <c r="C6020" s="102"/>
      <c r="D6020" s="102">
        <v>56001</v>
      </c>
      <c r="E6020" s="136" t="str">
        <f>INDEX([1]道具配置表!$D:$D,MATCH(D6020,[1]道具配置表!$A:$A,0))</f>
        <v>锻造装备消耗材料</v>
      </c>
      <c r="F6020" s="102">
        <v>50</v>
      </c>
      <c r="G6020" s="102"/>
      <c r="H6020" s="102"/>
      <c r="I6020" s="102"/>
      <c r="J6020" s="102"/>
      <c r="K6020" s="102">
        <v>1</v>
      </c>
      <c r="L6020" s="102"/>
      <c r="M6020" s="22" t="b">
        <v>1</v>
      </c>
    </row>
    <row r="6021" spans="1:13" x14ac:dyDescent="0.25">
      <c r="A6021" s="102"/>
      <c r="B6021" s="102"/>
      <c r="C6021" s="102"/>
      <c r="D6021" s="102">
        <v>6197</v>
      </c>
      <c r="E6021" s="136" t="str">
        <f>INDEX([1]道具配置表!$D:$D,MATCH(D6021,[1]道具配置表!$A:$A,0))</f>
        <v>5分钟锻造加速</v>
      </c>
      <c r="F6021" s="102">
        <v>1</v>
      </c>
      <c r="G6021" s="102"/>
      <c r="H6021" s="102"/>
      <c r="I6021" s="102"/>
      <c r="J6021" s="102"/>
      <c r="K6021" s="102">
        <v>1</v>
      </c>
      <c r="L6021" s="102"/>
      <c r="M6021" s="22" t="b">
        <v>1</v>
      </c>
    </row>
    <row r="6022" spans="1:13" x14ac:dyDescent="0.25">
      <c r="A6022" s="102">
        <v>6652047</v>
      </c>
      <c r="B6022" s="102" t="s">
        <v>1352</v>
      </c>
      <c r="C6022" s="102"/>
      <c r="D6022" s="102">
        <v>7228</v>
      </c>
      <c r="E6022" s="136" t="str">
        <f>INDEX([1]道具配置表!$D:$D,MATCH(D6022,[1]道具配置表!$A:$A,0))</f>
        <v>经验书*10000</v>
      </c>
      <c r="F6022" s="102">
        <v>1</v>
      </c>
      <c r="G6022" s="102"/>
      <c r="H6022" s="102"/>
      <c r="I6022" s="102"/>
      <c r="J6022" s="102"/>
      <c r="K6022" s="102">
        <v>1</v>
      </c>
      <c r="L6022" s="102"/>
      <c r="M6022" s="22" t="b">
        <v>1</v>
      </c>
    </row>
    <row r="6023" spans="1:13" x14ac:dyDescent="0.25">
      <c r="A6023" s="102"/>
      <c r="B6023" s="102" t="s">
        <v>119</v>
      </c>
      <c r="C6023" s="102"/>
      <c r="D6023" s="102">
        <v>20000</v>
      </c>
      <c r="E6023" s="136" t="str">
        <f>INDEX([1]道具配置表!$D:$D,MATCH(D6023,[1]道具配置表!$A:$A,0))</f>
        <v>技能点1</v>
      </c>
      <c r="F6023" s="102">
        <v>50</v>
      </c>
      <c r="G6023" s="102"/>
      <c r="H6023" s="102"/>
      <c r="I6023" s="102"/>
      <c r="J6023" s="102"/>
      <c r="K6023" s="102">
        <v>1</v>
      </c>
      <c r="L6023" s="102"/>
      <c r="M6023" s="22" t="b">
        <v>1</v>
      </c>
    </row>
    <row r="6024" spans="1:13" x14ac:dyDescent="0.25">
      <c r="A6024" s="102"/>
      <c r="B6024" s="102" t="s">
        <v>119</v>
      </c>
      <c r="C6024" s="102"/>
      <c r="D6024" s="102">
        <v>56001</v>
      </c>
      <c r="E6024" s="136" t="str">
        <f>INDEX([1]道具配置表!$D:$D,MATCH(D6024,[1]道具配置表!$A:$A,0))</f>
        <v>锻造装备消耗材料</v>
      </c>
      <c r="F6024" s="102">
        <v>20</v>
      </c>
      <c r="G6024" s="102"/>
      <c r="H6024" s="102"/>
      <c r="I6024" s="102"/>
      <c r="J6024" s="102"/>
      <c r="K6024" s="102">
        <v>1</v>
      </c>
      <c r="L6024" s="102"/>
      <c r="M6024" s="22" t="b">
        <v>1</v>
      </c>
    </row>
    <row r="6025" spans="1:13" x14ac:dyDescent="0.25">
      <c r="A6025" s="102"/>
      <c r="B6025" s="102" t="s">
        <v>119</v>
      </c>
      <c r="C6025" s="102"/>
      <c r="D6025" s="102">
        <v>6197</v>
      </c>
      <c r="E6025" s="136" t="str">
        <f>INDEX([1]道具配置表!$D:$D,MATCH(D6025,[1]道具配置表!$A:$A,0))</f>
        <v>5分钟锻造加速</v>
      </c>
      <c r="F6025" s="102">
        <v>1</v>
      </c>
      <c r="G6025" s="102"/>
      <c r="H6025" s="102"/>
      <c r="I6025" s="102"/>
      <c r="J6025" s="102"/>
      <c r="K6025" s="102">
        <v>1</v>
      </c>
      <c r="L6025" s="102"/>
      <c r="M6025" s="22" t="b">
        <v>1</v>
      </c>
    </row>
    <row r="6026" spans="1:13" x14ac:dyDescent="0.25">
      <c r="A6026" s="102">
        <v>6652048</v>
      </c>
      <c r="B6026" s="102" t="s">
        <v>1353</v>
      </c>
      <c r="C6026" s="102"/>
      <c r="D6026" s="102">
        <v>56150</v>
      </c>
      <c r="E6026" s="136" t="str">
        <f>INDEX([1]道具配置表!$D:$D,MATCH(D6026,[1]道具配置表!$A:$A,0))</f>
        <v>破落布甲</v>
      </c>
      <c r="F6026" s="102">
        <v>1</v>
      </c>
      <c r="G6026" s="102"/>
      <c r="H6026" s="102"/>
      <c r="I6026" s="102"/>
      <c r="J6026" s="102"/>
      <c r="K6026" s="102">
        <v>1</v>
      </c>
      <c r="L6026" s="102"/>
      <c r="M6026" s="22" t="b">
        <v>1</v>
      </c>
    </row>
    <row r="6027" spans="1:13" x14ac:dyDescent="0.25">
      <c r="A6027" s="102"/>
      <c r="B6027" s="102" t="s">
        <v>119</v>
      </c>
      <c r="C6027" s="102"/>
      <c r="D6027" s="102">
        <v>56002</v>
      </c>
      <c r="E6027" s="136" t="str">
        <f>INDEX([1]道具配置表!$D:$D,MATCH(D6027,[1]道具配置表!$A:$A,0))</f>
        <v>强化装备消耗材料</v>
      </c>
      <c r="F6027" s="102">
        <v>20</v>
      </c>
      <c r="G6027" s="102"/>
      <c r="H6027" s="102"/>
      <c r="I6027" s="102"/>
      <c r="J6027" s="102"/>
      <c r="K6027" s="102">
        <v>1</v>
      </c>
      <c r="L6027" s="102"/>
      <c r="M6027" s="22" t="b">
        <v>1</v>
      </c>
    </row>
    <row r="6028" spans="1:13" x14ac:dyDescent="0.25">
      <c r="A6028" s="102"/>
      <c r="B6028" s="102" t="s">
        <v>119</v>
      </c>
      <c r="C6028" s="102"/>
      <c r="D6028" s="102">
        <v>7228</v>
      </c>
      <c r="E6028" s="136" t="str">
        <f>INDEX([1]道具配置表!$D:$D,MATCH(D6028,[1]道具配置表!$A:$A,0))</f>
        <v>经验书*10000</v>
      </c>
      <c r="F6028" s="102">
        <v>1</v>
      </c>
      <c r="G6028" s="102"/>
      <c r="H6028" s="102"/>
      <c r="I6028" s="102"/>
      <c r="J6028" s="102"/>
      <c r="K6028" s="102">
        <v>1</v>
      </c>
      <c r="L6028" s="102"/>
      <c r="M6028" s="22" t="b">
        <v>1</v>
      </c>
    </row>
    <row r="6029" spans="1:13" x14ac:dyDescent="0.25">
      <c r="A6029" s="102"/>
      <c r="B6029" s="102" t="s">
        <v>119</v>
      </c>
      <c r="C6029" s="102"/>
      <c r="D6029" s="102">
        <v>20000</v>
      </c>
      <c r="E6029" s="136" t="str">
        <f>INDEX([1]道具配置表!$D:$D,MATCH(D6029,[1]道具配置表!$A:$A,0))</f>
        <v>技能点1</v>
      </c>
      <c r="F6029" s="102">
        <v>50</v>
      </c>
      <c r="G6029" s="102"/>
      <c r="H6029" s="102"/>
      <c r="I6029" s="102"/>
      <c r="J6029" s="102"/>
      <c r="K6029" s="102">
        <v>1</v>
      </c>
      <c r="L6029" s="102"/>
      <c r="M6029" s="22" t="b">
        <v>1</v>
      </c>
    </row>
    <row r="6030" spans="1:13" x14ac:dyDescent="0.25">
      <c r="A6030" s="102"/>
      <c r="B6030" s="102" t="s">
        <v>119</v>
      </c>
      <c r="C6030" s="102"/>
      <c r="D6030" s="102">
        <v>56001</v>
      </c>
      <c r="E6030" s="136" t="str">
        <f>INDEX([1]道具配置表!$D:$D,MATCH(D6030,[1]道具配置表!$A:$A,0))</f>
        <v>锻造装备消耗材料</v>
      </c>
      <c r="F6030" s="102">
        <v>20</v>
      </c>
      <c r="G6030" s="102"/>
      <c r="H6030" s="102"/>
      <c r="I6030" s="102"/>
      <c r="J6030" s="102"/>
      <c r="K6030" s="102">
        <v>1</v>
      </c>
      <c r="L6030" s="102"/>
      <c r="M6030" s="22" t="b">
        <v>1</v>
      </c>
    </row>
    <row r="6031" spans="1:13" x14ac:dyDescent="0.25">
      <c r="A6031" s="102"/>
      <c r="B6031" s="102"/>
      <c r="C6031" s="102"/>
      <c r="D6031" s="102">
        <v>6197</v>
      </c>
      <c r="E6031" s="136" t="str">
        <f>INDEX([1]道具配置表!$D:$D,MATCH(D6031,[1]道具配置表!$A:$A,0))</f>
        <v>5分钟锻造加速</v>
      </c>
      <c r="F6031" s="102">
        <v>1</v>
      </c>
      <c r="G6031" s="102"/>
      <c r="H6031" s="102"/>
      <c r="I6031" s="102"/>
      <c r="J6031" s="102"/>
      <c r="K6031" s="102">
        <v>1</v>
      </c>
      <c r="L6031" s="102"/>
      <c r="M6031" s="22" t="b">
        <v>1</v>
      </c>
    </row>
    <row r="6032" spans="1:13" x14ac:dyDescent="0.25">
      <c r="A6032" s="102">
        <v>6652049</v>
      </c>
      <c r="B6032" s="102" t="s">
        <v>1354</v>
      </c>
      <c r="C6032" s="102"/>
      <c r="D6032" s="102">
        <v>7228</v>
      </c>
      <c r="E6032" s="136" t="str">
        <f>INDEX([1]道具配置表!$D:$D,MATCH(D6032,[1]道具配置表!$A:$A,0))</f>
        <v>经验书*10000</v>
      </c>
      <c r="F6032" s="102">
        <v>1</v>
      </c>
      <c r="G6032" s="102"/>
      <c r="H6032" s="102"/>
      <c r="I6032" s="102"/>
      <c r="J6032" s="102"/>
      <c r="K6032" s="102">
        <v>1</v>
      </c>
      <c r="L6032" s="102"/>
      <c r="M6032" s="22" t="b">
        <v>1</v>
      </c>
    </row>
    <row r="6033" spans="1:13" x14ac:dyDescent="0.25">
      <c r="A6033" s="102"/>
      <c r="B6033" s="102" t="s">
        <v>119</v>
      </c>
      <c r="C6033" s="102"/>
      <c r="D6033" s="102">
        <v>20000</v>
      </c>
      <c r="E6033" s="136" t="str">
        <f>INDEX([1]道具配置表!$D:$D,MATCH(D6033,[1]道具配置表!$A:$A,0))</f>
        <v>技能点1</v>
      </c>
      <c r="F6033" s="102">
        <v>50</v>
      </c>
      <c r="G6033" s="102"/>
      <c r="H6033" s="102"/>
      <c r="I6033" s="102"/>
      <c r="J6033" s="102"/>
      <c r="K6033" s="102">
        <v>1</v>
      </c>
      <c r="L6033" s="102"/>
      <c r="M6033" s="22" t="b">
        <v>1</v>
      </c>
    </row>
    <row r="6034" spans="1:13" x14ac:dyDescent="0.25">
      <c r="A6034" s="102"/>
      <c r="B6034" s="102" t="s">
        <v>119</v>
      </c>
      <c r="C6034" s="102"/>
      <c r="D6034" s="102">
        <v>56001</v>
      </c>
      <c r="E6034" s="136" t="str">
        <f>INDEX([1]道具配置表!$D:$D,MATCH(D6034,[1]道具配置表!$A:$A,0))</f>
        <v>锻造装备消耗材料</v>
      </c>
      <c r="F6034" s="102">
        <v>20</v>
      </c>
      <c r="G6034" s="102"/>
      <c r="H6034" s="102"/>
      <c r="I6034" s="102"/>
      <c r="J6034" s="102"/>
      <c r="K6034" s="102">
        <v>1</v>
      </c>
      <c r="L6034" s="102"/>
      <c r="M6034" s="22" t="b">
        <v>1</v>
      </c>
    </row>
    <row r="6035" spans="1:13" x14ac:dyDescent="0.25">
      <c r="A6035" s="102"/>
      <c r="B6035" s="102" t="s">
        <v>119</v>
      </c>
      <c r="C6035" s="102"/>
      <c r="D6035" s="102">
        <v>6197</v>
      </c>
      <c r="E6035" s="136" t="str">
        <f>INDEX([1]道具配置表!$D:$D,MATCH(D6035,[1]道具配置表!$A:$A,0))</f>
        <v>5分钟锻造加速</v>
      </c>
      <c r="F6035" s="102">
        <v>1</v>
      </c>
      <c r="G6035" s="102"/>
      <c r="H6035" s="102"/>
      <c r="I6035" s="102"/>
      <c r="J6035" s="102"/>
      <c r="K6035" s="102">
        <v>1</v>
      </c>
      <c r="L6035" s="102"/>
      <c r="M6035" s="22" t="b">
        <v>1</v>
      </c>
    </row>
    <row r="6036" spans="1:13" x14ac:dyDescent="0.25">
      <c r="A6036" s="102">
        <v>6652050</v>
      </c>
      <c r="B6036" s="102" t="s">
        <v>1355</v>
      </c>
      <c r="C6036" s="102"/>
      <c r="D6036" s="102">
        <v>56162</v>
      </c>
      <c r="E6036" s="136" t="str">
        <f>INDEX([1]道具配置表!$D:$D,MATCH(D6036,[1]道具配置表!$A:$A,0))</f>
        <v>熊革护胸</v>
      </c>
      <c r="F6036" s="102">
        <v>1</v>
      </c>
      <c r="G6036" s="102"/>
      <c r="H6036" s="102"/>
      <c r="I6036" s="102"/>
      <c r="J6036" s="102"/>
      <c r="K6036" s="102">
        <v>1</v>
      </c>
      <c r="L6036" s="102"/>
      <c r="M6036" s="22" t="b">
        <v>1</v>
      </c>
    </row>
    <row r="6037" spans="1:13" x14ac:dyDescent="0.25">
      <c r="A6037" s="102"/>
      <c r="B6037" s="102" t="s">
        <v>119</v>
      </c>
      <c r="C6037" s="102"/>
      <c r="D6037" s="102">
        <v>56002</v>
      </c>
      <c r="E6037" s="136" t="str">
        <f>INDEX([1]道具配置表!$D:$D,MATCH(D6037,[1]道具配置表!$A:$A,0))</f>
        <v>强化装备消耗材料</v>
      </c>
      <c r="F6037" s="102">
        <v>20</v>
      </c>
      <c r="G6037" s="102"/>
      <c r="H6037" s="102"/>
      <c r="I6037" s="102"/>
      <c r="J6037" s="102"/>
      <c r="K6037" s="102">
        <v>1</v>
      </c>
      <c r="L6037" s="102"/>
      <c r="M6037" s="22" t="b">
        <v>1</v>
      </c>
    </row>
    <row r="6038" spans="1:13" x14ac:dyDescent="0.25">
      <c r="A6038" s="102"/>
      <c r="B6038" s="102" t="s">
        <v>119</v>
      </c>
      <c r="C6038" s="102"/>
      <c r="D6038" s="102">
        <v>7228</v>
      </c>
      <c r="E6038" s="136" t="str">
        <f>INDEX([1]道具配置表!$D:$D,MATCH(D6038,[1]道具配置表!$A:$A,0))</f>
        <v>经验书*10000</v>
      </c>
      <c r="F6038" s="102">
        <v>2</v>
      </c>
      <c r="G6038" s="102"/>
      <c r="H6038" s="102"/>
      <c r="I6038" s="102"/>
      <c r="J6038" s="102"/>
      <c r="K6038" s="102">
        <v>1</v>
      </c>
      <c r="L6038" s="102"/>
      <c r="M6038" s="22" t="b">
        <v>1</v>
      </c>
    </row>
    <row r="6039" spans="1:13" x14ac:dyDescent="0.25">
      <c r="A6039" s="102"/>
      <c r="B6039" s="102" t="s">
        <v>119</v>
      </c>
      <c r="C6039" s="102"/>
      <c r="D6039" s="102">
        <v>20000</v>
      </c>
      <c r="E6039" s="136" t="str">
        <f>INDEX([1]道具配置表!$D:$D,MATCH(D6039,[1]道具配置表!$A:$A,0))</f>
        <v>技能点1</v>
      </c>
      <c r="F6039" s="102">
        <v>100</v>
      </c>
      <c r="G6039" s="102"/>
      <c r="H6039" s="102"/>
      <c r="I6039" s="102"/>
      <c r="J6039" s="102"/>
      <c r="K6039" s="102">
        <v>1</v>
      </c>
      <c r="L6039" s="102"/>
      <c r="M6039" s="22" t="b">
        <v>1</v>
      </c>
    </row>
    <row r="6040" spans="1:13" x14ac:dyDescent="0.25">
      <c r="A6040" s="102"/>
      <c r="B6040" s="102" t="s">
        <v>119</v>
      </c>
      <c r="C6040" s="102"/>
      <c r="D6040" s="102">
        <v>56001</v>
      </c>
      <c r="E6040" s="136" t="str">
        <f>INDEX([1]道具配置表!$D:$D,MATCH(D6040,[1]道具配置表!$A:$A,0))</f>
        <v>锻造装备消耗材料</v>
      </c>
      <c r="F6040" s="102">
        <v>50</v>
      </c>
      <c r="G6040" s="102"/>
      <c r="H6040" s="102"/>
      <c r="I6040" s="102"/>
      <c r="J6040" s="102"/>
      <c r="K6040" s="102">
        <v>1</v>
      </c>
      <c r="L6040" s="102"/>
      <c r="M6040" s="22" t="b">
        <v>1</v>
      </c>
    </row>
    <row r="6041" spans="1:13" x14ac:dyDescent="0.25">
      <c r="A6041" s="102"/>
      <c r="B6041" s="102" t="s">
        <v>119</v>
      </c>
      <c r="C6041" s="102"/>
      <c r="D6041" s="102">
        <v>6201</v>
      </c>
      <c r="E6041" s="136" t="str">
        <f>INDEX([1]道具配置表!$D:$D,MATCH(D6041,[1]道具配置表!$A:$A,0))</f>
        <v>60分钟锻造加速</v>
      </c>
      <c r="F6041" s="102">
        <v>1</v>
      </c>
      <c r="G6041" s="102"/>
      <c r="H6041" s="102"/>
      <c r="I6041" s="102"/>
      <c r="J6041" s="102"/>
      <c r="K6041" s="102">
        <v>1</v>
      </c>
      <c r="L6041" s="102"/>
      <c r="M6041" s="22" t="b">
        <v>1</v>
      </c>
    </row>
    <row r="6042" spans="1:13" x14ac:dyDescent="0.25">
      <c r="A6042" s="102">
        <v>6652051</v>
      </c>
      <c r="B6042" s="102" t="s">
        <v>1356</v>
      </c>
      <c r="C6042" s="102"/>
      <c r="D6042" s="102">
        <v>7228</v>
      </c>
      <c r="E6042" s="136" t="str">
        <f>INDEX([1]道具配置表!$D:$D,MATCH(D6042,[1]道具配置表!$A:$A,0))</f>
        <v>经验书*10000</v>
      </c>
      <c r="F6042" s="102">
        <v>1</v>
      </c>
      <c r="G6042" s="102"/>
      <c r="H6042" s="102"/>
      <c r="I6042" s="102"/>
      <c r="J6042" s="102"/>
      <c r="K6042" s="102">
        <v>1</v>
      </c>
      <c r="L6042" s="102"/>
      <c r="M6042" s="22" t="b">
        <v>1</v>
      </c>
    </row>
    <row r="6043" spans="1:13" x14ac:dyDescent="0.25">
      <c r="A6043" s="102"/>
      <c r="B6043" s="102" t="s">
        <v>119</v>
      </c>
      <c r="C6043" s="102"/>
      <c r="D6043" s="102">
        <v>20000</v>
      </c>
      <c r="E6043" s="136" t="str">
        <f>INDEX([1]道具配置表!$D:$D,MATCH(D6043,[1]道具配置表!$A:$A,0))</f>
        <v>技能点1</v>
      </c>
      <c r="F6043" s="102">
        <v>50</v>
      </c>
      <c r="G6043" s="102"/>
      <c r="H6043" s="102"/>
      <c r="I6043" s="102"/>
      <c r="J6043" s="102"/>
      <c r="K6043" s="102">
        <v>1</v>
      </c>
      <c r="L6043" s="102"/>
      <c r="M6043" s="22" t="b">
        <v>1</v>
      </c>
    </row>
    <row r="6044" spans="1:13" x14ac:dyDescent="0.25">
      <c r="A6044" s="102"/>
      <c r="B6044" s="102" t="s">
        <v>119</v>
      </c>
      <c r="C6044" s="102"/>
      <c r="D6044" s="102">
        <v>56001</v>
      </c>
      <c r="E6044" s="136" t="str">
        <f>INDEX([1]道具配置表!$D:$D,MATCH(D6044,[1]道具配置表!$A:$A,0))</f>
        <v>锻造装备消耗材料</v>
      </c>
      <c r="F6044" s="102">
        <v>20</v>
      </c>
      <c r="G6044" s="102"/>
      <c r="H6044" s="102"/>
      <c r="I6044" s="102"/>
      <c r="J6044" s="102"/>
      <c r="K6044" s="102">
        <v>1</v>
      </c>
      <c r="L6044" s="102"/>
      <c r="M6044" s="22" t="b">
        <v>1</v>
      </c>
    </row>
    <row r="6045" spans="1:13" x14ac:dyDescent="0.25">
      <c r="A6045" s="102"/>
      <c r="B6045" s="102" t="s">
        <v>119</v>
      </c>
      <c r="C6045" s="102"/>
      <c r="D6045" s="102">
        <v>6197</v>
      </c>
      <c r="E6045" s="136" t="str">
        <f>INDEX([1]道具配置表!$D:$D,MATCH(D6045,[1]道具配置表!$A:$A,0))</f>
        <v>5分钟锻造加速</v>
      </c>
      <c r="F6045" s="102">
        <v>1</v>
      </c>
      <c r="G6045" s="102"/>
      <c r="H6045" s="102"/>
      <c r="I6045" s="102"/>
      <c r="J6045" s="102"/>
      <c r="K6045" s="102">
        <v>1</v>
      </c>
      <c r="L6045" s="102"/>
      <c r="M6045" s="22" t="b">
        <v>1</v>
      </c>
    </row>
    <row r="6046" spans="1:13" x14ac:dyDescent="0.25">
      <c r="A6046" s="102">
        <v>6652052</v>
      </c>
      <c r="B6046" s="102" t="s">
        <v>1357</v>
      </c>
      <c r="C6046" s="102"/>
      <c r="D6046" s="102">
        <v>56174</v>
      </c>
      <c r="E6046" s="136" t="str">
        <f>INDEX([1]道具配置表!$D:$D,MATCH(D6046,[1]道具配置表!$A:$A,0))</f>
        <v>麂皮短衫</v>
      </c>
      <c r="F6046" s="102">
        <v>1</v>
      </c>
      <c r="G6046" s="102"/>
      <c r="H6046" s="102"/>
      <c r="I6046" s="102"/>
      <c r="J6046" s="102"/>
      <c r="K6046" s="102">
        <v>1</v>
      </c>
      <c r="L6046" s="102"/>
      <c r="M6046" s="22" t="b">
        <v>1</v>
      </c>
    </row>
    <row r="6047" spans="1:13" x14ac:dyDescent="0.25">
      <c r="A6047" s="102"/>
      <c r="B6047" s="102" t="s">
        <v>119</v>
      </c>
      <c r="C6047" s="102"/>
      <c r="D6047" s="102">
        <v>56002</v>
      </c>
      <c r="E6047" s="136" t="str">
        <f>INDEX([1]道具配置表!$D:$D,MATCH(D6047,[1]道具配置表!$A:$A,0))</f>
        <v>强化装备消耗材料</v>
      </c>
      <c r="F6047" s="102">
        <v>20</v>
      </c>
      <c r="G6047" s="102"/>
      <c r="H6047" s="102"/>
      <c r="I6047" s="102"/>
      <c r="J6047" s="102"/>
      <c r="K6047" s="102">
        <v>1</v>
      </c>
      <c r="L6047" s="102"/>
      <c r="M6047" s="22" t="b">
        <v>1</v>
      </c>
    </row>
    <row r="6048" spans="1:13" x14ac:dyDescent="0.25">
      <c r="A6048" s="102"/>
      <c r="B6048" s="102"/>
      <c r="C6048" s="102"/>
      <c r="D6048" s="102">
        <v>7228</v>
      </c>
      <c r="E6048" s="136" t="str">
        <f>INDEX([1]道具配置表!$D:$D,MATCH(D6048,[1]道具配置表!$A:$A,0))</f>
        <v>经验书*10000</v>
      </c>
      <c r="F6048" s="102">
        <v>1</v>
      </c>
      <c r="G6048" s="102"/>
      <c r="H6048" s="102"/>
      <c r="I6048" s="102"/>
      <c r="J6048" s="102"/>
      <c r="K6048" s="102">
        <v>1</v>
      </c>
      <c r="L6048" s="102"/>
      <c r="M6048" s="22" t="b">
        <v>1</v>
      </c>
    </row>
    <row r="6049" spans="1:13" x14ac:dyDescent="0.25">
      <c r="A6049" s="102"/>
      <c r="B6049" s="102" t="s">
        <v>119</v>
      </c>
      <c r="C6049" s="102"/>
      <c r="D6049" s="102">
        <v>20000</v>
      </c>
      <c r="E6049" s="136" t="str">
        <f>INDEX([1]道具配置表!$D:$D,MATCH(D6049,[1]道具配置表!$A:$A,0))</f>
        <v>技能点1</v>
      </c>
      <c r="F6049" s="102">
        <v>50</v>
      </c>
      <c r="G6049" s="102"/>
      <c r="H6049" s="102"/>
      <c r="I6049" s="102"/>
      <c r="J6049" s="102"/>
      <c r="K6049" s="102">
        <v>1</v>
      </c>
      <c r="L6049" s="102"/>
      <c r="M6049" s="22" t="b">
        <v>1</v>
      </c>
    </row>
    <row r="6050" spans="1:13" x14ac:dyDescent="0.25">
      <c r="A6050" s="102"/>
      <c r="B6050" s="102" t="s">
        <v>119</v>
      </c>
      <c r="C6050" s="102"/>
      <c r="D6050" s="102">
        <v>56001</v>
      </c>
      <c r="E6050" s="136" t="str">
        <f>INDEX([1]道具配置表!$D:$D,MATCH(D6050,[1]道具配置表!$A:$A,0))</f>
        <v>锻造装备消耗材料</v>
      </c>
      <c r="F6050" s="102">
        <v>20</v>
      </c>
      <c r="G6050" s="102"/>
      <c r="H6050" s="102"/>
      <c r="I6050" s="102"/>
      <c r="J6050" s="102"/>
      <c r="K6050" s="102">
        <v>1</v>
      </c>
      <c r="L6050" s="102"/>
      <c r="M6050" s="22" t="b">
        <v>1</v>
      </c>
    </row>
    <row r="6051" spans="1:13" x14ac:dyDescent="0.25">
      <c r="A6051" s="102"/>
      <c r="B6051" s="102" t="s">
        <v>119</v>
      </c>
      <c r="C6051" s="102"/>
      <c r="D6051" s="102">
        <v>6201</v>
      </c>
      <c r="E6051" s="136" t="str">
        <f>INDEX([1]道具配置表!$D:$D,MATCH(D6051,[1]道具配置表!$A:$A,0))</f>
        <v>60分钟锻造加速</v>
      </c>
      <c r="F6051" s="102">
        <v>1</v>
      </c>
      <c r="G6051" s="102"/>
      <c r="H6051" s="102"/>
      <c r="I6051" s="102"/>
      <c r="J6051" s="102"/>
      <c r="K6051" s="102">
        <v>1</v>
      </c>
      <c r="L6051" s="102"/>
      <c r="M6051" s="22" t="b">
        <v>1</v>
      </c>
    </row>
    <row r="6052" spans="1:13" x14ac:dyDescent="0.25">
      <c r="A6052" s="102">
        <v>6652053</v>
      </c>
      <c r="B6052" s="102" t="s">
        <v>1358</v>
      </c>
      <c r="C6052" s="102"/>
      <c r="D6052" s="102">
        <v>7228</v>
      </c>
      <c r="E6052" s="136" t="str">
        <f>INDEX([1]道具配置表!$D:$D,MATCH(D6052,[1]道具配置表!$A:$A,0))</f>
        <v>经验书*10000</v>
      </c>
      <c r="F6052" s="102">
        <v>1</v>
      </c>
      <c r="G6052" s="102"/>
      <c r="H6052" s="102"/>
      <c r="I6052" s="102"/>
      <c r="J6052" s="102"/>
      <c r="K6052" s="102">
        <v>1</v>
      </c>
      <c r="L6052" s="102"/>
      <c r="M6052" s="22" t="b">
        <v>1</v>
      </c>
    </row>
    <row r="6053" spans="1:13" x14ac:dyDescent="0.25">
      <c r="A6053" s="102"/>
      <c r="B6053" s="102" t="s">
        <v>119</v>
      </c>
      <c r="C6053" s="102"/>
      <c r="D6053" s="102">
        <v>20000</v>
      </c>
      <c r="E6053" s="136" t="str">
        <f>INDEX([1]道具配置表!$D:$D,MATCH(D6053,[1]道具配置表!$A:$A,0))</f>
        <v>技能点1</v>
      </c>
      <c r="F6053" s="102">
        <v>50</v>
      </c>
      <c r="G6053" s="102"/>
      <c r="H6053" s="102"/>
      <c r="I6053" s="102"/>
      <c r="J6053" s="102"/>
      <c r="K6053" s="102">
        <v>1</v>
      </c>
      <c r="L6053" s="102"/>
      <c r="M6053" s="22" t="b">
        <v>1</v>
      </c>
    </row>
    <row r="6054" spans="1:13" x14ac:dyDescent="0.25">
      <c r="A6054" s="102"/>
      <c r="B6054" s="102" t="s">
        <v>119</v>
      </c>
      <c r="C6054" s="102"/>
      <c r="D6054" s="102">
        <v>56001</v>
      </c>
      <c r="E6054" s="136" t="str">
        <f>INDEX([1]道具配置表!$D:$D,MATCH(D6054,[1]道具配置表!$A:$A,0))</f>
        <v>锻造装备消耗材料</v>
      </c>
      <c r="F6054" s="102">
        <v>20</v>
      </c>
      <c r="G6054" s="102"/>
      <c r="H6054" s="102"/>
      <c r="I6054" s="102"/>
      <c r="J6054" s="102"/>
      <c r="K6054" s="102">
        <v>1</v>
      </c>
      <c r="L6054" s="102"/>
      <c r="M6054" s="22" t="b">
        <v>1</v>
      </c>
    </row>
    <row r="6055" spans="1:13" x14ac:dyDescent="0.25">
      <c r="A6055" s="102"/>
      <c r="B6055" s="102" t="s">
        <v>119</v>
      </c>
      <c r="C6055" s="102"/>
      <c r="D6055" s="102">
        <v>6197</v>
      </c>
      <c r="E6055" s="136" t="str">
        <f>INDEX([1]道具配置表!$D:$D,MATCH(D6055,[1]道具配置表!$A:$A,0))</f>
        <v>5分钟锻造加速</v>
      </c>
      <c r="F6055" s="102">
        <v>1</v>
      </c>
      <c r="G6055" s="102"/>
      <c r="H6055" s="102"/>
      <c r="I6055" s="102"/>
      <c r="J6055" s="102"/>
      <c r="K6055" s="102">
        <v>1</v>
      </c>
      <c r="L6055" s="102"/>
      <c r="M6055" s="22" t="b">
        <v>1</v>
      </c>
    </row>
    <row r="6056" spans="1:13" x14ac:dyDescent="0.25">
      <c r="A6056" s="102">
        <v>6652054</v>
      </c>
      <c r="B6056" s="102" t="s">
        <v>1359</v>
      </c>
      <c r="C6056" s="102"/>
      <c r="D6056" s="102">
        <v>56186</v>
      </c>
      <c r="E6056" s="136" t="str">
        <f>INDEX([1]道具配置表!$D:$D,MATCH(D6056,[1]道具配置表!$A:$A,0))</f>
        <v>棉布上衣</v>
      </c>
      <c r="F6056" s="102">
        <v>1</v>
      </c>
      <c r="G6056" s="102"/>
      <c r="H6056" s="102"/>
      <c r="I6056" s="102"/>
      <c r="J6056" s="102"/>
      <c r="K6056" s="102">
        <v>1</v>
      </c>
      <c r="L6056" s="102"/>
      <c r="M6056" s="22" t="b">
        <v>1</v>
      </c>
    </row>
    <row r="6057" spans="1:13" x14ac:dyDescent="0.25">
      <c r="A6057" s="102"/>
      <c r="B6057" s="102" t="s">
        <v>119</v>
      </c>
      <c r="C6057" s="102"/>
      <c r="D6057" s="102">
        <v>56002</v>
      </c>
      <c r="E6057" s="136" t="str">
        <f>INDEX([1]道具配置表!$D:$D,MATCH(D6057,[1]道具配置表!$A:$A,0))</f>
        <v>强化装备消耗材料</v>
      </c>
      <c r="F6057" s="102">
        <v>20</v>
      </c>
      <c r="G6057" s="102"/>
      <c r="H6057" s="102"/>
      <c r="I6057" s="102"/>
      <c r="J6057" s="102"/>
      <c r="K6057" s="102">
        <v>1</v>
      </c>
      <c r="L6057" s="102"/>
      <c r="M6057" s="22" t="b">
        <v>1</v>
      </c>
    </row>
    <row r="6058" spans="1:13" x14ac:dyDescent="0.25">
      <c r="A6058" s="102"/>
      <c r="B6058" s="102" t="s">
        <v>119</v>
      </c>
      <c r="C6058" s="102"/>
      <c r="D6058" s="102">
        <v>7228</v>
      </c>
      <c r="E6058" s="136" t="str">
        <f>INDEX([1]道具配置表!$D:$D,MATCH(D6058,[1]道具配置表!$A:$A,0))</f>
        <v>经验书*10000</v>
      </c>
      <c r="F6058" s="102">
        <v>1</v>
      </c>
      <c r="G6058" s="102"/>
      <c r="H6058" s="102"/>
      <c r="I6058" s="102"/>
      <c r="J6058" s="102"/>
      <c r="K6058" s="102">
        <v>1</v>
      </c>
      <c r="L6058" s="102"/>
      <c r="M6058" s="22" t="b">
        <v>1</v>
      </c>
    </row>
    <row r="6059" spans="1:13" x14ac:dyDescent="0.25">
      <c r="A6059" s="102"/>
      <c r="B6059" s="102" t="s">
        <v>119</v>
      </c>
      <c r="C6059" s="102"/>
      <c r="D6059" s="102">
        <v>20000</v>
      </c>
      <c r="E6059" s="136" t="str">
        <f>INDEX([1]道具配置表!$D:$D,MATCH(D6059,[1]道具配置表!$A:$A,0))</f>
        <v>技能点1</v>
      </c>
      <c r="F6059" s="102">
        <v>50</v>
      </c>
      <c r="G6059" s="102"/>
      <c r="H6059" s="102"/>
      <c r="I6059" s="102"/>
      <c r="J6059" s="102"/>
      <c r="K6059" s="102">
        <v>1</v>
      </c>
      <c r="L6059" s="102"/>
      <c r="M6059" s="22" t="b">
        <v>1</v>
      </c>
    </row>
    <row r="6060" spans="1:13" x14ac:dyDescent="0.25">
      <c r="A6060" s="102"/>
      <c r="B6060" s="102"/>
      <c r="C6060" s="102"/>
      <c r="D6060" s="102">
        <v>56001</v>
      </c>
      <c r="E6060" s="136" t="str">
        <f>INDEX([1]道具配置表!$D:$D,MATCH(D6060,[1]道具配置表!$A:$A,0))</f>
        <v>锻造装备消耗材料</v>
      </c>
      <c r="F6060" s="102">
        <v>20</v>
      </c>
      <c r="G6060" s="102"/>
      <c r="H6060" s="102"/>
      <c r="I6060" s="102"/>
      <c r="J6060" s="102"/>
      <c r="K6060" s="102">
        <v>1</v>
      </c>
      <c r="L6060" s="102"/>
      <c r="M6060" s="22" t="b">
        <v>1</v>
      </c>
    </row>
    <row r="6061" spans="1:13" x14ac:dyDescent="0.25">
      <c r="A6061" s="102"/>
      <c r="B6061" s="102" t="s">
        <v>119</v>
      </c>
      <c r="C6061" s="102"/>
      <c r="D6061" s="102">
        <v>6201</v>
      </c>
      <c r="E6061" s="136" t="str">
        <f>INDEX([1]道具配置表!$D:$D,MATCH(D6061,[1]道具配置表!$A:$A,0))</f>
        <v>60分钟锻造加速</v>
      </c>
      <c r="F6061" s="102">
        <v>1</v>
      </c>
      <c r="G6061" s="102"/>
      <c r="H6061" s="102"/>
      <c r="I6061" s="102"/>
      <c r="J6061" s="102"/>
      <c r="K6061" s="102">
        <v>1</v>
      </c>
      <c r="L6061" s="102"/>
      <c r="M6061" s="22" t="b">
        <v>1</v>
      </c>
    </row>
    <row r="6062" spans="1:13" x14ac:dyDescent="0.25">
      <c r="A6062" s="102">
        <v>6652055</v>
      </c>
      <c r="B6062" s="102" t="s">
        <v>1360</v>
      </c>
      <c r="C6062" s="102"/>
      <c r="D6062" s="102">
        <v>7228</v>
      </c>
      <c r="E6062" s="136" t="str">
        <f>INDEX([1]道具配置表!$D:$D,MATCH(D6062,[1]道具配置表!$A:$A,0))</f>
        <v>经验书*10000</v>
      </c>
      <c r="F6062" s="102">
        <v>2</v>
      </c>
      <c r="G6062" s="102"/>
      <c r="H6062" s="102"/>
      <c r="I6062" s="102"/>
      <c r="J6062" s="102"/>
      <c r="K6062" s="102">
        <v>1</v>
      </c>
      <c r="L6062" s="102"/>
      <c r="M6062" s="22" t="b">
        <v>1</v>
      </c>
    </row>
    <row r="6063" spans="1:13" x14ac:dyDescent="0.25">
      <c r="A6063" s="102"/>
      <c r="B6063" s="102" t="s">
        <v>119</v>
      </c>
      <c r="C6063" s="102"/>
      <c r="D6063" s="102">
        <v>20000</v>
      </c>
      <c r="E6063" s="136" t="str">
        <f>INDEX([1]道具配置表!$D:$D,MATCH(D6063,[1]道具配置表!$A:$A,0))</f>
        <v>技能点1</v>
      </c>
      <c r="F6063" s="102">
        <v>100</v>
      </c>
      <c r="G6063" s="102"/>
      <c r="H6063" s="102"/>
      <c r="I6063" s="102"/>
      <c r="J6063" s="102"/>
      <c r="K6063" s="102">
        <v>1</v>
      </c>
      <c r="L6063" s="102"/>
      <c r="M6063" s="22" t="b">
        <v>1</v>
      </c>
    </row>
    <row r="6064" spans="1:13" x14ac:dyDescent="0.25">
      <c r="A6064" s="102"/>
      <c r="B6064" s="102" t="s">
        <v>119</v>
      </c>
      <c r="C6064" s="102"/>
      <c r="D6064" s="102">
        <v>56001</v>
      </c>
      <c r="E6064" s="136" t="str">
        <f>INDEX([1]道具配置表!$D:$D,MATCH(D6064,[1]道具配置表!$A:$A,0))</f>
        <v>锻造装备消耗材料</v>
      </c>
      <c r="F6064" s="102">
        <v>50</v>
      </c>
      <c r="G6064" s="102"/>
      <c r="H6064" s="102"/>
      <c r="I6064" s="102"/>
      <c r="J6064" s="102"/>
      <c r="K6064" s="102">
        <v>1</v>
      </c>
      <c r="L6064" s="102"/>
      <c r="M6064" s="22" t="b">
        <v>1</v>
      </c>
    </row>
    <row r="6065" spans="1:13" x14ac:dyDescent="0.25">
      <c r="A6065" s="102"/>
      <c r="B6065" s="102" t="s">
        <v>119</v>
      </c>
      <c r="C6065" s="102"/>
      <c r="D6065" s="102">
        <v>6197</v>
      </c>
      <c r="E6065" s="136" t="str">
        <f>INDEX([1]道具配置表!$D:$D,MATCH(D6065,[1]道具配置表!$A:$A,0))</f>
        <v>5分钟锻造加速</v>
      </c>
      <c r="F6065" s="102">
        <v>1</v>
      </c>
      <c r="G6065" s="102"/>
      <c r="H6065" s="102"/>
      <c r="I6065" s="102"/>
      <c r="J6065" s="102"/>
      <c r="K6065" s="102">
        <v>1</v>
      </c>
      <c r="L6065" s="102"/>
      <c r="M6065" s="22" t="b">
        <v>1</v>
      </c>
    </row>
    <row r="6066" spans="1:13" x14ac:dyDescent="0.25">
      <c r="A6066" s="102">
        <v>6652056</v>
      </c>
      <c r="B6066" s="102" t="s">
        <v>1361</v>
      </c>
      <c r="C6066" s="102"/>
      <c r="D6066" s="102">
        <v>56149</v>
      </c>
      <c r="E6066" s="136" t="str">
        <f>INDEX([1]道具配置表!$D:$D,MATCH(D6066,[1]道具配置表!$A:$A,0))</f>
        <v>编绳护腕</v>
      </c>
      <c r="F6066" s="102">
        <v>1</v>
      </c>
      <c r="G6066" s="102"/>
      <c r="H6066" s="102"/>
      <c r="I6066" s="102"/>
      <c r="J6066" s="102"/>
      <c r="K6066" s="102">
        <v>1</v>
      </c>
      <c r="L6066" s="102"/>
      <c r="M6066" s="22" t="b">
        <v>1</v>
      </c>
    </row>
    <row r="6067" spans="1:13" x14ac:dyDescent="0.25">
      <c r="A6067" s="102"/>
      <c r="B6067" s="102" t="s">
        <v>119</v>
      </c>
      <c r="C6067" s="102"/>
      <c r="D6067" s="102">
        <v>56002</v>
      </c>
      <c r="E6067" s="136" t="str">
        <f>INDEX([1]道具配置表!$D:$D,MATCH(D6067,[1]道具配置表!$A:$A,0))</f>
        <v>强化装备消耗材料</v>
      </c>
      <c r="F6067" s="102">
        <v>20</v>
      </c>
      <c r="G6067" s="102"/>
      <c r="H6067" s="102"/>
      <c r="I6067" s="102"/>
      <c r="J6067" s="102"/>
      <c r="K6067" s="102">
        <v>1</v>
      </c>
      <c r="L6067" s="102"/>
      <c r="M6067" s="22" t="b">
        <v>1</v>
      </c>
    </row>
    <row r="6068" spans="1:13" x14ac:dyDescent="0.25">
      <c r="A6068" s="102"/>
      <c r="B6068" s="102"/>
      <c r="C6068" s="102"/>
      <c r="D6068" s="102">
        <v>7228</v>
      </c>
      <c r="E6068" s="136" t="str">
        <f>INDEX([1]道具配置表!$D:$D,MATCH(D6068,[1]道具配置表!$A:$A,0))</f>
        <v>经验书*10000</v>
      </c>
      <c r="F6068" s="102">
        <v>1</v>
      </c>
      <c r="G6068" s="102"/>
      <c r="H6068" s="102"/>
      <c r="I6068" s="102"/>
      <c r="J6068" s="102"/>
      <c r="K6068" s="102">
        <v>1</v>
      </c>
      <c r="L6068" s="102"/>
      <c r="M6068" s="22" t="b">
        <v>1</v>
      </c>
    </row>
    <row r="6069" spans="1:13" x14ac:dyDescent="0.25">
      <c r="A6069" s="102"/>
      <c r="B6069" s="102" t="s">
        <v>119</v>
      </c>
      <c r="C6069" s="102"/>
      <c r="D6069" s="102">
        <v>20000</v>
      </c>
      <c r="E6069" s="136" t="str">
        <f>INDEX([1]道具配置表!$D:$D,MATCH(D6069,[1]道具配置表!$A:$A,0))</f>
        <v>技能点1</v>
      </c>
      <c r="F6069" s="102">
        <v>50</v>
      </c>
      <c r="G6069" s="102"/>
      <c r="H6069" s="102"/>
      <c r="I6069" s="102"/>
      <c r="J6069" s="102"/>
      <c r="K6069" s="102">
        <v>1</v>
      </c>
      <c r="L6069" s="102"/>
      <c r="M6069" s="22" t="b">
        <v>1</v>
      </c>
    </row>
    <row r="6070" spans="1:13" x14ac:dyDescent="0.25">
      <c r="A6070" s="102"/>
      <c r="B6070" s="102" t="s">
        <v>119</v>
      </c>
      <c r="C6070" s="102"/>
      <c r="D6070" s="102">
        <v>56001</v>
      </c>
      <c r="E6070" s="136" t="str">
        <f>INDEX([1]道具配置表!$D:$D,MATCH(D6070,[1]道具配置表!$A:$A,0))</f>
        <v>锻造装备消耗材料</v>
      </c>
      <c r="F6070" s="102">
        <v>20</v>
      </c>
      <c r="G6070" s="102"/>
      <c r="H6070" s="102"/>
      <c r="I6070" s="102"/>
      <c r="J6070" s="102"/>
      <c r="K6070" s="102">
        <v>1</v>
      </c>
      <c r="L6070" s="102"/>
      <c r="M6070" s="22" t="b">
        <v>1</v>
      </c>
    </row>
    <row r="6071" spans="1:13" x14ac:dyDescent="0.25">
      <c r="A6071" s="102"/>
      <c r="B6071" s="102" t="s">
        <v>119</v>
      </c>
      <c r="C6071" s="102"/>
      <c r="D6071" s="102">
        <v>6201</v>
      </c>
      <c r="E6071" s="136" t="str">
        <f>INDEX([1]道具配置表!$D:$D,MATCH(D6071,[1]道具配置表!$A:$A,0))</f>
        <v>60分钟锻造加速</v>
      </c>
      <c r="F6071" s="102">
        <v>1</v>
      </c>
      <c r="G6071" s="102"/>
      <c r="H6071" s="102"/>
      <c r="I6071" s="102"/>
      <c r="J6071" s="102"/>
      <c r="K6071" s="102">
        <v>1</v>
      </c>
      <c r="L6071" s="102"/>
      <c r="M6071" s="22" t="b">
        <v>1</v>
      </c>
    </row>
    <row r="6072" spans="1:13" x14ac:dyDescent="0.25">
      <c r="A6072" s="102">
        <v>6652057</v>
      </c>
      <c r="B6072" s="102" t="s">
        <v>1362</v>
      </c>
      <c r="C6072" s="102"/>
      <c r="D6072" s="102">
        <v>7228</v>
      </c>
      <c r="E6072" s="136" t="str">
        <f>INDEX([1]道具配置表!$D:$D,MATCH(D6072,[1]道具配置表!$A:$A,0))</f>
        <v>经验书*10000</v>
      </c>
      <c r="F6072" s="102">
        <v>1</v>
      </c>
      <c r="G6072" s="102"/>
      <c r="H6072" s="102"/>
      <c r="I6072" s="102"/>
      <c r="J6072" s="102"/>
      <c r="K6072" s="102">
        <v>1</v>
      </c>
      <c r="L6072" s="102"/>
      <c r="M6072" s="22" t="b">
        <v>1</v>
      </c>
    </row>
    <row r="6073" spans="1:13" x14ac:dyDescent="0.25">
      <c r="A6073" s="102"/>
      <c r="B6073" s="102" t="s">
        <v>119</v>
      </c>
      <c r="C6073" s="102"/>
      <c r="D6073" s="102">
        <v>20000</v>
      </c>
      <c r="E6073" s="136" t="str">
        <f>INDEX([1]道具配置表!$D:$D,MATCH(D6073,[1]道具配置表!$A:$A,0))</f>
        <v>技能点1</v>
      </c>
      <c r="F6073" s="102">
        <v>50</v>
      </c>
      <c r="G6073" s="102"/>
      <c r="H6073" s="102"/>
      <c r="I6073" s="102"/>
      <c r="J6073" s="102"/>
      <c r="K6073" s="102">
        <v>1</v>
      </c>
      <c r="L6073" s="102"/>
      <c r="M6073" s="22" t="b">
        <v>1</v>
      </c>
    </row>
    <row r="6074" spans="1:13" x14ac:dyDescent="0.25">
      <c r="A6074" s="102"/>
      <c r="B6074" s="102" t="s">
        <v>119</v>
      </c>
      <c r="C6074" s="102"/>
      <c r="D6074" s="102">
        <v>56001</v>
      </c>
      <c r="E6074" s="136" t="str">
        <f>INDEX([1]道具配置表!$D:$D,MATCH(D6074,[1]道具配置表!$A:$A,0))</f>
        <v>锻造装备消耗材料</v>
      </c>
      <c r="F6074" s="102">
        <v>20</v>
      </c>
      <c r="G6074" s="102"/>
      <c r="H6074" s="102"/>
      <c r="I6074" s="102"/>
      <c r="J6074" s="102"/>
      <c r="K6074" s="102">
        <v>1</v>
      </c>
      <c r="L6074" s="102"/>
      <c r="M6074" s="22" t="b">
        <v>1</v>
      </c>
    </row>
    <row r="6075" spans="1:13" x14ac:dyDescent="0.25">
      <c r="A6075" s="102"/>
      <c r="B6075" s="102" t="s">
        <v>119</v>
      </c>
      <c r="C6075" s="102"/>
      <c r="D6075" s="102">
        <v>6197</v>
      </c>
      <c r="E6075" s="136" t="str">
        <f>INDEX([1]道具配置表!$D:$D,MATCH(D6075,[1]道具配置表!$A:$A,0))</f>
        <v>5分钟锻造加速</v>
      </c>
      <c r="F6075" s="102">
        <v>1</v>
      </c>
      <c r="G6075" s="102"/>
      <c r="H6075" s="102"/>
      <c r="I6075" s="102"/>
      <c r="J6075" s="102"/>
      <c r="K6075" s="102">
        <v>1</v>
      </c>
      <c r="L6075" s="102"/>
      <c r="M6075" s="22" t="b">
        <v>1</v>
      </c>
    </row>
    <row r="6076" spans="1:13" x14ac:dyDescent="0.25">
      <c r="A6076" s="102">
        <v>6652058</v>
      </c>
      <c r="B6076" s="102" t="s">
        <v>1363</v>
      </c>
      <c r="C6076" s="102"/>
      <c r="D6076" s="102">
        <v>56161</v>
      </c>
      <c r="E6076" s="136" t="str">
        <f>INDEX([1]道具配置表!$D:$D,MATCH(D6076,[1]道具配置表!$A:$A,0))</f>
        <v>松木扳指</v>
      </c>
      <c r="F6076" s="102">
        <v>1</v>
      </c>
      <c r="G6076" s="102"/>
      <c r="H6076" s="102"/>
      <c r="I6076" s="102"/>
      <c r="J6076" s="102"/>
      <c r="K6076" s="102">
        <v>1</v>
      </c>
      <c r="L6076" s="102"/>
      <c r="M6076" s="22" t="b">
        <v>1</v>
      </c>
    </row>
    <row r="6077" spans="1:13" x14ac:dyDescent="0.25">
      <c r="A6077" s="102"/>
      <c r="B6077" s="102"/>
      <c r="C6077" s="102"/>
      <c r="D6077" s="102">
        <v>56002</v>
      </c>
      <c r="E6077" s="136" t="str">
        <f>INDEX([1]道具配置表!$D:$D,MATCH(D6077,[1]道具配置表!$A:$A,0))</f>
        <v>强化装备消耗材料</v>
      </c>
      <c r="F6077" s="102">
        <v>20</v>
      </c>
      <c r="G6077" s="102"/>
      <c r="H6077" s="102"/>
      <c r="I6077" s="102"/>
      <c r="J6077" s="102"/>
      <c r="K6077" s="102">
        <v>1</v>
      </c>
      <c r="L6077" s="102"/>
      <c r="M6077" s="22" t="b">
        <v>1</v>
      </c>
    </row>
    <row r="6078" spans="1:13" x14ac:dyDescent="0.25">
      <c r="A6078" s="102"/>
      <c r="B6078" s="102"/>
      <c r="C6078" s="102"/>
      <c r="D6078" s="102">
        <v>7228</v>
      </c>
      <c r="E6078" s="136" t="str">
        <f>INDEX([1]道具配置表!$D:$D,MATCH(D6078,[1]道具配置表!$A:$A,0))</f>
        <v>经验书*10000</v>
      </c>
      <c r="F6078" s="102">
        <v>1</v>
      </c>
      <c r="G6078" s="102"/>
      <c r="H6078" s="102"/>
      <c r="I6078" s="102"/>
      <c r="J6078" s="102"/>
      <c r="K6078" s="102">
        <v>1</v>
      </c>
      <c r="L6078" s="102"/>
      <c r="M6078" s="22" t="b">
        <v>1</v>
      </c>
    </row>
    <row r="6079" spans="1:13" x14ac:dyDescent="0.25">
      <c r="A6079" s="102"/>
      <c r="B6079" s="102" t="s">
        <v>119</v>
      </c>
      <c r="C6079" s="102"/>
      <c r="D6079" s="102">
        <v>20000</v>
      </c>
      <c r="E6079" s="136" t="str">
        <f>INDEX([1]道具配置表!$D:$D,MATCH(D6079,[1]道具配置表!$A:$A,0))</f>
        <v>技能点1</v>
      </c>
      <c r="F6079" s="102">
        <v>50</v>
      </c>
      <c r="G6079" s="102"/>
      <c r="H6079" s="102"/>
      <c r="I6079" s="102"/>
      <c r="J6079" s="102"/>
      <c r="K6079" s="102">
        <v>1</v>
      </c>
      <c r="L6079" s="102"/>
      <c r="M6079" s="22" t="b">
        <v>1</v>
      </c>
    </row>
    <row r="6080" spans="1:13" x14ac:dyDescent="0.25">
      <c r="A6080" s="102"/>
      <c r="B6080" s="102" t="s">
        <v>119</v>
      </c>
      <c r="C6080" s="102"/>
      <c r="D6080" s="102">
        <v>56001</v>
      </c>
      <c r="E6080" s="136" t="str">
        <f>INDEX([1]道具配置表!$D:$D,MATCH(D6080,[1]道具配置表!$A:$A,0))</f>
        <v>锻造装备消耗材料</v>
      </c>
      <c r="F6080" s="102">
        <v>20</v>
      </c>
      <c r="G6080" s="102"/>
      <c r="H6080" s="102"/>
      <c r="I6080" s="102"/>
      <c r="J6080" s="102"/>
      <c r="K6080" s="102">
        <v>1</v>
      </c>
      <c r="L6080" s="102"/>
      <c r="M6080" s="22" t="b">
        <v>1</v>
      </c>
    </row>
    <row r="6081" spans="1:13" x14ac:dyDescent="0.25">
      <c r="A6081" s="102"/>
      <c r="B6081" s="102" t="s">
        <v>119</v>
      </c>
      <c r="C6081" s="102"/>
      <c r="D6081" s="102">
        <v>6201</v>
      </c>
      <c r="E6081" s="136" t="str">
        <f>INDEX([1]道具配置表!$D:$D,MATCH(D6081,[1]道具配置表!$A:$A,0))</f>
        <v>60分钟锻造加速</v>
      </c>
      <c r="F6081" s="102">
        <v>1</v>
      </c>
      <c r="G6081" s="102"/>
      <c r="H6081" s="102"/>
      <c r="I6081" s="102"/>
      <c r="J6081" s="102"/>
      <c r="K6081" s="102">
        <v>1</v>
      </c>
      <c r="L6081" s="102"/>
      <c r="M6081" s="22" t="b">
        <v>1</v>
      </c>
    </row>
    <row r="6082" spans="1:13" x14ac:dyDescent="0.25">
      <c r="A6082" s="102">
        <v>6652059</v>
      </c>
      <c r="B6082" s="102" t="s">
        <v>1364</v>
      </c>
      <c r="C6082" s="102"/>
      <c r="D6082" s="102">
        <v>7228</v>
      </c>
      <c r="E6082" s="136" t="str">
        <f>INDEX([1]道具配置表!$D:$D,MATCH(D6082,[1]道具配置表!$A:$A,0))</f>
        <v>经验书*10000</v>
      </c>
      <c r="F6082" s="102">
        <v>1</v>
      </c>
      <c r="G6082" s="102"/>
      <c r="H6082" s="102"/>
      <c r="I6082" s="102"/>
      <c r="J6082" s="102"/>
      <c r="K6082" s="102">
        <v>1</v>
      </c>
      <c r="L6082" s="102"/>
      <c r="M6082" s="22" t="b">
        <v>1</v>
      </c>
    </row>
    <row r="6083" spans="1:13" x14ac:dyDescent="0.25">
      <c r="A6083" s="102"/>
      <c r="B6083" s="102" t="s">
        <v>119</v>
      </c>
      <c r="C6083" s="102"/>
      <c r="D6083" s="102">
        <v>20000</v>
      </c>
      <c r="E6083" s="136" t="str">
        <f>INDEX([1]道具配置表!$D:$D,MATCH(D6083,[1]道具配置表!$A:$A,0))</f>
        <v>技能点1</v>
      </c>
      <c r="F6083" s="102">
        <v>50</v>
      </c>
      <c r="G6083" s="102"/>
      <c r="H6083" s="102"/>
      <c r="I6083" s="102"/>
      <c r="J6083" s="102"/>
      <c r="K6083" s="102">
        <v>1</v>
      </c>
      <c r="L6083" s="102"/>
      <c r="M6083" s="22" t="b">
        <v>1</v>
      </c>
    </row>
    <row r="6084" spans="1:13" x14ac:dyDescent="0.25">
      <c r="A6084" s="102"/>
      <c r="B6084" s="102" t="s">
        <v>119</v>
      </c>
      <c r="C6084" s="102"/>
      <c r="D6084" s="102">
        <v>56001</v>
      </c>
      <c r="E6084" s="136" t="str">
        <f>INDEX([1]道具配置表!$D:$D,MATCH(D6084,[1]道具配置表!$A:$A,0))</f>
        <v>锻造装备消耗材料</v>
      </c>
      <c r="F6084" s="102">
        <v>20</v>
      </c>
      <c r="G6084" s="102"/>
      <c r="H6084" s="102"/>
      <c r="I6084" s="102"/>
      <c r="J6084" s="102"/>
      <c r="K6084" s="102">
        <v>1</v>
      </c>
      <c r="L6084" s="102"/>
      <c r="M6084" s="22" t="b">
        <v>1</v>
      </c>
    </row>
    <row r="6085" spans="1:13" x14ac:dyDescent="0.25">
      <c r="A6085" s="102"/>
      <c r="B6085" s="102" t="s">
        <v>119</v>
      </c>
      <c r="C6085" s="102"/>
      <c r="D6085" s="102">
        <v>6197</v>
      </c>
      <c r="E6085" s="136" t="str">
        <f>INDEX([1]道具配置表!$D:$D,MATCH(D6085,[1]道具配置表!$A:$A,0))</f>
        <v>5分钟锻造加速</v>
      </c>
      <c r="F6085" s="102">
        <v>1</v>
      </c>
      <c r="G6085" s="102"/>
      <c r="H6085" s="102"/>
      <c r="I6085" s="102"/>
      <c r="J6085" s="102"/>
      <c r="K6085" s="102">
        <v>1</v>
      </c>
      <c r="L6085" s="102"/>
      <c r="M6085" s="22" t="b">
        <v>1</v>
      </c>
    </row>
    <row r="6086" spans="1:13" x14ac:dyDescent="0.25">
      <c r="A6086" s="102">
        <v>6652060</v>
      </c>
      <c r="B6086" s="102" t="s">
        <v>1365</v>
      </c>
      <c r="C6086" s="102"/>
      <c r="D6086" s="102">
        <v>56173</v>
      </c>
      <c r="E6086" s="136" t="str">
        <f>INDEX([1]道具配置表!$D:$D,MATCH(D6086,[1]道具配置表!$A:$A,0))</f>
        <v>北地手套</v>
      </c>
      <c r="F6086" s="102">
        <v>1</v>
      </c>
      <c r="G6086" s="102"/>
      <c r="H6086" s="102"/>
      <c r="I6086" s="102"/>
      <c r="J6086" s="102"/>
      <c r="K6086" s="102">
        <v>1</v>
      </c>
      <c r="L6086" s="102"/>
      <c r="M6086" s="22" t="b">
        <v>1</v>
      </c>
    </row>
    <row r="6087" spans="1:13" x14ac:dyDescent="0.25">
      <c r="A6087" s="102"/>
      <c r="B6087" s="102" t="s">
        <v>119</v>
      </c>
      <c r="C6087" s="102"/>
      <c r="D6087" s="102">
        <v>56002</v>
      </c>
      <c r="E6087" s="136" t="str">
        <f>INDEX([1]道具配置表!$D:$D,MATCH(D6087,[1]道具配置表!$A:$A,0))</f>
        <v>强化装备消耗材料</v>
      </c>
      <c r="F6087" s="102">
        <v>20</v>
      </c>
      <c r="G6087" s="102"/>
      <c r="H6087" s="102"/>
      <c r="I6087" s="102"/>
      <c r="J6087" s="102"/>
      <c r="K6087" s="102">
        <v>1</v>
      </c>
      <c r="L6087" s="102"/>
      <c r="M6087" s="22" t="b">
        <v>1</v>
      </c>
    </row>
    <row r="6088" spans="1:13" x14ac:dyDescent="0.25">
      <c r="A6088" s="102"/>
      <c r="B6088" s="102" t="s">
        <v>119</v>
      </c>
      <c r="C6088" s="102"/>
      <c r="D6088" s="102">
        <v>7228</v>
      </c>
      <c r="E6088" s="136" t="str">
        <f>INDEX([1]道具配置表!$D:$D,MATCH(D6088,[1]道具配置表!$A:$A,0))</f>
        <v>经验书*10000</v>
      </c>
      <c r="F6088" s="102">
        <v>2</v>
      </c>
      <c r="G6088" s="102"/>
      <c r="H6088" s="102"/>
      <c r="I6088" s="102"/>
      <c r="J6088" s="102"/>
      <c r="K6088" s="102">
        <v>1</v>
      </c>
      <c r="L6088" s="102"/>
      <c r="M6088" s="22" t="b">
        <v>1</v>
      </c>
    </row>
    <row r="6089" spans="1:13" x14ac:dyDescent="0.25">
      <c r="A6089" s="102"/>
      <c r="B6089" s="102" t="s">
        <v>119</v>
      </c>
      <c r="C6089" s="102"/>
      <c r="D6089" s="102">
        <v>20000</v>
      </c>
      <c r="E6089" s="136" t="str">
        <f>INDEX([1]道具配置表!$D:$D,MATCH(D6089,[1]道具配置表!$A:$A,0))</f>
        <v>技能点1</v>
      </c>
      <c r="F6089" s="102">
        <v>100</v>
      </c>
      <c r="G6089" s="102"/>
      <c r="H6089" s="102"/>
      <c r="I6089" s="102"/>
      <c r="J6089" s="102"/>
      <c r="K6089" s="102">
        <v>1</v>
      </c>
      <c r="L6089" s="102"/>
      <c r="M6089" s="22" t="b">
        <v>1</v>
      </c>
    </row>
    <row r="6090" spans="1:13" x14ac:dyDescent="0.25">
      <c r="A6090" s="102"/>
      <c r="B6090" s="102" t="s">
        <v>119</v>
      </c>
      <c r="C6090" s="102"/>
      <c r="D6090" s="102">
        <v>56001</v>
      </c>
      <c r="E6090" s="136" t="str">
        <f>INDEX([1]道具配置表!$D:$D,MATCH(D6090,[1]道具配置表!$A:$A,0))</f>
        <v>锻造装备消耗材料</v>
      </c>
      <c r="F6090" s="102">
        <v>50</v>
      </c>
      <c r="G6090" s="102"/>
      <c r="H6090" s="102"/>
      <c r="I6090" s="102"/>
      <c r="J6090" s="102"/>
      <c r="K6090" s="102">
        <v>1</v>
      </c>
      <c r="L6090" s="102"/>
      <c r="M6090" s="22" t="b">
        <v>1</v>
      </c>
    </row>
    <row r="6091" spans="1:13" x14ac:dyDescent="0.25">
      <c r="A6091" s="102"/>
      <c r="B6091" s="102" t="s">
        <v>119</v>
      </c>
      <c r="C6091" s="102"/>
      <c r="D6091" s="102">
        <v>6201</v>
      </c>
      <c r="E6091" s="136" t="str">
        <f>INDEX([1]道具配置表!$D:$D,MATCH(D6091,[1]道具配置表!$A:$A,0))</f>
        <v>60分钟锻造加速</v>
      </c>
      <c r="F6091" s="102">
        <v>1</v>
      </c>
      <c r="G6091" s="102"/>
      <c r="H6091" s="102"/>
      <c r="I6091" s="102"/>
      <c r="J6091" s="102"/>
      <c r="K6091" s="102">
        <v>1</v>
      </c>
      <c r="L6091" s="102"/>
      <c r="M6091" s="22" t="b">
        <v>1</v>
      </c>
    </row>
    <row r="6092" spans="1:13" x14ac:dyDescent="0.25">
      <c r="A6092" s="102">
        <v>6652061</v>
      </c>
      <c r="B6092" s="102" t="s">
        <v>1366</v>
      </c>
      <c r="C6092" s="102"/>
      <c r="D6092" s="102">
        <v>7228</v>
      </c>
      <c r="E6092" s="136" t="str">
        <f>INDEX([1]道具配置表!$D:$D,MATCH(D6092,[1]道具配置表!$A:$A,0))</f>
        <v>经验书*10000</v>
      </c>
      <c r="F6092" s="102">
        <v>1</v>
      </c>
      <c r="G6092" s="102"/>
      <c r="H6092" s="102"/>
      <c r="I6092" s="102"/>
      <c r="J6092" s="102"/>
      <c r="K6092" s="102">
        <v>1</v>
      </c>
      <c r="L6092" s="102"/>
      <c r="M6092" s="22" t="b">
        <v>1</v>
      </c>
    </row>
    <row r="6093" spans="1:13" x14ac:dyDescent="0.25">
      <c r="A6093" s="102"/>
      <c r="B6093" s="102" t="s">
        <v>119</v>
      </c>
      <c r="C6093" s="102"/>
      <c r="D6093" s="102">
        <v>20000</v>
      </c>
      <c r="E6093" s="136" t="str">
        <f>INDEX([1]道具配置表!$D:$D,MATCH(D6093,[1]道具配置表!$A:$A,0))</f>
        <v>技能点1</v>
      </c>
      <c r="F6093" s="102">
        <v>50</v>
      </c>
      <c r="G6093" s="102"/>
      <c r="H6093" s="102"/>
      <c r="I6093" s="102"/>
      <c r="J6093" s="102"/>
      <c r="K6093" s="102">
        <v>1</v>
      </c>
      <c r="L6093" s="102"/>
      <c r="M6093" s="22" t="b">
        <v>1</v>
      </c>
    </row>
    <row r="6094" spans="1:13" x14ac:dyDescent="0.25">
      <c r="A6094" s="102"/>
      <c r="B6094" s="102" t="s">
        <v>119</v>
      </c>
      <c r="C6094" s="102"/>
      <c r="D6094" s="102">
        <v>56001</v>
      </c>
      <c r="E6094" s="136" t="str">
        <f>INDEX([1]道具配置表!$D:$D,MATCH(D6094,[1]道具配置表!$A:$A,0))</f>
        <v>锻造装备消耗材料</v>
      </c>
      <c r="F6094" s="102">
        <v>20</v>
      </c>
      <c r="G6094" s="102"/>
      <c r="H6094" s="102"/>
      <c r="I6094" s="102"/>
      <c r="J6094" s="102"/>
      <c r="K6094" s="102">
        <v>1</v>
      </c>
      <c r="L6094" s="102"/>
      <c r="M6094" s="22" t="b">
        <v>1</v>
      </c>
    </row>
    <row r="6095" spans="1:13" x14ac:dyDescent="0.25">
      <c r="A6095" s="102"/>
      <c r="B6095" s="102" t="s">
        <v>119</v>
      </c>
      <c r="C6095" s="102"/>
      <c r="D6095" s="102">
        <v>6197</v>
      </c>
      <c r="E6095" s="136" t="str">
        <f>INDEX([1]道具配置表!$D:$D,MATCH(D6095,[1]道具配置表!$A:$A,0))</f>
        <v>5分钟锻造加速</v>
      </c>
      <c r="F6095" s="102">
        <v>1</v>
      </c>
      <c r="G6095" s="102"/>
      <c r="H6095" s="102"/>
      <c r="I6095" s="102"/>
      <c r="J6095" s="102"/>
      <c r="K6095" s="102">
        <v>1</v>
      </c>
      <c r="L6095" s="102"/>
      <c r="M6095" s="22" t="b">
        <v>1</v>
      </c>
    </row>
    <row r="6096" spans="1:13" x14ac:dyDescent="0.25">
      <c r="A6096" s="102">
        <v>6652062</v>
      </c>
      <c r="B6096" s="102" t="s">
        <v>1367</v>
      </c>
      <c r="C6096" s="102"/>
      <c r="D6096" s="102">
        <v>56185</v>
      </c>
      <c r="E6096" s="136" t="str">
        <f>INDEX([1]道具配置表!$D:$D,MATCH(D6096,[1]道具配置表!$A:$A,0))</f>
        <v>粗麻手套</v>
      </c>
      <c r="F6096" s="102">
        <v>1</v>
      </c>
      <c r="G6096" s="102"/>
      <c r="H6096" s="102"/>
      <c r="I6096" s="102"/>
      <c r="J6096" s="102"/>
      <c r="K6096" s="102">
        <v>1</v>
      </c>
      <c r="L6096" s="102"/>
      <c r="M6096" s="22" t="b">
        <v>1</v>
      </c>
    </row>
    <row r="6097" spans="1:13" x14ac:dyDescent="0.25">
      <c r="A6097" s="102"/>
      <c r="B6097" s="102"/>
      <c r="C6097" s="102"/>
      <c r="D6097" s="102">
        <v>56002</v>
      </c>
      <c r="E6097" s="136" t="str">
        <f>INDEX([1]道具配置表!$D:$D,MATCH(D6097,[1]道具配置表!$A:$A,0))</f>
        <v>强化装备消耗材料</v>
      </c>
      <c r="F6097" s="102">
        <v>20</v>
      </c>
      <c r="G6097" s="102"/>
      <c r="H6097" s="102"/>
      <c r="I6097" s="102"/>
      <c r="J6097" s="102"/>
      <c r="K6097" s="102">
        <v>1</v>
      </c>
      <c r="L6097" s="102"/>
      <c r="M6097" s="22" t="b">
        <v>1</v>
      </c>
    </row>
    <row r="6098" spans="1:13" x14ac:dyDescent="0.25">
      <c r="A6098" s="102"/>
      <c r="B6098" s="102"/>
      <c r="C6098" s="102"/>
      <c r="D6098" s="102">
        <v>7228</v>
      </c>
      <c r="E6098" s="136" t="str">
        <f>INDEX([1]道具配置表!$D:$D,MATCH(D6098,[1]道具配置表!$A:$A,0))</f>
        <v>经验书*10000</v>
      </c>
      <c r="F6098" s="102">
        <v>1</v>
      </c>
      <c r="G6098" s="102"/>
      <c r="H6098" s="102"/>
      <c r="I6098" s="102"/>
      <c r="J6098" s="102"/>
      <c r="K6098" s="102">
        <v>1</v>
      </c>
      <c r="L6098" s="102"/>
      <c r="M6098" s="22" t="b">
        <v>1</v>
      </c>
    </row>
    <row r="6099" spans="1:13" x14ac:dyDescent="0.25">
      <c r="A6099" s="102"/>
      <c r="B6099" s="102" t="s">
        <v>119</v>
      </c>
      <c r="C6099" s="102"/>
      <c r="D6099" s="102">
        <v>20000</v>
      </c>
      <c r="E6099" s="136" t="str">
        <f>INDEX([1]道具配置表!$D:$D,MATCH(D6099,[1]道具配置表!$A:$A,0))</f>
        <v>技能点1</v>
      </c>
      <c r="F6099" s="102">
        <v>50</v>
      </c>
      <c r="G6099" s="102"/>
      <c r="H6099" s="102"/>
      <c r="I6099" s="102"/>
      <c r="J6099" s="102"/>
      <c r="K6099" s="102">
        <v>1</v>
      </c>
      <c r="L6099" s="102"/>
      <c r="M6099" s="22" t="b">
        <v>1</v>
      </c>
    </row>
    <row r="6100" spans="1:13" x14ac:dyDescent="0.25">
      <c r="A6100" s="102"/>
      <c r="B6100" s="102" t="s">
        <v>119</v>
      </c>
      <c r="C6100" s="102"/>
      <c r="D6100" s="102">
        <v>56001</v>
      </c>
      <c r="E6100" s="136" t="str">
        <f>INDEX([1]道具配置表!$D:$D,MATCH(D6100,[1]道具配置表!$A:$A,0))</f>
        <v>锻造装备消耗材料</v>
      </c>
      <c r="F6100" s="102">
        <v>20</v>
      </c>
      <c r="G6100" s="102"/>
      <c r="H6100" s="102"/>
      <c r="I6100" s="102"/>
      <c r="J6100" s="102"/>
      <c r="K6100" s="102">
        <v>1</v>
      </c>
      <c r="L6100" s="102"/>
      <c r="M6100" s="22" t="b">
        <v>1</v>
      </c>
    </row>
    <row r="6101" spans="1:13" x14ac:dyDescent="0.25">
      <c r="A6101" s="102"/>
      <c r="B6101" s="102" t="s">
        <v>119</v>
      </c>
      <c r="C6101" s="102"/>
      <c r="D6101" s="102">
        <v>6201</v>
      </c>
      <c r="E6101" s="136" t="str">
        <f>INDEX([1]道具配置表!$D:$D,MATCH(D6101,[1]道具配置表!$A:$A,0))</f>
        <v>60分钟锻造加速</v>
      </c>
      <c r="F6101" s="102">
        <v>1</v>
      </c>
      <c r="G6101" s="102"/>
      <c r="H6101" s="102"/>
      <c r="I6101" s="102"/>
      <c r="J6101" s="102"/>
      <c r="K6101" s="102">
        <v>1</v>
      </c>
      <c r="L6101" s="102"/>
      <c r="M6101" s="22" t="b">
        <v>1</v>
      </c>
    </row>
    <row r="6102" spans="1:13" x14ac:dyDescent="0.25">
      <c r="A6102" s="102">
        <v>6652063</v>
      </c>
      <c r="B6102" s="102" t="s">
        <v>1368</v>
      </c>
      <c r="C6102" s="102"/>
      <c r="D6102" s="102">
        <v>7228</v>
      </c>
      <c r="E6102" s="136" t="str">
        <f>INDEX([1]道具配置表!$D:$D,MATCH(D6102,[1]道具配置表!$A:$A,0))</f>
        <v>经验书*10000</v>
      </c>
      <c r="F6102" s="102">
        <v>1</v>
      </c>
      <c r="G6102" s="102"/>
      <c r="H6102" s="102"/>
      <c r="I6102" s="102"/>
      <c r="J6102" s="102"/>
      <c r="K6102" s="102">
        <v>1</v>
      </c>
      <c r="L6102" s="102"/>
      <c r="M6102" s="22" t="b">
        <v>1</v>
      </c>
    </row>
    <row r="6103" spans="1:13" x14ac:dyDescent="0.25">
      <c r="A6103" s="102"/>
      <c r="B6103" s="102" t="s">
        <v>119</v>
      </c>
      <c r="C6103" s="102"/>
      <c r="D6103" s="102">
        <v>20000</v>
      </c>
      <c r="E6103" s="136" t="str">
        <f>INDEX([1]道具配置表!$D:$D,MATCH(D6103,[1]道具配置表!$A:$A,0))</f>
        <v>技能点1</v>
      </c>
      <c r="F6103" s="102">
        <v>50</v>
      </c>
      <c r="G6103" s="102"/>
      <c r="H6103" s="102"/>
      <c r="I6103" s="102"/>
      <c r="J6103" s="102"/>
      <c r="K6103" s="102">
        <v>1</v>
      </c>
      <c r="L6103" s="102"/>
      <c r="M6103" s="22" t="b">
        <v>1</v>
      </c>
    </row>
    <row r="6104" spans="1:13" x14ac:dyDescent="0.25">
      <c r="A6104" s="102"/>
      <c r="B6104" s="102" t="s">
        <v>119</v>
      </c>
      <c r="C6104" s="102"/>
      <c r="D6104" s="102">
        <v>56001</v>
      </c>
      <c r="E6104" s="136" t="str">
        <f>INDEX([1]道具配置表!$D:$D,MATCH(D6104,[1]道具配置表!$A:$A,0))</f>
        <v>锻造装备消耗材料</v>
      </c>
      <c r="F6104" s="102">
        <v>20</v>
      </c>
      <c r="G6104" s="102"/>
      <c r="H6104" s="102"/>
      <c r="I6104" s="102"/>
      <c r="J6104" s="102"/>
      <c r="K6104" s="102">
        <v>1</v>
      </c>
      <c r="L6104" s="102"/>
      <c r="M6104" s="22" t="b">
        <v>1</v>
      </c>
    </row>
    <row r="6105" spans="1:13" x14ac:dyDescent="0.25">
      <c r="A6105" s="102"/>
      <c r="B6105" s="102" t="s">
        <v>119</v>
      </c>
      <c r="C6105" s="102"/>
      <c r="D6105" s="102">
        <v>6197</v>
      </c>
      <c r="E6105" s="136" t="str">
        <f>INDEX([1]道具配置表!$D:$D,MATCH(D6105,[1]道具配置表!$A:$A,0))</f>
        <v>5分钟锻造加速</v>
      </c>
      <c r="F6105" s="102">
        <v>1</v>
      </c>
      <c r="G6105" s="102"/>
      <c r="H6105" s="102"/>
      <c r="I6105" s="102"/>
      <c r="J6105" s="102"/>
      <c r="K6105" s="102">
        <v>1</v>
      </c>
      <c r="L6105" s="102"/>
      <c r="M6105" s="22" t="b">
        <v>1</v>
      </c>
    </row>
    <row r="6106" spans="1:13" x14ac:dyDescent="0.25">
      <c r="A6106" s="102">
        <v>6652064</v>
      </c>
      <c r="B6106" s="102" t="s">
        <v>1369</v>
      </c>
      <c r="C6106" s="102"/>
      <c r="D6106" s="102">
        <v>56151</v>
      </c>
      <c r="E6106" s="136" t="str">
        <f>INDEX([1]道具配置表!$D:$D,MATCH(D6106,[1]道具配置表!$A:$A,0))</f>
        <v>流浪长靴</v>
      </c>
      <c r="F6106" s="102">
        <v>1</v>
      </c>
      <c r="G6106" s="102"/>
      <c r="H6106" s="102"/>
      <c r="I6106" s="102"/>
      <c r="J6106" s="102"/>
      <c r="K6106" s="102">
        <v>1</v>
      </c>
      <c r="L6106" s="102"/>
      <c r="M6106" s="22" t="b">
        <v>1</v>
      </c>
    </row>
    <row r="6107" spans="1:13" x14ac:dyDescent="0.25">
      <c r="A6107" s="102"/>
      <c r="B6107" s="102"/>
      <c r="C6107" s="102"/>
      <c r="D6107" s="102">
        <v>56002</v>
      </c>
      <c r="E6107" s="136" t="str">
        <f>INDEX([1]道具配置表!$D:$D,MATCH(D6107,[1]道具配置表!$A:$A,0))</f>
        <v>强化装备消耗材料</v>
      </c>
      <c r="F6107" s="102">
        <v>20</v>
      </c>
      <c r="G6107" s="102"/>
      <c r="H6107" s="102"/>
      <c r="I6107" s="102"/>
      <c r="J6107" s="102"/>
      <c r="K6107" s="102">
        <v>1</v>
      </c>
      <c r="L6107" s="102"/>
      <c r="M6107" s="22" t="b">
        <v>1</v>
      </c>
    </row>
    <row r="6108" spans="1:13" x14ac:dyDescent="0.25">
      <c r="A6108" s="102"/>
      <c r="B6108" s="102"/>
      <c r="C6108" s="102"/>
      <c r="D6108" s="102">
        <v>7228</v>
      </c>
      <c r="E6108" s="136" t="str">
        <f>INDEX([1]道具配置表!$D:$D,MATCH(D6108,[1]道具配置表!$A:$A,0))</f>
        <v>经验书*10000</v>
      </c>
      <c r="F6108" s="102">
        <v>1</v>
      </c>
      <c r="G6108" s="102"/>
      <c r="H6108" s="102"/>
      <c r="I6108" s="102"/>
      <c r="J6108" s="102"/>
      <c r="K6108" s="102">
        <v>1</v>
      </c>
      <c r="L6108" s="102"/>
      <c r="M6108" s="22" t="b">
        <v>1</v>
      </c>
    </row>
    <row r="6109" spans="1:13" x14ac:dyDescent="0.25">
      <c r="A6109" s="102"/>
      <c r="B6109" s="102" t="s">
        <v>119</v>
      </c>
      <c r="C6109" s="102"/>
      <c r="D6109" s="102">
        <v>20000</v>
      </c>
      <c r="E6109" s="136" t="str">
        <f>INDEX([1]道具配置表!$D:$D,MATCH(D6109,[1]道具配置表!$A:$A,0))</f>
        <v>技能点1</v>
      </c>
      <c r="F6109" s="102">
        <v>50</v>
      </c>
      <c r="G6109" s="102"/>
      <c r="H6109" s="102"/>
      <c r="I6109" s="102"/>
      <c r="J6109" s="102"/>
      <c r="K6109" s="102">
        <v>1</v>
      </c>
      <c r="L6109" s="102"/>
      <c r="M6109" s="22" t="b">
        <v>1</v>
      </c>
    </row>
    <row r="6110" spans="1:13" x14ac:dyDescent="0.25">
      <c r="A6110" s="102"/>
      <c r="B6110" s="102" t="s">
        <v>119</v>
      </c>
      <c r="C6110" s="102"/>
      <c r="D6110" s="102">
        <v>56001</v>
      </c>
      <c r="E6110" s="136" t="str">
        <f>INDEX([1]道具配置表!$D:$D,MATCH(D6110,[1]道具配置表!$A:$A,0))</f>
        <v>锻造装备消耗材料</v>
      </c>
      <c r="F6110" s="102">
        <v>20</v>
      </c>
      <c r="G6110" s="102"/>
      <c r="H6110" s="102"/>
      <c r="I6110" s="102"/>
      <c r="J6110" s="102"/>
      <c r="K6110" s="102">
        <v>1</v>
      </c>
      <c r="L6110" s="102"/>
      <c r="M6110" s="22" t="b">
        <v>1</v>
      </c>
    </row>
    <row r="6111" spans="1:13" x14ac:dyDescent="0.25">
      <c r="A6111" s="102"/>
      <c r="B6111" s="102" t="s">
        <v>119</v>
      </c>
      <c r="C6111" s="102"/>
      <c r="D6111" s="102">
        <v>6201</v>
      </c>
      <c r="E6111" s="136" t="str">
        <f>INDEX([1]道具配置表!$D:$D,MATCH(D6111,[1]道具配置表!$A:$A,0))</f>
        <v>60分钟锻造加速</v>
      </c>
      <c r="F6111" s="102">
        <v>1</v>
      </c>
      <c r="G6111" s="102"/>
      <c r="H6111" s="102"/>
      <c r="I6111" s="102"/>
      <c r="J6111" s="102"/>
      <c r="K6111" s="102">
        <v>1</v>
      </c>
      <c r="L6111" s="102"/>
      <c r="M6111" s="22" t="b">
        <v>1</v>
      </c>
    </row>
    <row r="6112" spans="1:13" x14ac:dyDescent="0.25">
      <c r="A6112" s="102">
        <v>6652065</v>
      </c>
      <c r="B6112" s="102" t="s">
        <v>1370</v>
      </c>
      <c r="C6112" s="102"/>
      <c r="D6112" s="102">
        <v>7228</v>
      </c>
      <c r="E6112" s="136" t="str">
        <f>INDEX([1]道具配置表!$D:$D,MATCH(D6112,[1]道具配置表!$A:$A,0))</f>
        <v>经验书*10000</v>
      </c>
      <c r="F6112" s="102">
        <v>2</v>
      </c>
      <c r="G6112" s="102"/>
      <c r="H6112" s="102"/>
      <c r="I6112" s="102"/>
      <c r="J6112" s="102"/>
      <c r="K6112" s="102">
        <v>1</v>
      </c>
      <c r="L6112" s="102"/>
      <c r="M6112" s="22" t="b">
        <v>1</v>
      </c>
    </row>
    <row r="6113" spans="1:13" x14ac:dyDescent="0.25">
      <c r="A6113" s="102"/>
      <c r="B6113" s="102" t="s">
        <v>119</v>
      </c>
      <c r="C6113" s="102"/>
      <c r="D6113" s="102">
        <v>20000</v>
      </c>
      <c r="E6113" s="136" t="str">
        <f>INDEX([1]道具配置表!$D:$D,MATCH(D6113,[1]道具配置表!$A:$A,0))</f>
        <v>技能点1</v>
      </c>
      <c r="F6113" s="102">
        <v>100</v>
      </c>
      <c r="G6113" s="102"/>
      <c r="H6113" s="102"/>
      <c r="I6113" s="102"/>
      <c r="J6113" s="102"/>
      <c r="K6113" s="102">
        <v>1</v>
      </c>
      <c r="L6113" s="102"/>
      <c r="M6113" s="22" t="b">
        <v>1</v>
      </c>
    </row>
    <row r="6114" spans="1:13" x14ac:dyDescent="0.25">
      <c r="A6114" s="102"/>
      <c r="B6114" s="102" t="s">
        <v>119</v>
      </c>
      <c r="C6114" s="102"/>
      <c r="D6114" s="102">
        <v>56001</v>
      </c>
      <c r="E6114" s="136" t="str">
        <f>INDEX([1]道具配置表!$D:$D,MATCH(D6114,[1]道具配置表!$A:$A,0))</f>
        <v>锻造装备消耗材料</v>
      </c>
      <c r="F6114" s="102">
        <v>50</v>
      </c>
      <c r="G6114" s="102"/>
      <c r="H6114" s="102"/>
      <c r="I6114" s="102"/>
      <c r="J6114" s="102"/>
      <c r="K6114" s="102">
        <v>1</v>
      </c>
      <c r="L6114" s="102"/>
      <c r="M6114" s="22" t="b">
        <v>1</v>
      </c>
    </row>
    <row r="6115" spans="1:13" x14ac:dyDescent="0.25">
      <c r="A6115" s="102"/>
      <c r="B6115" s="102" t="s">
        <v>119</v>
      </c>
      <c r="C6115" s="102"/>
      <c r="D6115" s="102">
        <v>6197</v>
      </c>
      <c r="E6115" s="136" t="str">
        <f>INDEX([1]道具配置表!$D:$D,MATCH(D6115,[1]道具配置表!$A:$A,0))</f>
        <v>5分钟锻造加速</v>
      </c>
      <c r="F6115" s="102">
        <v>1</v>
      </c>
      <c r="G6115" s="102"/>
      <c r="H6115" s="102"/>
      <c r="I6115" s="102"/>
      <c r="J6115" s="102"/>
      <c r="K6115" s="102">
        <v>1</v>
      </c>
      <c r="L6115" s="102"/>
      <c r="M6115" s="22" t="b">
        <v>1</v>
      </c>
    </row>
    <row r="6116" spans="1:13" x14ac:dyDescent="0.25">
      <c r="A6116" s="102">
        <v>6652066</v>
      </c>
      <c r="B6116" s="102" t="s">
        <v>1371</v>
      </c>
      <c r="C6116" s="102"/>
      <c r="D6116" s="102">
        <v>56163</v>
      </c>
      <c r="E6116" s="136" t="str">
        <f>INDEX([1]道具配置表!$D:$D,MATCH(D6116,[1]道具配置表!$A:$A,0))</f>
        <v>灰兔短靴</v>
      </c>
      <c r="F6116" s="102">
        <v>1</v>
      </c>
      <c r="G6116" s="102"/>
      <c r="H6116" s="102"/>
      <c r="I6116" s="102"/>
      <c r="J6116" s="102"/>
      <c r="K6116" s="102">
        <v>1</v>
      </c>
      <c r="L6116" s="102"/>
      <c r="M6116" s="22" t="b">
        <v>1</v>
      </c>
    </row>
    <row r="6117" spans="1:13" x14ac:dyDescent="0.25">
      <c r="A6117" s="102"/>
      <c r="B6117" s="102"/>
      <c r="C6117" s="102"/>
      <c r="D6117" s="102">
        <v>56002</v>
      </c>
      <c r="E6117" s="136" t="str">
        <f>INDEX([1]道具配置表!$D:$D,MATCH(D6117,[1]道具配置表!$A:$A,0))</f>
        <v>强化装备消耗材料</v>
      </c>
      <c r="F6117" s="102">
        <v>20</v>
      </c>
      <c r="G6117" s="102"/>
      <c r="H6117" s="102"/>
      <c r="I6117" s="102"/>
      <c r="J6117" s="102"/>
      <c r="K6117" s="102">
        <v>1</v>
      </c>
      <c r="L6117" s="102"/>
      <c r="M6117" s="22" t="b">
        <v>1</v>
      </c>
    </row>
    <row r="6118" spans="1:13" x14ac:dyDescent="0.25">
      <c r="A6118" s="102"/>
      <c r="B6118" s="102"/>
      <c r="C6118" s="102"/>
      <c r="D6118" s="102">
        <v>7228</v>
      </c>
      <c r="E6118" s="136" t="str">
        <f>INDEX([1]道具配置表!$D:$D,MATCH(D6118,[1]道具配置表!$A:$A,0))</f>
        <v>经验书*10000</v>
      </c>
      <c r="F6118" s="102">
        <v>1</v>
      </c>
      <c r="G6118" s="102"/>
      <c r="H6118" s="102"/>
      <c r="I6118" s="102"/>
      <c r="J6118" s="102"/>
      <c r="K6118" s="102">
        <v>1</v>
      </c>
      <c r="L6118" s="102"/>
      <c r="M6118" s="22" t="b">
        <v>1</v>
      </c>
    </row>
    <row r="6119" spans="1:13" x14ac:dyDescent="0.25">
      <c r="A6119" s="102"/>
      <c r="B6119" s="102" t="s">
        <v>119</v>
      </c>
      <c r="C6119" s="102"/>
      <c r="D6119" s="102">
        <v>20000</v>
      </c>
      <c r="E6119" s="136" t="str">
        <f>INDEX([1]道具配置表!$D:$D,MATCH(D6119,[1]道具配置表!$A:$A,0))</f>
        <v>技能点1</v>
      </c>
      <c r="F6119" s="102">
        <v>50</v>
      </c>
      <c r="G6119" s="102"/>
      <c r="H6119" s="102"/>
      <c r="I6119" s="102"/>
      <c r="J6119" s="102"/>
      <c r="K6119" s="102">
        <v>1</v>
      </c>
      <c r="L6119" s="102"/>
      <c r="M6119" s="22" t="b">
        <v>1</v>
      </c>
    </row>
    <row r="6120" spans="1:13" x14ac:dyDescent="0.25">
      <c r="A6120" s="102"/>
      <c r="B6120" s="102" t="s">
        <v>119</v>
      </c>
      <c r="C6120" s="102"/>
      <c r="D6120" s="102">
        <v>56001</v>
      </c>
      <c r="E6120" s="136" t="str">
        <f>INDEX([1]道具配置表!$D:$D,MATCH(D6120,[1]道具配置表!$A:$A,0))</f>
        <v>锻造装备消耗材料</v>
      </c>
      <c r="F6120" s="102">
        <v>20</v>
      </c>
      <c r="G6120" s="102"/>
      <c r="H6120" s="102"/>
      <c r="I6120" s="102"/>
      <c r="J6120" s="102"/>
      <c r="K6120" s="102">
        <v>1</v>
      </c>
      <c r="L6120" s="102"/>
      <c r="M6120" s="22" t="b">
        <v>1</v>
      </c>
    </row>
    <row r="6121" spans="1:13" x14ac:dyDescent="0.25">
      <c r="A6121" s="102"/>
      <c r="B6121" s="102" t="s">
        <v>119</v>
      </c>
      <c r="C6121" s="102"/>
      <c r="D6121" s="102">
        <v>6201</v>
      </c>
      <c r="E6121" s="136" t="str">
        <f>INDEX([1]道具配置表!$D:$D,MATCH(D6121,[1]道具配置表!$A:$A,0))</f>
        <v>60分钟锻造加速</v>
      </c>
      <c r="F6121" s="102">
        <v>1</v>
      </c>
      <c r="G6121" s="102"/>
      <c r="H6121" s="102"/>
      <c r="I6121" s="102"/>
      <c r="J6121" s="102"/>
      <c r="K6121" s="102">
        <v>1</v>
      </c>
      <c r="L6121" s="102"/>
      <c r="M6121" s="22" t="b">
        <v>1</v>
      </c>
    </row>
    <row r="6122" spans="1:13" x14ac:dyDescent="0.25">
      <c r="A6122" s="102">
        <v>6652067</v>
      </c>
      <c r="B6122" s="102" t="s">
        <v>1372</v>
      </c>
      <c r="C6122" s="102"/>
      <c r="D6122" s="102">
        <v>7228</v>
      </c>
      <c r="E6122" s="136" t="str">
        <f>INDEX([1]道具配置表!$D:$D,MATCH(D6122,[1]道具配置表!$A:$A,0))</f>
        <v>经验书*10000</v>
      </c>
      <c r="F6122" s="102">
        <v>1</v>
      </c>
      <c r="G6122" s="102"/>
      <c r="H6122" s="102"/>
      <c r="I6122" s="102"/>
      <c r="J6122" s="102"/>
      <c r="K6122" s="102">
        <v>1</v>
      </c>
      <c r="L6122" s="102"/>
      <c r="M6122" s="22" t="b">
        <v>1</v>
      </c>
    </row>
    <row r="6123" spans="1:13" x14ac:dyDescent="0.25">
      <c r="A6123" s="102"/>
      <c r="B6123" s="102" t="s">
        <v>119</v>
      </c>
      <c r="C6123" s="102"/>
      <c r="D6123" s="102">
        <v>20000</v>
      </c>
      <c r="E6123" s="136" t="str">
        <f>INDEX([1]道具配置表!$D:$D,MATCH(D6123,[1]道具配置表!$A:$A,0))</f>
        <v>技能点1</v>
      </c>
      <c r="F6123" s="102">
        <v>50</v>
      </c>
      <c r="G6123" s="102"/>
      <c r="H6123" s="102"/>
      <c r="I6123" s="102"/>
      <c r="J6123" s="102"/>
      <c r="K6123" s="102">
        <v>1</v>
      </c>
      <c r="L6123" s="102"/>
      <c r="M6123" s="22" t="b">
        <v>1</v>
      </c>
    </row>
    <row r="6124" spans="1:13" x14ac:dyDescent="0.25">
      <c r="A6124" s="102"/>
      <c r="B6124" s="102" t="s">
        <v>119</v>
      </c>
      <c r="C6124" s="102"/>
      <c r="D6124" s="102">
        <v>56001</v>
      </c>
      <c r="E6124" s="136" t="str">
        <f>INDEX([1]道具配置表!$D:$D,MATCH(D6124,[1]道具配置表!$A:$A,0))</f>
        <v>锻造装备消耗材料</v>
      </c>
      <c r="F6124" s="102">
        <v>20</v>
      </c>
      <c r="G6124" s="102"/>
      <c r="H6124" s="102"/>
      <c r="I6124" s="102"/>
      <c r="J6124" s="102"/>
      <c r="K6124" s="102">
        <v>1</v>
      </c>
      <c r="L6124" s="102"/>
      <c r="M6124" s="22" t="b">
        <v>1</v>
      </c>
    </row>
    <row r="6125" spans="1:13" x14ac:dyDescent="0.25">
      <c r="A6125" s="102"/>
      <c r="B6125" s="102" t="s">
        <v>119</v>
      </c>
      <c r="C6125" s="102"/>
      <c r="D6125" s="102">
        <v>6197</v>
      </c>
      <c r="E6125" s="136" t="str">
        <f>INDEX([1]道具配置表!$D:$D,MATCH(D6125,[1]道具配置表!$A:$A,0))</f>
        <v>5分钟锻造加速</v>
      </c>
      <c r="F6125" s="102">
        <v>1</v>
      </c>
      <c r="G6125" s="102"/>
      <c r="H6125" s="102"/>
      <c r="I6125" s="102"/>
      <c r="J6125" s="102"/>
      <c r="K6125" s="102">
        <v>1</v>
      </c>
      <c r="L6125" s="102"/>
      <c r="M6125" s="22" t="b">
        <v>1</v>
      </c>
    </row>
    <row r="6126" spans="1:13" x14ac:dyDescent="0.25">
      <c r="A6126" s="102">
        <v>6652068</v>
      </c>
      <c r="B6126" s="102" t="s">
        <v>1373</v>
      </c>
      <c r="C6126" s="102"/>
      <c r="D6126" s="102">
        <v>56175</v>
      </c>
      <c r="E6126" s="136" t="str">
        <f>INDEX([1]道具配置表!$D:$D,MATCH(D6126,[1]道具配置表!$A:$A,0))</f>
        <v>翻毛长靴</v>
      </c>
      <c r="F6126" s="102">
        <v>1</v>
      </c>
      <c r="G6126" s="102"/>
      <c r="H6126" s="102"/>
      <c r="I6126" s="102"/>
      <c r="J6126" s="102"/>
      <c r="K6126" s="102">
        <v>1</v>
      </c>
      <c r="L6126" s="102"/>
      <c r="M6126" s="22" t="b">
        <v>1</v>
      </c>
    </row>
    <row r="6127" spans="1:13" x14ac:dyDescent="0.25">
      <c r="A6127" s="102"/>
      <c r="B6127" s="102"/>
      <c r="C6127" s="102"/>
      <c r="D6127" s="102">
        <v>56002</v>
      </c>
      <c r="E6127" s="136" t="str">
        <f>INDEX([1]道具配置表!$D:$D,MATCH(D6127,[1]道具配置表!$A:$A,0))</f>
        <v>强化装备消耗材料</v>
      </c>
      <c r="F6127" s="102">
        <v>20</v>
      </c>
      <c r="G6127" s="102"/>
      <c r="H6127" s="102"/>
      <c r="I6127" s="102"/>
      <c r="J6127" s="102"/>
      <c r="K6127" s="102">
        <v>1</v>
      </c>
      <c r="L6127" s="102"/>
      <c r="M6127" s="22" t="b">
        <v>1</v>
      </c>
    </row>
    <row r="6128" spans="1:13" x14ac:dyDescent="0.25">
      <c r="A6128" s="102"/>
      <c r="B6128" s="102"/>
      <c r="C6128" s="102"/>
      <c r="D6128" s="102">
        <v>7228</v>
      </c>
      <c r="E6128" s="136" t="str">
        <f>INDEX([1]道具配置表!$D:$D,MATCH(D6128,[1]道具配置表!$A:$A,0))</f>
        <v>经验书*10000</v>
      </c>
      <c r="F6128" s="102">
        <v>1</v>
      </c>
      <c r="G6128" s="102"/>
      <c r="H6128" s="102"/>
      <c r="I6128" s="102"/>
      <c r="J6128" s="102"/>
      <c r="K6128" s="102">
        <v>1</v>
      </c>
      <c r="L6128" s="102"/>
      <c r="M6128" s="22" t="b">
        <v>1</v>
      </c>
    </row>
    <row r="6129" spans="1:13" x14ac:dyDescent="0.25">
      <c r="A6129" s="102"/>
      <c r="B6129" s="102" t="s">
        <v>119</v>
      </c>
      <c r="C6129" s="102"/>
      <c r="D6129" s="102">
        <v>20000</v>
      </c>
      <c r="E6129" s="136" t="str">
        <f>INDEX([1]道具配置表!$D:$D,MATCH(D6129,[1]道具配置表!$A:$A,0))</f>
        <v>技能点1</v>
      </c>
      <c r="F6129" s="102">
        <v>50</v>
      </c>
      <c r="G6129" s="102"/>
      <c r="H6129" s="102"/>
      <c r="I6129" s="102"/>
      <c r="J6129" s="102"/>
      <c r="K6129" s="102">
        <v>1</v>
      </c>
      <c r="L6129" s="102"/>
      <c r="M6129" s="22" t="b">
        <v>1</v>
      </c>
    </row>
    <row r="6130" spans="1:13" x14ac:dyDescent="0.25">
      <c r="A6130" s="102"/>
      <c r="B6130" s="102" t="s">
        <v>119</v>
      </c>
      <c r="C6130" s="102"/>
      <c r="D6130" s="102">
        <v>56001</v>
      </c>
      <c r="E6130" s="136" t="str">
        <f>INDEX([1]道具配置表!$D:$D,MATCH(D6130,[1]道具配置表!$A:$A,0))</f>
        <v>锻造装备消耗材料</v>
      </c>
      <c r="F6130" s="102">
        <v>20</v>
      </c>
      <c r="G6130" s="102"/>
      <c r="H6130" s="102"/>
      <c r="I6130" s="102"/>
      <c r="J6130" s="102"/>
      <c r="K6130" s="102">
        <v>1</v>
      </c>
      <c r="L6130" s="102"/>
      <c r="M6130" s="22" t="b">
        <v>1</v>
      </c>
    </row>
    <row r="6131" spans="1:13" x14ac:dyDescent="0.25">
      <c r="A6131" s="102"/>
      <c r="B6131" s="102" t="s">
        <v>119</v>
      </c>
      <c r="C6131" s="102"/>
      <c r="D6131" s="102">
        <v>6201</v>
      </c>
      <c r="E6131" s="136" t="str">
        <f>INDEX([1]道具配置表!$D:$D,MATCH(D6131,[1]道具配置表!$A:$A,0))</f>
        <v>60分钟锻造加速</v>
      </c>
      <c r="F6131" s="102">
        <v>1</v>
      </c>
      <c r="G6131" s="102"/>
      <c r="H6131" s="102"/>
      <c r="I6131" s="102"/>
      <c r="J6131" s="102"/>
      <c r="K6131" s="102">
        <v>1</v>
      </c>
      <c r="L6131" s="102"/>
      <c r="M6131" s="22" t="b">
        <v>1</v>
      </c>
    </row>
    <row r="6132" spans="1:13" x14ac:dyDescent="0.25">
      <c r="A6132" s="102">
        <v>6652069</v>
      </c>
      <c r="B6132" s="102" t="s">
        <v>1374</v>
      </c>
      <c r="C6132" s="102"/>
      <c r="D6132" s="102">
        <v>7228</v>
      </c>
      <c r="E6132" s="136" t="str">
        <f>INDEX([1]道具配置表!$D:$D,MATCH(D6132,[1]道具配置表!$A:$A,0))</f>
        <v>经验书*10000</v>
      </c>
      <c r="F6132" s="102">
        <v>1</v>
      </c>
      <c r="G6132" s="102"/>
      <c r="H6132" s="102"/>
      <c r="I6132" s="102"/>
      <c r="J6132" s="102"/>
      <c r="K6132" s="102">
        <v>1</v>
      </c>
      <c r="L6132" s="102"/>
      <c r="M6132" s="22" t="b">
        <v>1</v>
      </c>
    </row>
    <row r="6133" spans="1:13" x14ac:dyDescent="0.25">
      <c r="A6133" s="102"/>
      <c r="B6133" s="102" t="s">
        <v>119</v>
      </c>
      <c r="C6133" s="102"/>
      <c r="D6133" s="102">
        <v>20000</v>
      </c>
      <c r="E6133" s="136" t="str">
        <f>INDEX([1]道具配置表!$D:$D,MATCH(D6133,[1]道具配置表!$A:$A,0))</f>
        <v>技能点1</v>
      </c>
      <c r="F6133" s="102">
        <v>50</v>
      </c>
      <c r="G6133" s="102"/>
      <c r="H6133" s="102"/>
      <c r="I6133" s="102"/>
      <c r="J6133" s="102"/>
      <c r="K6133" s="102">
        <v>1</v>
      </c>
      <c r="L6133" s="102"/>
      <c r="M6133" s="22" t="b">
        <v>1</v>
      </c>
    </row>
    <row r="6134" spans="1:13" x14ac:dyDescent="0.25">
      <c r="A6134" s="102"/>
      <c r="B6134" s="102" t="s">
        <v>119</v>
      </c>
      <c r="C6134" s="102"/>
      <c r="D6134" s="102">
        <v>56001</v>
      </c>
      <c r="E6134" s="136" t="str">
        <f>INDEX([1]道具配置表!$D:$D,MATCH(D6134,[1]道具配置表!$A:$A,0))</f>
        <v>锻造装备消耗材料</v>
      </c>
      <c r="F6134" s="102">
        <v>20</v>
      </c>
      <c r="G6134" s="102"/>
      <c r="H6134" s="102"/>
      <c r="I6134" s="102"/>
      <c r="J6134" s="102"/>
      <c r="K6134" s="102">
        <v>1</v>
      </c>
      <c r="L6134" s="102"/>
      <c r="M6134" s="22" t="b">
        <v>1</v>
      </c>
    </row>
    <row r="6135" spans="1:13" x14ac:dyDescent="0.25">
      <c r="A6135" s="102"/>
      <c r="B6135" s="102" t="s">
        <v>119</v>
      </c>
      <c r="C6135" s="102"/>
      <c r="D6135" s="102">
        <v>6197</v>
      </c>
      <c r="E6135" s="136" t="str">
        <f>INDEX([1]道具配置表!$D:$D,MATCH(D6135,[1]道具配置表!$A:$A,0))</f>
        <v>5分钟锻造加速</v>
      </c>
      <c r="F6135" s="102">
        <v>1</v>
      </c>
      <c r="G6135" s="102"/>
      <c r="H6135" s="102"/>
      <c r="I6135" s="102"/>
      <c r="J6135" s="102"/>
      <c r="K6135" s="102">
        <v>1</v>
      </c>
      <c r="L6135" s="102"/>
      <c r="M6135" s="22" t="b">
        <v>1</v>
      </c>
    </row>
    <row r="6136" spans="1:13" x14ac:dyDescent="0.25">
      <c r="A6136" s="102">
        <v>6652070</v>
      </c>
      <c r="B6136" s="102" t="s">
        <v>1375</v>
      </c>
      <c r="C6136" s="102"/>
      <c r="D6136" s="102">
        <v>56187</v>
      </c>
      <c r="E6136" s="136" t="str">
        <f>INDEX([1]道具配置表!$D:$D,MATCH(D6136,[1]道具配置表!$A:$A,0))</f>
        <v>手工布靴</v>
      </c>
      <c r="F6136" s="102">
        <v>1</v>
      </c>
      <c r="G6136" s="102"/>
      <c r="H6136" s="102"/>
      <c r="I6136" s="102"/>
      <c r="J6136" s="102"/>
      <c r="K6136" s="102">
        <v>1</v>
      </c>
      <c r="L6136" s="102"/>
      <c r="M6136" s="22" t="b">
        <v>1</v>
      </c>
    </row>
    <row r="6137" spans="1:13" x14ac:dyDescent="0.25">
      <c r="A6137" s="102"/>
      <c r="B6137" s="102" t="s">
        <v>119</v>
      </c>
      <c r="C6137" s="102"/>
      <c r="D6137" s="102">
        <v>56002</v>
      </c>
      <c r="E6137" s="136" t="str">
        <f>INDEX([1]道具配置表!$D:$D,MATCH(D6137,[1]道具配置表!$A:$A,0))</f>
        <v>强化装备消耗材料</v>
      </c>
      <c r="F6137" s="102">
        <v>20</v>
      </c>
      <c r="G6137" s="102"/>
      <c r="H6137" s="102"/>
      <c r="I6137" s="102"/>
      <c r="J6137" s="102"/>
      <c r="K6137" s="102">
        <v>1</v>
      </c>
      <c r="L6137" s="102"/>
      <c r="M6137" s="22" t="b">
        <v>1</v>
      </c>
    </row>
    <row r="6138" spans="1:13" x14ac:dyDescent="0.25">
      <c r="A6138" s="102"/>
      <c r="B6138" s="102" t="s">
        <v>119</v>
      </c>
      <c r="C6138" s="102"/>
      <c r="D6138" s="102">
        <v>7228</v>
      </c>
      <c r="E6138" s="136" t="str">
        <f>INDEX([1]道具配置表!$D:$D,MATCH(D6138,[1]道具配置表!$A:$A,0))</f>
        <v>经验书*10000</v>
      </c>
      <c r="F6138" s="102">
        <v>2</v>
      </c>
      <c r="G6138" s="102"/>
      <c r="H6138" s="102"/>
      <c r="I6138" s="102"/>
      <c r="J6138" s="102"/>
      <c r="K6138" s="102">
        <v>1</v>
      </c>
      <c r="L6138" s="102"/>
      <c r="M6138" s="22" t="b">
        <v>1</v>
      </c>
    </row>
    <row r="6139" spans="1:13" x14ac:dyDescent="0.25">
      <c r="A6139" s="102"/>
      <c r="B6139" s="102" t="s">
        <v>119</v>
      </c>
      <c r="C6139" s="102"/>
      <c r="D6139" s="102">
        <v>20000</v>
      </c>
      <c r="E6139" s="136" t="str">
        <f>INDEX([1]道具配置表!$D:$D,MATCH(D6139,[1]道具配置表!$A:$A,0))</f>
        <v>技能点1</v>
      </c>
      <c r="F6139" s="102">
        <v>100</v>
      </c>
      <c r="G6139" s="102"/>
      <c r="H6139" s="102"/>
      <c r="I6139" s="102"/>
      <c r="J6139" s="102"/>
      <c r="K6139" s="102">
        <v>1</v>
      </c>
      <c r="L6139" s="102"/>
      <c r="M6139" s="22" t="b">
        <v>1</v>
      </c>
    </row>
    <row r="6140" spans="1:13" x14ac:dyDescent="0.25">
      <c r="A6140" s="102"/>
      <c r="B6140" s="102" t="s">
        <v>119</v>
      </c>
      <c r="C6140" s="102"/>
      <c r="D6140" s="102">
        <v>56001</v>
      </c>
      <c r="E6140" s="136" t="str">
        <f>INDEX([1]道具配置表!$D:$D,MATCH(D6140,[1]道具配置表!$A:$A,0))</f>
        <v>锻造装备消耗材料</v>
      </c>
      <c r="F6140" s="102">
        <v>50</v>
      </c>
      <c r="G6140" s="102"/>
      <c r="H6140" s="102"/>
      <c r="I6140" s="102"/>
      <c r="J6140" s="102"/>
      <c r="K6140" s="102">
        <v>1</v>
      </c>
      <c r="L6140" s="102"/>
      <c r="M6140" s="22" t="b">
        <v>1</v>
      </c>
    </row>
    <row r="6141" spans="1:13" x14ac:dyDescent="0.25">
      <c r="A6141" s="102"/>
      <c r="B6141" s="102" t="s">
        <v>119</v>
      </c>
      <c r="C6141" s="102"/>
      <c r="D6141" s="102">
        <v>6201</v>
      </c>
      <c r="E6141" s="136" t="str">
        <f>INDEX([1]道具配置表!$D:$D,MATCH(D6141,[1]道具配置表!$A:$A,0))</f>
        <v>60分钟锻造加速</v>
      </c>
      <c r="F6141" s="102">
        <v>1</v>
      </c>
      <c r="G6141" s="102"/>
      <c r="H6141" s="102"/>
      <c r="I6141" s="102"/>
      <c r="J6141" s="102"/>
      <c r="K6141" s="102">
        <v>1</v>
      </c>
      <c r="L6141" s="102"/>
      <c r="M6141" s="22" t="b">
        <v>1</v>
      </c>
    </row>
    <row r="6142" spans="1:13" x14ac:dyDescent="0.25">
      <c r="A6142" s="102">
        <v>6652071</v>
      </c>
      <c r="B6142" s="102" t="s">
        <v>1376</v>
      </c>
      <c r="C6142" s="102"/>
      <c r="D6142" s="102">
        <v>7228</v>
      </c>
      <c r="E6142" s="136" t="str">
        <f>INDEX([1]道具配置表!$D:$D,MATCH(D6142,[1]道具配置表!$A:$A,0))</f>
        <v>经验书*10000</v>
      </c>
      <c r="F6142" s="102">
        <v>1</v>
      </c>
      <c r="G6142" s="102"/>
      <c r="H6142" s="102"/>
      <c r="I6142" s="102"/>
      <c r="J6142" s="102"/>
      <c r="K6142" s="102">
        <v>1</v>
      </c>
      <c r="L6142" s="102"/>
      <c r="M6142" s="22" t="b">
        <v>1</v>
      </c>
    </row>
    <row r="6143" spans="1:13" x14ac:dyDescent="0.25">
      <c r="A6143" s="102"/>
      <c r="B6143" s="102" t="s">
        <v>119</v>
      </c>
      <c r="C6143" s="102"/>
      <c r="D6143" s="102">
        <v>20000</v>
      </c>
      <c r="E6143" s="136" t="str">
        <f>INDEX([1]道具配置表!$D:$D,MATCH(D6143,[1]道具配置表!$A:$A,0))</f>
        <v>技能点1</v>
      </c>
      <c r="F6143" s="102">
        <v>50</v>
      </c>
      <c r="G6143" s="102"/>
      <c r="H6143" s="102"/>
      <c r="I6143" s="102"/>
      <c r="J6143" s="102"/>
      <c r="K6143" s="102">
        <v>1</v>
      </c>
      <c r="L6143" s="102"/>
      <c r="M6143" s="22" t="b">
        <v>1</v>
      </c>
    </row>
    <row r="6144" spans="1:13" x14ac:dyDescent="0.25">
      <c r="A6144" s="102"/>
      <c r="B6144" s="102" t="s">
        <v>119</v>
      </c>
      <c r="C6144" s="102"/>
      <c r="D6144" s="102">
        <v>56001</v>
      </c>
      <c r="E6144" s="136" t="str">
        <f>INDEX([1]道具配置表!$D:$D,MATCH(D6144,[1]道具配置表!$A:$A,0))</f>
        <v>锻造装备消耗材料</v>
      </c>
      <c r="F6144" s="102">
        <v>20</v>
      </c>
      <c r="G6144" s="102"/>
      <c r="H6144" s="102"/>
      <c r="I6144" s="102"/>
      <c r="J6144" s="102"/>
      <c r="K6144" s="102">
        <v>1</v>
      </c>
      <c r="L6144" s="102"/>
      <c r="M6144" s="22" t="b">
        <v>1</v>
      </c>
    </row>
    <row r="6145" spans="1:13" x14ac:dyDescent="0.25">
      <c r="A6145" s="102"/>
      <c r="B6145" s="102" t="s">
        <v>119</v>
      </c>
      <c r="C6145" s="102"/>
      <c r="D6145" s="102">
        <v>6197</v>
      </c>
      <c r="E6145" s="136" t="str">
        <f>INDEX([1]道具配置表!$D:$D,MATCH(D6145,[1]道具配置表!$A:$A,0))</f>
        <v>5分钟锻造加速</v>
      </c>
      <c r="F6145" s="102">
        <v>1</v>
      </c>
      <c r="G6145" s="102"/>
      <c r="H6145" s="102"/>
      <c r="I6145" s="102"/>
      <c r="J6145" s="102"/>
      <c r="K6145" s="102">
        <v>1</v>
      </c>
      <c r="L6145" s="102"/>
      <c r="M6145" s="22" t="b">
        <v>1</v>
      </c>
    </row>
    <row r="6146" spans="1:13" x14ac:dyDescent="0.25">
      <c r="A6146" s="102">
        <v>6652072</v>
      </c>
      <c r="B6146" s="102" t="s">
        <v>1377</v>
      </c>
      <c r="C6146" s="102"/>
      <c r="D6146" s="102">
        <v>56148</v>
      </c>
      <c r="E6146" s="136" t="str">
        <f>INDEX([1]道具配置表!$D:$D,MATCH(D6146,[1]道具配置表!$A:$A,0))</f>
        <v>粗麻头巾</v>
      </c>
      <c r="F6146" s="102">
        <v>1</v>
      </c>
      <c r="G6146" s="102"/>
      <c r="H6146" s="102"/>
      <c r="I6146" s="102"/>
      <c r="J6146" s="102"/>
      <c r="K6146" s="102">
        <v>1</v>
      </c>
      <c r="L6146" s="102"/>
      <c r="M6146" s="22" t="b">
        <v>1</v>
      </c>
    </row>
    <row r="6147" spans="1:13" x14ac:dyDescent="0.25">
      <c r="A6147" s="102"/>
      <c r="B6147" s="102"/>
      <c r="C6147" s="102"/>
      <c r="D6147" s="102">
        <v>56002</v>
      </c>
      <c r="E6147" s="136" t="str">
        <f>INDEX([1]道具配置表!$D:$D,MATCH(D6147,[1]道具配置表!$A:$A,0))</f>
        <v>强化装备消耗材料</v>
      </c>
      <c r="F6147" s="102">
        <v>20</v>
      </c>
      <c r="G6147" s="102"/>
      <c r="H6147" s="102"/>
      <c r="I6147" s="102"/>
      <c r="J6147" s="102"/>
      <c r="K6147" s="102">
        <v>1</v>
      </c>
      <c r="L6147" s="102"/>
      <c r="M6147" s="22" t="b">
        <v>1</v>
      </c>
    </row>
    <row r="6148" spans="1:13" x14ac:dyDescent="0.25">
      <c r="A6148" s="102"/>
      <c r="B6148" s="102"/>
      <c r="C6148" s="102"/>
      <c r="D6148" s="102">
        <v>7228</v>
      </c>
      <c r="E6148" s="136" t="str">
        <f>INDEX([1]道具配置表!$D:$D,MATCH(D6148,[1]道具配置表!$A:$A,0))</f>
        <v>经验书*10000</v>
      </c>
      <c r="F6148" s="102">
        <v>1</v>
      </c>
      <c r="G6148" s="102"/>
      <c r="H6148" s="102"/>
      <c r="I6148" s="102"/>
      <c r="J6148" s="102"/>
      <c r="K6148" s="102">
        <v>1</v>
      </c>
      <c r="L6148" s="102"/>
      <c r="M6148" s="22" t="b">
        <v>1</v>
      </c>
    </row>
    <row r="6149" spans="1:13" x14ac:dyDescent="0.25">
      <c r="A6149" s="102"/>
      <c r="B6149" s="102" t="s">
        <v>119</v>
      </c>
      <c r="C6149" s="102"/>
      <c r="D6149" s="102">
        <v>20000</v>
      </c>
      <c r="E6149" s="136" t="str">
        <f>INDEX([1]道具配置表!$D:$D,MATCH(D6149,[1]道具配置表!$A:$A,0))</f>
        <v>技能点1</v>
      </c>
      <c r="F6149" s="102">
        <v>50</v>
      </c>
      <c r="G6149" s="102"/>
      <c r="H6149" s="102"/>
      <c r="I6149" s="102"/>
      <c r="J6149" s="102"/>
      <c r="K6149" s="102">
        <v>1</v>
      </c>
      <c r="L6149" s="102"/>
      <c r="M6149" s="22" t="b">
        <v>1</v>
      </c>
    </row>
    <row r="6150" spans="1:13" x14ac:dyDescent="0.25">
      <c r="A6150" s="102"/>
      <c r="B6150" s="102" t="s">
        <v>119</v>
      </c>
      <c r="C6150" s="102"/>
      <c r="D6150" s="102">
        <v>56001</v>
      </c>
      <c r="E6150" s="136" t="str">
        <f>INDEX([1]道具配置表!$D:$D,MATCH(D6150,[1]道具配置表!$A:$A,0))</f>
        <v>锻造装备消耗材料</v>
      </c>
      <c r="F6150" s="102">
        <v>20</v>
      </c>
      <c r="G6150" s="102"/>
      <c r="H6150" s="102"/>
      <c r="I6150" s="102"/>
      <c r="J6150" s="102"/>
      <c r="K6150" s="102">
        <v>1</v>
      </c>
      <c r="L6150" s="102"/>
      <c r="M6150" s="22" t="b">
        <v>1</v>
      </c>
    </row>
    <row r="6151" spans="1:13" x14ac:dyDescent="0.25">
      <c r="A6151" s="102"/>
      <c r="B6151" s="102" t="s">
        <v>119</v>
      </c>
      <c r="C6151" s="102"/>
      <c r="D6151" s="102">
        <v>6201</v>
      </c>
      <c r="E6151" s="136" t="str">
        <f>INDEX([1]道具配置表!$D:$D,MATCH(D6151,[1]道具配置表!$A:$A,0))</f>
        <v>60分钟锻造加速</v>
      </c>
      <c r="F6151" s="102">
        <v>1</v>
      </c>
      <c r="G6151" s="102"/>
      <c r="H6151" s="102"/>
      <c r="I6151" s="102"/>
      <c r="J6151" s="102"/>
      <c r="K6151" s="102">
        <v>1</v>
      </c>
      <c r="L6151" s="102"/>
      <c r="M6151" s="22" t="b">
        <v>1</v>
      </c>
    </row>
    <row r="6152" spans="1:13" x14ac:dyDescent="0.25">
      <c r="A6152" s="102">
        <v>6652073</v>
      </c>
      <c r="B6152" s="102" t="s">
        <v>1378</v>
      </c>
      <c r="C6152" s="102"/>
      <c r="D6152" s="102">
        <v>7228</v>
      </c>
      <c r="E6152" s="136" t="str">
        <f>INDEX([1]道具配置表!$D:$D,MATCH(D6152,[1]道具配置表!$A:$A,0))</f>
        <v>经验书*10000</v>
      </c>
      <c r="F6152" s="102">
        <v>1</v>
      </c>
      <c r="G6152" s="102"/>
      <c r="H6152" s="102"/>
      <c r="I6152" s="102"/>
      <c r="J6152" s="102"/>
      <c r="K6152" s="102">
        <v>1</v>
      </c>
      <c r="L6152" s="102"/>
      <c r="M6152" s="22" t="b">
        <v>1</v>
      </c>
    </row>
    <row r="6153" spans="1:13" x14ac:dyDescent="0.25">
      <c r="A6153" s="102"/>
      <c r="B6153" s="102" t="s">
        <v>119</v>
      </c>
      <c r="C6153" s="102"/>
      <c r="D6153" s="102">
        <v>20000</v>
      </c>
      <c r="E6153" s="136" t="str">
        <f>INDEX([1]道具配置表!$D:$D,MATCH(D6153,[1]道具配置表!$A:$A,0))</f>
        <v>技能点1</v>
      </c>
      <c r="F6153" s="102">
        <v>50</v>
      </c>
      <c r="G6153" s="102"/>
      <c r="H6153" s="102"/>
      <c r="I6153" s="102"/>
      <c r="J6153" s="102"/>
      <c r="K6153" s="102">
        <v>1</v>
      </c>
      <c r="L6153" s="102"/>
      <c r="M6153" s="22" t="b">
        <v>1</v>
      </c>
    </row>
    <row r="6154" spans="1:13" x14ac:dyDescent="0.25">
      <c r="A6154" s="102"/>
      <c r="B6154" s="102" t="s">
        <v>119</v>
      </c>
      <c r="C6154" s="102"/>
      <c r="D6154" s="102">
        <v>56001</v>
      </c>
      <c r="E6154" s="136" t="str">
        <f>INDEX([1]道具配置表!$D:$D,MATCH(D6154,[1]道具配置表!$A:$A,0))</f>
        <v>锻造装备消耗材料</v>
      </c>
      <c r="F6154" s="102">
        <v>20</v>
      </c>
      <c r="G6154" s="102"/>
      <c r="H6154" s="102"/>
      <c r="I6154" s="102"/>
      <c r="J6154" s="102"/>
      <c r="K6154" s="102">
        <v>1</v>
      </c>
      <c r="L6154" s="102"/>
      <c r="M6154" s="22" t="b">
        <v>1</v>
      </c>
    </row>
    <row r="6155" spans="1:13" x14ac:dyDescent="0.25">
      <c r="A6155" s="102"/>
      <c r="B6155" s="102" t="s">
        <v>119</v>
      </c>
      <c r="C6155" s="102"/>
      <c r="D6155" s="102">
        <v>6197</v>
      </c>
      <c r="E6155" s="136" t="str">
        <f>INDEX([1]道具配置表!$D:$D,MATCH(D6155,[1]道具配置表!$A:$A,0))</f>
        <v>5分钟锻造加速</v>
      </c>
      <c r="F6155" s="102">
        <v>1</v>
      </c>
      <c r="G6155" s="102"/>
      <c r="H6155" s="102"/>
      <c r="I6155" s="102"/>
      <c r="J6155" s="102"/>
      <c r="K6155" s="102">
        <v>1</v>
      </c>
      <c r="L6155" s="102"/>
      <c r="M6155" s="22" t="b">
        <v>1</v>
      </c>
    </row>
    <row r="6156" spans="1:13" x14ac:dyDescent="0.25">
      <c r="A6156" s="102">
        <v>6652074</v>
      </c>
      <c r="B6156" s="102" t="s">
        <v>1379</v>
      </c>
      <c r="C6156" s="102"/>
      <c r="D6156" s="102">
        <v>56160</v>
      </c>
      <c r="E6156" s="136" t="str">
        <f>INDEX([1]道具配置表!$D:$D,MATCH(D6156,[1]道具配置表!$A:$A,0))</f>
        <v>鹿皮猎帽</v>
      </c>
      <c r="F6156" s="102">
        <v>1</v>
      </c>
      <c r="G6156" s="102"/>
      <c r="H6156" s="102"/>
      <c r="I6156" s="102"/>
      <c r="J6156" s="102"/>
      <c r="K6156" s="102">
        <v>1</v>
      </c>
      <c r="L6156" s="102"/>
      <c r="M6156" s="22" t="b">
        <v>1</v>
      </c>
    </row>
    <row r="6157" spans="1:13" x14ac:dyDescent="0.25">
      <c r="A6157" s="102"/>
      <c r="B6157" s="102"/>
      <c r="C6157" s="102"/>
      <c r="D6157" s="102">
        <v>56002</v>
      </c>
      <c r="E6157" s="136" t="str">
        <f>INDEX([1]道具配置表!$D:$D,MATCH(D6157,[1]道具配置表!$A:$A,0))</f>
        <v>强化装备消耗材料</v>
      </c>
      <c r="F6157" s="102">
        <v>20</v>
      </c>
      <c r="G6157" s="102"/>
      <c r="H6157" s="102"/>
      <c r="I6157" s="102"/>
      <c r="J6157" s="102"/>
      <c r="K6157" s="102">
        <v>1</v>
      </c>
      <c r="L6157" s="102"/>
      <c r="M6157" s="22" t="b">
        <v>1</v>
      </c>
    </row>
    <row r="6158" spans="1:13" x14ac:dyDescent="0.25">
      <c r="A6158" s="102"/>
      <c r="B6158" s="102"/>
      <c r="C6158" s="102"/>
      <c r="D6158" s="102">
        <v>7228</v>
      </c>
      <c r="E6158" s="136" t="str">
        <f>INDEX([1]道具配置表!$D:$D,MATCH(D6158,[1]道具配置表!$A:$A,0))</f>
        <v>经验书*10000</v>
      </c>
      <c r="F6158" s="102">
        <v>1</v>
      </c>
      <c r="G6158" s="102"/>
      <c r="H6158" s="102"/>
      <c r="I6158" s="102"/>
      <c r="J6158" s="102"/>
      <c r="K6158" s="102">
        <v>1</v>
      </c>
      <c r="L6158" s="102"/>
      <c r="M6158" s="22" t="b">
        <v>1</v>
      </c>
    </row>
    <row r="6159" spans="1:13" x14ac:dyDescent="0.25">
      <c r="A6159" s="102"/>
      <c r="B6159" s="102" t="s">
        <v>119</v>
      </c>
      <c r="C6159" s="102"/>
      <c r="D6159" s="102">
        <v>20000</v>
      </c>
      <c r="E6159" s="136" t="str">
        <f>INDEX([1]道具配置表!$D:$D,MATCH(D6159,[1]道具配置表!$A:$A,0))</f>
        <v>技能点1</v>
      </c>
      <c r="F6159" s="102">
        <v>50</v>
      </c>
      <c r="G6159" s="102"/>
      <c r="H6159" s="102"/>
      <c r="I6159" s="102"/>
      <c r="J6159" s="102"/>
      <c r="K6159" s="102">
        <v>1</v>
      </c>
      <c r="L6159" s="102"/>
      <c r="M6159" s="22" t="b">
        <v>1</v>
      </c>
    </row>
    <row r="6160" spans="1:13" x14ac:dyDescent="0.25">
      <c r="A6160" s="102"/>
      <c r="B6160" s="102" t="s">
        <v>119</v>
      </c>
      <c r="C6160" s="102"/>
      <c r="D6160" s="102">
        <v>56001</v>
      </c>
      <c r="E6160" s="136" t="str">
        <f>INDEX([1]道具配置表!$D:$D,MATCH(D6160,[1]道具配置表!$A:$A,0))</f>
        <v>锻造装备消耗材料</v>
      </c>
      <c r="F6160" s="102">
        <v>20</v>
      </c>
      <c r="G6160" s="102"/>
      <c r="H6160" s="102"/>
      <c r="I6160" s="102"/>
      <c r="J6160" s="102"/>
      <c r="K6160" s="102">
        <v>1</v>
      </c>
      <c r="L6160" s="102"/>
      <c r="M6160" s="22" t="b">
        <v>1</v>
      </c>
    </row>
    <row r="6161" spans="1:13" x14ac:dyDescent="0.25">
      <c r="A6161" s="102"/>
      <c r="B6161" s="102" t="s">
        <v>119</v>
      </c>
      <c r="C6161" s="102"/>
      <c r="D6161" s="102">
        <v>6201</v>
      </c>
      <c r="E6161" s="136" t="str">
        <f>INDEX([1]道具配置表!$D:$D,MATCH(D6161,[1]道具配置表!$A:$A,0))</f>
        <v>60分钟锻造加速</v>
      </c>
      <c r="F6161" s="102">
        <v>1</v>
      </c>
      <c r="G6161" s="102"/>
      <c r="H6161" s="102"/>
      <c r="I6161" s="102"/>
      <c r="J6161" s="102"/>
      <c r="K6161" s="102">
        <v>1</v>
      </c>
      <c r="L6161" s="102"/>
      <c r="M6161" s="22" t="b">
        <v>1</v>
      </c>
    </row>
    <row r="6162" spans="1:13" x14ac:dyDescent="0.25">
      <c r="A6162" s="102">
        <v>6652075</v>
      </c>
      <c r="B6162" s="102" t="s">
        <v>1380</v>
      </c>
      <c r="C6162" s="102"/>
      <c r="D6162" s="102">
        <v>7228</v>
      </c>
      <c r="E6162" s="136" t="str">
        <f>INDEX([1]道具配置表!$D:$D,MATCH(D6162,[1]道具配置表!$A:$A,0))</f>
        <v>经验书*10000</v>
      </c>
      <c r="F6162" s="102">
        <v>2</v>
      </c>
      <c r="G6162" s="102"/>
      <c r="H6162" s="102"/>
      <c r="I6162" s="102"/>
      <c r="J6162" s="102"/>
      <c r="K6162" s="102">
        <v>1</v>
      </c>
      <c r="L6162" s="102"/>
      <c r="M6162" s="22" t="b">
        <v>1</v>
      </c>
    </row>
    <row r="6163" spans="1:13" x14ac:dyDescent="0.25">
      <c r="A6163" s="102"/>
      <c r="B6163" s="102" t="s">
        <v>119</v>
      </c>
      <c r="C6163" s="102"/>
      <c r="D6163" s="102">
        <v>20000</v>
      </c>
      <c r="E6163" s="136" t="str">
        <f>INDEX([1]道具配置表!$D:$D,MATCH(D6163,[1]道具配置表!$A:$A,0))</f>
        <v>技能点1</v>
      </c>
      <c r="F6163" s="102">
        <v>100</v>
      </c>
      <c r="G6163" s="102"/>
      <c r="H6163" s="102"/>
      <c r="I6163" s="102"/>
      <c r="J6163" s="102"/>
      <c r="K6163" s="102">
        <v>1</v>
      </c>
      <c r="L6163" s="102"/>
      <c r="M6163" s="22" t="b">
        <v>1</v>
      </c>
    </row>
    <row r="6164" spans="1:13" x14ac:dyDescent="0.25">
      <c r="A6164" s="102"/>
      <c r="B6164" s="102" t="s">
        <v>119</v>
      </c>
      <c r="C6164" s="102"/>
      <c r="D6164" s="102">
        <v>56001</v>
      </c>
      <c r="E6164" s="136" t="str">
        <f>INDEX([1]道具配置表!$D:$D,MATCH(D6164,[1]道具配置表!$A:$A,0))</f>
        <v>锻造装备消耗材料</v>
      </c>
      <c r="F6164" s="102">
        <v>50</v>
      </c>
      <c r="G6164" s="102"/>
      <c r="H6164" s="102"/>
      <c r="I6164" s="102"/>
      <c r="J6164" s="102"/>
      <c r="K6164" s="102">
        <v>1</v>
      </c>
      <c r="L6164" s="102"/>
      <c r="M6164" s="22" t="b">
        <v>1</v>
      </c>
    </row>
    <row r="6165" spans="1:13" x14ac:dyDescent="0.25">
      <c r="A6165" s="102"/>
      <c r="B6165" s="102" t="s">
        <v>119</v>
      </c>
      <c r="C6165" s="102"/>
      <c r="D6165" s="102">
        <v>6197</v>
      </c>
      <c r="E6165" s="136" t="str">
        <f>INDEX([1]道具配置表!$D:$D,MATCH(D6165,[1]道具配置表!$A:$A,0))</f>
        <v>5分钟锻造加速</v>
      </c>
      <c r="F6165" s="102">
        <v>1</v>
      </c>
      <c r="G6165" s="102"/>
      <c r="H6165" s="102"/>
      <c r="I6165" s="102"/>
      <c r="J6165" s="102"/>
      <c r="K6165" s="102">
        <v>1</v>
      </c>
      <c r="L6165" s="102"/>
      <c r="M6165" s="22" t="b">
        <v>1</v>
      </c>
    </row>
    <row r="6166" spans="1:13" x14ac:dyDescent="0.25">
      <c r="A6166" s="102">
        <v>6652076</v>
      </c>
      <c r="B6166" s="102" t="s">
        <v>1381</v>
      </c>
      <c r="C6166" s="102"/>
      <c r="D6166" s="102">
        <v>56172</v>
      </c>
      <c r="E6166" s="136" t="str">
        <f>INDEX([1]道具配置表!$D:$D,MATCH(D6166,[1]道具配置表!$A:$A,0))</f>
        <v>羊毡风帽</v>
      </c>
      <c r="F6166" s="102">
        <v>1</v>
      </c>
      <c r="G6166" s="102"/>
      <c r="H6166" s="102"/>
      <c r="I6166" s="102"/>
      <c r="J6166" s="102"/>
      <c r="K6166" s="102">
        <v>1</v>
      </c>
      <c r="L6166" s="102"/>
      <c r="M6166" s="22" t="b">
        <v>1</v>
      </c>
    </row>
    <row r="6167" spans="1:13" x14ac:dyDescent="0.25">
      <c r="A6167" s="102"/>
      <c r="B6167" s="102"/>
      <c r="C6167" s="102"/>
      <c r="D6167" s="102">
        <v>56002</v>
      </c>
      <c r="E6167" s="136" t="str">
        <f>INDEX([1]道具配置表!$D:$D,MATCH(D6167,[1]道具配置表!$A:$A,0))</f>
        <v>强化装备消耗材料</v>
      </c>
      <c r="F6167" s="102">
        <v>20</v>
      </c>
      <c r="G6167" s="102"/>
      <c r="H6167" s="102"/>
      <c r="I6167" s="102"/>
      <c r="J6167" s="102"/>
      <c r="K6167" s="102">
        <v>1</v>
      </c>
      <c r="L6167" s="102"/>
      <c r="M6167" s="22" t="b">
        <v>1</v>
      </c>
    </row>
    <row r="6168" spans="1:13" x14ac:dyDescent="0.25">
      <c r="A6168" s="102"/>
      <c r="B6168" s="102"/>
      <c r="C6168" s="102"/>
      <c r="D6168" s="102">
        <v>7228</v>
      </c>
      <c r="E6168" s="136" t="str">
        <f>INDEX([1]道具配置表!$D:$D,MATCH(D6168,[1]道具配置表!$A:$A,0))</f>
        <v>经验书*10000</v>
      </c>
      <c r="F6168" s="102">
        <v>1</v>
      </c>
      <c r="G6168" s="102"/>
      <c r="H6168" s="102"/>
      <c r="I6168" s="102"/>
      <c r="J6168" s="102"/>
      <c r="K6168" s="102">
        <v>1</v>
      </c>
      <c r="L6168" s="102"/>
      <c r="M6168" s="22" t="b">
        <v>1</v>
      </c>
    </row>
    <row r="6169" spans="1:13" x14ac:dyDescent="0.25">
      <c r="A6169" s="102"/>
      <c r="B6169" s="102" t="s">
        <v>119</v>
      </c>
      <c r="C6169" s="102"/>
      <c r="D6169" s="102">
        <v>20000</v>
      </c>
      <c r="E6169" s="136" t="str">
        <f>INDEX([1]道具配置表!$D:$D,MATCH(D6169,[1]道具配置表!$A:$A,0))</f>
        <v>技能点1</v>
      </c>
      <c r="F6169" s="102">
        <v>50</v>
      </c>
      <c r="G6169" s="102"/>
      <c r="H6169" s="102"/>
      <c r="I6169" s="102"/>
      <c r="J6169" s="102"/>
      <c r="K6169" s="102">
        <v>1</v>
      </c>
      <c r="L6169" s="102"/>
      <c r="M6169" s="22" t="b">
        <v>1</v>
      </c>
    </row>
    <row r="6170" spans="1:13" x14ac:dyDescent="0.25">
      <c r="A6170" s="102"/>
      <c r="B6170" s="102" t="s">
        <v>119</v>
      </c>
      <c r="C6170" s="102"/>
      <c r="D6170" s="102">
        <v>56001</v>
      </c>
      <c r="E6170" s="136" t="str">
        <f>INDEX([1]道具配置表!$D:$D,MATCH(D6170,[1]道具配置表!$A:$A,0))</f>
        <v>锻造装备消耗材料</v>
      </c>
      <c r="F6170" s="102">
        <v>20</v>
      </c>
      <c r="G6170" s="102"/>
      <c r="H6170" s="102"/>
      <c r="I6170" s="102"/>
      <c r="J6170" s="102"/>
      <c r="K6170" s="102">
        <v>1</v>
      </c>
      <c r="L6170" s="102"/>
      <c r="M6170" s="22" t="b">
        <v>1</v>
      </c>
    </row>
    <row r="6171" spans="1:13" x14ac:dyDescent="0.25">
      <c r="A6171" s="102"/>
      <c r="B6171" s="102" t="s">
        <v>119</v>
      </c>
      <c r="C6171" s="102"/>
      <c r="D6171" s="102">
        <v>6201</v>
      </c>
      <c r="E6171" s="136" t="str">
        <f>INDEX([1]道具配置表!$D:$D,MATCH(D6171,[1]道具配置表!$A:$A,0))</f>
        <v>60分钟锻造加速</v>
      </c>
      <c r="F6171" s="102">
        <v>1</v>
      </c>
      <c r="G6171" s="102"/>
      <c r="H6171" s="102"/>
      <c r="I6171" s="102"/>
      <c r="J6171" s="102"/>
      <c r="K6171" s="102">
        <v>1</v>
      </c>
      <c r="L6171" s="102"/>
      <c r="M6171" s="22" t="b">
        <v>1</v>
      </c>
    </row>
    <row r="6172" spans="1:13" x14ac:dyDescent="0.25">
      <c r="A6172" s="102">
        <v>6652077</v>
      </c>
      <c r="B6172" s="102" t="s">
        <v>1382</v>
      </c>
      <c r="C6172" s="102"/>
      <c r="D6172" s="102">
        <v>7228</v>
      </c>
      <c r="E6172" s="136" t="str">
        <f>INDEX([1]道具配置表!$D:$D,MATCH(D6172,[1]道具配置表!$A:$A,0))</f>
        <v>经验书*10000</v>
      </c>
      <c r="F6172" s="102">
        <v>1</v>
      </c>
      <c r="G6172" s="102"/>
      <c r="H6172" s="102"/>
      <c r="I6172" s="102"/>
      <c r="J6172" s="102"/>
      <c r="K6172" s="102">
        <v>1</v>
      </c>
      <c r="L6172" s="102"/>
      <c r="M6172" s="22" t="b">
        <v>1</v>
      </c>
    </row>
    <row r="6173" spans="1:13" x14ac:dyDescent="0.25">
      <c r="A6173" s="102"/>
      <c r="B6173" s="102" t="s">
        <v>119</v>
      </c>
      <c r="C6173" s="102"/>
      <c r="D6173" s="102">
        <v>20000</v>
      </c>
      <c r="E6173" s="136" t="str">
        <f>INDEX([1]道具配置表!$D:$D,MATCH(D6173,[1]道具配置表!$A:$A,0))</f>
        <v>技能点1</v>
      </c>
      <c r="F6173" s="102">
        <v>50</v>
      </c>
      <c r="G6173" s="102"/>
      <c r="H6173" s="102"/>
      <c r="I6173" s="102"/>
      <c r="J6173" s="102"/>
      <c r="K6173" s="102">
        <v>1</v>
      </c>
      <c r="L6173" s="102"/>
      <c r="M6173" s="22" t="b">
        <v>1</v>
      </c>
    </row>
    <row r="6174" spans="1:13" x14ac:dyDescent="0.25">
      <c r="A6174" s="102"/>
      <c r="B6174" s="102" t="s">
        <v>119</v>
      </c>
      <c r="C6174" s="102"/>
      <c r="D6174" s="102">
        <v>56001</v>
      </c>
      <c r="E6174" s="136" t="str">
        <f>INDEX([1]道具配置表!$D:$D,MATCH(D6174,[1]道具配置表!$A:$A,0))</f>
        <v>锻造装备消耗材料</v>
      </c>
      <c r="F6174" s="102">
        <v>20</v>
      </c>
      <c r="G6174" s="102"/>
      <c r="H6174" s="102"/>
      <c r="I6174" s="102"/>
      <c r="J6174" s="102"/>
      <c r="K6174" s="102">
        <v>1</v>
      </c>
      <c r="L6174" s="102"/>
      <c r="M6174" s="22" t="b">
        <v>1</v>
      </c>
    </row>
    <row r="6175" spans="1:13" x14ac:dyDescent="0.25">
      <c r="A6175" s="102"/>
      <c r="B6175" s="102" t="s">
        <v>119</v>
      </c>
      <c r="C6175" s="102"/>
      <c r="D6175" s="102">
        <v>6197</v>
      </c>
      <c r="E6175" s="136" t="str">
        <f>INDEX([1]道具配置表!$D:$D,MATCH(D6175,[1]道具配置表!$A:$A,0))</f>
        <v>5分钟锻造加速</v>
      </c>
      <c r="F6175" s="102">
        <v>1</v>
      </c>
      <c r="G6175" s="102"/>
      <c r="H6175" s="102"/>
      <c r="I6175" s="102"/>
      <c r="J6175" s="102"/>
      <c r="K6175" s="102">
        <v>1</v>
      </c>
      <c r="L6175" s="102"/>
      <c r="M6175" s="22" t="b">
        <v>1</v>
      </c>
    </row>
    <row r="6176" spans="1:13" x14ac:dyDescent="0.25">
      <c r="A6176" s="102">
        <v>6652078</v>
      </c>
      <c r="B6176" s="102" t="s">
        <v>1383</v>
      </c>
      <c r="C6176" s="102"/>
      <c r="D6176" s="102">
        <v>56184</v>
      </c>
      <c r="E6176" s="136" t="str">
        <f>INDEX([1]道具配置表!$D:$D,MATCH(D6176,[1]道具配置表!$A:$A,0))</f>
        <v>简易草帽</v>
      </c>
      <c r="F6176" s="102">
        <v>1</v>
      </c>
      <c r="G6176" s="102"/>
      <c r="H6176" s="102"/>
      <c r="I6176" s="102"/>
      <c r="J6176" s="102"/>
      <c r="K6176" s="102">
        <v>1</v>
      </c>
      <c r="L6176" s="102"/>
      <c r="M6176" s="22" t="b">
        <v>1</v>
      </c>
    </row>
    <row r="6177" spans="1:13" x14ac:dyDescent="0.25">
      <c r="A6177" s="102"/>
      <c r="B6177" s="102"/>
      <c r="C6177" s="102"/>
      <c r="D6177" s="102">
        <v>56002</v>
      </c>
      <c r="E6177" s="136" t="str">
        <f>INDEX([1]道具配置表!$D:$D,MATCH(D6177,[1]道具配置表!$A:$A,0))</f>
        <v>强化装备消耗材料</v>
      </c>
      <c r="F6177" s="102">
        <v>20</v>
      </c>
      <c r="G6177" s="102"/>
      <c r="H6177" s="102"/>
      <c r="I6177" s="102"/>
      <c r="J6177" s="102"/>
      <c r="K6177" s="102">
        <v>1</v>
      </c>
      <c r="L6177" s="102"/>
      <c r="M6177" s="22" t="b">
        <v>1</v>
      </c>
    </row>
    <row r="6178" spans="1:13" x14ac:dyDescent="0.25">
      <c r="A6178" s="102"/>
      <c r="B6178" s="102"/>
      <c r="C6178" s="102"/>
      <c r="D6178" s="102">
        <v>7228</v>
      </c>
      <c r="E6178" s="136" t="str">
        <f>INDEX([1]道具配置表!$D:$D,MATCH(D6178,[1]道具配置表!$A:$A,0))</f>
        <v>经验书*10000</v>
      </c>
      <c r="F6178" s="102">
        <v>1</v>
      </c>
      <c r="G6178" s="102"/>
      <c r="H6178" s="102"/>
      <c r="I6178" s="102"/>
      <c r="J6178" s="102"/>
      <c r="K6178" s="102">
        <v>1</v>
      </c>
      <c r="L6178" s="102"/>
      <c r="M6178" s="22" t="b">
        <v>1</v>
      </c>
    </row>
    <row r="6179" spans="1:13" x14ac:dyDescent="0.25">
      <c r="A6179" s="102"/>
      <c r="B6179" s="102" t="s">
        <v>119</v>
      </c>
      <c r="C6179" s="102"/>
      <c r="D6179" s="102">
        <v>20000</v>
      </c>
      <c r="E6179" s="136" t="str">
        <f>INDEX([1]道具配置表!$D:$D,MATCH(D6179,[1]道具配置表!$A:$A,0))</f>
        <v>技能点1</v>
      </c>
      <c r="F6179" s="102">
        <v>50</v>
      </c>
      <c r="G6179" s="102"/>
      <c r="H6179" s="102"/>
      <c r="I6179" s="102"/>
      <c r="J6179" s="102"/>
      <c r="K6179" s="102">
        <v>1</v>
      </c>
      <c r="L6179" s="102"/>
      <c r="M6179" s="22" t="b">
        <v>1</v>
      </c>
    </row>
    <row r="6180" spans="1:13" x14ac:dyDescent="0.25">
      <c r="A6180" s="102"/>
      <c r="B6180" s="102" t="s">
        <v>119</v>
      </c>
      <c r="C6180" s="102"/>
      <c r="D6180" s="102">
        <v>56001</v>
      </c>
      <c r="E6180" s="136" t="str">
        <f>INDEX([1]道具配置表!$D:$D,MATCH(D6180,[1]道具配置表!$A:$A,0))</f>
        <v>锻造装备消耗材料</v>
      </c>
      <c r="F6180" s="102">
        <v>20</v>
      </c>
      <c r="G6180" s="102"/>
      <c r="H6180" s="102"/>
      <c r="I6180" s="102"/>
      <c r="J6180" s="102"/>
      <c r="K6180" s="102">
        <v>1</v>
      </c>
      <c r="L6180" s="102"/>
      <c r="M6180" s="22" t="b">
        <v>1</v>
      </c>
    </row>
    <row r="6181" spans="1:13" x14ac:dyDescent="0.25">
      <c r="A6181" s="102"/>
      <c r="B6181" s="102" t="s">
        <v>119</v>
      </c>
      <c r="C6181" s="102"/>
      <c r="D6181" s="102">
        <v>6201</v>
      </c>
      <c r="E6181" s="136" t="str">
        <f>INDEX([1]道具配置表!$D:$D,MATCH(D6181,[1]道具配置表!$A:$A,0))</f>
        <v>60分钟锻造加速</v>
      </c>
      <c r="F6181" s="102">
        <v>1</v>
      </c>
      <c r="G6181" s="102"/>
      <c r="H6181" s="102"/>
      <c r="I6181" s="102"/>
      <c r="J6181" s="102"/>
      <c r="K6181" s="102">
        <v>1</v>
      </c>
      <c r="L6181" s="102"/>
      <c r="M6181" s="22" t="b">
        <v>1</v>
      </c>
    </row>
    <row r="6182" spans="1:13" x14ac:dyDescent="0.25">
      <c r="A6182" s="102">
        <v>6652079</v>
      </c>
      <c r="B6182" s="102" t="s">
        <v>1384</v>
      </c>
      <c r="C6182" s="102"/>
      <c r="D6182" s="102">
        <v>7228</v>
      </c>
      <c r="E6182" s="136" t="str">
        <f>INDEX([1]道具配置表!$D:$D,MATCH(D6182,[1]道具配置表!$A:$A,0))</f>
        <v>经验书*10000</v>
      </c>
      <c r="F6182" s="102">
        <v>1</v>
      </c>
      <c r="G6182" s="102"/>
      <c r="H6182" s="102"/>
      <c r="I6182" s="102"/>
      <c r="J6182" s="102"/>
      <c r="K6182" s="102">
        <v>1</v>
      </c>
      <c r="L6182" s="102"/>
      <c r="M6182" s="22" t="b">
        <v>1</v>
      </c>
    </row>
    <row r="6183" spans="1:13" x14ac:dyDescent="0.25">
      <c r="A6183" s="102"/>
      <c r="B6183" s="102" t="s">
        <v>119</v>
      </c>
      <c r="C6183" s="102"/>
      <c r="D6183" s="102">
        <v>20000</v>
      </c>
      <c r="E6183" s="136" t="str">
        <f>INDEX([1]道具配置表!$D:$D,MATCH(D6183,[1]道具配置表!$A:$A,0))</f>
        <v>技能点1</v>
      </c>
      <c r="F6183" s="102">
        <v>50</v>
      </c>
      <c r="G6183" s="102"/>
      <c r="H6183" s="102"/>
      <c r="I6183" s="102"/>
      <c r="J6183" s="102"/>
      <c r="K6183" s="102">
        <v>1</v>
      </c>
      <c r="L6183" s="102"/>
      <c r="M6183" s="22" t="b">
        <v>1</v>
      </c>
    </row>
    <row r="6184" spans="1:13" x14ac:dyDescent="0.25">
      <c r="A6184" s="102"/>
      <c r="B6184" s="102" t="s">
        <v>119</v>
      </c>
      <c r="C6184" s="102"/>
      <c r="D6184" s="102">
        <v>56001</v>
      </c>
      <c r="E6184" s="136" t="str">
        <f>INDEX([1]道具配置表!$D:$D,MATCH(D6184,[1]道具配置表!$A:$A,0))</f>
        <v>锻造装备消耗材料</v>
      </c>
      <c r="F6184" s="102">
        <v>20</v>
      </c>
      <c r="G6184" s="102"/>
      <c r="H6184" s="102"/>
      <c r="I6184" s="102"/>
      <c r="J6184" s="102"/>
      <c r="K6184" s="102">
        <v>1</v>
      </c>
      <c r="L6184" s="102"/>
      <c r="M6184" s="22" t="b">
        <v>1</v>
      </c>
    </row>
    <row r="6185" spans="1:13" x14ac:dyDescent="0.25">
      <c r="A6185" s="102"/>
      <c r="B6185" s="102" t="s">
        <v>119</v>
      </c>
      <c r="C6185" s="102"/>
      <c r="D6185" s="102">
        <v>6197</v>
      </c>
      <c r="E6185" s="136" t="str">
        <f>INDEX([1]道具配置表!$D:$D,MATCH(D6185,[1]道具配置表!$A:$A,0))</f>
        <v>5分钟锻造加速</v>
      </c>
      <c r="F6185" s="102">
        <v>1</v>
      </c>
      <c r="G6185" s="102"/>
      <c r="H6185" s="102"/>
      <c r="I6185" s="102"/>
      <c r="J6185" s="102"/>
      <c r="K6185" s="102">
        <v>1</v>
      </c>
      <c r="L6185" s="102"/>
      <c r="M6185" s="22" t="b">
        <v>1</v>
      </c>
    </row>
    <row r="6186" spans="1:13" x14ac:dyDescent="0.25">
      <c r="A6186" s="102">
        <v>6652080</v>
      </c>
      <c r="B6186" s="102" t="s">
        <v>1385</v>
      </c>
      <c r="C6186" s="102"/>
      <c r="D6186" s="102">
        <v>56150</v>
      </c>
      <c r="E6186" s="136" t="str">
        <f>INDEX([1]道具配置表!$D:$D,MATCH(D6186,[1]道具配置表!$A:$A,0))</f>
        <v>破落布甲</v>
      </c>
      <c r="F6186" s="102">
        <v>1</v>
      </c>
      <c r="G6186" s="102"/>
      <c r="H6186" s="102"/>
      <c r="I6186" s="102"/>
      <c r="J6186" s="102"/>
      <c r="K6186" s="102">
        <v>1</v>
      </c>
      <c r="L6186" s="102"/>
      <c r="M6186" s="22" t="b">
        <v>1</v>
      </c>
    </row>
    <row r="6187" spans="1:13" x14ac:dyDescent="0.25">
      <c r="A6187" s="102"/>
      <c r="B6187" s="102" t="s">
        <v>119</v>
      </c>
      <c r="C6187" s="102"/>
      <c r="D6187" s="102">
        <v>56002</v>
      </c>
      <c r="E6187" s="136" t="str">
        <f>INDEX([1]道具配置表!$D:$D,MATCH(D6187,[1]道具配置表!$A:$A,0))</f>
        <v>强化装备消耗材料</v>
      </c>
      <c r="F6187" s="102">
        <v>20</v>
      </c>
      <c r="G6187" s="102"/>
      <c r="H6187" s="102"/>
      <c r="I6187" s="102"/>
      <c r="J6187" s="102"/>
      <c r="K6187" s="102">
        <v>1</v>
      </c>
      <c r="L6187" s="102"/>
      <c r="M6187" s="22" t="b">
        <v>1</v>
      </c>
    </row>
    <row r="6188" spans="1:13" x14ac:dyDescent="0.25">
      <c r="A6188" s="102"/>
      <c r="B6188" s="102" t="s">
        <v>119</v>
      </c>
      <c r="C6188" s="102"/>
      <c r="D6188" s="102">
        <v>7228</v>
      </c>
      <c r="E6188" s="136" t="str">
        <f>INDEX([1]道具配置表!$D:$D,MATCH(D6188,[1]道具配置表!$A:$A,0))</f>
        <v>经验书*10000</v>
      </c>
      <c r="F6188" s="102">
        <v>2</v>
      </c>
      <c r="G6188" s="102"/>
      <c r="H6188" s="102"/>
      <c r="I6188" s="102"/>
      <c r="J6188" s="102"/>
      <c r="K6188" s="102">
        <v>1</v>
      </c>
      <c r="L6188" s="102"/>
      <c r="M6188" s="22" t="b">
        <v>1</v>
      </c>
    </row>
    <row r="6189" spans="1:13" x14ac:dyDescent="0.25">
      <c r="A6189" s="102"/>
      <c r="B6189" s="102" t="s">
        <v>119</v>
      </c>
      <c r="C6189" s="102"/>
      <c r="D6189" s="102">
        <v>20000</v>
      </c>
      <c r="E6189" s="136" t="str">
        <f>INDEX([1]道具配置表!$D:$D,MATCH(D6189,[1]道具配置表!$A:$A,0))</f>
        <v>技能点1</v>
      </c>
      <c r="F6189" s="102">
        <v>100</v>
      </c>
      <c r="G6189" s="102"/>
      <c r="H6189" s="102"/>
      <c r="I6189" s="102"/>
      <c r="J6189" s="102"/>
      <c r="K6189" s="102">
        <v>1</v>
      </c>
      <c r="L6189" s="102"/>
      <c r="M6189" s="22" t="b">
        <v>1</v>
      </c>
    </row>
    <row r="6190" spans="1:13" x14ac:dyDescent="0.25">
      <c r="A6190" s="102"/>
      <c r="B6190" s="102" t="s">
        <v>119</v>
      </c>
      <c r="C6190" s="102"/>
      <c r="D6190" s="102">
        <v>56001</v>
      </c>
      <c r="E6190" s="136" t="str">
        <f>INDEX([1]道具配置表!$D:$D,MATCH(D6190,[1]道具配置表!$A:$A,0))</f>
        <v>锻造装备消耗材料</v>
      </c>
      <c r="F6190" s="102">
        <v>50</v>
      </c>
      <c r="G6190" s="102"/>
      <c r="H6190" s="102"/>
      <c r="I6190" s="102"/>
      <c r="J6190" s="102"/>
      <c r="K6190" s="102">
        <v>1</v>
      </c>
      <c r="L6190" s="102"/>
      <c r="M6190" s="22" t="b">
        <v>1</v>
      </c>
    </row>
    <row r="6191" spans="1:13" x14ac:dyDescent="0.25">
      <c r="A6191" s="102"/>
      <c r="B6191" s="102" t="s">
        <v>119</v>
      </c>
      <c r="C6191" s="102"/>
      <c r="D6191" s="102">
        <v>6201</v>
      </c>
      <c r="E6191" s="136" t="str">
        <f>INDEX([1]道具配置表!$D:$D,MATCH(D6191,[1]道具配置表!$A:$A,0))</f>
        <v>60分钟锻造加速</v>
      </c>
      <c r="F6191" s="102">
        <v>1</v>
      </c>
      <c r="G6191" s="102"/>
      <c r="H6191" s="102"/>
      <c r="I6191" s="102"/>
      <c r="J6191" s="102"/>
      <c r="K6191" s="102">
        <v>1</v>
      </c>
      <c r="L6191" s="102"/>
      <c r="M6191" s="22" t="b">
        <v>1</v>
      </c>
    </row>
    <row r="6192" spans="1:13" x14ac:dyDescent="0.25">
      <c r="A6192" s="102">
        <v>6652081</v>
      </c>
      <c r="B6192" s="102" t="s">
        <v>1386</v>
      </c>
      <c r="C6192" s="102"/>
      <c r="D6192" s="102">
        <v>7228</v>
      </c>
      <c r="E6192" s="136" t="str">
        <f>INDEX([1]道具配置表!$D:$D,MATCH(D6192,[1]道具配置表!$A:$A,0))</f>
        <v>经验书*10000</v>
      </c>
      <c r="F6192" s="102">
        <v>1</v>
      </c>
      <c r="G6192" s="102"/>
      <c r="H6192" s="102"/>
      <c r="I6192" s="102"/>
      <c r="J6192" s="102"/>
      <c r="K6192" s="102">
        <v>1</v>
      </c>
      <c r="L6192" s="102"/>
      <c r="M6192" s="22" t="b">
        <v>1</v>
      </c>
    </row>
    <row r="6193" spans="1:13" x14ac:dyDescent="0.25">
      <c r="A6193" s="102"/>
      <c r="B6193" s="102" t="s">
        <v>119</v>
      </c>
      <c r="C6193" s="102"/>
      <c r="D6193" s="102">
        <v>20000</v>
      </c>
      <c r="E6193" s="136" t="str">
        <f>INDEX([1]道具配置表!$D:$D,MATCH(D6193,[1]道具配置表!$A:$A,0))</f>
        <v>技能点1</v>
      </c>
      <c r="F6193" s="102">
        <v>50</v>
      </c>
      <c r="G6193" s="102"/>
      <c r="H6193" s="102"/>
      <c r="I6193" s="102"/>
      <c r="J6193" s="102"/>
      <c r="K6193" s="102">
        <v>1</v>
      </c>
      <c r="L6193" s="102"/>
      <c r="M6193" s="22" t="b">
        <v>1</v>
      </c>
    </row>
    <row r="6194" spans="1:13" x14ac:dyDescent="0.25">
      <c r="A6194" s="102"/>
      <c r="B6194" s="102" t="s">
        <v>119</v>
      </c>
      <c r="C6194" s="102"/>
      <c r="D6194" s="102">
        <v>56001</v>
      </c>
      <c r="E6194" s="136" t="str">
        <f>INDEX([1]道具配置表!$D:$D,MATCH(D6194,[1]道具配置表!$A:$A,0))</f>
        <v>锻造装备消耗材料</v>
      </c>
      <c r="F6194" s="102">
        <v>20</v>
      </c>
      <c r="G6194" s="102"/>
      <c r="H6194" s="102"/>
      <c r="I6194" s="102"/>
      <c r="J6194" s="102"/>
      <c r="K6194" s="102">
        <v>1</v>
      </c>
      <c r="L6194" s="102"/>
      <c r="M6194" s="22" t="b">
        <v>1</v>
      </c>
    </row>
    <row r="6195" spans="1:13" x14ac:dyDescent="0.25">
      <c r="A6195" s="102"/>
      <c r="B6195" s="102" t="s">
        <v>119</v>
      </c>
      <c r="C6195" s="102"/>
      <c r="D6195" s="102">
        <v>6197</v>
      </c>
      <c r="E6195" s="136" t="str">
        <f>INDEX([1]道具配置表!$D:$D,MATCH(D6195,[1]道具配置表!$A:$A,0))</f>
        <v>5分钟锻造加速</v>
      </c>
      <c r="F6195" s="102">
        <v>1</v>
      </c>
      <c r="G6195" s="102"/>
      <c r="H6195" s="102"/>
      <c r="I6195" s="102"/>
      <c r="J6195" s="102"/>
      <c r="K6195" s="102">
        <v>1</v>
      </c>
      <c r="L6195" s="102"/>
      <c r="M6195" s="22" t="b">
        <v>1</v>
      </c>
    </row>
    <row r="6196" spans="1:13" x14ac:dyDescent="0.25">
      <c r="A6196" s="102">
        <v>6652082</v>
      </c>
      <c r="B6196" s="102" t="s">
        <v>1387</v>
      </c>
      <c r="C6196" s="102"/>
      <c r="D6196" s="102">
        <v>56162</v>
      </c>
      <c r="E6196" s="136" t="str">
        <f>INDEX([1]道具配置表!$D:$D,MATCH(D6196,[1]道具配置表!$A:$A,0))</f>
        <v>熊革护胸</v>
      </c>
      <c r="F6196" s="102">
        <v>1</v>
      </c>
      <c r="G6196" s="102"/>
      <c r="H6196" s="102"/>
      <c r="I6196" s="102"/>
      <c r="J6196" s="102"/>
      <c r="K6196" s="102">
        <v>1</v>
      </c>
      <c r="L6196" s="102"/>
      <c r="M6196" s="22" t="b">
        <v>1</v>
      </c>
    </row>
    <row r="6197" spans="1:13" x14ac:dyDescent="0.25">
      <c r="A6197" s="102"/>
      <c r="B6197" s="102"/>
      <c r="C6197" s="102"/>
      <c r="D6197" s="102">
        <v>56002</v>
      </c>
      <c r="E6197" s="136" t="str">
        <f>INDEX([1]道具配置表!$D:$D,MATCH(D6197,[1]道具配置表!$A:$A,0))</f>
        <v>强化装备消耗材料</v>
      </c>
      <c r="F6197" s="102">
        <v>20</v>
      </c>
      <c r="G6197" s="102"/>
      <c r="H6197" s="102"/>
      <c r="I6197" s="102"/>
      <c r="J6197" s="102"/>
      <c r="K6197" s="102">
        <v>1</v>
      </c>
      <c r="L6197" s="102"/>
      <c r="M6197" s="22" t="b">
        <v>1</v>
      </c>
    </row>
    <row r="6198" spans="1:13" x14ac:dyDescent="0.25">
      <c r="A6198" s="102"/>
      <c r="B6198" s="102"/>
      <c r="C6198" s="102"/>
      <c r="D6198" s="102">
        <v>7228</v>
      </c>
      <c r="E6198" s="136" t="str">
        <f>INDEX([1]道具配置表!$D:$D,MATCH(D6198,[1]道具配置表!$A:$A,0))</f>
        <v>经验书*10000</v>
      </c>
      <c r="F6198" s="102">
        <v>1</v>
      </c>
      <c r="G6198" s="102"/>
      <c r="H6198" s="102"/>
      <c r="I6198" s="102"/>
      <c r="J6198" s="102"/>
      <c r="K6198" s="102">
        <v>1</v>
      </c>
      <c r="L6198" s="102"/>
      <c r="M6198" s="22" t="b">
        <v>1</v>
      </c>
    </row>
    <row r="6199" spans="1:13" x14ac:dyDescent="0.25">
      <c r="A6199" s="102"/>
      <c r="B6199" s="102" t="s">
        <v>119</v>
      </c>
      <c r="C6199" s="102"/>
      <c r="D6199" s="102">
        <v>20000</v>
      </c>
      <c r="E6199" s="136" t="str">
        <f>INDEX([1]道具配置表!$D:$D,MATCH(D6199,[1]道具配置表!$A:$A,0))</f>
        <v>技能点1</v>
      </c>
      <c r="F6199" s="102">
        <v>50</v>
      </c>
      <c r="G6199" s="102"/>
      <c r="H6199" s="102"/>
      <c r="I6199" s="102"/>
      <c r="J6199" s="102"/>
      <c r="K6199" s="102">
        <v>1</v>
      </c>
      <c r="L6199" s="102"/>
      <c r="M6199" s="22" t="b">
        <v>1</v>
      </c>
    </row>
    <row r="6200" spans="1:13" x14ac:dyDescent="0.25">
      <c r="A6200" s="102"/>
      <c r="B6200" s="102" t="s">
        <v>119</v>
      </c>
      <c r="C6200" s="102"/>
      <c r="D6200" s="102">
        <v>56001</v>
      </c>
      <c r="E6200" s="136" t="str">
        <f>INDEX([1]道具配置表!$D:$D,MATCH(D6200,[1]道具配置表!$A:$A,0))</f>
        <v>锻造装备消耗材料</v>
      </c>
      <c r="F6200" s="102">
        <v>20</v>
      </c>
      <c r="G6200" s="102"/>
      <c r="H6200" s="102"/>
      <c r="I6200" s="102"/>
      <c r="J6200" s="102"/>
      <c r="K6200" s="102">
        <v>1</v>
      </c>
      <c r="L6200" s="102"/>
      <c r="M6200" s="22" t="b">
        <v>1</v>
      </c>
    </row>
    <row r="6201" spans="1:13" x14ac:dyDescent="0.25">
      <c r="A6201" s="102"/>
      <c r="B6201" s="102" t="s">
        <v>119</v>
      </c>
      <c r="C6201" s="102"/>
      <c r="D6201" s="102">
        <v>6201</v>
      </c>
      <c r="E6201" s="136" t="str">
        <f>INDEX([1]道具配置表!$D:$D,MATCH(D6201,[1]道具配置表!$A:$A,0))</f>
        <v>60分钟锻造加速</v>
      </c>
      <c r="F6201" s="102">
        <v>1</v>
      </c>
      <c r="G6201" s="102"/>
      <c r="H6201" s="102"/>
      <c r="I6201" s="102"/>
      <c r="J6201" s="102"/>
      <c r="K6201" s="102">
        <v>1</v>
      </c>
      <c r="L6201" s="102"/>
      <c r="M6201" s="22" t="b">
        <v>1</v>
      </c>
    </row>
    <row r="6202" spans="1:13" x14ac:dyDescent="0.25">
      <c r="A6202" s="102">
        <v>6652083</v>
      </c>
      <c r="B6202" s="102" t="s">
        <v>1388</v>
      </c>
      <c r="C6202" s="102"/>
      <c r="D6202" s="102">
        <v>7228</v>
      </c>
      <c r="E6202" s="136" t="str">
        <f>INDEX([1]道具配置表!$D:$D,MATCH(D6202,[1]道具配置表!$A:$A,0))</f>
        <v>经验书*10000</v>
      </c>
      <c r="F6202" s="102">
        <v>1</v>
      </c>
      <c r="G6202" s="102"/>
      <c r="H6202" s="102"/>
      <c r="I6202" s="102"/>
      <c r="J6202" s="102"/>
      <c r="K6202" s="102">
        <v>1</v>
      </c>
      <c r="L6202" s="102"/>
      <c r="M6202" s="22" t="b">
        <v>1</v>
      </c>
    </row>
    <row r="6203" spans="1:13" x14ac:dyDescent="0.25">
      <c r="A6203" s="102"/>
      <c r="B6203" s="102" t="s">
        <v>119</v>
      </c>
      <c r="C6203" s="102"/>
      <c r="D6203" s="102">
        <v>20000</v>
      </c>
      <c r="E6203" s="136" t="str">
        <f>INDEX([1]道具配置表!$D:$D,MATCH(D6203,[1]道具配置表!$A:$A,0))</f>
        <v>技能点1</v>
      </c>
      <c r="F6203" s="102">
        <v>50</v>
      </c>
      <c r="G6203" s="102"/>
      <c r="H6203" s="102"/>
      <c r="I6203" s="102"/>
      <c r="J6203" s="102"/>
      <c r="K6203" s="102">
        <v>1</v>
      </c>
      <c r="L6203" s="102"/>
      <c r="M6203" s="22" t="b">
        <v>1</v>
      </c>
    </row>
    <row r="6204" spans="1:13" x14ac:dyDescent="0.25">
      <c r="A6204" s="102"/>
      <c r="B6204" s="102" t="s">
        <v>119</v>
      </c>
      <c r="C6204" s="102"/>
      <c r="D6204" s="102">
        <v>56001</v>
      </c>
      <c r="E6204" s="136" t="str">
        <f>INDEX([1]道具配置表!$D:$D,MATCH(D6204,[1]道具配置表!$A:$A,0))</f>
        <v>锻造装备消耗材料</v>
      </c>
      <c r="F6204" s="102">
        <v>20</v>
      </c>
      <c r="G6204" s="102"/>
      <c r="H6204" s="102"/>
      <c r="I6204" s="102"/>
      <c r="J6204" s="102"/>
      <c r="K6204" s="102">
        <v>1</v>
      </c>
      <c r="L6204" s="102"/>
      <c r="M6204" s="22" t="b">
        <v>1</v>
      </c>
    </row>
    <row r="6205" spans="1:13" x14ac:dyDescent="0.25">
      <c r="A6205" s="102"/>
      <c r="B6205" s="102" t="s">
        <v>119</v>
      </c>
      <c r="C6205" s="102"/>
      <c r="D6205" s="102">
        <v>6197</v>
      </c>
      <c r="E6205" s="136" t="str">
        <f>INDEX([1]道具配置表!$D:$D,MATCH(D6205,[1]道具配置表!$A:$A,0))</f>
        <v>5分钟锻造加速</v>
      </c>
      <c r="F6205" s="102">
        <v>1</v>
      </c>
      <c r="G6205" s="102"/>
      <c r="H6205" s="102"/>
      <c r="I6205" s="102"/>
      <c r="J6205" s="102"/>
      <c r="K6205" s="102">
        <v>1</v>
      </c>
      <c r="L6205" s="102"/>
      <c r="M6205" s="22" t="b">
        <v>1</v>
      </c>
    </row>
    <row r="6206" spans="1:13" x14ac:dyDescent="0.25">
      <c r="A6206" s="102">
        <v>6652084</v>
      </c>
      <c r="B6206" s="102" t="s">
        <v>1389</v>
      </c>
      <c r="C6206" s="102"/>
      <c r="D6206" s="102">
        <v>56174</v>
      </c>
      <c r="E6206" s="136" t="str">
        <f>INDEX([1]道具配置表!$D:$D,MATCH(D6206,[1]道具配置表!$A:$A,0))</f>
        <v>麂皮短衫</v>
      </c>
      <c r="F6206" s="102">
        <v>1</v>
      </c>
      <c r="G6206" s="102"/>
      <c r="H6206" s="102"/>
      <c r="I6206" s="102"/>
      <c r="J6206" s="102"/>
      <c r="K6206" s="102">
        <v>1</v>
      </c>
      <c r="L6206" s="102"/>
      <c r="M6206" s="22" t="b">
        <v>1</v>
      </c>
    </row>
    <row r="6207" spans="1:13" x14ac:dyDescent="0.25">
      <c r="A6207" s="102"/>
      <c r="B6207" s="102"/>
      <c r="C6207" s="102"/>
      <c r="D6207" s="102">
        <v>56002</v>
      </c>
      <c r="E6207" s="136" t="str">
        <f>INDEX([1]道具配置表!$D:$D,MATCH(D6207,[1]道具配置表!$A:$A,0))</f>
        <v>强化装备消耗材料</v>
      </c>
      <c r="F6207" s="102">
        <v>20</v>
      </c>
      <c r="G6207" s="102"/>
      <c r="H6207" s="102"/>
      <c r="I6207" s="102"/>
      <c r="J6207" s="102"/>
      <c r="K6207" s="102">
        <v>1</v>
      </c>
      <c r="L6207" s="102"/>
      <c r="M6207" s="22" t="b">
        <v>1</v>
      </c>
    </row>
    <row r="6208" spans="1:13" x14ac:dyDescent="0.25">
      <c r="A6208" s="102"/>
      <c r="B6208" s="102"/>
      <c r="C6208" s="102"/>
      <c r="D6208" s="102">
        <v>7228</v>
      </c>
      <c r="E6208" s="136" t="str">
        <f>INDEX([1]道具配置表!$D:$D,MATCH(D6208,[1]道具配置表!$A:$A,0))</f>
        <v>经验书*10000</v>
      </c>
      <c r="F6208" s="102">
        <v>1</v>
      </c>
      <c r="G6208" s="102"/>
      <c r="H6208" s="102"/>
      <c r="I6208" s="102"/>
      <c r="J6208" s="102"/>
      <c r="K6208" s="102">
        <v>1</v>
      </c>
      <c r="L6208" s="102"/>
      <c r="M6208" s="22" t="b">
        <v>1</v>
      </c>
    </row>
    <row r="6209" spans="1:13" x14ac:dyDescent="0.25">
      <c r="A6209" s="102"/>
      <c r="B6209" s="102" t="s">
        <v>119</v>
      </c>
      <c r="C6209" s="102"/>
      <c r="D6209" s="102">
        <v>20000</v>
      </c>
      <c r="E6209" s="136" t="str">
        <f>INDEX([1]道具配置表!$D:$D,MATCH(D6209,[1]道具配置表!$A:$A,0))</f>
        <v>技能点1</v>
      </c>
      <c r="F6209" s="102">
        <v>50</v>
      </c>
      <c r="G6209" s="102"/>
      <c r="H6209" s="102"/>
      <c r="I6209" s="102"/>
      <c r="J6209" s="102"/>
      <c r="K6209" s="102">
        <v>1</v>
      </c>
      <c r="L6209" s="102"/>
      <c r="M6209" s="22" t="b">
        <v>1</v>
      </c>
    </row>
    <row r="6210" spans="1:13" x14ac:dyDescent="0.25">
      <c r="A6210" s="102"/>
      <c r="B6210" s="102" t="s">
        <v>119</v>
      </c>
      <c r="C6210" s="102"/>
      <c r="D6210" s="102">
        <v>56001</v>
      </c>
      <c r="E6210" s="136" t="str">
        <f>INDEX([1]道具配置表!$D:$D,MATCH(D6210,[1]道具配置表!$A:$A,0))</f>
        <v>锻造装备消耗材料</v>
      </c>
      <c r="F6210" s="102">
        <v>20</v>
      </c>
      <c r="G6210" s="102"/>
      <c r="H6210" s="102"/>
      <c r="I6210" s="102"/>
      <c r="J6210" s="102"/>
      <c r="K6210" s="102">
        <v>1</v>
      </c>
      <c r="L6210" s="102"/>
      <c r="M6210" s="22" t="b">
        <v>1</v>
      </c>
    </row>
    <row r="6211" spans="1:13" x14ac:dyDescent="0.25">
      <c r="A6211" s="102"/>
      <c r="B6211" s="102" t="s">
        <v>119</v>
      </c>
      <c r="C6211" s="102"/>
      <c r="D6211" s="102">
        <v>6201</v>
      </c>
      <c r="E6211" s="136" t="str">
        <f>INDEX([1]道具配置表!$D:$D,MATCH(D6211,[1]道具配置表!$A:$A,0))</f>
        <v>60分钟锻造加速</v>
      </c>
      <c r="F6211" s="102">
        <v>1</v>
      </c>
      <c r="G6211" s="102"/>
      <c r="H6211" s="102"/>
      <c r="I6211" s="102"/>
      <c r="J6211" s="102"/>
      <c r="K6211" s="102">
        <v>1</v>
      </c>
      <c r="L6211" s="102"/>
      <c r="M6211" s="22" t="b">
        <v>1</v>
      </c>
    </row>
    <row r="6212" spans="1:13" x14ac:dyDescent="0.25">
      <c r="A6212" s="102">
        <v>6652085</v>
      </c>
      <c r="B6212" s="102" t="s">
        <v>1390</v>
      </c>
      <c r="C6212" s="102"/>
      <c r="D6212" s="102">
        <v>7228</v>
      </c>
      <c r="E6212" s="136" t="str">
        <f>INDEX([1]道具配置表!$D:$D,MATCH(D6212,[1]道具配置表!$A:$A,0))</f>
        <v>经验书*10000</v>
      </c>
      <c r="F6212" s="102">
        <v>2</v>
      </c>
      <c r="G6212" s="102"/>
      <c r="H6212" s="102"/>
      <c r="I6212" s="102"/>
      <c r="J6212" s="102"/>
      <c r="K6212" s="102">
        <v>1</v>
      </c>
      <c r="L6212" s="102"/>
      <c r="M6212" s="22" t="b">
        <v>1</v>
      </c>
    </row>
    <row r="6213" spans="1:13" x14ac:dyDescent="0.25">
      <c r="A6213" s="102"/>
      <c r="B6213" s="102" t="s">
        <v>119</v>
      </c>
      <c r="C6213" s="102"/>
      <c r="D6213" s="102">
        <v>20000</v>
      </c>
      <c r="E6213" s="136" t="str">
        <f>INDEX([1]道具配置表!$D:$D,MATCH(D6213,[1]道具配置表!$A:$A,0))</f>
        <v>技能点1</v>
      </c>
      <c r="F6213" s="102">
        <v>100</v>
      </c>
      <c r="G6213" s="102"/>
      <c r="H6213" s="102"/>
      <c r="I6213" s="102"/>
      <c r="J6213" s="102"/>
      <c r="K6213" s="102">
        <v>1</v>
      </c>
      <c r="L6213" s="102"/>
      <c r="M6213" s="22" t="b">
        <v>1</v>
      </c>
    </row>
    <row r="6214" spans="1:13" x14ac:dyDescent="0.25">
      <c r="A6214" s="102"/>
      <c r="B6214" s="102" t="s">
        <v>119</v>
      </c>
      <c r="C6214" s="102"/>
      <c r="D6214" s="102">
        <v>56001</v>
      </c>
      <c r="E6214" s="136" t="str">
        <f>INDEX([1]道具配置表!$D:$D,MATCH(D6214,[1]道具配置表!$A:$A,0))</f>
        <v>锻造装备消耗材料</v>
      </c>
      <c r="F6214" s="102">
        <v>50</v>
      </c>
      <c r="G6214" s="102"/>
      <c r="H6214" s="102"/>
      <c r="I6214" s="102"/>
      <c r="J6214" s="102"/>
      <c r="K6214" s="102">
        <v>1</v>
      </c>
      <c r="L6214" s="102"/>
      <c r="M6214" s="22" t="b">
        <v>1</v>
      </c>
    </row>
    <row r="6215" spans="1:13" x14ac:dyDescent="0.25">
      <c r="A6215" s="102"/>
      <c r="B6215" s="102" t="s">
        <v>119</v>
      </c>
      <c r="C6215" s="102"/>
      <c r="D6215" s="102">
        <v>6197</v>
      </c>
      <c r="E6215" s="136" t="str">
        <f>INDEX([1]道具配置表!$D:$D,MATCH(D6215,[1]道具配置表!$A:$A,0))</f>
        <v>5分钟锻造加速</v>
      </c>
      <c r="F6215" s="102">
        <v>1</v>
      </c>
      <c r="G6215" s="102"/>
      <c r="H6215" s="102"/>
      <c r="I6215" s="102"/>
      <c r="J6215" s="102"/>
      <c r="K6215" s="102">
        <v>1</v>
      </c>
      <c r="L6215" s="102"/>
      <c r="M6215" s="22" t="b">
        <v>1</v>
      </c>
    </row>
    <row r="6216" spans="1:13" x14ac:dyDescent="0.25">
      <c r="A6216" s="102">
        <v>6652086</v>
      </c>
      <c r="B6216" s="102" t="s">
        <v>1391</v>
      </c>
      <c r="C6216" s="102"/>
      <c r="D6216" s="102">
        <v>56186</v>
      </c>
      <c r="E6216" s="136" t="str">
        <f>INDEX([1]道具配置表!$D:$D,MATCH(D6216,[1]道具配置表!$A:$A,0))</f>
        <v>棉布上衣</v>
      </c>
      <c r="F6216" s="102">
        <v>1</v>
      </c>
      <c r="G6216" s="102"/>
      <c r="H6216" s="102"/>
      <c r="I6216" s="102"/>
      <c r="J6216" s="102"/>
      <c r="K6216" s="102">
        <v>1</v>
      </c>
      <c r="L6216" s="102"/>
      <c r="M6216" s="22" t="b">
        <v>1</v>
      </c>
    </row>
    <row r="6217" spans="1:13" x14ac:dyDescent="0.25">
      <c r="A6217" s="102"/>
      <c r="B6217" s="102"/>
      <c r="C6217" s="102"/>
      <c r="D6217" s="102">
        <v>56002</v>
      </c>
      <c r="E6217" s="136" t="str">
        <f>INDEX([1]道具配置表!$D:$D,MATCH(D6217,[1]道具配置表!$A:$A,0))</f>
        <v>强化装备消耗材料</v>
      </c>
      <c r="F6217" s="102">
        <v>20</v>
      </c>
      <c r="G6217" s="102"/>
      <c r="H6217" s="102"/>
      <c r="I6217" s="102"/>
      <c r="J6217" s="102"/>
      <c r="K6217" s="102">
        <v>1</v>
      </c>
      <c r="L6217" s="102"/>
      <c r="M6217" s="22" t="b">
        <v>1</v>
      </c>
    </row>
    <row r="6218" spans="1:13" x14ac:dyDescent="0.25">
      <c r="A6218" s="102"/>
      <c r="B6218" s="102"/>
      <c r="C6218" s="102"/>
      <c r="D6218" s="102">
        <v>7228</v>
      </c>
      <c r="E6218" s="136" t="str">
        <f>INDEX([1]道具配置表!$D:$D,MATCH(D6218,[1]道具配置表!$A:$A,0))</f>
        <v>经验书*10000</v>
      </c>
      <c r="F6218" s="102">
        <v>1</v>
      </c>
      <c r="G6218" s="102"/>
      <c r="H6218" s="102"/>
      <c r="I6218" s="102"/>
      <c r="J6218" s="102"/>
      <c r="K6218" s="102">
        <v>1</v>
      </c>
      <c r="L6218" s="102"/>
      <c r="M6218" s="22" t="b">
        <v>1</v>
      </c>
    </row>
    <row r="6219" spans="1:13" x14ac:dyDescent="0.25">
      <c r="A6219" s="102"/>
      <c r="B6219" s="102" t="s">
        <v>119</v>
      </c>
      <c r="C6219" s="102"/>
      <c r="D6219" s="102">
        <v>20000</v>
      </c>
      <c r="E6219" s="136" t="str">
        <f>INDEX([1]道具配置表!$D:$D,MATCH(D6219,[1]道具配置表!$A:$A,0))</f>
        <v>技能点1</v>
      </c>
      <c r="F6219" s="102">
        <v>50</v>
      </c>
      <c r="G6219" s="102"/>
      <c r="H6219" s="102"/>
      <c r="I6219" s="102"/>
      <c r="J6219" s="102"/>
      <c r="K6219" s="102">
        <v>1</v>
      </c>
      <c r="L6219" s="102"/>
      <c r="M6219" s="22" t="b">
        <v>1</v>
      </c>
    </row>
    <row r="6220" spans="1:13" x14ac:dyDescent="0.25">
      <c r="A6220" s="102"/>
      <c r="B6220" s="102" t="s">
        <v>119</v>
      </c>
      <c r="C6220" s="102"/>
      <c r="D6220" s="102">
        <v>56001</v>
      </c>
      <c r="E6220" s="136" t="str">
        <f>INDEX([1]道具配置表!$D:$D,MATCH(D6220,[1]道具配置表!$A:$A,0))</f>
        <v>锻造装备消耗材料</v>
      </c>
      <c r="F6220" s="102">
        <v>20</v>
      </c>
      <c r="G6220" s="102"/>
      <c r="H6220" s="102"/>
      <c r="I6220" s="102"/>
      <c r="J6220" s="102"/>
      <c r="K6220" s="102">
        <v>1</v>
      </c>
      <c r="L6220" s="102"/>
      <c r="M6220" s="22" t="b">
        <v>1</v>
      </c>
    </row>
    <row r="6221" spans="1:13" x14ac:dyDescent="0.25">
      <c r="A6221" s="102"/>
      <c r="B6221" s="102" t="s">
        <v>119</v>
      </c>
      <c r="C6221" s="102"/>
      <c r="D6221" s="102">
        <v>6201</v>
      </c>
      <c r="E6221" s="136" t="str">
        <f>INDEX([1]道具配置表!$D:$D,MATCH(D6221,[1]道具配置表!$A:$A,0))</f>
        <v>60分钟锻造加速</v>
      </c>
      <c r="F6221" s="102">
        <v>1</v>
      </c>
      <c r="G6221" s="102"/>
      <c r="H6221" s="102"/>
      <c r="I6221" s="102"/>
      <c r="J6221" s="102"/>
      <c r="K6221" s="102">
        <v>1</v>
      </c>
      <c r="L6221" s="102"/>
      <c r="M6221" s="22" t="b">
        <v>1</v>
      </c>
    </row>
    <row r="6222" spans="1:13" x14ac:dyDescent="0.25">
      <c r="A6222" s="102">
        <v>6652087</v>
      </c>
      <c r="B6222" s="102" t="s">
        <v>1392</v>
      </c>
      <c r="C6222" s="102"/>
      <c r="D6222" s="102">
        <v>7228</v>
      </c>
      <c r="E6222" s="136" t="str">
        <f>INDEX([1]道具配置表!$D:$D,MATCH(D6222,[1]道具配置表!$A:$A,0))</f>
        <v>经验书*10000</v>
      </c>
      <c r="F6222" s="102">
        <v>1</v>
      </c>
      <c r="G6222" s="102"/>
      <c r="H6222" s="102"/>
      <c r="I6222" s="102"/>
      <c r="J6222" s="102"/>
      <c r="K6222" s="102">
        <v>1</v>
      </c>
      <c r="L6222" s="102"/>
      <c r="M6222" s="22" t="b">
        <v>1</v>
      </c>
    </row>
    <row r="6223" spans="1:13" x14ac:dyDescent="0.25">
      <c r="A6223" s="102"/>
      <c r="B6223" s="102" t="s">
        <v>119</v>
      </c>
      <c r="C6223" s="102"/>
      <c r="D6223" s="102">
        <v>20000</v>
      </c>
      <c r="E6223" s="136" t="str">
        <f>INDEX([1]道具配置表!$D:$D,MATCH(D6223,[1]道具配置表!$A:$A,0))</f>
        <v>技能点1</v>
      </c>
      <c r="F6223" s="102">
        <v>50</v>
      </c>
      <c r="G6223" s="102"/>
      <c r="H6223" s="102"/>
      <c r="I6223" s="102"/>
      <c r="J6223" s="102"/>
      <c r="K6223" s="102">
        <v>1</v>
      </c>
      <c r="L6223" s="102"/>
      <c r="M6223" s="22" t="b">
        <v>1</v>
      </c>
    </row>
    <row r="6224" spans="1:13" x14ac:dyDescent="0.25">
      <c r="A6224" s="102"/>
      <c r="B6224" s="102" t="s">
        <v>119</v>
      </c>
      <c r="C6224" s="102"/>
      <c r="D6224" s="102">
        <v>56001</v>
      </c>
      <c r="E6224" s="136" t="str">
        <f>INDEX([1]道具配置表!$D:$D,MATCH(D6224,[1]道具配置表!$A:$A,0))</f>
        <v>锻造装备消耗材料</v>
      </c>
      <c r="F6224" s="102">
        <v>20</v>
      </c>
      <c r="G6224" s="102"/>
      <c r="H6224" s="102"/>
      <c r="I6224" s="102"/>
      <c r="J6224" s="102"/>
      <c r="K6224" s="102">
        <v>1</v>
      </c>
      <c r="L6224" s="102"/>
      <c r="M6224" s="22" t="b">
        <v>1</v>
      </c>
    </row>
    <row r="6225" spans="1:13" x14ac:dyDescent="0.25">
      <c r="A6225" s="102"/>
      <c r="B6225" s="102" t="s">
        <v>119</v>
      </c>
      <c r="C6225" s="102"/>
      <c r="D6225" s="102">
        <v>6197</v>
      </c>
      <c r="E6225" s="136" t="str">
        <f>INDEX([1]道具配置表!$D:$D,MATCH(D6225,[1]道具配置表!$A:$A,0))</f>
        <v>5分钟锻造加速</v>
      </c>
      <c r="F6225" s="102">
        <v>1</v>
      </c>
      <c r="G6225" s="102"/>
      <c r="H6225" s="102"/>
      <c r="I6225" s="102"/>
      <c r="J6225" s="102"/>
      <c r="K6225" s="102">
        <v>1</v>
      </c>
      <c r="L6225" s="102"/>
      <c r="M6225" s="22" t="b">
        <v>1</v>
      </c>
    </row>
    <row r="6226" spans="1:13" x14ac:dyDescent="0.25">
      <c r="A6226" s="102">
        <v>6652088</v>
      </c>
      <c r="B6226" s="102" t="s">
        <v>1393</v>
      </c>
      <c r="C6226" s="102"/>
      <c r="D6226" s="102">
        <v>56149</v>
      </c>
      <c r="E6226" s="136" t="str">
        <f>INDEX([1]道具配置表!$D:$D,MATCH(D6226,[1]道具配置表!$A:$A,0))</f>
        <v>编绳护腕</v>
      </c>
      <c r="F6226" s="102">
        <v>1</v>
      </c>
      <c r="G6226" s="102"/>
      <c r="H6226" s="102"/>
      <c r="I6226" s="102"/>
      <c r="J6226" s="102"/>
      <c r="K6226" s="102">
        <v>1</v>
      </c>
      <c r="L6226" s="102"/>
      <c r="M6226" s="22" t="b">
        <v>1</v>
      </c>
    </row>
    <row r="6227" spans="1:13" x14ac:dyDescent="0.25">
      <c r="A6227" s="102"/>
      <c r="B6227" s="102"/>
      <c r="C6227" s="102"/>
      <c r="D6227" s="102">
        <v>56002</v>
      </c>
      <c r="E6227" s="136" t="str">
        <f>INDEX([1]道具配置表!$D:$D,MATCH(D6227,[1]道具配置表!$A:$A,0))</f>
        <v>强化装备消耗材料</v>
      </c>
      <c r="F6227" s="102">
        <v>20</v>
      </c>
      <c r="G6227" s="102"/>
      <c r="H6227" s="102"/>
      <c r="I6227" s="102"/>
      <c r="J6227" s="102"/>
      <c r="K6227" s="102">
        <v>1</v>
      </c>
      <c r="L6227" s="102"/>
      <c r="M6227" s="22" t="b">
        <v>1</v>
      </c>
    </row>
    <row r="6228" spans="1:13" x14ac:dyDescent="0.25">
      <c r="A6228" s="102"/>
      <c r="B6228" s="102"/>
      <c r="C6228" s="102"/>
      <c r="D6228" s="102">
        <v>7228</v>
      </c>
      <c r="E6228" s="136" t="str">
        <f>INDEX([1]道具配置表!$D:$D,MATCH(D6228,[1]道具配置表!$A:$A,0))</f>
        <v>经验书*10000</v>
      </c>
      <c r="F6228" s="102">
        <v>1</v>
      </c>
      <c r="G6228" s="102"/>
      <c r="H6228" s="102"/>
      <c r="I6228" s="102"/>
      <c r="J6228" s="102"/>
      <c r="K6228" s="102">
        <v>1</v>
      </c>
      <c r="L6228" s="102"/>
      <c r="M6228" s="22" t="b">
        <v>1</v>
      </c>
    </row>
    <row r="6229" spans="1:13" x14ac:dyDescent="0.25">
      <c r="A6229" s="102"/>
      <c r="B6229" s="102" t="s">
        <v>119</v>
      </c>
      <c r="C6229" s="102"/>
      <c r="D6229" s="102">
        <v>20000</v>
      </c>
      <c r="E6229" s="136" t="str">
        <f>INDEX([1]道具配置表!$D:$D,MATCH(D6229,[1]道具配置表!$A:$A,0))</f>
        <v>技能点1</v>
      </c>
      <c r="F6229" s="102">
        <v>50</v>
      </c>
      <c r="G6229" s="102"/>
      <c r="H6229" s="102"/>
      <c r="I6229" s="102"/>
      <c r="J6229" s="102"/>
      <c r="K6229" s="102">
        <v>1</v>
      </c>
      <c r="L6229" s="102"/>
      <c r="M6229" s="22" t="b">
        <v>1</v>
      </c>
    </row>
    <row r="6230" spans="1:13" x14ac:dyDescent="0.25">
      <c r="A6230" s="102"/>
      <c r="B6230" s="102" t="s">
        <v>119</v>
      </c>
      <c r="C6230" s="102"/>
      <c r="D6230" s="102">
        <v>56001</v>
      </c>
      <c r="E6230" s="136" t="str">
        <f>INDEX([1]道具配置表!$D:$D,MATCH(D6230,[1]道具配置表!$A:$A,0))</f>
        <v>锻造装备消耗材料</v>
      </c>
      <c r="F6230" s="102">
        <v>20</v>
      </c>
      <c r="G6230" s="102"/>
      <c r="H6230" s="102"/>
      <c r="I6230" s="102"/>
      <c r="J6230" s="102"/>
      <c r="K6230" s="102">
        <v>1</v>
      </c>
      <c r="L6230" s="102"/>
      <c r="M6230" s="22" t="b">
        <v>1</v>
      </c>
    </row>
    <row r="6231" spans="1:13" x14ac:dyDescent="0.25">
      <c r="A6231" s="102"/>
      <c r="B6231" s="102" t="s">
        <v>119</v>
      </c>
      <c r="C6231" s="102"/>
      <c r="D6231" s="102">
        <v>6201</v>
      </c>
      <c r="E6231" s="136" t="str">
        <f>INDEX([1]道具配置表!$D:$D,MATCH(D6231,[1]道具配置表!$A:$A,0))</f>
        <v>60分钟锻造加速</v>
      </c>
      <c r="F6231" s="102">
        <v>1</v>
      </c>
      <c r="G6231" s="102"/>
      <c r="H6231" s="102"/>
      <c r="I6231" s="102"/>
      <c r="J6231" s="102"/>
      <c r="K6231" s="102">
        <v>1</v>
      </c>
      <c r="L6231" s="102"/>
      <c r="M6231" s="22" t="b">
        <v>1</v>
      </c>
    </row>
    <row r="6232" spans="1:13" x14ac:dyDescent="0.25">
      <c r="A6232" s="102">
        <v>6652089</v>
      </c>
      <c r="B6232" s="102" t="s">
        <v>1394</v>
      </c>
      <c r="C6232" s="102"/>
      <c r="D6232" s="102">
        <v>7228</v>
      </c>
      <c r="E6232" s="136" t="str">
        <f>INDEX([1]道具配置表!$D:$D,MATCH(D6232,[1]道具配置表!$A:$A,0))</f>
        <v>经验书*10000</v>
      </c>
      <c r="F6232" s="102">
        <v>1</v>
      </c>
      <c r="G6232" s="102"/>
      <c r="H6232" s="102"/>
      <c r="I6232" s="102"/>
      <c r="J6232" s="102"/>
      <c r="K6232" s="102">
        <v>1</v>
      </c>
      <c r="L6232" s="102"/>
      <c r="M6232" s="22" t="b">
        <v>1</v>
      </c>
    </row>
    <row r="6233" spans="1:13" x14ac:dyDescent="0.25">
      <c r="A6233" s="102"/>
      <c r="B6233" s="102" t="s">
        <v>119</v>
      </c>
      <c r="C6233" s="102"/>
      <c r="D6233" s="102">
        <v>20000</v>
      </c>
      <c r="E6233" s="136" t="str">
        <f>INDEX([1]道具配置表!$D:$D,MATCH(D6233,[1]道具配置表!$A:$A,0))</f>
        <v>技能点1</v>
      </c>
      <c r="F6233" s="102">
        <v>50</v>
      </c>
      <c r="G6233" s="102"/>
      <c r="H6233" s="102"/>
      <c r="I6233" s="102"/>
      <c r="J6233" s="102"/>
      <c r="K6233" s="102">
        <v>1</v>
      </c>
      <c r="L6233" s="102"/>
      <c r="M6233" s="22" t="b">
        <v>1</v>
      </c>
    </row>
    <row r="6234" spans="1:13" x14ac:dyDescent="0.25">
      <c r="A6234" s="102"/>
      <c r="B6234" s="102" t="s">
        <v>119</v>
      </c>
      <c r="C6234" s="102"/>
      <c r="D6234" s="102">
        <v>56001</v>
      </c>
      <c r="E6234" s="136" t="str">
        <f>INDEX([1]道具配置表!$D:$D,MATCH(D6234,[1]道具配置表!$A:$A,0))</f>
        <v>锻造装备消耗材料</v>
      </c>
      <c r="F6234" s="102">
        <v>20</v>
      </c>
      <c r="G6234" s="102"/>
      <c r="H6234" s="102"/>
      <c r="I6234" s="102"/>
      <c r="J6234" s="102"/>
      <c r="K6234" s="102">
        <v>1</v>
      </c>
      <c r="L6234" s="102"/>
      <c r="M6234" s="22" t="b">
        <v>1</v>
      </c>
    </row>
    <row r="6235" spans="1:13" x14ac:dyDescent="0.25">
      <c r="A6235" s="102"/>
      <c r="B6235" s="102" t="s">
        <v>119</v>
      </c>
      <c r="C6235" s="102"/>
      <c r="D6235" s="102">
        <v>6197</v>
      </c>
      <c r="E6235" s="136" t="str">
        <f>INDEX([1]道具配置表!$D:$D,MATCH(D6235,[1]道具配置表!$A:$A,0))</f>
        <v>5分钟锻造加速</v>
      </c>
      <c r="F6235" s="102">
        <v>1</v>
      </c>
      <c r="G6235" s="102"/>
      <c r="H6235" s="102"/>
      <c r="I6235" s="102"/>
      <c r="J6235" s="102"/>
      <c r="K6235" s="102">
        <v>1</v>
      </c>
      <c r="L6235" s="102"/>
      <c r="M6235" s="22" t="b">
        <v>1</v>
      </c>
    </row>
    <row r="6236" spans="1:13" x14ac:dyDescent="0.25">
      <c r="A6236" s="102">
        <v>6652090</v>
      </c>
      <c r="B6236" s="102" t="s">
        <v>1395</v>
      </c>
      <c r="C6236" s="102"/>
      <c r="D6236" s="102">
        <v>56161</v>
      </c>
      <c r="E6236" s="136" t="str">
        <f>INDEX([1]道具配置表!$D:$D,MATCH(D6236,[1]道具配置表!$A:$A,0))</f>
        <v>松木扳指</v>
      </c>
      <c r="F6236" s="102">
        <v>1</v>
      </c>
      <c r="G6236" s="102"/>
      <c r="H6236" s="102"/>
      <c r="I6236" s="102"/>
      <c r="J6236" s="102"/>
      <c r="K6236" s="102">
        <v>1</v>
      </c>
      <c r="L6236" s="102"/>
      <c r="M6236" s="22" t="b">
        <v>1</v>
      </c>
    </row>
    <row r="6237" spans="1:13" x14ac:dyDescent="0.25">
      <c r="A6237" s="102"/>
      <c r="B6237" s="102" t="s">
        <v>119</v>
      </c>
      <c r="C6237" s="102"/>
      <c r="D6237" s="102">
        <v>56002</v>
      </c>
      <c r="E6237" s="136" t="str">
        <f>INDEX([1]道具配置表!$D:$D,MATCH(D6237,[1]道具配置表!$A:$A,0))</f>
        <v>强化装备消耗材料</v>
      </c>
      <c r="F6237" s="102">
        <v>20</v>
      </c>
      <c r="G6237" s="102"/>
      <c r="H6237" s="102"/>
      <c r="I6237" s="102"/>
      <c r="J6237" s="102"/>
      <c r="K6237" s="102">
        <v>1</v>
      </c>
      <c r="L6237" s="102"/>
      <c r="M6237" s="22" t="b">
        <v>1</v>
      </c>
    </row>
    <row r="6238" spans="1:13" x14ac:dyDescent="0.25">
      <c r="A6238" s="102"/>
      <c r="B6238" s="102" t="s">
        <v>119</v>
      </c>
      <c r="C6238" s="102"/>
      <c r="D6238" s="102">
        <v>7228</v>
      </c>
      <c r="E6238" s="136" t="str">
        <f>INDEX([1]道具配置表!$D:$D,MATCH(D6238,[1]道具配置表!$A:$A,0))</f>
        <v>经验书*10000</v>
      </c>
      <c r="F6238" s="102">
        <v>2</v>
      </c>
      <c r="G6238" s="102"/>
      <c r="H6238" s="102"/>
      <c r="I6238" s="102"/>
      <c r="J6238" s="102"/>
      <c r="K6238" s="102">
        <v>1</v>
      </c>
      <c r="L6238" s="102"/>
      <c r="M6238" s="22" t="b">
        <v>1</v>
      </c>
    </row>
    <row r="6239" spans="1:13" x14ac:dyDescent="0.25">
      <c r="A6239" s="102"/>
      <c r="B6239" s="102" t="s">
        <v>119</v>
      </c>
      <c r="C6239" s="102"/>
      <c r="D6239" s="102">
        <v>20000</v>
      </c>
      <c r="E6239" s="136" t="str">
        <f>INDEX([1]道具配置表!$D:$D,MATCH(D6239,[1]道具配置表!$A:$A,0))</f>
        <v>技能点1</v>
      </c>
      <c r="F6239" s="102">
        <v>100</v>
      </c>
      <c r="G6239" s="102"/>
      <c r="H6239" s="102"/>
      <c r="I6239" s="102"/>
      <c r="J6239" s="102"/>
      <c r="K6239" s="102">
        <v>1</v>
      </c>
      <c r="L6239" s="102"/>
      <c r="M6239" s="22" t="b">
        <v>1</v>
      </c>
    </row>
    <row r="6240" spans="1:13" x14ac:dyDescent="0.25">
      <c r="A6240" s="102"/>
      <c r="B6240" s="102" t="s">
        <v>119</v>
      </c>
      <c r="C6240" s="102"/>
      <c r="D6240" s="102">
        <v>56001</v>
      </c>
      <c r="E6240" s="136" t="str">
        <f>INDEX([1]道具配置表!$D:$D,MATCH(D6240,[1]道具配置表!$A:$A,0))</f>
        <v>锻造装备消耗材料</v>
      </c>
      <c r="F6240" s="102">
        <v>50</v>
      </c>
      <c r="G6240" s="102"/>
      <c r="H6240" s="102"/>
      <c r="I6240" s="102"/>
      <c r="J6240" s="102"/>
      <c r="K6240" s="102">
        <v>1</v>
      </c>
      <c r="L6240" s="102"/>
      <c r="M6240" s="22" t="b">
        <v>1</v>
      </c>
    </row>
    <row r="6241" spans="1:13" x14ac:dyDescent="0.25">
      <c r="A6241" s="102"/>
      <c r="B6241" s="102" t="s">
        <v>119</v>
      </c>
      <c r="C6241" s="102"/>
      <c r="D6241" s="102">
        <v>6201</v>
      </c>
      <c r="E6241" s="136" t="str">
        <f>INDEX([1]道具配置表!$D:$D,MATCH(D6241,[1]道具配置表!$A:$A,0))</f>
        <v>60分钟锻造加速</v>
      </c>
      <c r="F6241" s="102">
        <v>1</v>
      </c>
      <c r="G6241" s="102"/>
      <c r="H6241" s="102"/>
      <c r="I6241" s="102"/>
      <c r="J6241" s="102"/>
      <c r="K6241" s="102">
        <v>1</v>
      </c>
      <c r="L6241" s="102"/>
      <c r="M6241" s="22" t="b">
        <v>1</v>
      </c>
    </row>
    <row r="6242" spans="1:13" x14ac:dyDescent="0.25">
      <c r="A6242" s="102">
        <v>6652091</v>
      </c>
      <c r="B6242" s="102" t="s">
        <v>1396</v>
      </c>
      <c r="C6242" s="102"/>
      <c r="D6242" s="102">
        <v>7228</v>
      </c>
      <c r="E6242" s="136" t="str">
        <f>INDEX([1]道具配置表!$D:$D,MATCH(D6242,[1]道具配置表!$A:$A,0))</f>
        <v>经验书*10000</v>
      </c>
      <c r="F6242" s="102">
        <v>1</v>
      </c>
      <c r="G6242" s="102"/>
      <c r="H6242" s="102"/>
      <c r="I6242" s="102"/>
      <c r="J6242" s="102"/>
      <c r="K6242" s="102">
        <v>1</v>
      </c>
      <c r="L6242" s="102"/>
      <c r="M6242" s="22" t="b">
        <v>1</v>
      </c>
    </row>
    <row r="6243" spans="1:13" x14ac:dyDescent="0.25">
      <c r="A6243" s="102"/>
      <c r="B6243" s="102" t="s">
        <v>119</v>
      </c>
      <c r="C6243" s="102"/>
      <c r="D6243" s="102">
        <v>20000</v>
      </c>
      <c r="E6243" s="136" t="str">
        <f>INDEX([1]道具配置表!$D:$D,MATCH(D6243,[1]道具配置表!$A:$A,0))</f>
        <v>技能点1</v>
      </c>
      <c r="F6243" s="102">
        <v>50</v>
      </c>
      <c r="G6243" s="102"/>
      <c r="H6243" s="102"/>
      <c r="I6243" s="102"/>
      <c r="J6243" s="102"/>
      <c r="K6243" s="102">
        <v>1</v>
      </c>
      <c r="L6243" s="102"/>
      <c r="M6243" s="22" t="b">
        <v>1</v>
      </c>
    </row>
    <row r="6244" spans="1:13" x14ac:dyDescent="0.25">
      <c r="A6244" s="102"/>
      <c r="B6244" s="102" t="s">
        <v>119</v>
      </c>
      <c r="C6244" s="102"/>
      <c r="D6244" s="102">
        <v>56001</v>
      </c>
      <c r="E6244" s="136" t="str">
        <f>INDEX([1]道具配置表!$D:$D,MATCH(D6244,[1]道具配置表!$A:$A,0))</f>
        <v>锻造装备消耗材料</v>
      </c>
      <c r="F6244" s="102">
        <v>20</v>
      </c>
      <c r="G6244" s="102"/>
      <c r="H6244" s="102"/>
      <c r="I6244" s="102"/>
      <c r="J6244" s="102"/>
      <c r="K6244" s="102">
        <v>1</v>
      </c>
      <c r="L6244" s="102"/>
      <c r="M6244" s="22" t="b">
        <v>1</v>
      </c>
    </row>
    <row r="6245" spans="1:13" x14ac:dyDescent="0.25">
      <c r="A6245" s="102"/>
      <c r="B6245" s="102" t="s">
        <v>119</v>
      </c>
      <c r="C6245" s="102"/>
      <c r="D6245" s="102">
        <v>6197</v>
      </c>
      <c r="E6245" s="136" t="str">
        <f>INDEX([1]道具配置表!$D:$D,MATCH(D6245,[1]道具配置表!$A:$A,0))</f>
        <v>5分钟锻造加速</v>
      </c>
      <c r="F6245" s="102">
        <v>1</v>
      </c>
      <c r="G6245" s="102"/>
      <c r="H6245" s="102"/>
      <c r="I6245" s="102"/>
      <c r="J6245" s="102"/>
      <c r="K6245" s="102">
        <v>1</v>
      </c>
      <c r="L6245" s="102"/>
      <c r="M6245" s="22" t="b">
        <v>1</v>
      </c>
    </row>
    <row r="6246" spans="1:13" x14ac:dyDescent="0.25">
      <c r="A6246" s="102">
        <v>6652092</v>
      </c>
      <c r="B6246" s="102" t="s">
        <v>1397</v>
      </c>
      <c r="C6246" s="102"/>
      <c r="D6246" s="102">
        <v>56173</v>
      </c>
      <c r="E6246" s="136" t="str">
        <f>INDEX([1]道具配置表!$D:$D,MATCH(D6246,[1]道具配置表!$A:$A,0))</f>
        <v>北地手套</v>
      </c>
      <c r="F6246" s="102">
        <v>1</v>
      </c>
      <c r="G6246" s="102"/>
      <c r="H6246" s="102"/>
      <c r="I6246" s="102"/>
      <c r="J6246" s="102"/>
      <c r="K6246" s="102">
        <v>1</v>
      </c>
      <c r="L6246" s="102"/>
      <c r="M6246" s="22" t="b">
        <v>1</v>
      </c>
    </row>
    <row r="6247" spans="1:13" x14ac:dyDescent="0.25">
      <c r="A6247" s="102"/>
      <c r="B6247" s="102"/>
      <c r="C6247" s="102"/>
      <c r="D6247" s="102">
        <v>56002</v>
      </c>
      <c r="E6247" s="136" t="str">
        <f>INDEX([1]道具配置表!$D:$D,MATCH(D6247,[1]道具配置表!$A:$A,0))</f>
        <v>强化装备消耗材料</v>
      </c>
      <c r="F6247" s="102">
        <v>20</v>
      </c>
      <c r="G6247" s="102"/>
      <c r="H6247" s="102"/>
      <c r="I6247" s="102"/>
      <c r="J6247" s="102"/>
      <c r="K6247" s="102">
        <v>1</v>
      </c>
      <c r="L6247" s="102"/>
      <c r="M6247" s="22" t="b">
        <v>1</v>
      </c>
    </row>
    <row r="6248" spans="1:13" x14ac:dyDescent="0.25">
      <c r="A6248" s="102"/>
      <c r="B6248" s="102"/>
      <c r="C6248" s="102"/>
      <c r="D6248" s="102">
        <v>7228</v>
      </c>
      <c r="E6248" s="136" t="str">
        <f>INDEX([1]道具配置表!$D:$D,MATCH(D6248,[1]道具配置表!$A:$A,0))</f>
        <v>经验书*10000</v>
      </c>
      <c r="F6248" s="102">
        <v>1</v>
      </c>
      <c r="G6248" s="102"/>
      <c r="H6248" s="102"/>
      <c r="I6248" s="102"/>
      <c r="J6248" s="102"/>
      <c r="K6248" s="102">
        <v>1</v>
      </c>
      <c r="L6248" s="102"/>
      <c r="M6248" s="22" t="b">
        <v>1</v>
      </c>
    </row>
    <row r="6249" spans="1:13" x14ac:dyDescent="0.25">
      <c r="A6249" s="102"/>
      <c r="B6249" s="102" t="s">
        <v>119</v>
      </c>
      <c r="C6249" s="102"/>
      <c r="D6249" s="102">
        <v>20000</v>
      </c>
      <c r="E6249" s="136" t="str">
        <f>INDEX([1]道具配置表!$D:$D,MATCH(D6249,[1]道具配置表!$A:$A,0))</f>
        <v>技能点1</v>
      </c>
      <c r="F6249" s="102">
        <v>50</v>
      </c>
      <c r="G6249" s="102"/>
      <c r="H6249" s="102"/>
      <c r="I6249" s="102"/>
      <c r="J6249" s="102"/>
      <c r="K6249" s="102">
        <v>1</v>
      </c>
      <c r="L6249" s="102"/>
      <c r="M6249" s="22" t="b">
        <v>1</v>
      </c>
    </row>
    <row r="6250" spans="1:13" x14ac:dyDescent="0.25">
      <c r="A6250" s="102"/>
      <c r="B6250" s="102" t="s">
        <v>119</v>
      </c>
      <c r="C6250" s="102"/>
      <c r="D6250" s="102">
        <v>56001</v>
      </c>
      <c r="E6250" s="136" t="str">
        <f>INDEX([1]道具配置表!$D:$D,MATCH(D6250,[1]道具配置表!$A:$A,0))</f>
        <v>锻造装备消耗材料</v>
      </c>
      <c r="F6250" s="102">
        <v>20</v>
      </c>
      <c r="G6250" s="102"/>
      <c r="H6250" s="102"/>
      <c r="I6250" s="102"/>
      <c r="J6250" s="102"/>
      <c r="K6250" s="102">
        <v>1</v>
      </c>
      <c r="L6250" s="102"/>
      <c r="M6250" s="22" t="b">
        <v>1</v>
      </c>
    </row>
    <row r="6251" spans="1:13" x14ac:dyDescent="0.25">
      <c r="A6251" s="102"/>
      <c r="B6251" s="102" t="s">
        <v>119</v>
      </c>
      <c r="C6251" s="102"/>
      <c r="D6251" s="102">
        <v>6201</v>
      </c>
      <c r="E6251" s="136" t="str">
        <f>INDEX([1]道具配置表!$D:$D,MATCH(D6251,[1]道具配置表!$A:$A,0))</f>
        <v>60分钟锻造加速</v>
      </c>
      <c r="F6251" s="102">
        <v>1</v>
      </c>
      <c r="G6251" s="102"/>
      <c r="H6251" s="102"/>
      <c r="I6251" s="102"/>
      <c r="J6251" s="102"/>
      <c r="K6251" s="102">
        <v>1</v>
      </c>
      <c r="L6251" s="102"/>
      <c r="M6251" s="22" t="b">
        <v>1</v>
      </c>
    </row>
    <row r="6252" spans="1:13" x14ac:dyDescent="0.25">
      <c r="A6252" s="102">
        <v>6652093</v>
      </c>
      <c r="B6252" s="102" t="s">
        <v>1398</v>
      </c>
      <c r="C6252" s="102"/>
      <c r="D6252" s="102">
        <v>7228</v>
      </c>
      <c r="E6252" s="136" t="str">
        <f>INDEX([1]道具配置表!$D:$D,MATCH(D6252,[1]道具配置表!$A:$A,0))</f>
        <v>经验书*10000</v>
      </c>
      <c r="F6252" s="102">
        <v>1</v>
      </c>
      <c r="G6252" s="102"/>
      <c r="H6252" s="102"/>
      <c r="I6252" s="102"/>
      <c r="J6252" s="102"/>
      <c r="K6252" s="102">
        <v>1</v>
      </c>
      <c r="L6252" s="102"/>
      <c r="M6252" s="22" t="b">
        <v>1</v>
      </c>
    </row>
    <row r="6253" spans="1:13" x14ac:dyDescent="0.25">
      <c r="A6253" s="102"/>
      <c r="B6253" s="102" t="s">
        <v>119</v>
      </c>
      <c r="C6253" s="102"/>
      <c r="D6253" s="102">
        <v>20000</v>
      </c>
      <c r="E6253" s="136" t="str">
        <f>INDEX([1]道具配置表!$D:$D,MATCH(D6253,[1]道具配置表!$A:$A,0))</f>
        <v>技能点1</v>
      </c>
      <c r="F6253" s="102">
        <v>50</v>
      </c>
      <c r="G6253" s="102"/>
      <c r="H6253" s="102"/>
      <c r="I6253" s="102"/>
      <c r="J6253" s="102"/>
      <c r="K6253" s="102">
        <v>1</v>
      </c>
      <c r="L6253" s="102"/>
      <c r="M6253" s="22" t="b">
        <v>1</v>
      </c>
    </row>
    <row r="6254" spans="1:13" x14ac:dyDescent="0.25">
      <c r="A6254" s="102"/>
      <c r="B6254" s="102" t="s">
        <v>119</v>
      </c>
      <c r="C6254" s="102"/>
      <c r="D6254" s="102">
        <v>56001</v>
      </c>
      <c r="E6254" s="136" t="str">
        <f>INDEX([1]道具配置表!$D:$D,MATCH(D6254,[1]道具配置表!$A:$A,0))</f>
        <v>锻造装备消耗材料</v>
      </c>
      <c r="F6254" s="102">
        <v>20</v>
      </c>
      <c r="G6254" s="102"/>
      <c r="H6254" s="102"/>
      <c r="I6254" s="102"/>
      <c r="J6254" s="102"/>
      <c r="K6254" s="102">
        <v>1</v>
      </c>
      <c r="L6254" s="102"/>
      <c r="M6254" s="22" t="b">
        <v>1</v>
      </c>
    </row>
    <row r="6255" spans="1:13" x14ac:dyDescent="0.25">
      <c r="A6255" s="102"/>
      <c r="B6255" s="102" t="s">
        <v>119</v>
      </c>
      <c r="C6255" s="102"/>
      <c r="D6255" s="102">
        <v>6197</v>
      </c>
      <c r="E6255" s="136" t="str">
        <f>INDEX([1]道具配置表!$D:$D,MATCH(D6255,[1]道具配置表!$A:$A,0))</f>
        <v>5分钟锻造加速</v>
      </c>
      <c r="F6255" s="102">
        <v>1</v>
      </c>
      <c r="G6255" s="102"/>
      <c r="H6255" s="102"/>
      <c r="I6255" s="102"/>
      <c r="J6255" s="102"/>
      <c r="K6255" s="102">
        <v>1</v>
      </c>
      <c r="L6255" s="102"/>
      <c r="M6255" s="22" t="b">
        <v>1</v>
      </c>
    </row>
    <row r="6256" spans="1:13" x14ac:dyDescent="0.25">
      <c r="A6256" s="102">
        <v>6652094</v>
      </c>
      <c r="B6256" s="102" t="s">
        <v>1399</v>
      </c>
      <c r="C6256" s="102"/>
      <c r="D6256" s="102">
        <v>56185</v>
      </c>
      <c r="E6256" s="136" t="str">
        <f>INDEX([1]道具配置表!$D:$D,MATCH(D6256,[1]道具配置表!$A:$A,0))</f>
        <v>粗麻手套</v>
      </c>
      <c r="F6256" s="102">
        <v>1</v>
      </c>
      <c r="G6256" s="102"/>
      <c r="H6256" s="102"/>
      <c r="I6256" s="102"/>
      <c r="J6256" s="102"/>
      <c r="K6256" s="102">
        <v>1</v>
      </c>
      <c r="L6256" s="102"/>
      <c r="M6256" s="22" t="b">
        <v>1</v>
      </c>
    </row>
    <row r="6257" spans="1:13" x14ac:dyDescent="0.25">
      <c r="A6257" s="102"/>
      <c r="B6257" s="102"/>
      <c r="C6257" s="102"/>
      <c r="D6257" s="102">
        <v>56002</v>
      </c>
      <c r="E6257" s="136" t="str">
        <f>INDEX([1]道具配置表!$D:$D,MATCH(D6257,[1]道具配置表!$A:$A,0))</f>
        <v>强化装备消耗材料</v>
      </c>
      <c r="F6257" s="102">
        <v>20</v>
      </c>
      <c r="G6257" s="102"/>
      <c r="H6257" s="102"/>
      <c r="I6257" s="102"/>
      <c r="J6257" s="102"/>
      <c r="K6257" s="102">
        <v>1</v>
      </c>
      <c r="L6257" s="102"/>
      <c r="M6257" s="22" t="b">
        <v>1</v>
      </c>
    </row>
    <row r="6258" spans="1:13" x14ac:dyDescent="0.25">
      <c r="A6258" s="102"/>
      <c r="B6258" s="102"/>
      <c r="C6258" s="102"/>
      <c r="D6258" s="102">
        <v>7228</v>
      </c>
      <c r="E6258" s="136" t="str">
        <f>INDEX([1]道具配置表!$D:$D,MATCH(D6258,[1]道具配置表!$A:$A,0))</f>
        <v>经验书*10000</v>
      </c>
      <c r="F6258" s="102">
        <v>1</v>
      </c>
      <c r="G6258" s="102"/>
      <c r="H6258" s="102"/>
      <c r="I6258" s="102"/>
      <c r="J6258" s="102"/>
      <c r="K6258" s="102">
        <v>1</v>
      </c>
      <c r="L6258" s="102"/>
      <c r="M6258" s="22" t="b">
        <v>1</v>
      </c>
    </row>
    <row r="6259" spans="1:13" x14ac:dyDescent="0.25">
      <c r="A6259" s="102"/>
      <c r="B6259" s="102" t="s">
        <v>119</v>
      </c>
      <c r="C6259" s="102"/>
      <c r="D6259" s="102">
        <v>20000</v>
      </c>
      <c r="E6259" s="136" t="str">
        <f>INDEX([1]道具配置表!$D:$D,MATCH(D6259,[1]道具配置表!$A:$A,0))</f>
        <v>技能点1</v>
      </c>
      <c r="F6259" s="102">
        <v>50</v>
      </c>
      <c r="G6259" s="102"/>
      <c r="H6259" s="102"/>
      <c r="I6259" s="102"/>
      <c r="J6259" s="102"/>
      <c r="K6259" s="102">
        <v>1</v>
      </c>
      <c r="L6259" s="102"/>
      <c r="M6259" s="22" t="b">
        <v>1</v>
      </c>
    </row>
    <row r="6260" spans="1:13" x14ac:dyDescent="0.25">
      <c r="A6260" s="102"/>
      <c r="B6260" s="102" t="s">
        <v>119</v>
      </c>
      <c r="C6260" s="102"/>
      <c r="D6260" s="102">
        <v>56001</v>
      </c>
      <c r="E6260" s="136" t="str">
        <f>INDEX([1]道具配置表!$D:$D,MATCH(D6260,[1]道具配置表!$A:$A,0))</f>
        <v>锻造装备消耗材料</v>
      </c>
      <c r="F6260" s="102">
        <v>20</v>
      </c>
      <c r="G6260" s="102"/>
      <c r="H6260" s="102"/>
      <c r="I6260" s="102"/>
      <c r="J6260" s="102"/>
      <c r="K6260" s="102">
        <v>1</v>
      </c>
      <c r="L6260" s="102"/>
      <c r="M6260" s="22" t="b">
        <v>1</v>
      </c>
    </row>
    <row r="6261" spans="1:13" x14ac:dyDescent="0.25">
      <c r="A6261" s="102"/>
      <c r="B6261" s="102" t="s">
        <v>119</v>
      </c>
      <c r="C6261" s="102"/>
      <c r="D6261" s="102">
        <v>6201</v>
      </c>
      <c r="E6261" s="136" t="str">
        <f>INDEX([1]道具配置表!$D:$D,MATCH(D6261,[1]道具配置表!$A:$A,0))</f>
        <v>60分钟锻造加速</v>
      </c>
      <c r="F6261" s="102">
        <v>1</v>
      </c>
      <c r="G6261" s="102"/>
      <c r="H6261" s="102"/>
      <c r="I6261" s="102"/>
      <c r="J6261" s="102"/>
      <c r="K6261" s="102">
        <v>1</v>
      </c>
      <c r="L6261" s="102"/>
      <c r="M6261" s="22" t="b">
        <v>1</v>
      </c>
    </row>
    <row r="6262" spans="1:13" x14ac:dyDescent="0.25">
      <c r="A6262" s="102">
        <v>6652095</v>
      </c>
      <c r="B6262" s="102" t="s">
        <v>1400</v>
      </c>
      <c r="C6262" s="102"/>
      <c r="D6262" s="102">
        <v>7228</v>
      </c>
      <c r="E6262" s="136" t="str">
        <f>INDEX([1]道具配置表!$D:$D,MATCH(D6262,[1]道具配置表!$A:$A,0))</f>
        <v>经验书*10000</v>
      </c>
      <c r="F6262" s="102">
        <v>2</v>
      </c>
      <c r="G6262" s="102"/>
      <c r="H6262" s="102"/>
      <c r="I6262" s="102"/>
      <c r="J6262" s="102"/>
      <c r="K6262" s="102">
        <v>1</v>
      </c>
      <c r="L6262" s="102"/>
      <c r="M6262" s="22" t="b">
        <v>1</v>
      </c>
    </row>
    <row r="6263" spans="1:13" x14ac:dyDescent="0.25">
      <c r="A6263" s="102"/>
      <c r="B6263" s="102" t="s">
        <v>119</v>
      </c>
      <c r="C6263" s="102"/>
      <c r="D6263" s="102">
        <v>20000</v>
      </c>
      <c r="E6263" s="136" t="str">
        <f>INDEX([1]道具配置表!$D:$D,MATCH(D6263,[1]道具配置表!$A:$A,0))</f>
        <v>技能点1</v>
      </c>
      <c r="F6263" s="102">
        <v>100</v>
      </c>
      <c r="G6263" s="102"/>
      <c r="H6263" s="102"/>
      <c r="I6263" s="102"/>
      <c r="J6263" s="102"/>
      <c r="K6263" s="102">
        <v>1</v>
      </c>
      <c r="L6263" s="102"/>
      <c r="M6263" s="22" t="b">
        <v>1</v>
      </c>
    </row>
    <row r="6264" spans="1:13" x14ac:dyDescent="0.25">
      <c r="A6264" s="102"/>
      <c r="B6264" s="102" t="s">
        <v>119</v>
      </c>
      <c r="C6264" s="102"/>
      <c r="D6264" s="102">
        <v>56001</v>
      </c>
      <c r="E6264" s="136" t="str">
        <f>INDEX([1]道具配置表!$D:$D,MATCH(D6264,[1]道具配置表!$A:$A,0))</f>
        <v>锻造装备消耗材料</v>
      </c>
      <c r="F6264" s="102">
        <v>50</v>
      </c>
      <c r="G6264" s="102"/>
      <c r="H6264" s="102"/>
      <c r="I6264" s="102"/>
      <c r="J6264" s="102"/>
      <c r="K6264" s="102">
        <v>1</v>
      </c>
      <c r="L6264" s="102"/>
      <c r="M6264" s="22" t="b">
        <v>1</v>
      </c>
    </row>
    <row r="6265" spans="1:13" x14ac:dyDescent="0.25">
      <c r="A6265" s="102"/>
      <c r="B6265" s="102" t="s">
        <v>119</v>
      </c>
      <c r="C6265" s="102"/>
      <c r="D6265" s="102">
        <v>6197</v>
      </c>
      <c r="E6265" s="136" t="str">
        <f>INDEX([1]道具配置表!$D:$D,MATCH(D6265,[1]道具配置表!$A:$A,0))</f>
        <v>5分钟锻造加速</v>
      </c>
      <c r="F6265" s="102">
        <v>1</v>
      </c>
      <c r="G6265" s="102"/>
      <c r="H6265" s="102"/>
      <c r="I6265" s="102"/>
      <c r="J6265" s="102"/>
      <c r="K6265" s="102">
        <v>1</v>
      </c>
      <c r="L6265" s="102"/>
      <c r="M6265" s="22" t="b">
        <v>1</v>
      </c>
    </row>
    <row r="6266" spans="1:13" x14ac:dyDescent="0.25">
      <c r="A6266" s="102">
        <v>6652096</v>
      </c>
      <c r="B6266" s="102" t="s">
        <v>1401</v>
      </c>
      <c r="C6266" s="102"/>
      <c r="D6266" s="102">
        <v>56161</v>
      </c>
      <c r="E6266" s="136" t="str">
        <f>INDEX([1]道具配置表!$D:$D,MATCH(D6266,[1]道具配置表!$A:$A,0))</f>
        <v>松木扳指</v>
      </c>
      <c r="F6266" s="102">
        <v>1</v>
      </c>
      <c r="G6266" s="102"/>
      <c r="H6266" s="102"/>
      <c r="I6266" s="102"/>
      <c r="J6266" s="102"/>
      <c r="K6266" s="102">
        <v>1</v>
      </c>
      <c r="L6266" s="102"/>
      <c r="M6266" s="22" t="b">
        <v>1</v>
      </c>
    </row>
    <row r="6267" spans="1:13" x14ac:dyDescent="0.25">
      <c r="A6267" s="102"/>
      <c r="B6267" s="102"/>
      <c r="C6267" s="102"/>
      <c r="D6267" s="102">
        <v>56002</v>
      </c>
      <c r="E6267" s="136" t="str">
        <f>INDEX([1]道具配置表!$D:$D,MATCH(D6267,[1]道具配置表!$A:$A,0))</f>
        <v>强化装备消耗材料</v>
      </c>
      <c r="F6267" s="102">
        <v>20</v>
      </c>
      <c r="G6267" s="102"/>
      <c r="H6267" s="102"/>
      <c r="I6267" s="102"/>
      <c r="J6267" s="102"/>
      <c r="K6267" s="102">
        <v>1</v>
      </c>
      <c r="L6267" s="102"/>
      <c r="M6267" s="22" t="b">
        <v>1</v>
      </c>
    </row>
    <row r="6268" spans="1:13" x14ac:dyDescent="0.25">
      <c r="A6268" s="102"/>
      <c r="B6268" s="102"/>
      <c r="C6268" s="102"/>
      <c r="D6268" s="102">
        <v>7228</v>
      </c>
      <c r="E6268" s="136" t="str">
        <f>INDEX([1]道具配置表!$D:$D,MATCH(D6268,[1]道具配置表!$A:$A,0))</f>
        <v>经验书*10000</v>
      </c>
      <c r="F6268" s="102">
        <v>1</v>
      </c>
      <c r="G6268" s="102"/>
      <c r="H6268" s="102"/>
      <c r="I6268" s="102"/>
      <c r="J6268" s="102"/>
      <c r="K6268" s="102">
        <v>1</v>
      </c>
      <c r="L6268" s="102"/>
      <c r="M6268" s="22" t="b">
        <v>1</v>
      </c>
    </row>
    <row r="6269" spans="1:13" x14ac:dyDescent="0.25">
      <c r="A6269" s="102"/>
      <c r="B6269" s="102" t="s">
        <v>119</v>
      </c>
      <c r="C6269" s="102"/>
      <c r="D6269" s="102">
        <v>20000</v>
      </c>
      <c r="E6269" s="136" t="str">
        <f>INDEX([1]道具配置表!$D:$D,MATCH(D6269,[1]道具配置表!$A:$A,0))</f>
        <v>技能点1</v>
      </c>
      <c r="F6269" s="102">
        <v>50</v>
      </c>
      <c r="G6269" s="102"/>
      <c r="H6269" s="102"/>
      <c r="I6269" s="102"/>
      <c r="J6269" s="102"/>
      <c r="K6269" s="102">
        <v>1</v>
      </c>
      <c r="L6269" s="102"/>
      <c r="M6269" s="22" t="b">
        <v>1</v>
      </c>
    </row>
    <row r="6270" spans="1:13" x14ac:dyDescent="0.25">
      <c r="A6270" s="102"/>
      <c r="B6270" s="102" t="s">
        <v>119</v>
      </c>
      <c r="C6270" s="102"/>
      <c r="D6270" s="102">
        <v>56001</v>
      </c>
      <c r="E6270" s="136" t="str">
        <f>INDEX([1]道具配置表!$D:$D,MATCH(D6270,[1]道具配置表!$A:$A,0))</f>
        <v>锻造装备消耗材料</v>
      </c>
      <c r="F6270" s="102">
        <v>20</v>
      </c>
      <c r="G6270" s="102"/>
      <c r="H6270" s="102"/>
      <c r="I6270" s="102"/>
      <c r="J6270" s="102"/>
      <c r="K6270" s="102">
        <v>1</v>
      </c>
      <c r="L6270" s="102"/>
      <c r="M6270" s="22" t="b">
        <v>1</v>
      </c>
    </row>
    <row r="6271" spans="1:13" x14ac:dyDescent="0.25">
      <c r="A6271" s="102"/>
      <c r="B6271" s="102" t="s">
        <v>119</v>
      </c>
      <c r="C6271" s="102"/>
      <c r="D6271" s="102">
        <v>6201</v>
      </c>
      <c r="E6271" s="136" t="str">
        <f>INDEX([1]道具配置表!$D:$D,MATCH(D6271,[1]道具配置表!$A:$A,0))</f>
        <v>60分钟锻造加速</v>
      </c>
      <c r="F6271" s="102">
        <v>1</v>
      </c>
      <c r="G6271" s="102"/>
      <c r="H6271" s="102"/>
      <c r="I6271" s="102"/>
      <c r="J6271" s="102"/>
      <c r="K6271" s="102">
        <v>1</v>
      </c>
      <c r="L6271" s="102"/>
      <c r="M6271" s="22" t="b">
        <v>1</v>
      </c>
    </row>
    <row r="6272" spans="1:13" x14ac:dyDescent="0.25">
      <c r="A6272" s="102">
        <v>6652097</v>
      </c>
      <c r="B6272" s="102" t="s">
        <v>1402</v>
      </c>
      <c r="C6272" s="102"/>
      <c r="D6272" s="102">
        <v>7228</v>
      </c>
      <c r="E6272" s="136" t="str">
        <f>INDEX([1]道具配置表!$D:$D,MATCH(D6272,[1]道具配置表!$A:$A,0))</f>
        <v>经验书*10000</v>
      </c>
      <c r="F6272" s="102">
        <v>1</v>
      </c>
      <c r="G6272" s="102"/>
      <c r="H6272" s="102"/>
      <c r="I6272" s="102"/>
      <c r="J6272" s="102"/>
      <c r="K6272" s="102">
        <v>1</v>
      </c>
      <c r="L6272" s="102"/>
      <c r="M6272" s="22" t="b">
        <v>1</v>
      </c>
    </row>
    <row r="6273" spans="1:13" x14ac:dyDescent="0.25">
      <c r="A6273" s="102"/>
      <c r="B6273" s="102" t="s">
        <v>119</v>
      </c>
      <c r="C6273" s="102"/>
      <c r="D6273" s="102">
        <v>20000</v>
      </c>
      <c r="E6273" s="136" t="str">
        <f>INDEX([1]道具配置表!$D:$D,MATCH(D6273,[1]道具配置表!$A:$A,0))</f>
        <v>技能点1</v>
      </c>
      <c r="F6273" s="102">
        <v>50</v>
      </c>
      <c r="G6273" s="102"/>
      <c r="H6273" s="102"/>
      <c r="I6273" s="102"/>
      <c r="J6273" s="102"/>
      <c r="K6273" s="102">
        <v>1</v>
      </c>
      <c r="L6273" s="102"/>
      <c r="M6273" s="22" t="b">
        <v>1</v>
      </c>
    </row>
    <row r="6274" spans="1:13" x14ac:dyDescent="0.25">
      <c r="A6274" s="102"/>
      <c r="B6274" s="102" t="s">
        <v>119</v>
      </c>
      <c r="C6274" s="102"/>
      <c r="D6274" s="102">
        <v>56001</v>
      </c>
      <c r="E6274" s="136" t="str">
        <f>INDEX([1]道具配置表!$D:$D,MATCH(D6274,[1]道具配置表!$A:$A,0))</f>
        <v>锻造装备消耗材料</v>
      </c>
      <c r="F6274" s="102">
        <v>20</v>
      </c>
      <c r="G6274" s="102"/>
      <c r="H6274" s="102"/>
      <c r="I6274" s="102"/>
      <c r="J6274" s="102"/>
      <c r="K6274" s="102">
        <v>1</v>
      </c>
      <c r="L6274" s="102"/>
      <c r="M6274" s="22" t="b">
        <v>1</v>
      </c>
    </row>
    <row r="6275" spans="1:13" x14ac:dyDescent="0.25">
      <c r="A6275" s="102"/>
      <c r="B6275" s="102" t="s">
        <v>119</v>
      </c>
      <c r="C6275" s="102"/>
      <c r="D6275" s="102">
        <v>6197</v>
      </c>
      <c r="E6275" s="136" t="str">
        <f>INDEX([1]道具配置表!$D:$D,MATCH(D6275,[1]道具配置表!$A:$A,0))</f>
        <v>5分钟锻造加速</v>
      </c>
      <c r="F6275" s="102">
        <v>1</v>
      </c>
      <c r="G6275" s="102"/>
      <c r="H6275" s="102"/>
      <c r="I6275" s="102"/>
      <c r="J6275" s="102"/>
      <c r="K6275" s="102">
        <v>1</v>
      </c>
      <c r="L6275" s="102"/>
      <c r="M6275" s="22" t="b">
        <v>1</v>
      </c>
    </row>
    <row r="6276" spans="1:13" x14ac:dyDescent="0.25">
      <c r="A6276" s="102">
        <v>6652098</v>
      </c>
      <c r="B6276" s="102" t="s">
        <v>1403</v>
      </c>
      <c r="C6276" s="102"/>
      <c r="D6276" s="102">
        <v>56163</v>
      </c>
      <c r="E6276" s="136" t="str">
        <f>INDEX([1]道具配置表!$D:$D,MATCH(D6276,[1]道具配置表!$A:$A,0))</f>
        <v>灰兔短靴</v>
      </c>
      <c r="F6276" s="102">
        <v>1</v>
      </c>
      <c r="G6276" s="102"/>
      <c r="H6276" s="102"/>
      <c r="I6276" s="102"/>
      <c r="J6276" s="102"/>
      <c r="K6276" s="102">
        <v>1</v>
      </c>
      <c r="L6276" s="102"/>
      <c r="M6276" s="22" t="b">
        <v>1</v>
      </c>
    </row>
    <row r="6277" spans="1:13" x14ac:dyDescent="0.25">
      <c r="A6277" s="102"/>
      <c r="B6277" s="102"/>
      <c r="C6277" s="102"/>
      <c r="D6277" s="102">
        <v>56002</v>
      </c>
      <c r="E6277" s="136" t="str">
        <f>INDEX([1]道具配置表!$D:$D,MATCH(D6277,[1]道具配置表!$A:$A,0))</f>
        <v>强化装备消耗材料</v>
      </c>
      <c r="F6277" s="102">
        <v>20</v>
      </c>
      <c r="G6277" s="102"/>
      <c r="H6277" s="102"/>
      <c r="I6277" s="102"/>
      <c r="J6277" s="102"/>
      <c r="K6277" s="102">
        <v>1</v>
      </c>
      <c r="L6277" s="102"/>
      <c r="M6277" s="22" t="b">
        <v>1</v>
      </c>
    </row>
    <row r="6278" spans="1:13" x14ac:dyDescent="0.25">
      <c r="A6278" s="102"/>
      <c r="B6278" s="102"/>
      <c r="C6278" s="102"/>
      <c r="D6278" s="102">
        <v>7228</v>
      </c>
      <c r="E6278" s="136" t="str">
        <f>INDEX([1]道具配置表!$D:$D,MATCH(D6278,[1]道具配置表!$A:$A,0))</f>
        <v>经验书*10000</v>
      </c>
      <c r="F6278" s="102">
        <v>1</v>
      </c>
      <c r="G6278" s="102"/>
      <c r="H6278" s="102"/>
      <c r="I6278" s="102"/>
      <c r="J6278" s="102"/>
      <c r="K6278" s="102">
        <v>1</v>
      </c>
      <c r="L6278" s="102"/>
      <c r="M6278" s="22" t="b">
        <v>1</v>
      </c>
    </row>
    <row r="6279" spans="1:13" x14ac:dyDescent="0.25">
      <c r="A6279" s="102"/>
      <c r="B6279" s="102" t="s">
        <v>119</v>
      </c>
      <c r="C6279" s="102"/>
      <c r="D6279" s="102">
        <v>20000</v>
      </c>
      <c r="E6279" s="136" t="str">
        <f>INDEX([1]道具配置表!$D:$D,MATCH(D6279,[1]道具配置表!$A:$A,0))</f>
        <v>技能点1</v>
      </c>
      <c r="F6279" s="102">
        <v>50</v>
      </c>
      <c r="G6279" s="102"/>
      <c r="H6279" s="102"/>
      <c r="I6279" s="102"/>
      <c r="J6279" s="102"/>
      <c r="K6279" s="102">
        <v>1</v>
      </c>
      <c r="L6279" s="102"/>
      <c r="M6279" s="22" t="b">
        <v>1</v>
      </c>
    </row>
    <row r="6280" spans="1:13" x14ac:dyDescent="0.25">
      <c r="A6280" s="102"/>
      <c r="B6280" s="102" t="s">
        <v>119</v>
      </c>
      <c r="C6280" s="102"/>
      <c r="D6280" s="102">
        <v>56001</v>
      </c>
      <c r="E6280" s="136" t="str">
        <f>INDEX([1]道具配置表!$D:$D,MATCH(D6280,[1]道具配置表!$A:$A,0))</f>
        <v>锻造装备消耗材料</v>
      </c>
      <c r="F6280" s="102">
        <v>20</v>
      </c>
      <c r="G6280" s="102"/>
      <c r="H6280" s="102"/>
      <c r="I6280" s="102"/>
      <c r="J6280" s="102"/>
      <c r="K6280" s="102">
        <v>1</v>
      </c>
      <c r="L6280" s="102"/>
      <c r="M6280" s="22" t="b">
        <v>1</v>
      </c>
    </row>
    <row r="6281" spans="1:13" x14ac:dyDescent="0.25">
      <c r="A6281" s="102"/>
      <c r="B6281" s="102" t="s">
        <v>119</v>
      </c>
      <c r="C6281" s="102"/>
      <c r="D6281" s="102">
        <v>6201</v>
      </c>
      <c r="E6281" s="136" t="str">
        <f>INDEX([1]道具配置表!$D:$D,MATCH(D6281,[1]道具配置表!$A:$A,0))</f>
        <v>60分钟锻造加速</v>
      </c>
      <c r="F6281" s="102">
        <v>1</v>
      </c>
      <c r="G6281" s="102"/>
      <c r="H6281" s="102"/>
      <c r="I6281" s="102"/>
      <c r="J6281" s="102"/>
      <c r="K6281" s="102">
        <v>1</v>
      </c>
      <c r="L6281" s="102"/>
      <c r="M6281" s="22" t="b">
        <v>1</v>
      </c>
    </row>
    <row r="6282" spans="1:13" x14ac:dyDescent="0.25">
      <c r="A6282" s="102">
        <v>6652099</v>
      </c>
      <c r="B6282" s="102" t="s">
        <v>1404</v>
      </c>
      <c r="C6282" s="102"/>
      <c r="D6282" s="102">
        <v>7228</v>
      </c>
      <c r="E6282" s="136" t="str">
        <f>INDEX([1]道具配置表!$D:$D,MATCH(D6282,[1]道具配置表!$A:$A,0))</f>
        <v>经验书*10000</v>
      </c>
      <c r="F6282" s="102">
        <v>1</v>
      </c>
      <c r="G6282" s="102"/>
      <c r="H6282" s="102"/>
      <c r="I6282" s="102"/>
      <c r="J6282" s="102"/>
      <c r="K6282" s="102">
        <v>1</v>
      </c>
      <c r="L6282" s="102"/>
      <c r="M6282" s="22" t="b">
        <v>1</v>
      </c>
    </row>
    <row r="6283" spans="1:13" x14ac:dyDescent="0.25">
      <c r="A6283" s="102"/>
      <c r="B6283" s="102" t="s">
        <v>119</v>
      </c>
      <c r="C6283" s="102"/>
      <c r="D6283" s="102">
        <v>20000</v>
      </c>
      <c r="E6283" s="136" t="str">
        <f>INDEX([1]道具配置表!$D:$D,MATCH(D6283,[1]道具配置表!$A:$A,0))</f>
        <v>技能点1</v>
      </c>
      <c r="F6283" s="102">
        <v>50</v>
      </c>
      <c r="G6283" s="102"/>
      <c r="H6283" s="102"/>
      <c r="I6283" s="102"/>
      <c r="J6283" s="102"/>
      <c r="K6283" s="102">
        <v>1</v>
      </c>
      <c r="L6283" s="102"/>
      <c r="M6283" s="22" t="b">
        <v>1</v>
      </c>
    </row>
    <row r="6284" spans="1:13" x14ac:dyDescent="0.25">
      <c r="A6284" s="102"/>
      <c r="B6284" s="102" t="s">
        <v>119</v>
      </c>
      <c r="C6284" s="102"/>
      <c r="D6284" s="102">
        <v>56001</v>
      </c>
      <c r="E6284" s="136" t="str">
        <f>INDEX([1]道具配置表!$D:$D,MATCH(D6284,[1]道具配置表!$A:$A,0))</f>
        <v>锻造装备消耗材料</v>
      </c>
      <c r="F6284" s="102">
        <v>20</v>
      </c>
      <c r="G6284" s="102"/>
      <c r="H6284" s="102"/>
      <c r="I6284" s="102"/>
      <c r="J6284" s="102"/>
      <c r="K6284" s="102">
        <v>1</v>
      </c>
      <c r="L6284" s="102"/>
      <c r="M6284" s="22" t="b">
        <v>1</v>
      </c>
    </row>
    <row r="6285" spans="1:13" x14ac:dyDescent="0.25">
      <c r="A6285" s="102"/>
      <c r="B6285" s="102" t="s">
        <v>119</v>
      </c>
      <c r="C6285" s="102"/>
      <c r="D6285" s="102">
        <v>6197</v>
      </c>
      <c r="E6285" s="136" t="str">
        <f>INDEX([1]道具配置表!$D:$D,MATCH(D6285,[1]道具配置表!$A:$A,0))</f>
        <v>5分钟锻造加速</v>
      </c>
      <c r="F6285" s="102">
        <v>1</v>
      </c>
      <c r="G6285" s="102"/>
      <c r="H6285" s="102"/>
      <c r="I6285" s="102"/>
      <c r="J6285" s="102"/>
      <c r="K6285" s="102">
        <v>1</v>
      </c>
      <c r="L6285" s="102"/>
      <c r="M6285" s="22" t="b">
        <v>1</v>
      </c>
    </row>
    <row r="6286" spans="1:13" x14ac:dyDescent="0.25">
      <c r="A6286" s="102">
        <v>6652100</v>
      </c>
      <c r="B6286" s="102" t="s">
        <v>1405</v>
      </c>
      <c r="C6286" s="102"/>
      <c r="D6286" s="102">
        <v>56175</v>
      </c>
      <c r="E6286" s="136" t="str">
        <f>INDEX([1]道具配置表!$D:$D,MATCH(D6286,[1]道具配置表!$A:$A,0))</f>
        <v>翻毛长靴</v>
      </c>
      <c r="F6286" s="102">
        <v>1</v>
      </c>
      <c r="G6286" s="102"/>
      <c r="H6286" s="102"/>
      <c r="I6286" s="102"/>
      <c r="J6286" s="102"/>
      <c r="K6286" s="102">
        <v>1</v>
      </c>
      <c r="L6286" s="102"/>
      <c r="M6286" s="22" t="b">
        <v>1</v>
      </c>
    </row>
    <row r="6287" spans="1:13" x14ac:dyDescent="0.25">
      <c r="A6287" s="102"/>
      <c r="B6287" s="102"/>
      <c r="C6287" s="102"/>
      <c r="D6287" s="102">
        <v>56002</v>
      </c>
      <c r="E6287" s="136" t="str">
        <f>INDEX([1]道具配置表!$D:$D,MATCH(D6287,[1]道具配置表!$A:$A,0))</f>
        <v>强化装备消耗材料</v>
      </c>
      <c r="F6287" s="102">
        <v>20</v>
      </c>
      <c r="G6287" s="102"/>
      <c r="H6287" s="102"/>
      <c r="I6287" s="102"/>
      <c r="J6287" s="102"/>
      <c r="K6287" s="102">
        <v>1</v>
      </c>
      <c r="L6287" s="102"/>
      <c r="M6287" s="22" t="b">
        <v>1</v>
      </c>
    </row>
    <row r="6288" spans="1:13" x14ac:dyDescent="0.25">
      <c r="A6288" s="102"/>
      <c r="B6288" s="102"/>
      <c r="C6288" s="102"/>
      <c r="D6288" s="102">
        <v>7228</v>
      </c>
      <c r="E6288" s="136" t="str">
        <f>INDEX([1]道具配置表!$D:$D,MATCH(D6288,[1]道具配置表!$A:$A,0))</f>
        <v>经验书*10000</v>
      </c>
      <c r="F6288" s="102">
        <v>2</v>
      </c>
      <c r="G6288" s="102"/>
      <c r="H6288" s="102"/>
      <c r="I6288" s="102"/>
      <c r="J6288" s="102"/>
      <c r="K6288" s="102">
        <v>1</v>
      </c>
      <c r="L6288" s="102"/>
      <c r="M6288" s="22" t="b">
        <v>1</v>
      </c>
    </row>
    <row r="6289" spans="1:13" x14ac:dyDescent="0.25">
      <c r="A6289" s="102"/>
      <c r="B6289" s="102"/>
      <c r="C6289" s="102"/>
      <c r="D6289" s="102">
        <v>20000</v>
      </c>
      <c r="E6289" s="136" t="str">
        <f>INDEX([1]道具配置表!$D:$D,MATCH(D6289,[1]道具配置表!$A:$A,0))</f>
        <v>技能点1</v>
      </c>
      <c r="F6289" s="102">
        <v>100</v>
      </c>
      <c r="G6289" s="102"/>
      <c r="H6289" s="102"/>
      <c r="I6289" s="102"/>
      <c r="J6289" s="102"/>
      <c r="K6289" s="102">
        <v>1</v>
      </c>
      <c r="L6289" s="102"/>
      <c r="M6289" s="22" t="b">
        <v>1</v>
      </c>
    </row>
    <row r="6290" spans="1:13" x14ac:dyDescent="0.25">
      <c r="A6290" s="102"/>
      <c r="B6290" s="102"/>
      <c r="C6290" s="102"/>
      <c r="D6290" s="102">
        <v>56001</v>
      </c>
      <c r="E6290" s="136" t="str">
        <f>INDEX([1]道具配置表!$D:$D,MATCH(D6290,[1]道具配置表!$A:$A,0))</f>
        <v>锻造装备消耗材料</v>
      </c>
      <c r="F6290" s="102">
        <v>50</v>
      </c>
      <c r="G6290" s="102"/>
      <c r="H6290" s="102"/>
      <c r="I6290" s="102"/>
      <c r="J6290" s="102"/>
      <c r="K6290" s="102">
        <v>1</v>
      </c>
      <c r="L6290" s="102"/>
      <c r="M6290" s="22" t="b">
        <v>1</v>
      </c>
    </row>
    <row r="6291" spans="1:13" x14ac:dyDescent="0.25">
      <c r="A6291" s="102"/>
      <c r="B6291" s="102"/>
      <c r="C6291" s="102"/>
      <c r="D6291" s="102">
        <v>6201</v>
      </c>
      <c r="E6291" s="136" t="str">
        <f>INDEX([1]道具配置表!$D:$D,MATCH(D6291,[1]道具配置表!$A:$A,0))</f>
        <v>60分钟锻造加速</v>
      </c>
      <c r="F6291" s="102">
        <v>1</v>
      </c>
      <c r="G6291" s="102"/>
      <c r="H6291" s="102"/>
      <c r="I6291" s="102"/>
      <c r="J6291" s="102"/>
      <c r="K6291" s="102">
        <v>1</v>
      </c>
      <c r="L6291" s="102"/>
      <c r="M6291" s="22" t="b">
        <v>1</v>
      </c>
    </row>
    <row r="6292" spans="1:13" x14ac:dyDescent="0.25">
      <c r="A6292" s="13">
        <v>6660001</v>
      </c>
      <c r="B6292" s="13" t="s">
        <v>1177</v>
      </c>
      <c r="D6292" s="13">
        <v>7003</v>
      </c>
      <c r="E6292" s="136" t="str">
        <f>INDEX([1]道具配置表!$D:$D,MATCH(D6292,[1]道具配置表!$A:$A,0))</f>
        <v>1银币（立即使用，不进背包）</v>
      </c>
      <c r="F6292" s="13">
        <v>100</v>
      </c>
      <c r="K6292" s="13">
        <v>1</v>
      </c>
      <c r="M6292" s="74" t="b">
        <v>1</v>
      </c>
    </row>
    <row r="6293" spans="1:13" x14ac:dyDescent="0.25">
      <c r="D6293" s="13">
        <v>56200</v>
      </c>
      <c r="E6293" s="136" t="str">
        <f>INDEX([1]道具配置表!$D:$D,MATCH(D6293,[1]道具配置表!$A:$A,0))</f>
        <v>稀有图纸</v>
      </c>
      <c r="F6293" s="13">
        <v>1</v>
      </c>
      <c r="K6293" s="13">
        <v>1</v>
      </c>
      <c r="M6293" s="75" t="b">
        <v>1</v>
      </c>
    </row>
    <row r="6294" spans="1:13" x14ac:dyDescent="0.25">
      <c r="D6294" s="13">
        <v>6197</v>
      </c>
      <c r="E6294" s="136" t="str">
        <f>INDEX([1]道具配置表!$D:$D,MATCH(D6294,[1]道具配置表!$A:$A,0))</f>
        <v>5分钟锻造加速</v>
      </c>
      <c r="F6294" s="13">
        <v>5</v>
      </c>
      <c r="K6294" s="13">
        <v>1</v>
      </c>
      <c r="M6294" s="74" t="b">
        <v>1</v>
      </c>
    </row>
    <row r="6295" spans="1:13" x14ac:dyDescent="0.25">
      <c r="D6295" s="13">
        <v>56001</v>
      </c>
      <c r="E6295" s="136" t="str">
        <f>INDEX([1]道具配置表!$D:$D,MATCH(D6295,[1]道具配置表!$A:$A,0))</f>
        <v>锻造装备消耗材料</v>
      </c>
      <c r="F6295" s="13">
        <v>100</v>
      </c>
      <c r="K6295" s="13">
        <v>1</v>
      </c>
      <c r="M6295" s="74" t="b">
        <v>1</v>
      </c>
    </row>
    <row r="6296" spans="1:13" x14ac:dyDescent="0.25">
      <c r="A6296" s="13">
        <v>6660002</v>
      </c>
      <c r="B6296" s="13" t="s">
        <v>1178</v>
      </c>
      <c r="D6296" s="13">
        <v>7003</v>
      </c>
      <c r="E6296" s="136" t="str">
        <f>INDEX([1]道具配置表!$D:$D,MATCH(D6296,[1]道具配置表!$A:$A,0))</f>
        <v>1银币（立即使用，不进背包）</v>
      </c>
      <c r="F6296" s="13">
        <v>300</v>
      </c>
      <c r="K6296" s="13">
        <v>1</v>
      </c>
      <c r="M6296" s="74" t="b">
        <v>1</v>
      </c>
    </row>
    <row r="6297" spans="1:13" x14ac:dyDescent="0.25">
      <c r="D6297" s="13">
        <v>56201</v>
      </c>
      <c r="E6297" s="136" t="str">
        <f>INDEX([1]道具配置表!$D:$D,MATCH(D6297,[1]道具配置表!$A:$A,0))</f>
        <v>史诗图纸</v>
      </c>
      <c r="F6297" s="13">
        <v>1</v>
      </c>
      <c r="K6297" s="13">
        <v>1</v>
      </c>
      <c r="M6297" s="75" t="b">
        <v>1</v>
      </c>
    </row>
    <row r="6298" spans="1:13" x14ac:dyDescent="0.25">
      <c r="D6298" s="13">
        <v>6197</v>
      </c>
      <c r="E6298" s="136" t="str">
        <f>INDEX([1]道具配置表!$D:$D,MATCH(D6298,[1]道具配置表!$A:$A,0))</f>
        <v>5分钟锻造加速</v>
      </c>
      <c r="F6298" s="13">
        <v>10</v>
      </c>
      <c r="K6298" s="13">
        <v>1</v>
      </c>
      <c r="M6298" s="75" t="b">
        <v>1</v>
      </c>
    </row>
    <row r="6299" spans="1:13" x14ac:dyDescent="0.25">
      <c r="D6299" s="13">
        <v>56001</v>
      </c>
      <c r="E6299" s="136" t="str">
        <f>INDEX([1]道具配置表!$D:$D,MATCH(D6299,[1]道具配置表!$A:$A,0))</f>
        <v>锻造装备消耗材料</v>
      </c>
      <c r="F6299" s="13">
        <v>200</v>
      </c>
      <c r="K6299" s="13">
        <v>1</v>
      </c>
      <c r="M6299" s="74" t="b">
        <v>1</v>
      </c>
    </row>
    <row r="6300" spans="1:13" x14ac:dyDescent="0.25">
      <c r="A6300" s="13">
        <v>6660003</v>
      </c>
      <c r="B6300" s="13" t="s">
        <v>1179</v>
      </c>
      <c r="D6300" s="13">
        <v>7003</v>
      </c>
      <c r="E6300" s="136" t="str">
        <f>INDEX([1]道具配置表!$D:$D,MATCH(D6300,[1]道具配置表!$A:$A,0))</f>
        <v>1银币（立即使用，不进背包）</v>
      </c>
      <c r="F6300" s="13">
        <v>500</v>
      </c>
      <c r="K6300" s="13">
        <v>1</v>
      </c>
      <c r="M6300" s="74" t="b">
        <v>1</v>
      </c>
    </row>
    <row r="6301" spans="1:13" x14ac:dyDescent="0.25">
      <c r="D6301" s="13">
        <v>56201</v>
      </c>
      <c r="E6301" s="136" t="str">
        <f>INDEX([1]道具配置表!$D:$D,MATCH(D6301,[1]道具配置表!$A:$A,0))</f>
        <v>史诗图纸</v>
      </c>
      <c r="F6301" s="13">
        <v>1</v>
      </c>
      <c r="K6301" s="13">
        <v>1</v>
      </c>
      <c r="M6301" s="75" t="b">
        <v>1</v>
      </c>
    </row>
    <row r="6302" spans="1:13" x14ac:dyDescent="0.25">
      <c r="D6302" s="13">
        <v>6200</v>
      </c>
      <c r="E6302" s="136" t="str">
        <f>INDEX([1]道具配置表!$D:$D,MATCH(D6302,[1]道具配置表!$A:$A,0))</f>
        <v>30分钟锻造加速</v>
      </c>
      <c r="F6302" s="13">
        <v>4</v>
      </c>
      <c r="K6302" s="13">
        <v>1</v>
      </c>
      <c r="M6302" s="74" t="b">
        <v>1</v>
      </c>
    </row>
    <row r="6303" spans="1:13" x14ac:dyDescent="0.25">
      <c r="D6303" s="13">
        <v>56001</v>
      </c>
      <c r="E6303" s="136" t="str">
        <f>INDEX([1]道具配置表!$D:$D,MATCH(D6303,[1]道具配置表!$A:$A,0))</f>
        <v>锻造装备消耗材料</v>
      </c>
      <c r="F6303" s="13">
        <v>300</v>
      </c>
      <c r="K6303" s="13">
        <v>1</v>
      </c>
      <c r="M6303" s="74" t="b">
        <v>1</v>
      </c>
    </row>
    <row r="6304" spans="1:13" x14ac:dyDescent="0.25">
      <c r="A6304" s="13">
        <v>6660004</v>
      </c>
      <c r="B6304" s="13" t="s">
        <v>1180</v>
      </c>
      <c r="D6304" s="13">
        <v>7003</v>
      </c>
      <c r="E6304" s="136" t="str">
        <f>INDEX([1]道具配置表!$D:$D,MATCH(D6304,[1]道具配置表!$A:$A,0))</f>
        <v>1银币（立即使用，不进背包）</v>
      </c>
      <c r="F6304" s="13">
        <v>800</v>
      </c>
      <c r="K6304" s="13">
        <v>1</v>
      </c>
      <c r="M6304" s="74" t="b">
        <v>1</v>
      </c>
    </row>
    <row r="6305" spans="1:13" x14ac:dyDescent="0.25">
      <c r="D6305" s="13">
        <v>56201</v>
      </c>
      <c r="E6305" s="136" t="str">
        <f>INDEX([1]道具配置表!$D:$D,MATCH(D6305,[1]道具配置表!$A:$A,0))</f>
        <v>史诗图纸</v>
      </c>
      <c r="F6305" s="13">
        <v>1</v>
      </c>
      <c r="K6305" s="13">
        <v>1</v>
      </c>
      <c r="M6305" s="75" t="b">
        <v>1</v>
      </c>
    </row>
    <row r="6306" spans="1:13" x14ac:dyDescent="0.25">
      <c r="D6306" s="13">
        <v>6200</v>
      </c>
      <c r="E6306" s="136" t="str">
        <f>INDEX([1]道具配置表!$D:$D,MATCH(D6306,[1]道具配置表!$A:$A,0))</f>
        <v>30分钟锻造加速</v>
      </c>
      <c r="F6306" s="13">
        <v>10</v>
      </c>
      <c r="K6306" s="13">
        <v>1</v>
      </c>
      <c r="M6306" s="74" t="b">
        <v>1</v>
      </c>
    </row>
    <row r="6307" spans="1:13" x14ac:dyDescent="0.25">
      <c r="D6307" s="13">
        <v>56001</v>
      </c>
      <c r="E6307" s="136" t="str">
        <f>INDEX([1]道具配置表!$D:$D,MATCH(D6307,[1]道具配置表!$A:$A,0))</f>
        <v>锻造装备消耗材料</v>
      </c>
      <c r="F6307" s="13">
        <v>400</v>
      </c>
      <c r="K6307" s="13">
        <v>1</v>
      </c>
      <c r="M6307" s="74" t="b">
        <v>1</v>
      </c>
    </row>
    <row r="6308" spans="1:13" x14ac:dyDescent="0.25">
      <c r="A6308" s="13">
        <v>6660005</v>
      </c>
      <c r="B6308" s="13" t="s">
        <v>1181</v>
      </c>
      <c r="D6308" s="13">
        <v>7003</v>
      </c>
      <c r="E6308" s="136" t="str">
        <f>INDEX([1]道具配置表!$D:$D,MATCH(D6308,[1]道具配置表!$A:$A,0))</f>
        <v>1银币（立即使用，不进背包）</v>
      </c>
      <c r="F6308" s="13">
        <v>1200</v>
      </c>
      <c r="K6308" s="13">
        <v>1</v>
      </c>
      <c r="M6308" s="74" t="b">
        <v>1</v>
      </c>
    </row>
    <row r="6309" spans="1:13" x14ac:dyDescent="0.25">
      <c r="D6309" s="13">
        <v>56201</v>
      </c>
      <c r="E6309" s="136" t="str">
        <f>INDEX([1]道具配置表!$D:$D,MATCH(D6309,[1]道具配置表!$A:$A,0))</f>
        <v>史诗图纸</v>
      </c>
      <c r="F6309" s="13">
        <v>1</v>
      </c>
      <c r="K6309" s="13">
        <v>1</v>
      </c>
      <c r="M6309" s="75" t="b">
        <v>1</v>
      </c>
    </row>
    <row r="6310" spans="1:13" x14ac:dyDescent="0.25">
      <c r="D6310" s="13">
        <v>6200</v>
      </c>
      <c r="E6310" s="136" t="str">
        <f>INDEX([1]道具配置表!$D:$D,MATCH(D6310,[1]道具配置表!$A:$A,0))</f>
        <v>30分钟锻造加速</v>
      </c>
      <c r="F6310" s="13">
        <v>15</v>
      </c>
      <c r="K6310" s="13">
        <v>1</v>
      </c>
      <c r="M6310" s="74" t="b">
        <v>1</v>
      </c>
    </row>
    <row r="6311" spans="1:13" x14ac:dyDescent="0.25">
      <c r="D6311" s="13">
        <v>56001</v>
      </c>
      <c r="E6311" s="136" t="str">
        <f>INDEX([1]道具配置表!$D:$D,MATCH(D6311,[1]道具配置表!$A:$A,0))</f>
        <v>锻造装备消耗材料</v>
      </c>
      <c r="F6311" s="13">
        <v>500</v>
      </c>
      <c r="K6311" s="13">
        <v>1</v>
      </c>
      <c r="M6311" s="74" t="b">
        <v>1</v>
      </c>
    </row>
    <row r="6312" spans="1:13" x14ac:dyDescent="0.25">
      <c r="A6312" s="13">
        <v>6660006</v>
      </c>
      <c r="B6312" s="13" t="s">
        <v>1182</v>
      </c>
      <c r="D6312" s="13">
        <v>7003</v>
      </c>
      <c r="E6312" s="136" t="str">
        <f>INDEX([1]道具配置表!$D:$D,MATCH(D6312,[1]道具配置表!$A:$A,0))</f>
        <v>1银币（立即使用，不进背包）</v>
      </c>
      <c r="F6312" s="13">
        <v>1800</v>
      </c>
      <c r="K6312" s="13">
        <v>1</v>
      </c>
      <c r="M6312" s="74" t="b">
        <v>1</v>
      </c>
    </row>
    <row r="6313" spans="1:13" x14ac:dyDescent="0.25">
      <c r="D6313" s="13">
        <v>56202</v>
      </c>
      <c r="E6313" s="136" t="str">
        <f>INDEX([1]道具配置表!$D:$D,MATCH(D6313,[1]道具配置表!$A:$A,0))</f>
        <v>传说图纸</v>
      </c>
      <c r="F6313" s="13">
        <v>1</v>
      </c>
      <c r="K6313" s="13">
        <v>1</v>
      </c>
      <c r="M6313" s="75" t="b">
        <v>1</v>
      </c>
    </row>
    <row r="6314" spans="1:13" x14ac:dyDescent="0.25">
      <c r="D6314" s="13">
        <v>6201</v>
      </c>
      <c r="E6314" s="136" t="str">
        <f>INDEX([1]道具配置表!$D:$D,MATCH(D6314,[1]道具配置表!$A:$A,0))</f>
        <v>60分钟锻造加速</v>
      </c>
      <c r="F6314" s="13">
        <v>10</v>
      </c>
      <c r="K6314" s="13">
        <v>1</v>
      </c>
      <c r="M6314" s="74" t="b">
        <v>1</v>
      </c>
    </row>
    <row r="6315" spans="1:13" x14ac:dyDescent="0.25">
      <c r="D6315" s="13">
        <v>56001</v>
      </c>
      <c r="E6315" s="136" t="str">
        <f>INDEX([1]道具配置表!$D:$D,MATCH(D6315,[1]道具配置表!$A:$A,0))</f>
        <v>锻造装备消耗材料</v>
      </c>
      <c r="F6315" s="13">
        <v>1000</v>
      </c>
      <c r="K6315" s="13">
        <v>1</v>
      </c>
      <c r="M6315" s="74" t="b">
        <v>1</v>
      </c>
    </row>
    <row r="6316" spans="1:13" x14ac:dyDescent="0.25">
      <c r="A6316" s="13">
        <v>6660007</v>
      </c>
      <c r="B6316" s="13" t="s">
        <v>1183</v>
      </c>
      <c r="D6316" s="13">
        <v>7003</v>
      </c>
      <c r="E6316" s="136" t="str">
        <f>INDEX([1]道具配置表!$D:$D,MATCH(D6316,[1]道具配置表!$A:$A,0))</f>
        <v>1银币（立即使用，不进背包）</v>
      </c>
      <c r="F6316" s="13">
        <v>2400</v>
      </c>
      <c r="K6316" s="13">
        <v>1</v>
      </c>
      <c r="M6316" s="74" t="b">
        <v>1</v>
      </c>
    </row>
    <row r="6317" spans="1:13" x14ac:dyDescent="0.25">
      <c r="D6317" s="13">
        <v>56202</v>
      </c>
      <c r="E6317" s="136" t="str">
        <f>INDEX([1]道具配置表!$D:$D,MATCH(D6317,[1]道具配置表!$A:$A,0))</f>
        <v>传说图纸</v>
      </c>
      <c r="F6317" s="13">
        <v>1</v>
      </c>
      <c r="K6317" s="13">
        <v>1</v>
      </c>
      <c r="M6317" s="75" t="b">
        <v>1</v>
      </c>
    </row>
    <row r="6318" spans="1:13" x14ac:dyDescent="0.25">
      <c r="D6318" s="13">
        <v>6201</v>
      </c>
      <c r="E6318" s="136" t="str">
        <f>INDEX([1]道具配置表!$D:$D,MATCH(D6318,[1]道具配置表!$A:$A,0))</f>
        <v>60分钟锻造加速</v>
      </c>
      <c r="F6318" s="13">
        <v>12</v>
      </c>
      <c r="K6318" s="13">
        <v>1</v>
      </c>
      <c r="M6318" s="74" t="b">
        <v>1</v>
      </c>
    </row>
    <row r="6319" spans="1:13" x14ac:dyDescent="0.25">
      <c r="D6319" s="13">
        <v>56001</v>
      </c>
      <c r="E6319" s="136" t="str">
        <f>INDEX([1]道具配置表!$D:$D,MATCH(D6319,[1]道具配置表!$A:$A,0))</f>
        <v>锻造装备消耗材料</v>
      </c>
      <c r="F6319" s="13">
        <v>1500</v>
      </c>
      <c r="K6319" s="13">
        <v>1</v>
      </c>
      <c r="M6319" s="74" t="b">
        <v>1</v>
      </c>
    </row>
    <row r="6320" spans="1:13" x14ac:dyDescent="0.25">
      <c r="A6320" s="13">
        <v>6660008</v>
      </c>
      <c r="B6320" s="13" t="s">
        <v>1184</v>
      </c>
      <c r="D6320" s="13">
        <v>7003</v>
      </c>
      <c r="E6320" s="136" t="str">
        <f>INDEX([1]道具配置表!$D:$D,MATCH(D6320,[1]道具配置表!$A:$A,0))</f>
        <v>1银币（立即使用，不进背包）</v>
      </c>
      <c r="F6320" s="13">
        <v>3000</v>
      </c>
      <c r="K6320" s="13">
        <v>1</v>
      </c>
      <c r="M6320" s="74" t="b">
        <v>1</v>
      </c>
    </row>
    <row r="6321" spans="1:13" x14ac:dyDescent="0.25">
      <c r="D6321" s="13">
        <v>56202</v>
      </c>
      <c r="E6321" s="136" t="str">
        <f>INDEX([1]道具配置表!$D:$D,MATCH(D6321,[1]道具配置表!$A:$A,0))</f>
        <v>传说图纸</v>
      </c>
      <c r="F6321" s="13">
        <v>1</v>
      </c>
      <c r="K6321" s="13">
        <v>1</v>
      </c>
      <c r="M6321" s="75" t="b">
        <v>1</v>
      </c>
    </row>
    <row r="6322" spans="1:13" x14ac:dyDescent="0.25">
      <c r="D6322" s="13">
        <v>6201</v>
      </c>
      <c r="E6322" s="136" t="str">
        <f>INDEX([1]道具配置表!$D:$D,MATCH(D6322,[1]道具配置表!$A:$A,0))</f>
        <v>60分钟锻造加速</v>
      </c>
      <c r="F6322" s="13">
        <v>14</v>
      </c>
      <c r="K6322" s="13">
        <v>1</v>
      </c>
      <c r="M6322" s="74" t="b">
        <v>1</v>
      </c>
    </row>
    <row r="6323" spans="1:13" x14ac:dyDescent="0.25">
      <c r="D6323" s="13">
        <v>56001</v>
      </c>
      <c r="E6323" s="136" t="str">
        <f>INDEX([1]道具配置表!$D:$D,MATCH(D6323,[1]道具配置表!$A:$A,0))</f>
        <v>锻造装备消耗材料</v>
      </c>
      <c r="F6323" s="13">
        <v>2000</v>
      </c>
      <c r="K6323" s="13">
        <v>1</v>
      </c>
      <c r="M6323" s="74" t="b">
        <v>1</v>
      </c>
    </row>
    <row r="6324" spans="1:13" x14ac:dyDescent="0.25">
      <c r="A6324" s="13">
        <v>6660009</v>
      </c>
      <c r="B6324" s="13" t="s">
        <v>1185</v>
      </c>
      <c r="D6324" s="13">
        <v>7003</v>
      </c>
      <c r="E6324" s="136" t="str">
        <f>INDEX([1]道具配置表!$D:$D,MATCH(D6324,[1]道具配置表!$A:$A,0))</f>
        <v>1银币（立即使用，不进背包）</v>
      </c>
      <c r="F6324" s="13">
        <v>4000</v>
      </c>
      <c r="K6324" s="13">
        <v>1</v>
      </c>
      <c r="M6324" s="74" t="b">
        <v>1</v>
      </c>
    </row>
    <row r="6325" spans="1:13" x14ac:dyDescent="0.25">
      <c r="D6325" s="13">
        <v>56202</v>
      </c>
      <c r="E6325" s="136" t="str">
        <f>INDEX([1]道具配置表!$D:$D,MATCH(D6325,[1]道具配置表!$A:$A,0))</f>
        <v>传说图纸</v>
      </c>
      <c r="F6325" s="13">
        <v>1</v>
      </c>
      <c r="K6325" s="13">
        <v>1</v>
      </c>
      <c r="M6325" s="75" t="b">
        <v>1</v>
      </c>
    </row>
    <row r="6326" spans="1:13" x14ac:dyDescent="0.25">
      <c r="D6326" s="13">
        <v>6201</v>
      </c>
      <c r="E6326" s="136" t="str">
        <f>INDEX([1]道具配置表!$D:$D,MATCH(D6326,[1]道具配置表!$A:$A,0))</f>
        <v>60分钟锻造加速</v>
      </c>
      <c r="F6326" s="13">
        <v>16</v>
      </c>
      <c r="K6326" s="13">
        <v>1</v>
      </c>
      <c r="M6326" s="74" t="b">
        <v>1</v>
      </c>
    </row>
    <row r="6327" spans="1:13" x14ac:dyDescent="0.25">
      <c r="D6327" s="13">
        <v>56001</v>
      </c>
      <c r="E6327" s="136" t="str">
        <f>INDEX([1]道具配置表!$D:$D,MATCH(D6327,[1]道具配置表!$A:$A,0))</f>
        <v>锻造装备消耗材料</v>
      </c>
      <c r="F6327" s="13">
        <v>3000</v>
      </c>
      <c r="K6327" s="13">
        <v>1</v>
      </c>
      <c r="M6327" s="74" t="b">
        <v>1</v>
      </c>
    </row>
    <row r="6328" spans="1:13" x14ac:dyDescent="0.25">
      <c r="A6328" s="13">
        <v>6670001</v>
      </c>
      <c r="B6328" s="13" t="s">
        <v>1186</v>
      </c>
      <c r="D6328" s="13">
        <v>56001</v>
      </c>
      <c r="E6328" s="136" t="str">
        <f>INDEX([1]道具配置表!$D:$D,MATCH(D6328,[1]道具配置表!$A:$A,0))</f>
        <v>锻造装备消耗材料</v>
      </c>
      <c r="F6328" s="13">
        <v>1</v>
      </c>
      <c r="G6328" s="13">
        <v>1</v>
      </c>
      <c r="H6328" s="13">
        <v>1</v>
      </c>
      <c r="I6328" s="13" t="s">
        <v>1209</v>
      </c>
      <c r="J6328" s="13">
        <v>5000</v>
      </c>
      <c r="M6328" s="75" t="b">
        <v>1</v>
      </c>
    </row>
    <row r="6329" spans="1:13" x14ac:dyDescent="0.25">
      <c r="D6329" s="13">
        <v>56001</v>
      </c>
      <c r="E6329" s="136" t="str">
        <f>INDEX([1]道具配置表!$D:$D,MATCH(D6329,[1]道具配置表!$A:$A,0))</f>
        <v>锻造装备消耗材料</v>
      </c>
      <c r="F6329" s="13">
        <v>2</v>
      </c>
      <c r="J6329" s="13">
        <v>1666</v>
      </c>
      <c r="M6329" s="79" t="b">
        <v>1</v>
      </c>
    </row>
    <row r="6330" spans="1:13" x14ac:dyDescent="0.25">
      <c r="D6330" s="13">
        <v>56001</v>
      </c>
      <c r="E6330" s="136" t="str">
        <f>INDEX([1]道具配置表!$D:$D,MATCH(D6330,[1]道具配置表!$A:$A,0))</f>
        <v>锻造装备消耗材料</v>
      </c>
      <c r="F6330" s="13">
        <v>3</v>
      </c>
      <c r="J6330" s="13">
        <v>555</v>
      </c>
      <c r="M6330" s="79" t="b">
        <v>1</v>
      </c>
    </row>
    <row r="6331" spans="1:13" x14ac:dyDescent="0.25">
      <c r="D6331" s="13">
        <v>56001</v>
      </c>
      <c r="E6331" s="136" t="str">
        <f>INDEX([1]道具配置表!$D:$D,MATCH(D6331,[1]道具配置表!$A:$A,0))</f>
        <v>锻造装备消耗材料</v>
      </c>
      <c r="F6331" s="13">
        <v>4</v>
      </c>
      <c r="J6331" s="13">
        <v>185</v>
      </c>
      <c r="M6331" s="79" t="b">
        <v>1</v>
      </c>
    </row>
    <row r="6332" spans="1:13" x14ac:dyDescent="0.25">
      <c r="D6332" s="13">
        <v>56001</v>
      </c>
      <c r="E6332" s="136" t="str">
        <f>INDEX([1]道具配置表!$D:$D,MATCH(D6332,[1]道具配置表!$A:$A,0))</f>
        <v>锻造装备消耗材料</v>
      </c>
      <c r="F6332" s="13">
        <v>5</v>
      </c>
      <c r="J6332" s="13">
        <v>61</v>
      </c>
      <c r="M6332" s="79" t="b">
        <v>1</v>
      </c>
    </row>
    <row r="6333" spans="1:13" x14ac:dyDescent="0.25">
      <c r="D6333" s="13">
        <v>56001</v>
      </c>
      <c r="E6333" s="136" t="str">
        <f>INDEX([1]道具配置表!$D:$D,MATCH(D6333,[1]道具配置表!$A:$A,0))</f>
        <v>锻造装备消耗材料</v>
      </c>
      <c r="F6333" s="13">
        <v>6</v>
      </c>
      <c r="J6333" s="13">
        <v>20</v>
      </c>
      <c r="M6333" s="79" t="b">
        <v>1</v>
      </c>
    </row>
    <row r="6334" spans="1:13" x14ac:dyDescent="0.25">
      <c r="A6334" s="13">
        <v>6670002</v>
      </c>
      <c r="B6334" s="13" t="s">
        <v>1187</v>
      </c>
      <c r="D6334" s="13">
        <v>56200</v>
      </c>
      <c r="E6334" s="136" t="str">
        <f>INDEX([1]道具配置表!$D:$D,MATCH(D6334,[1]道具配置表!$A:$A,0))</f>
        <v>稀有图纸</v>
      </c>
      <c r="F6334" s="13">
        <v>1</v>
      </c>
      <c r="G6334" s="13">
        <v>1</v>
      </c>
      <c r="H6334" s="13">
        <v>1</v>
      </c>
      <c r="I6334" s="13" t="s">
        <v>1209</v>
      </c>
      <c r="J6334" s="13">
        <v>20</v>
      </c>
      <c r="M6334" s="75" t="b">
        <v>1</v>
      </c>
    </row>
    <row r="6335" spans="1:13" x14ac:dyDescent="0.25">
      <c r="D6335" s="13">
        <v>56001</v>
      </c>
      <c r="E6335" s="136" t="str">
        <f>INDEX([1]道具配置表!$D:$D,MATCH(D6335,[1]道具配置表!$A:$A,0))</f>
        <v>锻造装备消耗材料</v>
      </c>
      <c r="F6335" s="13">
        <v>1</v>
      </c>
      <c r="J6335" s="13">
        <v>5000</v>
      </c>
      <c r="M6335" s="79" t="b">
        <v>1</v>
      </c>
    </row>
    <row r="6336" spans="1:13" x14ac:dyDescent="0.25">
      <c r="D6336" s="13">
        <v>56001</v>
      </c>
      <c r="E6336" s="136" t="str">
        <f>INDEX([1]道具配置表!$D:$D,MATCH(D6336,[1]道具配置表!$A:$A,0))</f>
        <v>锻造装备消耗材料</v>
      </c>
      <c r="F6336" s="13">
        <v>2</v>
      </c>
      <c r="J6336" s="13">
        <v>2000</v>
      </c>
      <c r="M6336" s="79" t="b">
        <v>1</v>
      </c>
    </row>
    <row r="6337" spans="1:13" x14ac:dyDescent="0.25">
      <c r="D6337" s="13">
        <v>56001</v>
      </c>
      <c r="E6337" s="136" t="str">
        <f>INDEX([1]道具配置表!$D:$D,MATCH(D6337,[1]道具配置表!$A:$A,0))</f>
        <v>锻造装备消耗材料</v>
      </c>
      <c r="F6337" s="13">
        <v>3</v>
      </c>
      <c r="J6337" s="13">
        <v>800</v>
      </c>
      <c r="M6337" s="79" t="b">
        <v>1</v>
      </c>
    </row>
    <row r="6338" spans="1:13" x14ac:dyDescent="0.25">
      <c r="D6338" s="13">
        <v>56001</v>
      </c>
      <c r="E6338" s="136" t="str">
        <f>INDEX([1]道具配置表!$D:$D,MATCH(D6338,[1]道具配置表!$A:$A,0))</f>
        <v>锻造装备消耗材料</v>
      </c>
      <c r="F6338" s="13">
        <v>4</v>
      </c>
      <c r="J6338" s="13">
        <v>320</v>
      </c>
      <c r="M6338" s="79" t="b">
        <v>1</v>
      </c>
    </row>
    <row r="6339" spans="1:13" x14ac:dyDescent="0.25">
      <c r="D6339" s="13">
        <v>56001</v>
      </c>
      <c r="E6339" s="136" t="str">
        <f>INDEX([1]道具配置表!$D:$D,MATCH(D6339,[1]道具配置表!$A:$A,0))</f>
        <v>锻造装备消耗材料</v>
      </c>
      <c r="F6339" s="13">
        <v>5</v>
      </c>
      <c r="J6339" s="13">
        <v>128</v>
      </c>
      <c r="M6339" s="79" t="b">
        <v>1</v>
      </c>
    </row>
    <row r="6340" spans="1:13" x14ac:dyDescent="0.25">
      <c r="D6340" s="13">
        <v>56001</v>
      </c>
      <c r="E6340" s="136" t="str">
        <f>INDEX([1]道具配置表!$D:$D,MATCH(D6340,[1]道具配置表!$A:$A,0))</f>
        <v>锻造装备消耗材料</v>
      </c>
      <c r="F6340" s="13">
        <v>6</v>
      </c>
      <c r="J6340" s="13">
        <v>51</v>
      </c>
      <c r="M6340" s="79" t="b">
        <v>1</v>
      </c>
    </row>
    <row r="6341" spans="1:13" x14ac:dyDescent="0.25">
      <c r="A6341" s="13">
        <v>6670003</v>
      </c>
      <c r="B6341" s="13" t="s">
        <v>1188</v>
      </c>
      <c r="D6341" s="13">
        <v>56201</v>
      </c>
      <c r="E6341" s="136" t="str">
        <f>INDEX([1]道具配置表!$D:$D,MATCH(D6341,[1]道具配置表!$A:$A,0))</f>
        <v>史诗图纸</v>
      </c>
      <c r="F6341" s="13">
        <v>1</v>
      </c>
      <c r="G6341" s="13">
        <v>1</v>
      </c>
      <c r="H6341" s="13">
        <v>1</v>
      </c>
      <c r="I6341" s="13" t="s">
        <v>1209</v>
      </c>
      <c r="J6341" s="13">
        <v>2</v>
      </c>
      <c r="M6341" s="75" t="b">
        <v>1</v>
      </c>
    </row>
    <row r="6342" spans="1:13" x14ac:dyDescent="0.25">
      <c r="D6342" s="13">
        <v>56200</v>
      </c>
      <c r="E6342" s="136" t="str">
        <f>INDEX([1]道具配置表!$D:$D,MATCH(D6342,[1]道具配置表!$A:$A,0))</f>
        <v>稀有图纸</v>
      </c>
      <c r="F6342" s="13">
        <v>1</v>
      </c>
      <c r="J6342" s="13">
        <v>22</v>
      </c>
      <c r="M6342" s="81" t="b">
        <v>1</v>
      </c>
    </row>
    <row r="6343" spans="1:13" x14ac:dyDescent="0.25">
      <c r="D6343" s="13">
        <v>56001</v>
      </c>
      <c r="E6343" s="136" t="str">
        <f>INDEX([1]道具配置表!$D:$D,MATCH(D6343,[1]道具配置表!$A:$A,0))</f>
        <v>锻造装备消耗材料</v>
      </c>
      <c r="F6343" s="13">
        <v>1</v>
      </c>
      <c r="J6343" s="13">
        <v>5000</v>
      </c>
      <c r="M6343" s="79" t="b">
        <v>1</v>
      </c>
    </row>
    <row r="6344" spans="1:13" x14ac:dyDescent="0.25">
      <c r="D6344" s="13">
        <v>56001</v>
      </c>
      <c r="E6344" s="136" t="str">
        <f>INDEX([1]道具配置表!$D:$D,MATCH(D6344,[1]道具配置表!$A:$A,0))</f>
        <v>锻造装备消耗材料</v>
      </c>
      <c r="F6344" s="13">
        <v>2</v>
      </c>
      <c r="J6344" s="13">
        <v>2500</v>
      </c>
      <c r="M6344" s="79" t="b">
        <v>1</v>
      </c>
    </row>
    <row r="6345" spans="1:13" x14ac:dyDescent="0.25">
      <c r="D6345" s="13">
        <v>56001</v>
      </c>
      <c r="E6345" s="136" t="str">
        <f>INDEX([1]道具配置表!$D:$D,MATCH(D6345,[1]道具配置表!$A:$A,0))</f>
        <v>锻造装备消耗材料</v>
      </c>
      <c r="F6345" s="13">
        <v>3</v>
      </c>
      <c r="J6345" s="13">
        <v>1250</v>
      </c>
      <c r="M6345" s="79" t="b">
        <v>1</v>
      </c>
    </row>
    <row r="6346" spans="1:13" x14ac:dyDescent="0.25">
      <c r="D6346" s="13">
        <v>56001</v>
      </c>
      <c r="E6346" s="136" t="str">
        <f>INDEX([1]道具配置表!$D:$D,MATCH(D6346,[1]道具配置表!$A:$A,0))</f>
        <v>锻造装备消耗材料</v>
      </c>
      <c r="F6346" s="13">
        <v>4</v>
      </c>
      <c r="J6346" s="13">
        <v>625</v>
      </c>
      <c r="M6346" s="79" t="b">
        <v>1</v>
      </c>
    </row>
    <row r="6347" spans="1:13" x14ac:dyDescent="0.25">
      <c r="D6347" s="13">
        <v>56001</v>
      </c>
      <c r="E6347" s="136" t="str">
        <f>INDEX([1]道具配置表!$D:$D,MATCH(D6347,[1]道具配置表!$A:$A,0))</f>
        <v>锻造装备消耗材料</v>
      </c>
      <c r="F6347" s="13">
        <v>5</v>
      </c>
      <c r="J6347" s="13">
        <v>312</v>
      </c>
      <c r="M6347" s="79" t="b">
        <v>1</v>
      </c>
    </row>
    <row r="6348" spans="1:13" x14ac:dyDescent="0.25">
      <c r="D6348" s="13">
        <v>56001</v>
      </c>
      <c r="E6348" s="136" t="str">
        <f>INDEX([1]道具配置表!$D:$D,MATCH(D6348,[1]道具配置表!$A:$A,0))</f>
        <v>锻造装备消耗材料</v>
      </c>
      <c r="F6348" s="13">
        <v>6</v>
      </c>
      <c r="J6348" s="13">
        <v>156</v>
      </c>
      <c r="M6348" s="79" t="b">
        <v>1</v>
      </c>
    </row>
    <row r="6349" spans="1:13" x14ac:dyDescent="0.25">
      <c r="A6349" s="13">
        <v>6670004</v>
      </c>
      <c r="B6349" s="13" t="s">
        <v>1189</v>
      </c>
      <c r="D6349" s="13">
        <v>56201</v>
      </c>
      <c r="E6349" s="136" t="str">
        <f>INDEX([1]道具配置表!$D:$D,MATCH(D6349,[1]道具配置表!$A:$A,0))</f>
        <v>史诗图纸</v>
      </c>
      <c r="F6349" s="13">
        <v>1</v>
      </c>
      <c r="G6349" s="13">
        <v>1</v>
      </c>
      <c r="H6349" s="13">
        <v>1</v>
      </c>
      <c r="I6349" s="13" t="s">
        <v>1209</v>
      </c>
      <c r="J6349" s="13">
        <v>4</v>
      </c>
      <c r="M6349" s="75" t="b">
        <v>1</v>
      </c>
    </row>
    <row r="6350" spans="1:13" x14ac:dyDescent="0.25">
      <c r="D6350" s="13">
        <v>56200</v>
      </c>
      <c r="E6350" s="136" t="str">
        <f>INDEX([1]道具配置表!$D:$D,MATCH(D6350,[1]道具配置表!$A:$A,0))</f>
        <v>稀有图纸</v>
      </c>
      <c r="F6350" s="13">
        <v>1</v>
      </c>
      <c r="J6350" s="13">
        <v>25</v>
      </c>
      <c r="M6350" s="75" t="b">
        <v>1</v>
      </c>
    </row>
    <row r="6351" spans="1:13" x14ac:dyDescent="0.25">
      <c r="D6351" s="13">
        <v>56001</v>
      </c>
      <c r="E6351" s="136" t="str">
        <f>INDEX([1]道具配置表!$D:$D,MATCH(D6351,[1]道具配置表!$A:$A,0))</f>
        <v>锻造装备消耗材料</v>
      </c>
      <c r="F6351" s="13">
        <v>1</v>
      </c>
      <c r="J6351" s="13">
        <v>5000</v>
      </c>
      <c r="M6351" s="79" t="b">
        <v>1</v>
      </c>
    </row>
    <row r="6352" spans="1:13" x14ac:dyDescent="0.25">
      <c r="D6352" s="13">
        <v>56001</v>
      </c>
      <c r="E6352" s="136" t="str">
        <f>INDEX([1]道具配置表!$D:$D,MATCH(D6352,[1]道具配置表!$A:$A,0))</f>
        <v>锻造装备消耗材料</v>
      </c>
      <c r="F6352" s="13">
        <v>2</v>
      </c>
      <c r="J6352" s="13">
        <v>2777</v>
      </c>
      <c r="M6352" s="79" t="b">
        <v>1</v>
      </c>
    </row>
    <row r="6353" spans="1:13" x14ac:dyDescent="0.25">
      <c r="D6353" s="13">
        <v>56001</v>
      </c>
      <c r="E6353" s="136" t="str">
        <f>INDEX([1]道具配置表!$D:$D,MATCH(D6353,[1]道具配置表!$A:$A,0))</f>
        <v>锻造装备消耗材料</v>
      </c>
      <c r="F6353" s="13">
        <v>3</v>
      </c>
      <c r="J6353" s="13">
        <v>1542</v>
      </c>
      <c r="M6353" s="79" t="b">
        <v>1</v>
      </c>
    </row>
    <row r="6354" spans="1:13" x14ac:dyDescent="0.25">
      <c r="D6354" s="13">
        <v>56001</v>
      </c>
      <c r="E6354" s="136" t="str">
        <f>INDEX([1]道具配置表!$D:$D,MATCH(D6354,[1]道具配置表!$A:$A,0))</f>
        <v>锻造装备消耗材料</v>
      </c>
      <c r="F6354" s="13">
        <v>4</v>
      </c>
      <c r="J6354" s="13">
        <v>856</v>
      </c>
      <c r="M6354" s="79" t="b">
        <v>1</v>
      </c>
    </row>
    <row r="6355" spans="1:13" x14ac:dyDescent="0.25">
      <c r="D6355" s="13">
        <v>56001</v>
      </c>
      <c r="E6355" s="136" t="str">
        <f>INDEX([1]道具配置表!$D:$D,MATCH(D6355,[1]道具配置表!$A:$A,0))</f>
        <v>锻造装备消耗材料</v>
      </c>
      <c r="F6355" s="13">
        <v>5</v>
      </c>
      <c r="J6355" s="13">
        <v>475</v>
      </c>
      <c r="M6355" s="79" t="b">
        <v>1</v>
      </c>
    </row>
    <row r="6356" spans="1:13" x14ac:dyDescent="0.25">
      <c r="D6356" s="13">
        <v>56001</v>
      </c>
      <c r="E6356" s="136" t="str">
        <f>INDEX([1]道具配置表!$D:$D,MATCH(D6356,[1]道具配置表!$A:$A,0))</f>
        <v>锻造装备消耗材料</v>
      </c>
      <c r="F6356" s="13">
        <v>6</v>
      </c>
      <c r="J6356" s="13">
        <v>263</v>
      </c>
      <c r="M6356" s="79" t="b">
        <v>1</v>
      </c>
    </row>
    <row r="6357" spans="1:13" x14ac:dyDescent="0.25">
      <c r="A6357" s="13">
        <v>6670005</v>
      </c>
      <c r="B6357" s="13" t="s">
        <v>1190</v>
      </c>
      <c r="D6357" s="13">
        <v>56201</v>
      </c>
      <c r="E6357" s="136" t="str">
        <f>INDEX([1]道具配置表!$D:$D,MATCH(D6357,[1]道具配置表!$A:$A,0))</f>
        <v>史诗图纸</v>
      </c>
      <c r="F6357" s="13">
        <v>1</v>
      </c>
      <c r="G6357" s="13">
        <v>1</v>
      </c>
      <c r="H6357" s="13">
        <v>1</v>
      </c>
      <c r="I6357" s="13" t="s">
        <v>1209</v>
      </c>
      <c r="J6357" s="13">
        <v>6</v>
      </c>
      <c r="M6357" s="79" t="b">
        <v>1</v>
      </c>
    </row>
    <row r="6358" spans="1:13" x14ac:dyDescent="0.25">
      <c r="D6358" s="13">
        <v>56200</v>
      </c>
      <c r="E6358" s="136" t="str">
        <f>INDEX([1]道具配置表!$D:$D,MATCH(D6358,[1]道具配置表!$A:$A,0))</f>
        <v>稀有图纸</v>
      </c>
      <c r="F6358" s="13">
        <v>1</v>
      </c>
      <c r="J6358" s="13">
        <v>30</v>
      </c>
      <c r="M6358" s="75" t="b">
        <v>1</v>
      </c>
    </row>
    <row r="6359" spans="1:13" x14ac:dyDescent="0.25">
      <c r="D6359" s="13">
        <v>56001</v>
      </c>
      <c r="E6359" s="136" t="str">
        <f>INDEX([1]道具配置表!$D:$D,MATCH(D6359,[1]道具配置表!$A:$A,0))</f>
        <v>锻造装备消耗材料</v>
      </c>
      <c r="F6359" s="13">
        <v>1</v>
      </c>
      <c r="J6359" s="13">
        <v>5000</v>
      </c>
      <c r="M6359" s="79" t="b">
        <v>1</v>
      </c>
    </row>
    <row r="6360" spans="1:13" x14ac:dyDescent="0.25">
      <c r="D6360" s="13">
        <v>56001</v>
      </c>
      <c r="E6360" s="136" t="str">
        <f>INDEX([1]道具配置表!$D:$D,MATCH(D6360,[1]道具配置表!$A:$A,0))</f>
        <v>锻造装备消耗材料</v>
      </c>
      <c r="F6360" s="13">
        <v>2</v>
      </c>
      <c r="J6360" s="13">
        <v>3125</v>
      </c>
      <c r="M6360" s="79" t="b">
        <v>1</v>
      </c>
    </row>
    <row r="6361" spans="1:13" x14ac:dyDescent="0.25">
      <c r="D6361" s="13">
        <v>56001</v>
      </c>
      <c r="E6361" s="136" t="str">
        <f>INDEX([1]道具配置表!$D:$D,MATCH(D6361,[1]道具配置表!$A:$A,0))</f>
        <v>锻造装备消耗材料</v>
      </c>
      <c r="F6361" s="13">
        <v>3</v>
      </c>
      <c r="J6361" s="13">
        <v>1953</v>
      </c>
      <c r="M6361" s="79" t="b">
        <v>1</v>
      </c>
    </row>
    <row r="6362" spans="1:13" x14ac:dyDescent="0.25">
      <c r="D6362" s="13">
        <v>56001</v>
      </c>
      <c r="E6362" s="136" t="str">
        <f>INDEX([1]道具配置表!$D:$D,MATCH(D6362,[1]道具配置表!$A:$A,0))</f>
        <v>锻造装备消耗材料</v>
      </c>
      <c r="F6362" s="13">
        <v>4</v>
      </c>
      <c r="J6362" s="13">
        <v>1220</v>
      </c>
      <c r="M6362" s="79" t="b">
        <v>1</v>
      </c>
    </row>
    <row r="6363" spans="1:13" x14ac:dyDescent="0.25">
      <c r="D6363" s="13">
        <v>56001</v>
      </c>
      <c r="E6363" s="136" t="str">
        <f>INDEX([1]道具配置表!$D:$D,MATCH(D6363,[1]道具配置表!$A:$A,0))</f>
        <v>锻造装备消耗材料</v>
      </c>
      <c r="F6363" s="13">
        <v>5</v>
      </c>
      <c r="J6363" s="13">
        <v>762</v>
      </c>
      <c r="M6363" s="79" t="b">
        <v>1</v>
      </c>
    </row>
    <row r="6364" spans="1:13" x14ac:dyDescent="0.25">
      <c r="D6364" s="13">
        <v>56001</v>
      </c>
      <c r="E6364" s="136" t="str">
        <f>INDEX([1]道具配置表!$D:$D,MATCH(D6364,[1]道具配置表!$A:$A,0))</f>
        <v>锻造装备消耗材料</v>
      </c>
      <c r="F6364" s="13">
        <v>6</v>
      </c>
      <c r="J6364" s="13">
        <v>476</v>
      </c>
      <c r="M6364" s="79" t="b">
        <v>1</v>
      </c>
    </row>
    <row r="6365" spans="1:13" x14ac:dyDescent="0.25">
      <c r="A6365" s="13">
        <v>6670006</v>
      </c>
      <c r="B6365" s="13" t="s">
        <v>1272</v>
      </c>
      <c r="D6365" s="13">
        <v>56001</v>
      </c>
      <c r="E6365" s="136" t="str">
        <f>INDEX([1]道具配置表!$D:$D,MATCH(D6365,[1]道具配置表!$A:$A,0))</f>
        <v>锻造装备消耗材料</v>
      </c>
      <c r="F6365" s="13">
        <v>1</v>
      </c>
      <c r="K6365" s="13">
        <v>1</v>
      </c>
      <c r="M6365" s="82" t="b">
        <v>1</v>
      </c>
    </row>
    <row r="6366" spans="1:13" x14ac:dyDescent="0.25">
      <c r="D6366" s="13">
        <v>56200</v>
      </c>
      <c r="E6366" s="136" t="str">
        <f>INDEX([1]道具配置表!$D:$D,MATCH(D6366,[1]道具配置表!$A:$A,0))</f>
        <v>稀有图纸</v>
      </c>
      <c r="F6366" s="13">
        <v>1</v>
      </c>
      <c r="K6366" s="13">
        <v>1</v>
      </c>
      <c r="M6366" s="82" t="b">
        <v>1</v>
      </c>
    </row>
    <row r="6367" spans="1:13" x14ac:dyDescent="0.25">
      <c r="D6367" s="13">
        <v>56201</v>
      </c>
      <c r="E6367" s="136" t="str">
        <f>INDEX([1]道具配置表!$D:$D,MATCH(D6367,[1]道具配置表!$A:$A,0))</f>
        <v>史诗图纸</v>
      </c>
      <c r="F6367" s="13">
        <v>1</v>
      </c>
      <c r="K6367" s="13">
        <v>1</v>
      </c>
      <c r="M6367" s="82" t="b">
        <v>1</v>
      </c>
    </row>
    <row r="6368" spans="1:13" x14ac:dyDescent="0.25">
      <c r="A6368" s="13">
        <v>6661001</v>
      </c>
      <c r="B6368" s="13" t="s">
        <v>1191</v>
      </c>
      <c r="D6368" s="13">
        <v>3000001</v>
      </c>
      <c r="E6368" s="136" t="str">
        <f>INDEX([1]道具配置表!$D:$D,MATCH(D6368,[1]道具配置表!$A:$A,0))</f>
        <v>自走棋放置货币</v>
      </c>
      <c r="F6368" s="13">
        <v>40</v>
      </c>
      <c r="K6368" s="13">
        <v>1</v>
      </c>
      <c r="M6368" s="76" t="b">
        <v>1</v>
      </c>
    </row>
    <row r="6369" spans="1:13" x14ac:dyDescent="0.25">
      <c r="D6369" s="13">
        <v>7228</v>
      </c>
      <c r="E6369" s="136" t="str">
        <f>INDEX([1]道具配置表!$D:$D,MATCH(D6369,[1]道具配置表!$A:$A,0))</f>
        <v>经验书*10000</v>
      </c>
      <c r="F6369" s="13">
        <v>2</v>
      </c>
      <c r="K6369" s="13">
        <v>1</v>
      </c>
      <c r="M6369" s="76" t="b">
        <v>1</v>
      </c>
    </row>
    <row r="6370" spans="1:13" x14ac:dyDescent="0.25">
      <c r="D6370" s="13">
        <v>20000</v>
      </c>
      <c r="E6370" s="136" t="str">
        <f>INDEX([1]道具配置表!$D:$D,MATCH(D6370,[1]道具配置表!$A:$A,0))</f>
        <v>技能点1</v>
      </c>
      <c r="F6370" s="13">
        <v>100</v>
      </c>
      <c r="K6370" s="13">
        <v>1</v>
      </c>
      <c r="M6370" s="76" t="b">
        <v>1</v>
      </c>
    </row>
    <row r="6371" spans="1:13" x14ac:dyDescent="0.25">
      <c r="D6371" s="13">
        <v>56001</v>
      </c>
      <c r="E6371" s="136" t="str">
        <f>INDEX([1]道具配置表!$D:$D,MATCH(D6371,[1]道具配置表!$A:$A,0))</f>
        <v>锻造装备消耗材料</v>
      </c>
      <c r="F6371" s="13">
        <v>50</v>
      </c>
      <c r="K6371" s="13">
        <v>1</v>
      </c>
      <c r="M6371" s="76" t="b">
        <v>1</v>
      </c>
    </row>
    <row r="6372" spans="1:13" x14ac:dyDescent="0.25">
      <c r="D6372" s="13">
        <v>6196</v>
      </c>
      <c r="E6372" s="136" t="str">
        <f>INDEX([1]道具配置表!$D:$D,MATCH(D6372,[1]道具配置表!$A:$A,0))</f>
        <v>1分钟锻造加速</v>
      </c>
      <c r="F6372" s="13">
        <v>1</v>
      </c>
      <c r="K6372" s="13">
        <v>1</v>
      </c>
      <c r="M6372" s="76" t="b">
        <v>1</v>
      </c>
    </row>
    <row r="6373" spans="1:13" x14ac:dyDescent="0.25">
      <c r="A6373" s="13">
        <v>6661002</v>
      </c>
      <c r="B6373" s="13" t="s">
        <v>1192</v>
      </c>
      <c r="D6373" s="13">
        <v>3000001</v>
      </c>
      <c r="E6373" s="136" t="str">
        <f>INDEX([1]道具配置表!$D:$D,MATCH(D6373,[1]道具配置表!$A:$A,0))</f>
        <v>自走棋放置货币</v>
      </c>
      <c r="F6373" s="13">
        <v>60</v>
      </c>
      <c r="K6373" s="13">
        <v>1</v>
      </c>
      <c r="M6373" s="76" t="b">
        <v>1</v>
      </c>
    </row>
    <row r="6374" spans="1:13" x14ac:dyDescent="0.25">
      <c r="D6374" s="13">
        <v>7228</v>
      </c>
      <c r="E6374" s="136" t="str">
        <f>INDEX([1]道具配置表!$D:$D,MATCH(D6374,[1]道具配置表!$A:$A,0))</f>
        <v>经验书*10000</v>
      </c>
      <c r="F6374" s="13">
        <v>3</v>
      </c>
      <c r="K6374" s="13">
        <v>1</v>
      </c>
      <c r="M6374" s="76" t="b">
        <v>1</v>
      </c>
    </row>
    <row r="6375" spans="1:13" x14ac:dyDescent="0.25">
      <c r="D6375" s="13">
        <v>20000</v>
      </c>
      <c r="E6375" s="136" t="str">
        <f>INDEX([1]道具配置表!$D:$D,MATCH(D6375,[1]道具配置表!$A:$A,0))</f>
        <v>技能点1</v>
      </c>
      <c r="F6375" s="13">
        <v>150</v>
      </c>
      <c r="K6375" s="13">
        <v>1</v>
      </c>
      <c r="M6375" s="76" t="b">
        <v>1</v>
      </c>
    </row>
    <row r="6376" spans="1:13" x14ac:dyDescent="0.25">
      <c r="D6376" s="13">
        <v>56001</v>
      </c>
      <c r="E6376" s="136" t="str">
        <f>INDEX([1]道具配置表!$D:$D,MATCH(D6376,[1]道具配置表!$A:$A,0))</f>
        <v>锻造装备消耗材料</v>
      </c>
      <c r="F6376" s="13">
        <v>60</v>
      </c>
      <c r="K6376" s="13">
        <v>1</v>
      </c>
      <c r="M6376" s="76" t="b">
        <v>1</v>
      </c>
    </row>
    <row r="6377" spans="1:13" x14ac:dyDescent="0.25">
      <c r="D6377" s="13">
        <v>6196</v>
      </c>
      <c r="E6377" s="136" t="str">
        <f>INDEX([1]道具配置表!$D:$D,MATCH(D6377,[1]道具配置表!$A:$A,0))</f>
        <v>1分钟锻造加速</v>
      </c>
      <c r="F6377" s="13">
        <v>2</v>
      </c>
      <c r="K6377" s="13">
        <v>1</v>
      </c>
      <c r="M6377" s="76" t="b">
        <v>1</v>
      </c>
    </row>
    <row r="6378" spans="1:13" x14ac:dyDescent="0.25">
      <c r="A6378" s="13">
        <v>6661003</v>
      </c>
      <c r="B6378" s="13" t="s">
        <v>1193</v>
      </c>
      <c r="D6378" s="13">
        <v>3000001</v>
      </c>
      <c r="E6378" s="136" t="str">
        <f>INDEX([1]道具配置表!$D:$D,MATCH(D6378,[1]道具配置表!$A:$A,0))</f>
        <v>自走棋放置货币</v>
      </c>
      <c r="F6378" s="13">
        <v>100</v>
      </c>
      <c r="K6378" s="13">
        <v>1</v>
      </c>
      <c r="M6378" s="76" t="b">
        <v>1</v>
      </c>
    </row>
    <row r="6379" spans="1:13" x14ac:dyDescent="0.25">
      <c r="D6379" s="13">
        <v>7228</v>
      </c>
      <c r="E6379" s="136" t="str">
        <f>INDEX([1]道具配置表!$D:$D,MATCH(D6379,[1]道具配置表!$A:$A,0))</f>
        <v>经验书*10000</v>
      </c>
      <c r="F6379" s="13">
        <v>4</v>
      </c>
      <c r="K6379" s="13">
        <v>1</v>
      </c>
      <c r="M6379" s="76" t="b">
        <v>1</v>
      </c>
    </row>
    <row r="6380" spans="1:13" x14ac:dyDescent="0.25">
      <c r="D6380" s="13">
        <v>20000</v>
      </c>
      <c r="E6380" s="136" t="str">
        <f>INDEX([1]道具配置表!$D:$D,MATCH(D6380,[1]道具配置表!$A:$A,0))</f>
        <v>技能点1</v>
      </c>
      <c r="F6380" s="13">
        <v>200</v>
      </c>
      <c r="K6380" s="13">
        <v>1</v>
      </c>
      <c r="M6380" s="76" t="b">
        <v>1</v>
      </c>
    </row>
    <row r="6381" spans="1:13" x14ac:dyDescent="0.25">
      <c r="D6381" s="13">
        <v>56001</v>
      </c>
      <c r="E6381" s="136" t="str">
        <f>INDEX([1]道具配置表!$D:$D,MATCH(D6381,[1]道具配置表!$A:$A,0))</f>
        <v>锻造装备消耗材料</v>
      </c>
      <c r="F6381" s="13">
        <v>70</v>
      </c>
      <c r="K6381" s="13">
        <v>1</v>
      </c>
      <c r="M6381" s="76" t="b">
        <v>1</v>
      </c>
    </row>
    <row r="6382" spans="1:13" x14ac:dyDescent="0.25">
      <c r="D6382" s="13">
        <v>6196</v>
      </c>
      <c r="E6382" s="136" t="str">
        <f>INDEX([1]道具配置表!$D:$D,MATCH(D6382,[1]道具配置表!$A:$A,0))</f>
        <v>1分钟锻造加速</v>
      </c>
      <c r="F6382" s="13">
        <v>3</v>
      </c>
      <c r="K6382" s="13">
        <v>1</v>
      </c>
      <c r="M6382" s="76" t="b">
        <v>1</v>
      </c>
    </row>
    <row r="6383" spans="1:13" x14ac:dyDescent="0.25">
      <c r="A6383" s="13">
        <v>6661004</v>
      </c>
      <c r="B6383" s="13" t="s">
        <v>1194</v>
      </c>
      <c r="D6383" s="13">
        <v>3000001</v>
      </c>
      <c r="E6383" s="136" t="str">
        <f>INDEX([1]道具配置表!$D:$D,MATCH(D6383,[1]道具配置表!$A:$A,0))</f>
        <v>自走棋放置货币</v>
      </c>
      <c r="F6383" s="13">
        <v>160</v>
      </c>
      <c r="K6383" s="13">
        <v>1</v>
      </c>
      <c r="M6383" s="76" t="b">
        <v>1</v>
      </c>
    </row>
    <row r="6384" spans="1:13" x14ac:dyDescent="0.25">
      <c r="D6384" s="13">
        <v>7228</v>
      </c>
      <c r="E6384" s="136" t="str">
        <f>INDEX([1]道具配置表!$D:$D,MATCH(D6384,[1]道具配置表!$A:$A,0))</f>
        <v>经验书*10000</v>
      </c>
      <c r="F6384" s="13">
        <v>5</v>
      </c>
      <c r="K6384" s="13">
        <v>1</v>
      </c>
      <c r="M6384" s="76" t="b">
        <v>1</v>
      </c>
    </row>
    <row r="6385" spans="1:13" x14ac:dyDescent="0.25">
      <c r="D6385" s="13">
        <v>20000</v>
      </c>
      <c r="E6385" s="136" t="str">
        <f>INDEX([1]道具配置表!$D:$D,MATCH(D6385,[1]道具配置表!$A:$A,0))</f>
        <v>技能点1</v>
      </c>
      <c r="F6385" s="13">
        <v>250</v>
      </c>
      <c r="K6385" s="13">
        <v>1</v>
      </c>
      <c r="M6385" s="76" t="b">
        <v>1</v>
      </c>
    </row>
    <row r="6386" spans="1:13" x14ac:dyDescent="0.25">
      <c r="D6386" s="13">
        <v>56001</v>
      </c>
      <c r="E6386" s="136" t="str">
        <f>INDEX([1]道具配置表!$D:$D,MATCH(D6386,[1]道具配置表!$A:$A,0))</f>
        <v>锻造装备消耗材料</v>
      </c>
      <c r="F6386" s="13">
        <v>80</v>
      </c>
      <c r="K6386" s="13">
        <v>1</v>
      </c>
      <c r="M6386" s="76" t="b">
        <v>1</v>
      </c>
    </row>
    <row r="6387" spans="1:13" x14ac:dyDescent="0.25">
      <c r="D6387" s="13">
        <v>6196</v>
      </c>
      <c r="E6387" s="136" t="str">
        <f>INDEX([1]道具配置表!$D:$D,MATCH(D6387,[1]道具配置表!$A:$A,0))</f>
        <v>1分钟锻造加速</v>
      </c>
      <c r="F6387" s="13">
        <v>4</v>
      </c>
      <c r="K6387" s="13">
        <v>1</v>
      </c>
      <c r="M6387" s="76" t="b">
        <v>1</v>
      </c>
    </row>
    <row r="6388" spans="1:13" x14ac:dyDescent="0.25">
      <c r="A6388" s="13">
        <v>6661005</v>
      </c>
      <c r="B6388" s="13" t="s">
        <v>1195</v>
      </c>
      <c r="D6388" s="13">
        <v>3000001</v>
      </c>
      <c r="E6388" s="136" t="str">
        <f>INDEX([1]道具配置表!$D:$D,MATCH(D6388,[1]道具配置表!$A:$A,0))</f>
        <v>自走棋放置货币</v>
      </c>
      <c r="F6388" s="13">
        <v>220</v>
      </c>
      <c r="K6388" s="13">
        <v>1</v>
      </c>
      <c r="M6388" s="76" t="b">
        <v>1</v>
      </c>
    </row>
    <row r="6389" spans="1:13" x14ac:dyDescent="0.25">
      <c r="D6389" s="13">
        <v>7228</v>
      </c>
      <c r="E6389" s="136" t="str">
        <f>INDEX([1]道具配置表!$D:$D,MATCH(D6389,[1]道具配置表!$A:$A,0))</f>
        <v>经验书*10000</v>
      </c>
      <c r="F6389" s="13">
        <v>6</v>
      </c>
      <c r="K6389" s="13">
        <v>1</v>
      </c>
      <c r="M6389" s="76" t="b">
        <v>1</v>
      </c>
    </row>
    <row r="6390" spans="1:13" x14ac:dyDescent="0.25">
      <c r="D6390" s="13">
        <v>20000</v>
      </c>
      <c r="E6390" s="136" t="str">
        <f>INDEX([1]道具配置表!$D:$D,MATCH(D6390,[1]道具配置表!$A:$A,0))</f>
        <v>技能点1</v>
      </c>
      <c r="F6390" s="13">
        <v>300</v>
      </c>
      <c r="K6390" s="13">
        <v>1</v>
      </c>
      <c r="M6390" s="76" t="b">
        <v>1</v>
      </c>
    </row>
    <row r="6391" spans="1:13" x14ac:dyDescent="0.25">
      <c r="D6391" s="13">
        <v>56001</v>
      </c>
      <c r="E6391" s="136" t="str">
        <f>INDEX([1]道具配置表!$D:$D,MATCH(D6391,[1]道具配置表!$A:$A,0))</f>
        <v>锻造装备消耗材料</v>
      </c>
      <c r="F6391" s="13">
        <v>90</v>
      </c>
      <c r="K6391" s="13">
        <v>1</v>
      </c>
      <c r="M6391" s="76" t="b">
        <v>1</v>
      </c>
    </row>
    <row r="6392" spans="1:13" x14ac:dyDescent="0.25">
      <c r="D6392" s="13">
        <v>6196</v>
      </c>
      <c r="E6392" s="136" t="str">
        <f>INDEX([1]道具配置表!$D:$D,MATCH(D6392,[1]道具配置表!$A:$A,0))</f>
        <v>1分钟锻造加速</v>
      </c>
      <c r="F6392" s="13">
        <v>5</v>
      </c>
      <c r="K6392" s="13">
        <v>1</v>
      </c>
      <c r="M6392" s="76" t="b">
        <v>1</v>
      </c>
    </row>
    <row r="6393" spans="1:13" x14ac:dyDescent="0.25">
      <c r="A6393" s="13">
        <v>6661006</v>
      </c>
      <c r="B6393" s="13" t="s">
        <v>1196</v>
      </c>
      <c r="D6393" s="13">
        <v>3000001</v>
      </c>
      <c r="E6393" s="136" t="str">
        <f>INDEX([1]道具配置表!$D:$D,MATCH(D6393,[1]道具配置表!$A:$A,0))</f>
        <v>自走棋放置货币</v>
      </c>
      <c r="F6393" s="13">
        <v>300</v>
      </c>
      <c r="K6393" s="13">
        <v>1</v>
      </c>
      <c r="M6393" s="76" t="b">
        <v>1</v>
      </c>
    </row>
    <row r="6394" spans="1:13" x14ac:dyDescent="0.25">
      <c r="D6394" s="13">
        <v>7228</v>
      </c>
      <c r="E6394" s="136" t="str">
        <f>INDEX([1]道具配置表!$D:$D,MATCH(D6394,[1]道具配置表!$A:$A,0))</f>
        <v>经验书*10000</v>
      </c>
      <c r="F6394" s="13">
        <v>7</v>
      </c>
      <c r="K6394" s="13">
        <v>1</v>
      </c>
      <c r="M6394" s="76" t="b">
        <v>1</v>
      </c>
    </row>
    <row r="6395" spans="1:13" x14ac:dyDescent="0.25">
      <c r="D6395" s="13">
        <v>20000</v>
      </c>
      <c r="E6395" s="136" t="str">
        <f>INDEX([1]道具配置表!$D:$D,MATCH(D6395,[1]道具配置表!$A:$A,0))</f>
        <v>技能点1</v>
      </c>
      <c r="F6395" s="13">
        <v>350</v>
      </c>
      <c r="K6395" s="13">
        <v>1</v>
      </c>
      <c r="M6395" s="76" t="b">
        <v>1</v>
      </c>
    </row>
    <row r="6396" spans="1:13" x14ac:dyDescent="0.25">
      <c r="D6396" s="13">
        <v>56001</v>
      </c>
      <c r="E6396" s="136" t="str">
        <f>INDEX([1]道具配置表!$D:$D,MATCH(D6396,[1]道具配置表!$A:$A,0))</f>
        <v>锻造装备消耗材料</v>
      </c>
      <c r="F6396" s="13">
        <v>100</v>
      </c>
      <c r="K6396" s="13">
        <v>1</v>
      </c>
      <c r="M6396" s="76" t="b">
        <v>1</v>
      </c>
    </row>
    <row r="6397" spans="1:13" x14ac:dyDescent="0.25">
      <c r="D6397" s="13">
        <v>6196</v>
      </c>
      <c r="E6397" s="136" t="str">
        <f>INDEX([1]道具配置表!$D:$D,MATCH(D6397,[1]道具配置表!$A:$A,0))</f>
        <v>1分钟锻造加速</v>
      </c>
      <c r="F6397" s="13">
        <v>6</v>
      </c>
      <c r="K6397" s="13">
        <v>1</v>
      </c>
      <c r="M6397" s="76" t="b">
        <v>1</v>
      </c>
    </row>
    <row r="6398" spans="1:13" x14ac:dyDescent="0.25">
      <c r="A6398" s="13">
        <v>6661007</v>
      </c>
      <c r="B6398" s="13" t="s">
        <v>1197</v>
      </c>
      <c r="D6398" s="13">
        <v>3000001</v>
      </c>
      <c r="E6398" s="136" t="str">
        <f>INDEX([1]道具配置表!$D:$D,MATCH(D6398,[1]道具配置表!$A:$A,0))</f>
        <v>自走棋放置货币</v>
      </c>
      <c r="F6398" s="13">
        <v>400</v>
      </c>
      <c r="K6398" s="13">
        <v>1</v>
      </c>
      <c r="M6398" s="76" t="b">
        <v>1</v>
      </c>
    </row>
    <row r="6399" spans="1:13" x14ac:dyDescent="0.25">
      <c r="D6399" s="13">
        <v>7228</v>
      </c>
      <c r="E6399" s="136" t="str">
        <f>INDEX([1]道具配置表!$D:$D,MATCH(D6399,[1]道具配置表!$A:$A,0))</f>
        <v>经验书*10000</v>
      </c>
      <c r="F6399" s="13">
        <v>8</v>
      </c>
      <c r="K6399" s="13">
        <v>1</v>
      </c>
      <c r="M6399" s="76" t="b">
        <v>1</v>
      </c>
    </row>
    <row r="6400" spans="1:13" x14ac:dyDescent="0.25">
      <c r="D6400" s="13">
        <v>20000</v>
      </c>
      <c r="E6400" s="136" t="str">
        <f>INDEX([1]道具配置表!$D:$D,MATCH(D6400,[1]道具配置表!$A:$A,0))</f>
        <v>技能点1</v>
      </c>
      <c r="F6400" s="13">
        <v>400</v>
      </c>
      <c r="K6400" s="13">
        <v>1</v>
      </c>
      <c r="M6400" s="76" t="b">
        <v>1</v>
      </c>
    </row>
    <row r="6401" spans="1:13" x14ac:dyDescent="0.25">
      <c r="D6401" s="13">
        <v>56001</v>
      </c>
      <c r="E6401" s="136" t="str">
        <f>INDEX([1]道具配置表!$D:$D,MATCH(D6401,[1]道具配置表!$A:$A,0))</f>
        <v>锻造装备消耗材料</v>
      </c>
      <c r="F6401" s="13">
        <v>110</v>
      </c>
      <c r="K6401" s="13">
        <v>1</v>
      </c>
      <c r="M6401" s="76" t="b">
        <v>1</v>
      </c>
    </row>
    <row r="6402" spans="1:13" x14ac:dyDescent="0.25">
      <c r="D6402" s="13">
        <v>6196</v>
      </c>
      <c r="E6402" s="136" t="str">
        <f>INDEX([1]道具配置表!$D:$D,MATCH(D6402,[1]道具配置表!$A:$A,0))</f>
        <v>1分钟锻造加速</v>
      </c>
      <c r="F6402" s="13">
        <v>7</v>
      </c>
      <c r="K6402" s="13">
        <v>1</v>
      </c>
      <c r="M6402" s="76" t="b">
        <v>1</v>
      </c>
    </row>
    <row r="6403" spans="1:13" x14ac:dyDescent="0.25">
      <c r="A6403" s="13">
        <v>6661008</v>
      </c>
      <c r="B6403" s="13" t="s">
        <v>1198</v>
      </c>
      <c r="D6403" s="13">
        <v>3000001</v>
      </c>
      <c r="E6403" s="136" t="str">
        <f>INDEX([1]道具配置表!$D:$D,MATCH(D6403,[1]道具配置表!$A:$A,0))</f>
        <v>自走棋放置货币</v>
      </c>
      <c r="F6403" s="13">
        <v>500</v>
      </c>
      <c r="K6403" s="13">
        <v>1</v>
      </c>
      <c r="M6403" s="76" t="b">
        <v>1</v>
      </c>
    </row>
    <row r="6404" spans="1:13" x14ac:dyDescent="0.25">
      <c r="D6404" s="13">
        <v>7228</v>
      </c>
      <c r="E6404" s="136" t="str">
        <f>INDEX([1]道具配置表!$D:$D,MATCH(D6404,[1]道具配置表!$A:$A,0))</f>
        <v>经验书*10000</v>
      </c>
      <c r="F6404" s="13">
        <v>9</v>
      </c>
      <c r="K6404" s="13">
        <v>1</v>
      </c>
      <c r="M6404" s="76" t="b">
        <v>1</v>
      </c>
    </row>
    <row r="6405" spans="1:13" x14ac:dyDescent="0.25">
      <c r="D6405" s="13">
        <v>20000</v>
      </c>
      <c r="E6405" s="136" t="str">
        <f>INDEX([1]道具配置表!$D:$D,MATCH(D6405,[1]道具配置表!$A:$A,0))</f>
        <v>技能点1</v>
      </c>
      <c r="F6405" s="13">
        <v>450</v>
      </c>
      <c r="K6405" s="13">
        <v>1</v>
      </c>
      <c r="M6405" s="76" t="b">
        <v>1</v>
      </c>
    </row>
    <row r="6406" spans="1:13" x14ac:dyDescent="0.25">
      <c r="D6406" s="13">
        <v>56001</v>
      </c>
      <c r="E6406" s="136" t="str">
        <f>INDEX([1]道具配置表!$D:$D,MATCH(D6406,[1]道具配置表!$A:$A,0))</f>
        <v>锻造装备消耗材料</v>
      </c>
      <c r="F6406" s="13">
        <v>120</v>
      </c>
      <c r="K6406" s="13">
        <v>1</v>
      </c>
      <c r="M6406" s="76" t="b">
        <v>1</v>
      </c>
    </row>
    <row r="6407" spans="1:13" x14ac:dyDescent="0.25">
      <c r="D6407" s="13">
        <v>6196</v>
      </c>
      <c r="E6407" s="136" t="str">
        <f>INDEX([1]道具配置表!$D:$D,MATCH(D6407,[1]道具配置表!$A:$A,0))</f>
        <v>1分钟锻造加速</v>
      </c>
      <c r="F6407" s="13">
        <v>8</v>
      </c>
      <c r="K6407" s="13">
        <v>1</v>
      </c>
      <c r="M6407" s="76" t="b">
        <v>1</v>
      </c>
    </row>
    <row r="6408" spans="1:13" x14ac:dyDescent="0.25">
      <c r="A6408" s="13">
        <v>6661009</v>
      </c>
      <c r="B6408" s="13" t="s">
        <v>1199</v>
      </c>
      <c r="D6408" s="13">
        <v>3000001</v>
      </c>
      <c r="E6408" s="136" t="str">
        <f>INDEX([1]道具配置表!$D:$D,MATCH(D6408,[1]道具配置表!$A:$A,0))</f>
        <v>自走棋放置货币</v>
      </c>
      <c r="F6408" s="13">
        <v>600</v>
      </c>
      <c r="K6408" s="13">
        <v>1</v>
      </c>
      <c r="M6408" s="76" t="b">
        <v>1</v>
      </c>
    </row>
    <row r="6409" spans="1:13" x14ac:dyDescent="0.25">
      <c r="D6409" s="13">
        <v>7228</v>
      </c>
      <c r="E6409" s="136" t="str">
        <f>INDEX([1]道具配置表!$D:$D,MATCH(D6409,[1]道具配置表!$A:$A,0))</f>
        <v>经验书*10000</v>
      </c>
      <c r="F6409" s="13">
        <v>10</v>
      </c>
      <c r="K6409" s="13">
        <v>1</v>
      </c>
      <c r="M6409" s="76" t="b">
        <v>1</v>
      </c>
    </row>
    <row r="6410" spans="1:13" x14ac:dyDescent="0.25">
      <c r="D6410" s="13">
        <v>20000</v>
      </c>
      <c r="E6410" s="136" t="str">
        <f>INDEX([1]道具配置表!$D:$D,MATCH(D6410,[1]道具配置表!$A:$A,0))</f>
        <v>技能点1</v>
      </c>
      <c r="F6410" s="13">
        <v>500</v>
      </c>
      <c r="K6410" s="13">
        <v>1</v>
      </c>
      <c r="M6410" s="76" t="b">
        <v>1</v>
      </c>
    </row>
    <row r="6411" spans="1:13" x14ac:dyDescent="0.25">
      <c r="D6411" s="13">
        <v>56001</v>
      </c>
      <c r="E6411" s="136" t="str">
        <f>INDEX([1]道具配置表!$D:$D,MATCH(D6411,[1]道具配置表!$A:$A,0))</f>
        <v>锻造装备消耗材料</v>
      </c>
      <c r="F6411" s="13">
        <v>130</v>
      </c>
      <c r="K6411" s="13">
        <v>1</v>
      </c>
      <c r="M6411" s="76" t="b">
        <v>1</v>
      </c>
    </row>
    <row r="6412" spans="1:13" x14ac:dyDescent="0.25">
      <c r="D6412" s="13">
        <v>6196</v>
      </c>
      <c r="E6412" s="136" t="str">
        <f>INDEX([1]道具配置表!$D:$D,MATCH(D6412,[1]道具配置表!$A:$A,0))</f>
        <v>1分钟锻造加速</v>
      </c>
      <c r="F6412" s="13">
        <v>9</v>
      </c>
      <c r="K6412" s="13">
        <v>1</v>
      </c>
      <c r="M6412" s="76" t="b">
        <v>1</v>
      </c>
    </row>
    <row r="6413" spans="1:13" x14ac:dyDescent="0.25">
      <c r="A6413" s="13">
        <v>6661011</v>
      </c>
      <c r="B6413" s="13" t="s">
        <v>1877</v>
      </c>
      <c r="D6413" s="13">
        <v>3000001</v>
      </c>
      <c r="E6413" s="136" t="str">
        <f>INDEX([1]道具配置表!$D:$D,MATCH(D6413,[1]道具配置表!$A:$A,0))</f>
        <v>自走棋放置货币</v>
      </c>
      <c r="F6413" s="13">
        <v>600</v>
      </c>
      <c r="K6413" s="13">
        <v>1</v>
      </c>
      <c r="M6413" s="133" t="b">
        <v>1</v>
      </c>
    </row>
    <row r="6414" spans="1:13" x14ac:dyDescent="0.25">
      <c r="D6414" s="13">
        <v>7228</v>
      </c>
      <c r="E6414" s="136" t="str">
        <f>INDEX([1]道具配置表!$D:$D,MATCH(D6414,[1]道具配置表!$A:$A,0))</f>
        <v>经验书*10000</v>
      </c>
      <c r="F6414" s="13">
        <v>10</v>
      </c>
      <c r="K6414" s="13">
        <v>1</v>
      </c>
      <c r="M6414" s="133" t="b">
        <v>1</v>
      </c>
    </row>
    <row r="6415" spans="1:13" x14ac:dyDescent="0.25">
      <c r="D6415" s="13">
        <v>20000</v>
      </c>
      <c r="E6415" s="136" t="str">
        <f>INDEX([1]道具配置表!$D:$D,MATCH(D6415,[1]道具配置表!$A:$A,0))</f>
        <v>技能点1</v>
      </c>
      <c r="F6415" s="13">
        <v>500</v>
      </c>
      <c r="K6415" s="13">
        <v>1</v>
      </c>
      <c r="M6415" s="133" t="b">
        <v>1</v>
      </c>
    </row>
    <row r="6416" spans="1:13" x14ac:dyDescent="0.25">
      <c r="D6416" s="13">
        <v>56001</v>
      </c>
      <c r="E6416" s="136" t="str">
        <f>INDEX([1]道具配置表!$D:$D,MATCH(D6416,[1]道具配置表!$A:$A,0))</f>
        <v>锻造装备消耗材料</v>
      </c>
      <c r="F6416" s="13">
        <v>140</v>
      </c>
      <c r="K6416" s="13">
        <v>1</v>
      </c>
      <c r="M6416" s="133" t="b">
        <v>1</v>
      </c>
    </row>
    <row r="6417" spans="1:13" x14ac:dyDescent="0.25">
      <c r="D6417" s="13">
        <v>6196</v>
      </c>
      <c r="E6417" s="136" t="str">
        <f>INDEX([1]道具配置表!$D:$D,MATCH(D6417,[1]道具配置表!$A:$A,0))</f>
        <v>1分钟锻造加速</v>
      </c>
      <c r="F6417" s="13">
        <v>10</v>
      </c>
      <c r="K6417" s="13">
        <v>1</v>
      </c>
      <c r="M6417" s="133" t="b">
        <v>1</v>
      </c>
    </row>
    <row r="6418" spans="1:13" x14ac:dyDescent="0.25">
      <c r="A6418" s="13">
        <v>6662001</v>
      </c>
      <c r="B6418" s="13" t="s">
        <v>1878</v>
      </c>
      <c r="D6418" s="13">
        <v>3000001</v>
      </c>
      <c r="E6418" s="136" t="str">
        <f>INDEX([1]道具配置表!$D:$D,MATCH(D6418,[1]道具配置表!$A:$A,0))</f>
        <v>自走棋放置货币</v>
      </c>
      <c r="F6418" s="13">
        <v>20</v>
      </c>
      <c r="K6418" s="13">
        <v>1</v>
      </c>
      <c r="M6418" s="133" t="b">
        <v>1</v>
      </c>
    </row>
    <row r="6419" spans="1:13" x14ac:dyDescent="0.25">
      <c r="D6419" s="13">
        <v>7228</v>
      </c>
      <c r="E6419" s="136" t="str">
        <f>INDEX([1]道具配置表!$D:$D,MATCH(D6419,[1]道具配置表!$A:$A,0))</f>
        <v>经验书*10000</v>
      </c>
      <c r="F6419" s="13">
        <v>1</v>
      </c>
      <c r="K6419" s="13">
        <v>1</v>
      </c>
      <c r="M6419" s="76" t="b">
        <v>1</v>
      </c>
    </row>
    <row r="6420" spans="1:13" x14ac:dyDescent="0.25">
      <c r="D6420" s="13">
        <v>20000</v>
      </c>
      <c r="E6420" s="136" t="str">
        <f>INDEX([1]道具配置表!$D:$D,MATCH(D6420,[1]道具配置表!$A:$A,0))</f>
        <v>技能点1</v>
      </c>
      <c r="F6420" s="13">
        <v>50</v>
      </c>
      <c r="K6420" s="13">
        <v>1</v>
      </c>
      <c r="M6420" s="76" t="b">
        <v>1</v>
      </c>
    </row>
    <row r="6421" spans="1:13" x14ac:dyDescent="0.25">
      <c r="D6421" s="13">
        <v>56001</v>
      </c>
      <c r="E6421" s="136" t="str">
        <f>INDEX([1]道具配置表!$D:$D,MATCH(D6421,[1]道具配置表!$A:$A,0))</f>
        <v>锻造装备消耗材料</v>
      </c>
      <c r="F6421" s="13">
        <v>20</v>
      </c>
      <c r="K6421" s="13">
        <v>1</v>
      </c>
      <c r="M6421" s="76" t="b">
        <v>1</v>
      </c>
    </row>
    <row r="6422" spans="1:13" x14ac:dyDescent="0.25">
      <c r="D6422" s="13">
        <v>6196</v>
      </c>
      <c r="E6422" s="136" t="str">
        <f>INDEX([1]道具配置表!$D:$D,MATCH(D6422,[1]道具配置表!$A:$A,0))</f>
        <v>1分钟锻造加速</v>
      </c>
      <c r="F6422" s="13">
        <v>1</v>
      </c>
      <c r="K6422" s="13">
        <v>1</v>
      </c>
      <c r="M6422" s="76" t="b">
        <v>1</v>
      </c>
    </row>
    <row r="6423" spans="1:13" x14ac:dyDescent="0.25">
      <c r="A6423" s="13">
        <v>6662002</v>
      </c>
      <c r="B6423" s="13" t="s">
        <v>1200</v>
      </c>
      <c r="D6423" s="13">
        <v>3000001</v>
      </c>
      <c r="E6423" s="136" t="str">
        <f>INDEX([1]道具配置表!$D:$D,MATCH(D6423,[1]道具配置表!$A:$A,0))</f>
        <v>自走棋放置货币</v>
      </c>
      <c r="F6423" s="13">
        <v>30</v>
      </c>
      <c r="K6423" s="13">
        <v>1</v>
      </c>
      <c r="M6423" s="76" t="b">
        <v>1</v>
      </c>
    </row>
    <row r="6424" spans="1:13" x14ac:dyDescent="0.25">
      <c r="D6424" s="13">
        <v>7228</v>
      </c>
      <c r="E6424" s="136" t="str">
        <f>INDEX([1]道具配置表!$D:$D,MATCH(D6424,[1]道具配置表!$A:$A,0))</f>
        <v>经验书*10000</v>
      </c>
      <c r="F6424" s="13">
        <v>1</v>
      </c>
      <c r="K6424" s="13">
        <v>1</v>
      </c>
      <c r="M6424" s="76" t="b">
        <v>1</v>
      </c>
    </row>
    <row r="6425" spans="1:13" x14ac:dyDescent="0.25">
      <c r="D6425" s="13">
        <v>20000</v>
      </c>
      <c r="E6425" s="136" t="str">
        <f>INDEX([1]道具配置表!$D:$D,MATCH(D6425,[1]道具配置表!$A:$A,0))</f>
        <v>技能点1</v>
      </c>
      <c r="F6425" s="13">
        <v>75</v>
      </c>
      <c r="K6425" s="13">
        <v>1</v>
      </c>
      <c r="M6425" s="76" t="b">
        <v>1</v>
      </c>
    </row>
    <row r="6426" spans="1:13" x14ac:dyDescent="0.25">
      <c r="D6426" s="13">
        <v>56001</v>
      </c>
      <c r="E6426" s="136" t="str">
        <f>INDEX([1]道具配置表!$D:$D,MATCH(D6426,[1]道具配置表!$A:$A,0))</f>
        <v>锻造装备消耗材料</v>
      </c>
      <c r="F6426" s="13">
        <v>30</v>
      </c>
      <c r="K6426" s="13">
        <v>1</v>
      </c>
      <c r="M6426" s="76" t="b">
        <v>1</v>
      </c>
    </row>
    <row r="6427" spans="1:13" x14ac:dyDescent="0.25">
      <c r="D6427" s="13">
        <v>6196</v>
      </c>
      <c r="E6427" s="136" t="str">
        <f>INDEX([1]道具配置表!$D:$D,MATCH(D6427,[1]道具配置表!$A:$A,0))</f>
        <v>1分钟锻造加速</v>
      </c>
      <c r="F6427" s="13">
        <v>2</v>
      </c>
      <c r="K6427" s="13">
        <v>1</v>
      </c>
      <c r="M6427" s="76" t="b">
        <v>1</v>
      </c>
    </row>
    <row r="6428" spans="1:13" x14ac:dyDescent="0.25">
      <c r="A6428" s="13">
        <v>6662003</v>
      </c>
      <c r="B6428" s="13" t="s">
        <v>1201</v>
      </c>
      <c r="D6428" s="13">
        <v>3000001</v>
      </c>
      <c r="E6428" s="136" t="str">
        <f>INDEX([1]道具配置表!$D:$D,MATCH(D6428,[1]道具配置表!$A:$A,0))</f>
        <v>自走棋放置货币</v>
      </c>
      <c r="F6428" s="13">
        <v>50</v>
      </c>
      <c r="K6428" s="13">
        <v>1</v>
      </c>
      <c r="M6428" s="76" t="b">
        <v>1</v>
      </c>
    </row>
    <row r="6429" spans="1:13" x14ac:dyDescent="0.25">
      <c r="D6429" s="13">
        <v>7228</v>
      </c>
      <c r="E6429" s="136" t="str">
        <f>INDEX([1]道具配置表!$D:$D,MATCH(D6429,[1]道具配置表!$A:$A,0))</f>
        <v>经验书*10000</v>
      </c>
      <c r="F6429" s="13">
        <v>2</v>
      </c>
      <c r="K6429" s="13">
        <v>1</v>
      </c>
      <c r="M6429" s="76" t="b">
        <v>1</v>
      </c>
    </row>
    <row r="6430" spans="1:13" x14ac:dyDescent="0.25">
      <c r="D6430" s="13">
        <v>20000</v>
      </c>
      <c r="E6430" s="136" t="str">
        <f>INDEX([1]道具配置表!$D:$D,MATCH(D6430,[1]道具配置表!$A:$A,0))</f>
        <v>技能点1</v>
      </c>
      <c r="F6430" s="13">
        <v>100</v>
      </c>
      <c r="K6430" s="13">
        <v>1</v>
      </c>
      <c r="M6430" s="76" t="b">
        <v>1</v>
      </c>
    </row>
    <row r="6431" spans="1:13" x14ac:dyDescent="0.25">
      <c r="D6431" s="13">
        <v>56001</v>
      </c>
      <c r="E6431" s="136" t="str">
        <f>INDEX([1]道具配置表!$D:$D,MATCH(D6431,[1]道具配置表!$A:$A,0))</f>
        <v>锻造装备消耗材料</v>
      </c>
      <c r="F6431" s="13">
        <v>30</v>
      </c>
      <c r="K6431" s="13">
        <v>1</v>
      </c>
      <c r="M6431" s="76" t="b">
        <v>1</v>
      </c>
    </row>
    <row r="6432" spans="1:13" x14ac:dyDescent="0.25">
      <c r="D6432" s="13">
        <v>6196</v>
      </c>
      <c r="E6432" s="136" t="str">
        <f>INDEX([1]道具配置表!$D:$D,MATCH(D6432,[1]道具配置表!$A:$A,0))</f>
        <v>1分钟锻造加速</v>
      </c>
      <c r="F6432" s="13">
        <v>3</v>
      </c>
      <c r="K6432" s="13">
        <v>1</v>
      </c>
      <c r="M6432" s="76" t="b">
        <v>1</v>
      </c>
    </row>
    <row r="6433" spans="1:13" x14ac:dyDescent="0.25">
      <c r="A6433" s="13">
        <v>6662004</v>
      </c>
      <c r="B6433" s="13" t="s">
        <v>1202</v>
      </c>
      <c r="D6433" s="13">
        <v>3000001</v>
      </c>
      <c r="E6433" s="136" t="str">
        <f>INDEX([1]道具配置表!$D:$D,MATCH(D6433,[1]道具配置表!$A:$A,0))</f>
        <v>自走棋放置货币</v>
      </c>
      <c r="F6433" s="13">
        <v>80</v>
      </c>
      <c r="K6433" s="13">
        <v>1</v>
      </c>
      <c r="M6433" s="76" t="b">
        <v>1</v>
      </c>
    </row>
    <row r="6434" spans="1:13" x14ac:dyDescent="0.25">
      <c r="D6434" s="13">
        <v>7228</v>
      </c>
      <c r="E6434" s="136" t="str">
        <f>INDEX([1]道具配置表!$D:$D,MATCH(D6434,[1]道具配置表!$A:$A,0))</f>
        <v>经验书*10000</v>
      </c>
      <c r="F6434" s="13">
        <v>2</v>
      </c>
      <c r="K6434" s="13">
        <v>1</v>
      </c>
      <c r="M6434" s="76" t="b">
        <v>1</v>
      </c>
    </row>
    <row r="6435" spans="1:13" x14ac:dyDescent="0.25">
      <c r="D6435" s="13">
        <v>20000</v>
      </c>
      <c r="E6435" s="136" t="str">
        <f>INDEX([1]道具配置表!$D:$D,MATCH(D6435,[1]道具配置表!$A:$A,0))</f>
        <v>技能点1</v>
      </c>
      <c r="F6435" s="13">
        <v>125</v>
      </c>
      <c r="K6435" s="13">
        <v>1</v>
      </c>
      <c r="M6435" s="76" t="b">
        <v>1</v>
      </c>
    </row>
    <row r="6436" spans="1:13" x14ac:dyDescent="0.25">
      <c r="D6436" s="13">
        <v>56001</v>
      </c>
      <c r="E6436" s="136" t="str">
        <f>INDEX([1]道具配置表!$D:$D,MATCH(D6436,[1]道具配置表!$A:$A,0))</f>
        <v>锻造装备消耗材料</v>
      </c>
      <c r="F6436" s="13">
        <v>40</v>
      </c>
      <c r="K6436" s="13">
        <v>1</v>
      </c>
      <c r="M6436" s="76" t="b">
        <v>1</v>
      </c>
    </row>
    <row r="6437" spans="1:13" x14ac:dyDescent="0.25">
      <c r="D6437" s="13">
        <v>6196</v>
      </c>
      <c r="E6437" s="136" t="str">
        <f>INDEX([1]道具配置表!$D:$D,MATCH(D6437,[1]道具配置表!$A:$A,0))</f>
        <v>1分钟锻造加速</v>
      </c>
      <c r="F6437" s="13">
        <v>4</v>
      </c>
      <c r="K6437" s="13">
        <v>1</v>
      </c>
      <c r="M6437" s="76" t="b">
        <v>1</v>
      </c>
    </row>
    <row r="6438" spans="1:13" x14ac:dyDescent="0.25">
      <c r="A6438" s="13">
        <v>6662005</v>
      </c>
      <c r="B6438" s="13" t="s">
        <v>1203</v>
      </c>
      <c r="D6438" s="13">
        <v>3000001</v>
      </c>
      <c r="E6438" s="136" t="str">
        <f>INDEX([1]道具配置表!$D:$D,MATCH(D6438,[1]道具配置表!$A:$A,0))</f>
        <v>自走棋放置货币</v>
      </c>
      <c r="F6438" s="13">
        <v>110</v>
      </c>
      <c r="K6438" s="13">
        <v>1</v>
      </c>
      <c r="M6438" s="76" t="b">
        <v>1</v>
      </c>
    </row>
    <row r="6439" spans="1:13" x14ac:dyDescent="0.25">
      <c r="D6439" s="13">
        <v>7228</v>
      </c>
      <c r="E6439" s="136" t="str">
        <f>INDEX([1]道具配置表!$D:$D,MATCH(D6439,[1]道具配置表!$A:$A,0))</f>
        <v>经验书*10000</v>
      </c>
      <c r="F6439" s="13">
        <v>3</v>
      </c>
      <c r="K6439" s="13">
        <v>1</v>
      </c>
      <c r="M6439" s="76" t="b">
        <v>1</v>
      </c>
    </row>
    <row r="6440" spans="1:13" x14ac:dyDescent="0.25">
      <c r="D6440" s="13">
        <v>20000</v>
      </c>
      <c r="E6440" s="136" t="str">
        <f>INDEX([1]道具配置表!$D:$D,MATCH(D6440,[1]道具配置表!$A:$A,0))</f>
        <v>技能点1</v>
      </c>
      <c r="F6440" s="13">
        <v>150</v>
      </c>
      <c r="K6440" s="13">
        <v>1</v>
      </c>
      <c r="M6440" s="76" t="b">
        <v>1</v>
      </c>
    </row>
    <row r="6441" spans="1:13" x14ac:dyDescent="0.25">
      <c r="D6441" s="13">
        <v>56001</v>
      </c>
      <c r="E6441" s="136" t="str">
        <f>INDEX([1]道具配置表!$D:$D,MATCH(D6441,[1]道具配置表!$A:$A,0))</f>
        <v>锻造装备消耗材料</v>
      </c>
      <c r="F6441" s="13">
        <v>40</v>
      </c>
      <c r="K6441" s="13">
        <v>1</v>
      </c>
      <c r="M6441" s="76" t="b">
        <v>1</v>
      </c>
    </row>
    <row r="6442" spans="1:13" x14ac:dyDescent="0.25">
      <c r="D6442" s="13">
        <v>6196</v>
      </c>
      <c r="E6442" s="136" t="str">
        <f>INDEX([1]道具配置表!$D:$D,MATCH(D6442,[1]道具配置表!$A:$A,0))</f>
        <v>1分钟锻造加速</v>
      </c>
      <c r="F6442" s="13">
        <v>5</v>
      </c>
      <c r="K6442" s="13">
        <v>1</v>
      </c>
      <c r="M6442" s="76" t="b">
        <v>1</v>
      </c>
    </row>
    <row r="6443" spans="1:13" x14ac:dyDescent="0.25">
      <c r="A6443" s="13">
        <v>6662006</v>
      </c>
      <c r="B6443" s="13" t="s">
        <v>1204</v>
      </c>
      <c r="D6443" s="13">
        <v>3000001</v>
      </c>
      <c r="E6443" s="136" t="str">
        <f>INDEX([1]道具配置表!$D:$D,MATCH(D6443,[1]道具配置表!$A:$A,0))</f>
        <v>自走棋放置货币</v>
      </c>
      <c r="F6443" s="13">
        <v>150</v>
      </c>
      <c r="K6443" s="13">
        <v>1</v>
      </c>
      <c r="M6443" s="76" t="b">
        <v>1</v>
      </c>
    </row>
    <row r="6444" spans="1:13" x14ac:dyDescent="0.25">
      <c r="D6444" s="13">
        <v>7228</v>
      </c>
      <c r="E6444" s="136" t="str">
        <f>INDEX([1]道具配置表!$D:$D,MATCH(D6444,[1]道具配置表!$A:$A,0))</f>
        <v>经验书*10000</v>
      </c>
      <c r="F6444" s="13">
        <v>3</v>
      </c>
      <c r="K6444" s="13">
        <v>1</v>
      </c>
      <c r="M6444" s="76" t="b">
        <v>1</v>
      </c>
    </row>
    <row r="6445" spans="1:13" x14ac:dyDescent="0.25">
      <c r="D6445" s="13">
        <v>20000</v>
      </c>
      <c r="E6445" s="136" t="str">
        <f>INDEX([1]道具配置表!$D:$D,MATCH(D6445,[1]道具配置表!$A:$A,0))</f>
        <v>技能点1</v>
      </c>
      <c r="F6445" s="13">
        <v>175</v>
      </c>
      <c r="K6445" s="13">
        <v>1</v>
      </c>
      <c r="M6445" s="76" t="b">
        <v>1</v>
      </c>
    </row>
    <row r="6446" spans="1:13" x14ac:dyDescent="0.25">
      <c r="D6446" s="13">
        <v>56001</v>
      </c>
      <c r="E6446" s="136" t="str">
        <f>INDEX([1]道具配置表!$D:$D,MATCH(D6446,[1]道具配置表!$A:$A,0))</f>
        <v>锻造装备消耗材料</v>
      </c>
      <c r="F6446" s="13">
        <v>50</v>
      </c>
      <c r="K6446" s="13">
        <v>1</v>
      </c>
      <c r="M6446" s="76" t="b">
        <v>1</v>
      </c>
    </row>
    <row r="6447" spans="1:13" x14ac:dyDescent="0.25">
      <c r="D6447" s="13">
        <v>6196</v>
      </c>
      <c r="E6447" s="136" t="str">
        <f>INDEX([1]道具配置表!$D:$D,MATCH(D6447,[1]道具配置表!$A:$A,0))</f>
        <v>1分钟锻造加速</v>
      </c>
      <c r="F6447" s="13">
        <v>6</v>
      </c>
      <c r="K6447" s="13">
        <v>1</v>
      </c>
      <c r="M6447" s="76" t="b">
        <v>1</v>
      </c>
    </row>
    <row r="6448" spans="1:13" x14ac:dyDescent="0.25">
      <c r="A6448" s="13">
        <v>6662007</v>
      </c>
      <c r="B6448" s="13" t="s">
        <v>1205</v>
      </c>
      <c r="D6448" s="13">
        <v>3000001</v>
      </c>
      <c r="E6448" s="136" t="str">
        <f>INDEX([1]道具配置表!$D:$D,MATCH(D6448,[1]道具配置表!$A:$A,0))</f>
        <v>自走棋放置货币</v>
      </c>
      <c r="F6448" s="13">
        <v>200</v>
      </c>
      <c r="K6448" s="13">
        <v>1</v>
      </c>
      <c r="M6448" s="76" t="b">
        <v>1</v>
      </c>
    </row>
    <row r="6449" spans="1:13" x14ac:dyDescent="0.25">
      <c r="D6449" s="13">
        <v>7228</v>
      </c>
      <c r="E6449" s="136" t="str">
        <f>INDEX([1]道具配置表!$D:$D,MATCH(D6449,[1]道具配置表!$A:$A,0))</f>
        <v>经验书*10000</v>
      </c>
      <c r="F6449" s="13">
        <v>4</v>
      </c>
      <c r="K6449" s="13">
        <v>1</v>
      </c>
      <c r="M6449" s="76" t="b">
        <v>1</v>
      </c>
    </row>
    <row r="6450" spans="1:13" x14ac:dyDescent="0.25">
      <c r="D6450" s="13">
        <v>20000</v>
      </c>
      <c r="E6450" s="136" t="str">
        <f>INDEX([1]道具配置表!$D:$D,MATCH(D6450,[1]道具配置表!$A:$A,0))</f>
        <v>技能点1</v>
      </c>
      <c r="F6450" s="13">
        <v>200</v>
      </c>
      <c r="K6450" s="13">
        <v>1</v>
      </c>
      <c r="M6450" s="76" t="b">
        <v>1</v>
      </c>
    </row>
    <row r="6451" spans="1:13" x14ac:dyDescent="0.25">
      <c r="D6451" s="13">
        <v>56001</v>
      </c>
      <c r="E6451" s="136" t="str">
        <f>INDEX([1]道具配置表!$D:$D,MATCH(D6451,[1]道具配置表!$A:$A,0))</f>
        <v>锻造装备消耗材料</v>
      </c>
      <c r="F6451" s="13">
        <v>50</v>
      </c>
      <c r="K6451" s="13">
        <v>1</v>
      </c>
      <c r="M6451" s="76" t="b">
        <v>1</v>
      </c>
    </row>
    <row r="6452" spans="1:13" x14ac:dyDescent="0.25">
      <c r="D6452" s="13">
        <v>6196</v>
      </c>
      <c r="E6452" s="136" t="str">
        <f>INDEX([1]道具配置表!$D:$D,MATCH(D6452,[1]道具配置表!$A:$A,0))</f>
        <v>1分钟锻造加速</v>
      </c>
      <c r="F6452" s="13">
        <v>7</v>
      </c>
      <c r="K6452" s="13">
        <v>1</v>
      </c>
      <c r="M6452" s="76" t="b">
        <v>1</v>
      </c>
    </row>
    <row r="6453" spans="1:13" x14ac:dyDescent="0.25">
      <c r="A6453" s="13">
        <v>6662008</v>
      </c>
      <c r="B6453" s="13" t="s">
        <v>1206</v>
      </c>
      <c r="D6453" s="13">
        <v>3000001</v>
      </c>
      <c r="E6453" s="136" t="str">
        <f>INDEX([1]道具配置表!$D:$D,MATCH(D6453,[1]道具配置表!$A:$A,0))</f>
        <v>自走棋放置货币</v>
      </c>
      <c r="F6453" s="13">
        <v>250</v>
      </c>
      <c r="K6453" s="13">
        <v>1</v>
      </c>
      <c r="M6453" s="76" t="b">
        <v>1</v>
      </c>
    </row>
    <row r="6454" spans="1:13" x14ac:dyDescent="0.25">
      <c r="D6454" s="13">
        <v>7228</v>
      </c>
      <c r="E6454" s="136" t="str">
        <f>INDEX([1]道具配置表!$D:$D,MATCH(D6454,[1]道具配置表!$A:$A,0))</f>
        <v>经验书*10000</v>
      </c>
      <c r="F6454" s="13">
        <v>4</v>
      </c>
      <c r="K6454" s="13">
        <v>1</v>
      </c>
      <c r="M6454" s="76" t="b">
        <v>1</v>
      </c>
    </row>
    <row r="6455" spans="1:13" x14ac:dyDescent="0.25">
      <c r="D6455" s="13">
        <v>20000</v>
      </c>
      <c r="E6455" s="136" t="str">
        <f>INDEX([1]道具配置表!$D:$D,MATCH(D6455,[1]道具配置表!$A:$A,0))</f>
        <v>技能点1</v>
      </c>
      <c r="F6455" s="13">
        <v>225</v>
      </c>
      <c r="K6455" s="13">
        <v>1</v>
      </c>
      <c r="M6455" s="76" t="b">
        <v>1</v>
      </c>
    </row>
    <row r="6456" spans="1:13" x14ac:dyDescent="0.25">
      <c r="D6456" s="13">
        <v>56001</v>
      </c>
      <c r="E6456" s="136" t="str">
        <f>INDEX([1]道具配置表!$D:$D,MATCH(D6456,[1]道具配置表!$A:$A,0))</f>
        <v>锻造装备消耗材料</v>
      </c>
      <c r="F6456" s="13">
        <v>60</v>
      </c>
      <c r="K6456" s="13">
        <v>1</v>
      </c>
      <c r="M6456" s="76" t="b">
        <v>1</v>
      </c>
    </row>
    <row r="6457" spans="1:13" x14ac:dyDescent="0.25">
      <c r="D6457" s="13">
        <v>6196</v>
      </c>
      <c r="E6457" s="136" t="str">
        <f>INDEX([1]道具配置表!$D:$D,MATCH(D6457,[1]道具配置表!$A:$A,0))</f>
        <v>1分钟锻造加速</v>
      </c>
      <c r="F6457" s="13">
        <v>8</v>
      </c>
      <c r="K6457" s="13">
        <v>1</v>
      </c>
      <c r="M6457" s="76" t="b">
        <v>1</v>
      </c>
    </row>
    <row r="6458" spans="1:13" x14ac:dyDescent="0.25">
      <c r="A6458" s="13">
        <v>6662009</v>
      </c>
      <c r="B6458" s="13" t="s">
        <v>1207</v>
      </c>
      <c r="D6458" s="13">
        <v>3000001</v>
      </c>
      <c r="E6458" s="136" t="str">
        <f>INDEX([1]道具配置表!$D:$D,MATCH(D6458,[1]道具配置表!$A:$A,0))</f>
        <v>自走棋放置货币</v>
      </c>
      <c r="F6458" s="13">
        <v>300</v>
      </c>
      <c r="K6458" s="13">
        <v>1</v>
      </c>
      <c r="M6458" s="76" t="b">
        <v>1</v>
      </c>
    </row>
    <row r="6459" spans="1:13" x14ac:dyDescent="0.25">
      <c r="D6459" s="13">
        <v>7228</v>
      </c>
      <c r="E6459" s="136" t="str">
        <f>INDEX([1]道具配置表!$D:$D,MATCH(D6459,[1]道具配置表!$A:$A,0))</f>
        <v>经验书*10000</v>
      </c>
      <c r="F6459" s="13">
        <v>4</v>
      </c>
      <c r="K6459" s="13">
        <v>1</v>
      </c>
      <c r="M6459" s="76" t="b">
        <v>1</v>
      </c>
    </row>
    <row r="6460" spans="1:13" x14ac:dyDescent="0.25">
      <c r="D6460" s="13">
        <v>20000</v>
      </c>
      <c r="E6460" s="136" t="str">
        <f>INDEX([1]道具配置表!$D:$D,MATCH(D6460,[1]道具配置表!$A:$A,0))</f>
        <v>技能点1</v>
      </c>
      <c r="F6460" s="13">
        <v>250</v>
      </c>
      <c r="K6460" s="13">
        <v>1</v>
      </c>
      <c r="M6460" s="76" t="b">
        <v>1</v>
      </c>
    </row>
    <row r="6461" spans="1:13" x14ac:dyDescent="0.25">
      <c r="D6461" s="13">
        <v>56001</v>
      </c>
      <c r="E6461" s="136" t="str">
        <f>INDEX([1]道具配置表!$D:$D,MATCH(D6461,[1]道具配置表!$A:$A,0))</f>
        <v>锻造装备消耗材料</v>
      </c>
      <c r="F6461" s="13">
        <v>60</v>
      </c>
      <c r="K6461" s="13">
        <v>1</v>
      </c>
      <c r="M6461" s="76" t="b">
        <v>1</v>
      </c>
    </row>
    <row r="6462" spans="1:13" x14ac:dyDescent="0.25">
      <c r="D6462" s="13">
        <v>6196</v>
      </c>
      <c r="E6462" s="136" t="str">
        <f>INDEX([1]道具配置表!$D:$D,MATCH(D6462,[1]道具配置表!$A:$A,0))</f>
        <v>1分钟锻造加速</v>
      </c>
      <c r="F6462" s="13">
        <v>9</v>
      </c>
      <c r="K6462" s="13">
        <v>1</v>
      </c>
      <c r="M6462" s="76" t="b">
        <v>1</v>
      </c>
    </row>
    <row r="6463" spans="1:13" x14ac:dyDescent="0.25">
      <c r="A6463" s="13">
        <v>6662011</v>
      </c>
      <c r="B6463" s="13" t="s">
        <v>1879</v>
      </c>
      <c r="D6463" s="13">
        <v>3000001</v>
      </c>
      <c r="E6463" s="136" t="str">
        <f>INDEX([1]道具配置表!$D:$D,MATCH(D6463,[1]道具配置表!$A:$A,0))</f>
        <v>自走棋放置货币</v>
      </c>
      <c r="F6463" s="13">
        <v>300</v>
      </c>
      <c r="K6463" s="13">
        <v>1</v>
      </c>
      <c r="M6463" s="133" t="b">
        <v>1</v>
      </c>
    </row>
    <row r="6464" spans="1:13" x14ac:dyDescent="0.25">
      <c r="D6464" s="13">
        <v>7228</v>
      </c>
      <c r="E6464" s="136" t="str">
        <f>INDEX([1]道具配置表!$D:$D,MATCH(D6464,[1]道具配置表!$A:$A,0))</f>
        <v>经验书*10000</v>
      </c>
      <c r="F6464" s="13">
        <v>5</v>
      </c>
      <c r="K6464" s="13">
        <v>1</v>
      </c>
      <c r="M6464" s="133" t="b">
        <v>1</v>
      </c>
    </row>
    <row r="6465" spans="1:13" x14ac:dyDescent="0.25">
      <c r="D6465" s="13">
        <v>20000</v>
      </c>
      <c r="E6465" s="136" t="str">
        <f>INDEX([1]道具配置表!$D:$D,MATCH(D6465,[1]道具配置表!$A:$A,0))</f>
        <v>技能点1</v>
      </c>
      <c r="F6465" s="13">
        <v>250</v>
      </c>
      <c r="K6465" s="13">
        <v>1</v>
      </c>
      <c r="M6465" s="133" t="b">
        <v>1</v>
      </c>
    </row>
    <row r="6466" spans="1:13" x14ac:dyDescent="0.25">
      <c r="D6466" s="13">
        <v>56001</v>
      </c>
      <c r="E6466" s="136" t="str">
        <f>INDEX([1]道具配置表!$D:$D,MATCH(D6466,[1]道具配置表!$A:$A,0))</f>
        <v>锻造装备消耗材料</v>
      </c>
      <c r="F6466" s="13">
        <v>60</v>
      </c>
      <c r="K6466" s="13">
        <v>1</v>
      </c>
      <c r="M6466" s="133" t="b">
        <v>1</v>
      </c>
    </row>
    <row r="6467" spans="1:13" x14ac:dyDescent="0.25">
      <c r="D6467" s="13">
        <v>6196</v>
      </c>
      <c r="E6467" s="136" t="str">
        <f>INDEX([1]道具配置表!$D:$D,MATCH(D6467,[1]道具配置表!$A:$A,0))</f>
        <v>1分钟锻造加速</v>
      </c>
      <c r="F6467" s="13">
        <v>9</v>
      </c>
      <c r="K6467" s="13">
        <v>1</v>
      </c>
      <c r="M6467" s="133" t="b">
        <v>1</v>
      </c>
    </row>
    <row r="6468" spans="1:13" x14ac:dyDescent="0.25">
      <c r="A6468" s="13">
        <v>6671001</v>
      </c>
      <c r="B6468" s="13" t="s">
        <v>1210</v>
      </c>
      <c r="D6468" s="13">
        <v>56003</v>
      </c>
      <c r="E6468" s="136" t="str">
        <f>INDEX([1]道具配置表!$D:$D,MATCH(D6468,[1]道具配置表!$A:$A,0))</f>
        <v>突破蓝装消耗材料</v>
      </c>
      <c r="F6468" s="13">
        <v>10</v>
      </c>
      <c r="K6468" s="13">
        <v>1</v>
      </c>
      <c r="M6468" s="79" t="b">
        <v>1</v>
      </c>
    </row>
    <row r="6469" spans="1:13" x14ac:dyDescent="0.25">
      <c r="D6469" s="13">
        <v>6201</v>
      </c>
      <c r="E6469" s="136" t="str">
        <f>INDEX([1]道具配置表!$D:$D,MATCH(D6469,[1]道具配置表!$A:$A,0))</f>
        <v>60分钟锻造加速</v>
      </c>
      <c r="F6469" s="13">
        <v>3</v>
      </c>
      <c r="K6469" s="13">
        <v>1</v>
      </c>
      <c r="M6469" s="79" t="b">
        <v>1</v>
      </c>
    </row>
    <row r="6470" spans="1:13" x14ac:dyDescent="0.25">
      <c r="A6470" s="13">
        <v>6671002</v>
      </c>
      <c r="B6470" s="13" t="s">
        <v>1211</v>
      </c>
      <c r="D6470" s="13">
        <v>56004</v>
      </c>
      <c r="E6470" s="136" t="str">
        <f>INDEX([1]道具配置表!$D:$D,MATCH(D6470,[1]道具配置表!$A:$A,0))</f>
        <v>突破紫装消耗材料</v>
      </c>
      <c r="F6470" s="13">
        <v>5</v>
      </c>
      <c r="K6470" s="13">
        <v>1</v>
      </c>
      <c r="M6470" s="79" t="b">
        <v>1</v>
      </c>
    </row>
    <row r="6471" spans="1:13" x14ac:dyDescent="0.25">
      <c r="D6471" s="13">
        <v>56003</v>
      </c>
      <c r="E6471" s="136" t="str">
        <f>INDEX([1]道具配置表!$D:$D,MATCH(D6471,[1]道具配置表!$A:$A,0))</f>
        <v>突破蓝装消耗材料</v>
      </c>
      <c r="F6471" s="13">
        <v>10</v>
      </c>
      <c r="K6471" s="13">
        <v>1</v>
      </c>
      <c r="M6471" s="80" t="b">
        <v>1</v>
      </c>
    </row>
    <row r="6472" spans="1:13" x14ac:dyDescent="0.25">
      <c r="D6472" s="13">
        <v>6201</v>
      </c>
      <c r="E6472" s="136" t="str">
        <f>INDEX([1]道具配置表!$D:$D,MATCH(D6472,[1]道具配置表!$A:$A,0))</f>
        <v>60分钟锻造加速</v>
      </c>
      <c r="F6472" s="13">
        <v>6</v>
      </c>
      <c r="K6472" s="13">
        <v>1</v>
      </c>
      <c r="M6472" s="79" t="b">
        <v>1</v>
      </c>
    </row>
    <row r="6473" spans="1:13" x14ac:dyDescent="0.25">
      <c r="A6473" s="13">
        <v>6671003</v>
      </c>
      <c r="B6473" s="13" t="s">
        <v>1212</v>
      </c>
      <c r="D6473" s="13">
        <v>56004</v>
      </c>
      <c r="E6473" s="136" t="str">
        <f>INDEX([1]道具配置表!$D:$D,MATCH(D6473,[1]道具配置表!$A:$A,0))</f>
        <v>突破紫装消耗材料</v>
      </c>
      <c r="F6473" s="13">
        <v>10</v>
      </c>
      <c r="K6473" s="13">
        <v>1</v>
      </c>
      <c r="M6473" s="79" t="b">
        <v>1</v>
      </c>
    </row>
    <row r="6474" spans="1:13" x14ac:dyDescent="0.25">
      <c r="D6474" s="13">
        <v>56003</v>
      </c>
      <c r="E6474" s="136" t="str">
        <f>INDEX([1]道具配置表!$D:$D,MATCH(D6474,[1]道具配置表!$A:$A,0))</f>
        <v>突破蓝装消耗材料</v>
      </c>
      <c r="F6474" s="13">
        <v>10</v>
      </c>
      <c r="K6474" s="13">
        <v>1</v>
      </c>
      <c r="M6474" s="80" t="b">
        <v>1</v>
      </c>
    </row>
    <row r="6475" spans="1:13" x14ac:dyDescent="0.25">
      <c r="D6475" s="13">
        <v>6201</v>
      </c>
      <c r="E6475" s="136" t="str">
        <f>INDEX([1]道具配置表!$D:$D,MATCH(D6475,[1]道具配置表!$A:$A,0))</f>
        <v>60分钟锻造加速</v>
      </c>
      <c r="F6475" s="13">
        <v>9</v>
      </c>
      <c r="K6475" s="13">
        <v>1</v>
      </c>
      <c r="M6475" s="80" t="b">
        <v>1</v>
      </c>
    </row>
    <row r="6476" spans="1:13" x14ac:dyDescent="0.25">
      <c r="A6476" s="13">
        <v>6671004</v>
      </c>
      <c r="B6476" s="13" t="s">
        <v>1213</v>
      </c>
      <c r="D6476" s="13">
        <v>56005</v>
      </c>
      <c r="E6476" s="136" t="str">
        <f>INDEX([1]道具配置表!$D:$D,MATCH(D6476,[1]道具配置表!$A:$A,0))</f>
        <v>突破橙装消耗材料</v>
      </c>
      <c r="F6476" s="13">
        <v>5</v>
      </c>
      <c r="K6476" s="13">
        <v>1</v>
      </c>
      <c r="M6476" s="80" t="b">
        <v>1</v>
      </c>
    </row>
    <row r="6477" spans="1:13" x14ac:dyDescent="0.25">
      <c r="D6477" s="13">
        <v>56004</v>
      </c>
      <c r="E6477" s="136" t="str">
        <f>INDEX([1]道具配置表!$D:$D,MATCH(D6477,[1]道具配置表!$A:$A,0))</f>
        <v>突破紫装消耗材料</v>
      </c>
      <c r="F6477" s="13">
        <v>10</v>
      </c>
      <c r="K6477" s="13">
        <v>1</v>
      </c>
      <c r="M6477" s="80" t="b">
        <v>1</v>
      </c>
    </row>
    <row r="6478" spans="1:13" x14ac:dyDescent="0.25">
      <c r="D6478" s="13">
        <v>56003</v>
      </c>
      <c r="E6478" s="136" t="str">
        <f>INDEX([1]道具配置表!$D:$D,MATCH(D6478,[1]道具配置表!$A:$A,0))</f>
        <v>突破蓝装消耗材料</v>
      </c>
      <c r="F6478" s="13">
        <v>10</v>
      </c>
      <c r="K6478" s="13">
        <v>1</v>
      </c>
      <c r="M6478" s="80" t="b">
        <v>1</v>
      </c>
    </row>
    <row r="6479" spans="1:13" x14ac:dyDescent="0.25">
      <c r="D6479" s="13">
        <v>6201</v>
      </c>
      <c r="E6479" s="136" t="str">
        <f>INDEX([1]道具配置表!$D:$D,MATCH(D6479,[1]道具配置表!$A:$A,0))</f>
        <v>60分钟锻造加速</v>
      </c>
      <c r="F6479" s="13">
        <v>12</v>
      </c>
      <c r="K6479" s="13">
        <v>1</v>
      </c>
      <c r="M6479" s="80" t="b">
        <v>1</v>
      </c>
    </row>
    <row r="6480" spans="1:13" x14ac:dyDescent="0.25">
      <c r="A6480" s="13">
        <v>6671005</v>
      </c>
      <c r="B6480" s="13" t="s">
        <v>1214</v>
      </c>
      <c r="D6480" s="13">
        <v>56202</v>
      </c>
      <c r="E6480" s="136" t="str">
        <f>INDEX([1]道具配置表!$D:$D,MATCH(D6480,[1]道具配置表!$A:$A,0))</f>
        <v>传说图纸</v>
      </c>
      <c r="F6480" s="13">
        <v>1</v>
      </c>
      <c r="K6480" s="13">
        <v>1</v>
      </c>
      <c r="M6480" s="80" t="b">
        <v>1</v>
      </c>
    </row>
    <row r="6481" spans="1:13" x14ac:dyDescent="0.25">
      <c r="D6481" s="13">
        <v>56005</v>
      </c>
      <c r="E6481" s="136" t="str">
        <f>INDEX([1]道具配置表!$D:$D,MATCH(D6481,[1]道具配置表!$A:$A,0))</f>
        <v>突破橙装消耗材料</v>
      </c>
      <c r="F6481" s="13">
        <v>10</v>
      </c>
      <c r="K6481" s="13">
        <v>1</v>
      </c>
      <c r="M6481" s="80" t="b">
        <v>1</v>
      </c>
    </row>
    <row r="6482" spans="1:13" x14ac:dyDescent="0.25">
      <c r="D6482" s="13">
        <v>56004</v>
      </c>
      <c r="E6482" s="136" t="str">
        <f>INDEX([1]道具配置表!$D:$D,MATCH(D6482,[1]道具配置表!$A:$A,0))</f>
        <v>突破紫装消耗材料</v>
      </c>
      <c r="F6482" s="13">
        <v>10</v>
      </c>
      <c r="K6482" s="13">
        <v>1</v>
      </c>
      <c r="M6482" s="80" t="b">
        <v>1</v>
      </c>
    </row>
    <row r="6483" spans="1:13" x14ac:dyDescent="0.25">
      <c r="D6483" s="13">
        <v>56003</v>
      </c>
      <c r="E6483" s="136" t="str">
        <f>INDEX([1]道具配置表!$D:$D,MATCH(D6483,[1]道具配置表!$A:$A,0))</f>
        <v>突破蓝装消耗材料</v>
      </c>
      <c r="F6483" s="13">
        <v>10</v>
      </c>
      <c r="K6483" s="13">
        <v>1</v>
      </c>
      <c r="M6483" s="80" t="b">
        <v>1</v>
      </c>
    </row>
    <row r="6484" spans="1:13" x14ac:dyDescent="0.25">
      <c r="D6484" s="13">
        <v>6201</v>
      </c>
      <c r="E6484" s="136" t="str">
        <f>INDEX([1]道具配置表!$D:$D,MATCH(D6484,[1]道具配置表!$A:$A,0))</f>
        <v>60分钟锻造加速</v>
      </c>
      <c r="F6484" s="13">
        <v>15</v>
      </c>
      <c r="K6484" s="13">
        <v>1</v>
      </c>
      <c r="M6484" s="80" t="b">
        <v>1</v>
      </c>
    </row>
    <row r="6485" spans="1:13" x14ac:dyDescent="0.25">
      <c r="A6485" s="13">
        <v>6671101</v>
      </c>
      <c r="B6485" s="13" t="s">
        <v>1215</v>
      </c>
      <c r="D6485" s="13">
        <v>56026</v>
      </c>
      <c r="E6485" s="136" t="str">
        <f>INDEX([1]道具配置表!$D:$D,MATCH(D6485,[1]道具配置表!$A:$A,0))</f>
        <v>突破橙装消耗材料-2</v>
      </c>
      <c r="F6485" s="13">
        <v>10</v>
      </c>
      <c r="K6485" s="13">
        <v>1</v>
      </c>
      <c r="M6485" s="79" t="b">
        <v>1</v>
      </c>
    </row>
    <row r="6486" spans="1:13" x14ac:dyDescent="0.25">
      <c r="D6486" s="13">
        <v>56005</v>
      </c>
      <c r="E6486" s="136" t="str">
        <f>INDEX([1]道具配置表!$D:$D,MATCH(D6486,[1]道具配置表!$A:$A,0))</f>
        <v>突破橙装消耗材料</v>
      </c>
      <c r="F6486" s="13">
        <v>30</v>
      </c>
      <c r="K6486" s="13">
        <v>1</v>
      </c>
      <c r="M6486" s="79" t="b">
        <v>1</v>
      </c>
    </row>
    <row r="6487" spans="1:13" x14ac:dyDescent="0.25">
      <c r="D6487" s="13">
        <v>6201</v>
      </c>
      <c r="E6487" s="136" t="str">
        <f>INDEX([1]道具配置表!$D:$D,MATCH(D6487,[1]道具配置表!$A:$A,0))</f>
        <v>60分钟锻造加速</v>
      </c>
      <c r="F6487" s="13">
        <v>10</v>
      </c>
      <c r="K6487" s="13">
        <v>1</v>
      </c>
      <c r="M6487" s="79" t="b">
        <v>1</v>
      </c>
    </row>
    <row r="6488" spans="1:13" x14ac:dyDescent="0.25">
      <c r="A6488" s="13">
        <v>6671102</v>
      </c>
      <c r="B6488" s="13" t="s">
        <v>1216</v>
      </c>
      <c r="D6488" s="13">
        <v>56026</v>
      </c>
      <c r="E6488" s="136" t="str">
        <f>INDEX([1]道具配置表!$D:$D,MATCH(D6488,[1]道具配置表!$A:$A,0))</f>
        <v>突破橙装消耗材料-2</v>
      </c>
      <c r="F6488" s="13">
        <v>8</v>
      </c>
      <c r="K6488" s="13">
        <v>1</v>
      </c>
      <c r="M6488" s="79" t="b">
        <v>1</v>
      </c>
    </row>
    <row r="6489" spans="1:13" x14ac:dyDescent="0.25">
      <c r="D6489" s="13">
        <v>56005</v>
      </c>
      <c r="E6489" s="136" t="str">
        <f>INDEX([1]道具配置表!$D:$D,MATCH(D6489,[1]道具配置表!$A:$A,0))</f>
        <v>突破橙装消耗材料</v>
      </c>
      <c r="F6489" s="13">
        <v>20</v>
      </c>
      <c r="K6489" s="13">
        <v>1</v>
      </c>
      <c r="M6489" s="79" t="b">
        <v>1</v>
      </c>
    </row>
    <row r="6490" spans="1:13" x14ac:dyDescent="0.25">
      <c r="D6490" s="13">
        <v>6201</v>
      </c>
      <c r="E6490" s="136" t="str">
        <f>INDEX([1]道具配置表!$D:$D,MATCH(D6490,[1]道具配置表!$A:$A,0))</f>
        <v>60分钟锻造加速</v>
      </c>
      <c r="F6490" s="13">
        <v>8</v>
      </c>
      <c r="K6490" s="13">
        <v>1</v>
      </c>
      <c r="M6490" s="79" t="b">
        <v>1</v>
      </c>
    </row>
    <row r="6491" spans="1:13" x14ac:dyDescent="0.25">
      <c r="A6491" s="13">
        <v>6671103</v>
      </c>
      <c r="B6491" s="13" t="s">
        <v>1217</v>
      </c>
      <c r="D6491" s="13">
        <v>56026</v>
      </c>
      <c r="E6491" s="136" t="str">
        <f>INDEX([1]道具配置表!$D:$D,MATCH(D6491,[1]道具配置表!$A:$A,0))</f>
        <v>突破橙装消耗材料-2</v>
      </c>
      <c r="F6491" s="13">
        <v>6</v>
      </c>
      <c r="K6491" s="13">
        <v>1</v>
      </c>
      <c r="M6491" s="79" t="b">
        <v>1</v>
      </c>
    </row>
    <row r="6492" spans="1:13" x14ac:dyDescent="0.25">
      <c r="D6492" s="13">
        <v>56005</v>
      </c>
      <c r="E6492" s="136" t="str">
        <f>INDEX([1]道具配置表!$D:$D,MATCH(D6492,[1]道具配置表!$A:$A,0))</f>
        <v>突破橙装消耗材料</v>
      </c>
      <c r="F6492" s="13">
        <v>15</v>
      </c>
      <c r="K6492" s="13">
        <v>1</v>
      </c>
      <c r="M6492" s="79" t="b">
        <v>1</v>
      </c>
    </row>
    <row r="6493" spans="1:13" x14ac:dyDescent="0.25">
      <c r="D6493" s="13">
        <v>6201</v>
      </c>
      <c r="E6493" s="136" t="str">
        <f>INDEX([1]道具配置表!$D:$D,MATCH(D6493,[1]道具配置表!$A:$A,0))</f>
        <v>60分钟锻造加速</v>
      </c>
      <c r="F6493" s="13">
        <v>6</v>
      </c>
      <c r="K6493" s="13">
        <v>1</v>
      </c>
      <c r="M6493" s="79" t="b">
        <v>1</v>
      </c>
    </row>
    <row r="6494" spans="1:13" x14ac:dyDescent="0.25">
      <c r="A6494" s="13">
        <v>6671104</v>
      </c>
      <c r="B6494" s="13" t="s">
        <v>1218</v>
      </c>
      <c r="D6494" s="13">
        <v>56026</v>
      </c>
      <c r="E6494" s="136" t="str">
        <f>INDEX([1]道具配置表!$D:$D,MATCH(D6494,[1]道具配置表!$A:$A,0))</f>
        <v>突破橙装消耗材料-2</v>
      </c>
      <c r="F6494" s="13">
        <v>4</v>
      </c>
      <c r="K6494" s="13">
        <v>1</v>
      </c>
      <c r="M6494" s="79" t="b">
        <v>1</v>
      </c>
    </row>
    <row r="6495" spans="1:13" x14ac:dyDescent="0.25">
      <c r="D6495" s="13">
        <v>56005</v>
      </c>
      <c r="E6495" s="136" t="str">
        <f>INDEX([1]道具配置表!$D:$D,MATCH(D6495,[1]道具配置表!$A:$A,0))</f>
        <v>突破橙装消耗材料</v>
      </c>
      <c r="F6495" s="13">
        <v>10</v>
      </c>
      <c r="K6495" s="13">
        <v>1</v>
      </c>
      <c r="M6495" s="79" t="b">
        <v>1</v>
      </c>
    </row>
    <row r="6496" spans="1:13" x14ac:dyDescent="0.25">
      <c r="D6496" s="13">
        <v>6201</v>
      </c>
      <c r="E6496" s="136" t="str">
        <f>INDEX([1]道具配置表!$D:$D,MATCH(D6496,[1]道具配置表!$A:$A,0))</f>
        <v>60分钟锻造加速</v>
      </c>
      <c r="F6496" s="13">
        <v>5</v>
      </c>
      <c r="K6496" s="13">
        <v>1</v>
      </c>
      <c r="M6496" s="79" t="b">
        <v>1</v>
      </c>
    </row>
    <row r="6497" spans="1:13" x14ac:dyDescent="0.25">
      <c r="A6497" s="13">
        <v>6671105</v>
      </c>
      <c r="B6497" s="13" t="s">
        <v>1219</v>
      </c>
      <c r="D6497" s="13">
        <v>56026</v>
      </c>
      <c r="E6497" s="136" t="str">
        <f>INDEX([1]道具配置表!$D:$D,MATCH(D6497,[1]道具配置表!$A:$A,0))</f>
        <v>突破橙装消耗材料-2</v>
      </c>
      <c r="F6497" s="13">
        <v>2</v>
      </c>
      <c r="K6497" s="13">
        <v>1</v>
      </c>
      <c r="M6497" s="79" t="b">
        <v>1</v>
      </c>
    </row>
    <row r="6498" spans="1:13" x14ac:dyDescent="0.25">
      <c r="D6498" s="13">
        <v>56005</v>
      </c>
      <c r="E6498" s="136" t="str">
        <f>INDEX([1]道具配置表!$D:$D,MATCH(D6498,[1]道具配置表!$A:$A,0))</f>
        <v>突破橙装消耗材料</v>
      </c>
      <c r="F6498" s="13">
        <v>8</v>
      </c>
      <c r="K6498" s="13">
        <v>1</v>
      </c>
      <c r="M6498" s="79" t="b">
        <v>1</v>
      </c>
    </row>
    <row r="6499" spans="1:13" x14ac:dyDescent="0.25">
      <c r="D6499" s="13">
        <v>6201</v>
      </c>
      <c r="E6499" s="136" t="str">
        <f>INDEX([1]道具配置表!$D:$D,MATCH(D6499,[1]道具配置表!$A:$A,0))</f>
        <v>60分钟锻造加速</v>
      </c>
      <c r="F6499" s="13">
        <v>4</v>
      </c>
      <c r="K6499" s="13">
        <v>1</v>
      </c>
      <c r="M6499" s="79" t="b">
        <v>1</v>
      </c>
    </row>
    <row r="6500" spans="1:13" x14ac:dyDescent="0.25">
      <c r="A6500" s="13">
        <v>6671106</v>
      </c>
      <c r="B6500" s="13" t="s">
        <v>1220</v>
      </c>
      <c r="D6500" s="13">
        <v>56026</v>
      </c>
      <c r="E6500" s="136" t="str">
        <f>INDEX([1]道具配置表!$D:$D,MATCH(D6500,[1]道具配置表!$A:$A,0))</f>
        <v>突破橙装消耗材料-2</v>
      </c>
      <c r="F6500" s="13">
        <v>1</v>
      </c>
      <c r="K6500" s="13">
        <v>1</v>
      </c>
      <c r="M6500" s="79" t="b">
        <v>1</v>
      </c>
    </row>
    <row r="6501" spans="1:13" x14ac:dyDescent="0.25">
      <c r="D6501" s="13">
        <v>56005</v>
      </c>
      <c r="E6501" s="136" t="str">
        <f>INDEX([1]道具配置表!$D:$D,MATCH(D6501,[1]道具配置表!$A:$A,0))</f>
        <v>突破橙装消耗材料</v>
      </c>
      <c r="F6501" s="13">
        <v>6</v>
      </c>
      <c r="K6501" s="13">
        <v>1</v>
      </c>
      <c r="M6501" s="79" t="b">
        <v>1</v>
      </c>
    </row>
    <row r="6502" spans="1:13" x14ac:dyDescent="0.25">
      <c r="D6502" s="13">
        <v>6201</v>
      </c>
      <c r="E6502" s="136" t="str">
        <f>INDEX([1]道具配置表!$D:$D,MATCH(D6502,[1]道具配置表!$A:$A,0))</f>
        <v>60分钟锻造加速</v>
      </c>
      <c r="F6502" s="13">
        <v>3</v>
      </c>
      <c r="K6502" s="13">
        <v>1</v>
      </c>
      <c r="M6502" s="79" t="b">
        <v>1</v>
      </c>
    </row>
    <row r="6503" spans="1:13" x14ac:dyDescent="0.25">
      <c r="A6503" s="13">
        <v>6671107</v>
      </c>
      <c r="B6503" s="13" t="s">
        <v>1221</v>
      </c>
      <c r="D6503" s="13">
        <v>56026</v>
      </c>
      <c r="E6503" s="136" t="str">
        <f>INDEX([1]道具配置表!$D:$D,MATCH(D6503,[1]道具配置表!$A:$A,0))</f>
        <v>突破橙装消耗材料-2</v>
      </c>
      <c r="F6503" s="13">
        <v>1</v>
      </c>
      <c r="K6503" s="13">
        <v>1</v>
      </c>
      <c r="M6503" s="79" t="b">
        <v>1</v>
      </c>
    </row>
    <row r="6504" spans="1:13" x14ac:dyDescent="0.25">
      <c r="D6504" s="13">
        <v>56005</v>
      </c>
      <c r="E6504" s="136" t="str">
        <f>INDEX([1]道具配置表!$D:$D,MATCH(D6504,[1]道具配置表!$A:$A,0))</f>
        <v>突破橙装消耗材料</v>
      </c>
      <c r="F6504" s="13">
        <v>4</v>
      </c>
      <c r="K6504" s="13">
        <v>1</v>
      </c>
      <c r="M6504" s="79" t="b">
        <v>1</v>
      </c>
    </row>
    <row r="6505" spans="1:13" x14ac:dyDescent="0.25">
      <c r="D6505" s="13">
        <v>6201</v>
      </c>
      <c r="E6505" s="136" t="str">
        <f>INDEX([1]道具配置表!$D:$D,MATCH(D6505,[1]道具配置表!$A:$A,0))</f>
        <v>60分钟锻造加速</v>
      </c>
      <c r="F6505" s="13">
        <v>2</v>
      </c>
      <c r="K6505" s="13">
        <v>1</v>
      </c>
      <c r="M6505" s="79" t="b">
        <v>1</v>
      </c>
    </row>
    <row r="6506" spans="1:13" x14ac:dyDescent="0.25">
      <c r="A6506" s="13">
        <v>6671108</v>
      </c>
      <c r="B6506" s="13" t="s">
        <v>1222</v>
      </c>
      <c r="D6506" s="13">
        <v>56026</v>
      </c>
      <c r="E6506" s="136" t="str">
        <f>INDEX([1]道具配置表!$D:$D,MATCH(D6506,[1]道具配置表!$A:$A,0))</f>
        <v>突破橙装消耗材料-2</v>
      </c>
      <c r="F6506" s="13">
        <v>1</v>
      </c>
      <c r="K6506" s="13">
        <v>1</v>
      </c>
      <c r="M6506" s="79" t="b">
        <v>1</v>
      </c>
    </row>
    <row r="6507" spans="1:13" x14ac:dyDescent="0.25">
      <c r="D6507" s="13">
        <v>56005</v>
      </c>
      <c r="E6507" s="136" t="str">
        <f>INDEX([1]道具配置表!$D:$D,MATCH(D6507,[1]道具配置表!$A:$A,0))</f>
        <v>突破橙装消耗材料</v>
      </c>
      <c r="F6507" s="13">
        <v>2</v>
      </c>
      <c r="K6507" s="13">
        <v>1</v>
      </c>
      <c r="M6507" s="79" t="b">
        <v>1</v>
      </c>
    </row>
    <row r="6508" spans="1:13" x14ac:dyDescent="0.25">
      <c r="D6508" s="13">
        <v>6201</v>
      </c>
      <c r="E6508" s="136" t="str">
        <f>INDEX([1]道具配置表!$D:$D,MATCH(D6508,[1]道具配置表!$A:$A,0))</f>
        <v>60分钟锻造加速</v>
      </c>
      <c r="F6508" s="13">
        <v>1</v>
      </c>
      <c r="K6508" s="13">
        <v>1</v>
      </c>
      <c r="M6508" s="79" t="b">
        <v>1</v>
      </c>
    </row>
    <row r="6509" spans="1:13" x14ac:dyDescent="0.25">
      <c r="A6509" s="13">
        <v>6680001</v>
      </c>
      <c r="B6509" s="13" t="s">
        <v>1291</v>
      </c>
      <c r="D6509" s="13">
        <v>7101</v>
      </c>
      <c r="E6509" s="136" t="str">
        <f>INDEX([1]道具配置表!$D:$D,MATCH(D6509,[1]道具配置表!$A:$A,0))</f>
        <v>奇迹积分</v>
      </c>
      <c r="F6509" s="13">
        <v>1</v>
      </c>
      <c r="K6509" s="13">
        <v>1</v>
      </c>
      <c r="M6509" s="83" t="b">
        <v>1</v>
      </c>
    </row>
    <row r="6510" spans="1:13" x14ac:dyDescent="0.25">
      <c r="A6510" s="13">
        <v>6680002</v>
      </c>
      <c r="B6510" s="13" t="s">
        <v>1292</v>
      </c>
      <c r="D6510" s="13">
        <v>7101</v>
      </c>
      <c r="E6510" s="136" t="str">
        <f>INDEX([1]道具配置表!$D:$D,MATCH(D6510,[1]道具配置表!$A:$A,0))</f>
        <v>奇迹积分</v>
      </c>
      <c r="F6510" s="13">
        <v>1</v>
      </c>
      <c r="K6510" s="13">
        <v>1</v>
      </c>
      <c r="M6510" s="83" t="b">
        <v>1</v>
      </c>
    </row>
    <row r="6511" spans="1:13" x14ac:dyDescent="0.25">
      <c r="A6511" s="13">
        <v>6680003</v>
      </c>
      <c r="B6511" s="13" t="s">
        <v>1294</v>
      </c>
      <c r="D6511" s="13">
        <v>4010</v>
      </c>
      <c r="E6511" s="136" t="str">
        <f>INDEX([1]道具配置表!$D:$D,MATCH(D6511,[1]道具配置表!$A:$A,0))</f>
        <v>奇迹建造图纸</v>
      </c>
      <c r="F6511" s="102">
        <v>510</v>
      </c>
      <c r="K6511" s="13">
        <v>1</v>
      </c>
      <c r="M6511" s="88" t="b">
        <v>1</v>
      </c>
    </row>
    <row r="6512" spans="1:13" x14ac:dyDescent="0.25">
      <c r="D6512" s="13">
        <v>4012</v>
      </c>
      <c r="E6512" s="136" t="str">
        <f>INDEX([1]道具配置表!$D:$D,MATCH(D6512,[1]道具配置表!$A:$A,0))</f>
        <v>奇迹祝福道具</v>
      </c>
      <c r="F6512" s="102">
        <v>1400</v>
      </c>
      <c r="K6512" s="13">
        <v>1</v>
      </c>
      <c r="M6512" s="88" t="b">
        <v>1</v>
      </c>
    </row>
    <row r="6513" spans="1:13" x14ac:dyDescent="0.25">
      <c r="A6513" s="13">
        <v>6680004</v>
      </c>
      <c r="B6513" s="13" t="s">
        <v>1295</v>
      </c>
      <c r="D6513" s="13">
        <v>4010</v>
      </c>
      <c r="E6513" s="136" t="str">
        <f>INDEX([1]道具配置表!$D:$D,MATCH(D6513,[1]道具配置表!$A:$A,0))</f>
        <v>奇迹建造图纸</v>
      </c>
      <c r="F6513" s="102">
        <v>340</v>
      </c>
      <c r="K6513" s="13">
        <v>1</v>
      </c>
      <c r="M6513" s="88" t="b">
        <v>1</v>
      </c>
    </row>
    <row r="6514" spans="1:13" x14ac:dyDescent="0.25">
      <c r="D6514" s="13">
        <v>4012</v>
      </c>
      <c r="E6514" s="136" t="str">
        <f>INDEX([1]道具配置表!$D:$D,MATCH(D6514,[1]道具配置表!$A:$A,0))</f>
        <v>奇迹祝福道具</v>
      </c>
      <c r="F6514" s="102">
        <v>700</v>
      </c>
      <c r="K6514" s="13">
        <v>1</v>
      </c>
      <c r="M6514" s="88" t="b">
        <v>1</v>
      </c>
    </row>
    <row r="6515" spans="1:13" x14ac:dyDescent="0.25">
      <c r="A6515" s="13">
        <v>6680005</v>
      </c>
      <c r="B6515" s="13" t="s">
        <v>1293</v>
      </c>
      <c r="D6515" s="13">
        <v>4010</v>
      </c>
      <c r="E6515" s="136" t="str">
        <f>INDEX([1]道具配置表!$D:$D,MATCH(D6515,[1]道具配置表!$A:$A,0))</f>
        <v>奇迹建造图纸</v>
      </c>
      <c r="F6515" s="102">
        <v>600</v>
      </c>
      <c r="K6515" s="13">
        <v>1</v>
      </c>
      <c r="M6515" s="88" t="b">
        <v>1</v>
      </c>
    </row>
    <row r="6516" spans="1:13" x14ac:dyDescent="0.25">
      <c r="D6516" s="13">
        <v>4012</v>
      </c>
      <c r="E6516" s="136" t="str">
        <f>INDEX([1]道具配置表!$D:$D,MATCH(D6516,[1]道具配置表!$A:$A,0))</f>
        <v>奇迹祝福道具</v>
      </c>
      <c r="F6516" s="102">
        <v>2000</v>
      </c>
      <c r="K6516" s="13">
        <v>1</v>
      </c>
      <c r="M6516" s="88" t="b">
        <v>1</v>
      </c>
    </row>
    <row r="6517" spans="1:13" x14ac:dyDescent="0.25">
      <c r="A6517" s="13">
        <v>6680006</v>
      </c>
      <c r="B6517" s="13" t="s">
        <v>1296</v>
      </c>
      <c r="D6517" s="13">
        <v>4010</v>
      </c>
      <c r="E6517" s="136" t="str">
        <f>INDEX([1]道具配置表!$D:$D,MATCH(D6517,[1]道具配置表!$A:$A,0))</f>
        <v>奇迹建造图纸</v>
      </c>
      <c r="F6517" s="102">
        <v>400</v>
      </c>
      <c r="K6517" s="13">
        <v>1</v>
      </c>
      <c r="M6517" s="88" t="b">
        <v>1</v>
      </c>
    </row>
    <row r="6518" spans="1:13" x14ac:dyDescent="0.25">
      <c r="D6518" s="13">
        <v>4012</v>
      </c>
      <c r="E6518" s="136" t="str">
        <f>INDEX([1]道具配置表!$D:$D,MATCH(D6518,[1]道具配置表!$A:$A,0))</f>
        <v>奇迹祝福道具</v>
      </c>
      <c r="F6518" s="102">
        <v>1000</v>
      </c>
      <c r="K6518" s="13">
        <v>1</v>
      </c>
      <c r="M6518" s="88" t="b">
        <v>1</v>
      </c>
    </row>
    <row r="6519" spans="1:13" x14ac:dyDescent="0.25">
      <c r="A6519" s="13">
        <v>6680007</v>
      </c>
      <c r="B6519" s="13" t="s">
        <v>1291</v>
      </c>
      <c r="D6519" s="13">
        <v>4009</v>
      </c>
      <c r="E6519" s="136" t="str">
        <f>INDEX([1]道具配置表!$D:$D,MATCH(D6519,[1]道具配置表!$A:$A,0))</f>
        <v>奇迹碎片</v>
      </c>
      <c r="F6519" s="13">
        <v>2</v>
      </c>
      <c r="K6519" s="13">
        <v>1</v>
      </c>
      <c r="M6519" s="99" t="b">
        <v>1</v>
      </c>
    </row>
    <row r="6520" spans="1:13" x14ac:dyDescent="0.25">
      <c r="A6520" s="13">
        <v>6680008</v>
      </c>
      <c r="B6520" s="13" t="s">
        <v>1292</v>
      </c>
      <c r="D6520" s="13">
        <v>4009</v>
      </c>
      <c r="E6520" s="136" t="str">
        <f>INDEX([1]道具配置表!$D:$D,MATCH(D6520,[1]道具配置表!$A:$A,0))</f>
        <v>奇迹碎片</v>
      </c>
      <c r="F6520" s="13">
        <v>2</v>
      </c>
      <c r="K6520" s="13">
        <v>1</v>
      </c>
      <c r="M6520" s="99" t="b">
        <v>1</v>
      </c>
    </row>
    <row r="6521" spans="1:13" x14ac:dyDescent="0.25">
      <c r="A6521" s="13">
        <v>6672001</v>
      </c>
      <c r="B6521" s="13" t="s">
        <v>1275</v>
      </c>
      <c r="D6521" s="13">
        <v>4009</v>
      </c>
      <c r="E6521" s="136" t="str">
        <f>INDEX([1]道具配置表!$D:$D,MATCH(D6521,[1]道具配置表!$A:$A,0))</f>
        <v>奇迹碎片</v>
      </c>
      <c r="F6521" s="13">
        <v>320</v>
      </c>
      <c r="K6521" s="13">
        <v>1</v>
      </c>
      <c r="M6521" s="88" t="b">
        <v>1</v>
      </c>
    </row>
    <row r="6522" spans="1:13" x14ac:dyDescent="0.25">
      <c r="D6522" s="13">
        <v>7003</v>
      </c>
      <c r="E6522" s="136" t="str">
        <f>INDEX([1]道具配置表!$D:$D,MATCH(D6522,[1]道具配置表!$A:$A,0))</f>
        <v>1银币（立即使用，不进背包）</v>
      </c>
      <c r="F6522" s="13">
        <v>400</v>
      </c>
      <c r="K6522" s="13">
        <v>1</v>
      </c>
      <c r="M6522" s="87" t="b">
        <v>1</v>
      </c>
    </row>
    <row r="6523" spans="1:13" x14ac:dyDescent="0.25">
      <c r="A6523" s="13">
        <v>6672002</v>
      </c>
      <c r="B6523" s="13" t="s">
        <v>1276</v>
      </c>
      <c r="D6523" s="13">
        <v>4009</v>
      </c>
      <c r="E6523" s="136" t="str">
        <f>INDEX([1]道具配置表!$D:$D,MATCH(D6523,[1]道具配置表!$A:$A,0))</f>
        <v>奇迹碎片</v>
      </c>
      <c r="F6523" s="13">
        <v>240</v>
      </c>
      <c r="K6523" s="13">
        <v>1</v>
      </c>
      <c r="M6523" s="87" t="b">
        <v>1</v>
      </c>
    </row>
    <row r="6524" spans="1:13" x14ac:dyDescent="0.25">
      <c r="D6524" s="13">
        <v>7003</v>
      </c>
      <c r="E6524" s="136" t="str">
        <f>INDEX([1]道具配置表!$D:$D,MATCH(D6524,[1]道具配置表!$A:$A,0))</f>
        <v>1银币（立即使用，不进背包）</v>
      </c>
      <c r="F6524" s="13">
        <v>300</v>
      </c>
      <c r="K6524" s="13">
        <v>1</v>
      </c>
      <c r="M6524" s="87" t="b">
        <v>1</v>
      </c>
    </row>
    <row r="6525" spans="1:13" x14ac:dyDescent="0.25">
      <c r="A6525" s="13">
        <v>6672003</v>
      </c>
      <c r="B6525" s="13" t="s">
        <v>1273</v>
      </c>
      <c r="D6525" s="13">
        <v>4009</v>
      </c>
      <c r="E6525" s="136" t="str">
        <f>INDEX([1]道具配置表!$D:$D,MATCH(D6525,[1]道具配置表!$A:$A,0))</f>
        <v>奇迹碎片</v>
      </c>
      <c r="F6525" s="13">
        <v>280</v>
      </c>
      <c r="K6525" s="13">
        <v>1</v>
      </c>
      <c r="M6525" s="87" t="b">
        <v>1</v>
      </c>
    </row>
    <row r="6526" spans="1:13" x14ac:dyDescent="0.25">
      <c r="D6526" s="13">
        <v>7003</v>
      </c>
      <c r="E6526" s="136" t="str">
        <f>INDEX([1]道具配置表!$D:$D,MATCH(D6526,[1]道具配置表!$A:$A,0))</f>
        <v>1银币（立即使用，不进背包）</v>
      </c>
      <c r="F6526" s="13">
        <v>300</v>
      </c>
      <c r="K6526" s="13">
        <v>1</v>
      </c>
      <c r="M6526" s="87" t="b">
        <v>1</v>
      </c>
    </row>
    <row r="6527" spans="1:13" x14ac:dyDescent="0.25">
      <c r="A6527" s="13">
        <v>6672004</v>
      </c>
      <c r="B6527" s="13" t="s">
        <v>1274</v>
      </c>
      <c r="D6527" s="13">
        <v>4009</v>
      </c>
      <c r="E6527" s="136" t="str">
        <f>INDEX([1]道具配置表!$D:$D,MATCH(D6527,[1]道具配置表!$A:$A,0))</f>
        <v>奇迹碎片</v>
      </c>
      <c r="F6527" s="13">
        <v>200</v>
      </c>
      <c r="K6527" s="13">
        <v>1</v>
      </c>
      <c r="M6527" s="87" t="b">
        <v>1</v>
      </c>
    </row>
    <row r="6528" spans="1:13" x14ac:dyDescent="0.25">
      <c r="D6528" s="13">
        <v>7003</v>
      </c>
      <c r="E6528" s="136" t="str">
        <f>INDEX([1]道具配置表!$D:$D,MATCH(D6528,[1]道具配置表!$A:$A,0))</f>
        <v>1银币（立即使用，不进背包）</v>
      </c>
      <c r="F6528" s="13">
        <v>200</v>
      </c>
      <c r="K6528" s="13">
        <v>1</v>
      </c>
      <c r="M6528" s="87" t="b">
        <v>1</v>
      </c>
    </row>
    <row r="6529" spans="1:13" x14ac:dyDescent="0.25">
      <c r="A6529" s="13">
        <v>6672101</v>
      </c>
      <c r="B6529" s="13" t="s">
        <v>1282</v>
      </c>
      <c r="D6529" s="13">
        <v>7003</v>
      </c>
      <c r="E6529" s="136" t="str">
        <f>INDEX([1]道具配置表!$D:$D,MATCH(D6529,[1]道具配置表!$A:$A,0))</f>
        <v>1银币（立即使用，不进背包）</v>
      </c>
      <c r="F6529" s="13">
        <v>5000</v>
      </c>
      <c r="K6529" s="13">
        <v>1</v>
      </c>
      <c r="M6529" s="87" t="b">
        <v>1</v>
      </c>
    </row>
    <row r="6530" spans="1:13" x14ac:dyDescent="0.25">
      <c r="D6530" s="13">
        <v>2007</v>
      </c>
      <c r="E6530" s="136" t="str">
        <f>INDEX([1]道具配置表!$D:$D,MATCH(D6530,[1]道具配置表!$A:$A,0))</f>
        <v>大奖池招募券</v>
      </c>
      <c r="F6530" s="13">
        <v>5</v>
      </c>
      <c r="K6530" s="13">
        <v>1</v>
      </c>
      <c r="M6530" s="90" t="b">
        <v>1</v>
      </c>
    </row>
    <row r="6531" spans="1:13" x14ac:dyDescent="0.25">
      <c r="D6531" s="13">
        <v>6125</v>
      </c>
      <c r="E6531" s="136" t="str">
        <f>INDEX([1]道具配置表!$D:$D,MATCH(D6531,[1]道具配置表!$A:$A,0))</f>
        <v>60分钟建造加速</v>
      </c>
      <c r="F6531" s="13">
        <v>5</v>
      </c>
      <c r="K6531" s="13">
        <v>1</v>
      </c>
      <c r="M6531" s="107" t="b">
        <v>1</v>
      </c>
    </row>
    <row r="6532" spans="1:13" x14ac:dyDescent="0.25">
      <c r="D6532" s="13">
        <v>6165</v>
      </c>
      <c r="E6532" s="136" t="str">
        <f>INDEX([1]道具配置表!$D:$D,MATCH(D6532,[1]道具配置表!$A:$A,0))</f>
        <v>60分钟训练加速</v>
      </c>
      <c r="F6532" s="13">
        <v>5</v>
      </c>
      <c r="K6532" s="13">
        <v>1</v>
      </c>
      <c r="M6532" s="90" t="b">
        <v>1</v>
      </c>
    </row>
    <row r="6533" spans="1:13" x14ac:dyDescent="0.25">
      <c r="D6533" s="13">
        <v>505</v>
      </c>
      <c r="E6533" s="136" t="str">
        <f>INDEX([1]道具配置表!$D:$D,MATCH(D6533,[1]道具配置表!$A:$A,0))</f>
        <v>20万资源自选宝箱</v>
      </c>
      <c r="F6533" s="13">
        <v>10</v>
      </c>
      <c r="K6533" s="13">
        <v>1</v>
      </c>
      <c r="M6533" s="89" t="b">
        <v>1</v>
      </c>
    </row>
    <row r="6534" spans="1:13" x14ac:dyDescent="0.25">
      <c r="A6534" s="13">
        <v>6672102</v>
      </c>
      <c r="B6534" s="13" t="s">
        <v>1283</v>
      </c>
      <c r="D6534" s="13">
        <v>7003</v>
      </c>
      <c r="E6534" s="136" t="str">
        <f>INDEX([1]道具配置表!$D:$D,MATCH(D6534,[1]道具配置表!$A:$A,0))</f>
        <v>1银币（立即使用，不进背包）</v>
      </c>
      <c r="F6534" s="13">
        <v>4000</v>
      </c>
      <c r="K6534" s="13">
        <v>1</v>
      </c>
      <c r="M6534" s="86" t="b">
        <v>1</v>
      </c>
    </row>
    <row r="6535" spans="1:13" x14ac:dyDescent="0.25">
      <c r="D6535" s="13">
        <v>2007</v>
      </c>
      <c r="E6535" s="136" t="str">
        <f>INDEX([1]道具配置表!$D:$D,MATCH(D6535,[1]道具配置表!$A:$A,0))</f>
        <v>大奖池招募券</v>
      </c>
      <c r="F6535" s="13">
        <v>4</v>
      </c>
      <c r="K6535" s="13">
        <v>1</v>
      </c>
      <c r="M6535" s="90" t="b">
        <v>1</v>
      </c>
    </row>
    <row r="6536" spans="1:13" x14ac:dyDescent="0.25">
      <c r="D6536" s="13">
        <v>6125</v>
      </c>
      <c r="E6536" s="136" t="str">
        <f>INDEX([1]道具配置表!$D:$D,MATCH(D6536,[1]道具配置表!$A:$A,0))</f>
        <v>60分钟建造加速</v>
      </c>
      <c r="F6536" s="13">
        <v>4</v>
      </c>
      <c r="K6536" s="13">
        <v>1</v>
      </c>
      <c r="M6536" s="107" t="b">
        <v>1</v>
      </c>
    </row>
    <row r="6537" spans="1:13" x14ac:dyDescent="0.25">
      <c r="D6537" s="13">
        <v>6165</v>
      </c>
      <c r="E6537" s="136" t="str">
        <f>INDEX([1]道具配置表!$D:$D,MATCH(D6537,[1]道具配置表!$A:$A,0))</f>
        <v>60分钟训练加速</v>
      </c>
      <c r="F6537" s="13">
        <v>4</v>
      </c>
      <c r="K6537" s="13">
        <v>1</v>
      </c>
      <c r="M6537" s="90" t="b">
        <v>1</v>
      </c>
    </row>
    <row r="6538" spans="1:13" x14ac:dyDescent="0.25">
      <c r="D6538" s="13">
        <v>505</v>
      </c>
      <c r="E6538" s="136" t="str">
        <f>INDEX([1]道具配置表!$D:$D,MATCH(D6538,[1]道具配置表!$A:$A,0))</f>
        <v>20万资源自选宝箱</v>
      </c>
      <c r="F6538" s="13">
        <v>8</v>
      </c>
      <c r="K6538" s="13">
        <v>1</v>
      </c>
      <c r="M6538" s="89" t="b">
        <v>1</v>
      </c>
    </row>
    <row r="6539" spans="1:13" x14ac:dyDescent="0.25">
      <c r="A6539" s="13">
        <v>6672103</v>
      </c>
      <c r="B6539" s="13" t="s">
        <v>1284</v>
      </c>
      <c r="D6539" s="13">
        <v>7003</v>
      </c>
      <c r="E6539" s="136" t="str">
        <f>INDEX([1]道具配置表!$D:$D,MATCH(D6539,[1]道具配置表!$A:$A,0))</f>
        <v>1银币（立即使用，不进背包）</v>
      </c>
      <c r="F6539" s="13">
        <v>3000</v>
      </c>
      <c r="K6539" s="13">
        <v>1</v>
      </c>
      <c r="M6539" s="86" t="b">
        <v>1</v>
      </c>
    </row>
    <row r="6540" spans="1:13" x14ac:dyDescent="0.25">
      <c r="D6540" s="13">
        <v>2007</v>
      </c>
      <c r="E6540" s="136" t="str">
        <f>INDEX([1]道具配置表!$D:$D,MATCH(D6540,[1]道具配置表!$A:$A,0))</f>
        <v>大奖池招募券</v>
      </c>
      <c r="F6540" s="13">
        <v>3</v>
      </c>
      <c r="K6540" s="13">
        <v>1</v>
      </c>
      <c r="M6540" s="90" t="b">
        <v>1</v>
      </c>
    </row>
    <row r="6541" spans="1:13" x14ac:dyDescent="0.25">
      <c r="D6541" s="13">
        <v>6125</v>
      </c>
      <c r="E6541" s="136" t="str">
        <f>INDEX([1]道具配置表!$D:$D,MATCH(D6541,[1]道具配置表!$A:$A,0))</f>
        <v>60分钟建造加速</v>
      </c>
      <c r="F6541" s="13">
        <v>3</v>
      </c>
      <c r="K6541" s="13">
        <v>1</v>
      </c>
      <c r="M6541" s="107" t="b">
        <v>1</v>
      </c>
    </row>
    <row r="6542" spans="1:13" x14ac:dyDescent="0.25">
      <c r="D6542" s="13">
        <v>6165</v>
      </c>
      <c r="E6542" s="136" t="str">
        <f>INDEX([1]道具配置表!$D:$D,MATCH(D6542,[1]道具配置表!$A:$A,0))</f>
        <v>60分钟训练加速</v>
      </c>
      <c r="F6542" s="13">
        <v>3</v>
      </c>
      <c r="K6542" s="13">
        <v>1</v>
      </c>
      <c r="M6542" s="90" t="b">
        <v>1</v>
      </c>
    </row>
    <row r="6543" spans="1:13" x14ac:dyDescent="0.25">
      <c r="D6543" s="13">
        <v>505</v>
      </c>
      <c r="E6543" s="136" t="str">
        <f>INDEX([1]道具配置表!$D:$D,MATCH(D6543,[1]道具配置表!$A:$A,0))</f>
        <v>20万资源自选宝箱</v>
      </c>
      <c r="F6543" s="13">
        <v>6</v>
      </c>
      <c r="K6543" s="13">
        <v>1</v>
      </c>
      <c r="M6543" s="89" t="b">
        <v>1</v>
      </c>
    </row>
    <row r="6544" spans="1:13" x14ac:dyDescent="0.25">
      <c r="A6544" s="13">
        <v>6672104</v>
      </c>
      <c r="B6544" s="13" t="s">
        <v>1285</v>
      </c>
      <c r="D6544" s="13">
        <v>7003</v>
      </c>
      <c r="E6544" s="136" t="str">
        <f>INDEX([1]道具配置表!$D:$D,MATCH(D6544,[1]道具配置表!$A:$A,0))</f>
        <v>1银币（立即使用，不进背包）</v>
      </c>
      <c r="F6544" s="13">
        <v>2000</v>
      </c>
      <c r="K6544" s="13">
        <v>1</v>
      </c>
      <c r="M6544" s="86" t="b">
        <v>1</v>
      </c>
    </row>
    <row r="6545" spans="1:13" x14ac:dyDescent="0.25">
      <c r="D6545" s="13">
        <v>2007</v>
      </c>
      <c r="E6545" s="136" t="str">
        <f>INDEX([1]道具配置表!$D:$D,MATCH(D6545,[1]道具配置表!$A:$A,0))</f>
        <v>大奖池招募券</v>
      </c>
      <c r="F6545" s="13">
        <v>2</v>
      </c>
      <c r="K6545" s="13">
        <v>1</v>
      </c>
      <c r="M6545" s="107" t="b">
        <v>1</v>
      </c>
    </row>
    <row r="6546" spans="1:13" x14ac:dyDescent="0.25">
      <c r="D6546" s="13">
        <v>6125</v>
      </c>
      <c r="E6546" s="136" t="str">
        <f>INDEX([1]道具配置表!$D:$D,MATCH(D6546,[1]道具配置表!$A:$A,0))</f>
        <v>60分钟建造加速</v>
      </c>
      <c r="F6546" s="13">
        <v>2</v>
      </c>
      <c r="K6546" s="13">
        <v>1</v>
      </c>
      <c r="M6546" s="107" t="b">
        <v>1</v>
      </c>
    </row>
    <row r="6547" spans="1:13" x14ac:dyDescent="0.25">
      <c r="D6547" s="13">
        <v>6165</v>
      </c>
      <c r="E6547" s="136" t="str">
        <f>INDEX([1]道具配置表!$D:$D,MATCH(D6547,[1]道具配置表!$A:$A,0))</f>
        <v>60分钟训练加速</v>
      </c>
      <c r="F6547" s="13">
        <v>2</v>
      </c>
      <c r="K6547" s="13">
        <v>1</v>
      </c>
      <c r="M6547" s="107" t="b">
        <v>1</v>
      </c>
    </row>
    <row r="6548" spans="1:13" x14ac:dyDescent="0.25">
      <c r="D6548" s="13">
        <v>505</v>
      </c>
      <c r="E6548" s="136" t="str">
        <f>INDEX([1]道具配置表!$D:$D,MATCH(D6548,[1]道具配置表!$A:$A,0))</f>
        <v>20万资源自选宝箱</v>
      </c>
      <c r="F6548" s="13">
        <v>4</v>
      </c>
      <c r="K6548" s="13">
        <v>1</v>
      </c>
      <c r="M6548" s="107" t="b">
        <v>1</v>
      </c>
    </row>
    <row r="6549" spans="1:13" x14ac:dyDescent="0.25">
      <c r="A6549" s="13">
        <v>6672105</v>
      </c>
      <c r="B6549" s="13" t="s">
        <v>1286</v>
      </c>
      <c r="D6549" s="13">
        <v>7003</v>
      </c>
      <c r="E6549" s="136" t="str">
        <f>INDEX([1]道具配置表!$D:$D,MATCH(D6549,[1]道具配置表!$A:$A,0))</f>
        <v>1银币（立即使用，不进背包）</v>
      </c>
      <c r="F6549" s="13">
        <v>1000</v>
      </c>
      <c r="K6549" s="13">
        <v>1</v>
      </c>
      <c r="M6549" s="107" t="b">
        <v>1</v>
      </c>
    </row>
    <row r="6550" spans="1:13" x14ac:dyDescent="0.25">
      <c r="D6550" s="13">
        <v>2007</v>
      </c>
      <c r="E6550" s="136" t="str">
        <f>INDEX([1]道具配置表!$D:$D,MATCH(D6550,[1]道具配置表!$A:$A,0))</f>
        <v>大奖池招募券</v>
      </c>
      <c r="F6550" s="13">
        <v>1</v>
      </c>
      <c r="K6550" s="13">
        <v>1</v>
      </c>
      <c r="M6550" s="107" t="b">
        <v>1</v>
      </c>
    </row>
    <row r="6551" spans="1:13" x14ac:dyDescent="0.25">
      <c r="D6551" s="13">
        <v>6125</v>
      </c>
      <c r="E6551" s="136" t="str">
        <f>INDEX([1]道具配置表!$D:$D,MATCH(D6551,[1]道具配置表!$A:$A,0))</f>
        <v>60分钟建造加速</v>
      </c>
      <c r="F6551" s="13">
        <v>1</v>
      </c>
      <c r="K6551" s="13">
        <v>1</v>
      </c>
      <c r="M6551" s="107" t="b">
        <v>1</v>
      </c>
    </row>
    <row r="6552" spans="1:13" x14ac:dyDescent="0.25">
      <c r="D6552" s="13">
        <v>6201</v>
      </c>
      <c r="E6552" s="136" t="str">
        <f>INDEX([1]道具配置表!$D:$D,MATCH(D6552,[1]道具配置表!$A:$A,0))</f>
        <v>60分钟锻造加速</v>
      </c>
      <c r="F6552" s="13">
        <v>1</v>
      </c>
      <c r="K6552" s="13">
        <v>1</v>
      </c>
      <c r="M6552" s="107" t="b">
        <v>1</v>
      </c>
    </row>
    <row r="6553" spans="1:13" x14ac:dyDescent="0.25">
      <c r="D6553" s="13">
        <v>505</v>
      </c>
      <c r="E6553" s="136" t="str">
        <f>INDEX([1]道具配置表!$D:$D,MATCH(D6553,[1]道具配置表!$A:$A,0))</f>
        <v>20万资源自选宝箱</v>
      </c>
      <c r="F6553" s="13">
        <v>3</v>
      </c>
      <c r="K6553" s="13">
        <v>1</v>
      </c>
      <c r="M6553" s="107" t="b">
        <v>1</v>
      </c>
    </row>
    <row r="6554" spans="1:13" x14ac:dyDescent="0.25">
      <c r="A6554" s="13">
        <v>6672106</v>
      </c>
      <c r="B6554" s="13" t="s">
        <v>1287</v>
      </c>
      <c r="D6554" s="13">
        <v>7003</v>
      </c>
      <c r="E6554" s="136" t="str">
        <f>INDEX([1]道具配置表!$D:$D,MATCH(D6554,[1]道具配置表!$A:$A,0))</f>
        <v>1银币（立即使用，不进背包）</v>
      </c>
      <c r="F6554" s="13">
        <v>500</v>
      </c>
      <c r="K6554" s="13">
        <v>1</v>
      </c>
      <c r="M6554" s="86" t="b">
        <v>1</v>
      </c>
    </row>
    <row r="6555" spans="1:13" x14ac:dyDescent="0.25">
      <c r="D6555" s="13">
        <v>6122</v>
      </c>
      <c r="E6555" s="136" t="str">
        <f>INDEX([1]道具配置表!$D:$D,MATCH(D6555,[1]道具配置表!$A:$A,0))</f>
        <v>10分钟建造加速</v>
      </c>
      <c r="F6555" s="13">
        <v>5</v>
      </c>
      <c r="K6555" s="13">
        <v>1</v>
      </c>
      <c r="M6555" s="86" t="b">
        <v>1</v>
      </c>
    </row>
    <row r="6556" spans="1:13" x14ac:dyDescent="0.25">
      <c r="D6556" s="13">
        <v>6162</v>
      </c>
      <c r="E6556" s="136" t="str">
        <f>INDEX([1]道具配置表!$D:$D,MATCH(D6556,[1]道具配置表!$A:$A,0))</f>
        <v>10分钟训练加速</v>
      </c>
      <c r="F6556" s="13">
        <v>5</v>
      </c>
      <c r="K6556" s="13">
        <v>1</v>
      </c>
      <c r="M6556" s="86" t="b">
        <v>1</v>
      </c>
    </row>
    <row r="6557" spans="1:13" x14ac:dyDescent="0.25">
      <c r="D6557" s="13">
        <v>505</v>
      </c>
      <c r="E6557" s="136" t="str">
        <f>INDEX([1]道具配置表!$D:$D,MATCH(D6557,[1]道具配置表!$A:$A,0))</f>
        <v>20万资源自选宝箱</v>
      </c>
      <c r="F6557" s="13">
        <v>2</v>
      </c>
      <c r="K6557" s="13">
        <v>1</v>
      </c>
      <c r="M6557" s="86" t="b">
        <v>1</v>
      </c>
    </row>
    <row r="6558" spans="1:13" x14ac:dyDescent="0.25">
      <c r="A6558" s="13">
        <v>6672107</v>
      </c>
      <c r="B6558" s="13" t="s">
        <v>1288</v>
      </c>
      <c r="D6558" s="13">
        <v>7003</v>
      </c>
      <c r="E6558" s="136" t="str">
        <f>INDEX([1]道具配置表!$D:$D,MATCH(D6558,[1]道具配置表!$A:$A,0))</f>
        <v>1银币（立即使用，不进背包）</v>
      </c>
      <c r="F6558" s="13">
        <v>300</v>
      </c>
      <c r="K6558" s="13">
        <v>1</v>
      </c>
      <c r="M6558" s="86" t="b">
        <v>1</v>
      </c>
    </row>
    <row r="6559" spans="1:13" x14ac:dyDescent="0.25">
      <c r="D6559" s="13">
        <v>6122</v>
      </c>
      <c r="E6559" s="136" t="str">
        <f>INDEX([1]道具配置表!$D:$D,MATCH(D6559,[1]道具配置表!$A:$A,0))</f>
        <v>10分钟建造加速</v>
      </c>
      <c r="F6559" s="13">
        <v>4</v>
      </c>
      <c r="K6559" s="13">
        <v>1</v>
      </c>
      <c r="M6559" s="86" t="b">
        <v>1</v>
      </c>
    </row>
    <row r="6560" spans="1:13" x14ac:dyDescent="0.25">
      <c r="D6560" s="13">
        <v>6162</v>
      </c>
      <c r="E6560" s="136" t="str">
        <f>INDEX([1]道具配置表!$D:$D,MATCH(D6560,[1]道具配置表!$A:$A,0))</f>
        <v>10分钟训练加速</v>
      </c>
      <c r="F6560" s="13">
        <v>4</v>
      </c>
      <c r="K6560" s="13">
        <v>1</v>
      </c>
      <c r="M6560" s="86" t="b">
        <v>1</v>
      </c>
    </row>
    <row r="6561" spans="1:13" x14ac:dyDescent="0.25">
      <c r="D6561" s="13">
        <v>504</v>
      </c>
      <c r="E6561" s="136" t="str">
        <f>INDEX([1]道具配置表!$D:$D,MATCH(D6561,[1]道具配置表!$A:$A,0))</f>
        <v>10万资源自选宝箱</v>
      </c>
      <c r="F6561" s="13">
        <v>3</v>
      </c>
      <c r="K6561" s="13">
        <v>1</v>
      </c>
      <c r="M6561" s="86" t="b">
        <v>1</v>
      </c>
    </row>
    <row r="6562" spans="1:13" x14ac:dyDescent="0.25">
      <c r="A6562" s="13">
        <v>6672108</v>
      </c>
      <c r="B6562" s="13" t="s">
        <v>1289</v>
      </c>
      <c r="D6562" s="13">
        <v>7003</v>
      </c>
      <c r="E6562" s="136" t="str">
        <f>INDEX([1]道具配置表!$D:$D,MATCH(D6562,[1]道具配置表!$A:$A,0))</f>
        <v>1银币（立即使用，不进背包）</v>
      </c>
      <c r="F6562" s="13">
        <v>200</v>
      </c>
      <c r="K6562" s="13">
        <v>1</v>
      </c>
      <c r="M6562" s="86" t="b">
        <v>1</v>
      </c>
    </row>
    <row r="6563" spans="1:13" x14ac:dyDescent="0.25">
      <c r="D6563" s="13">
        <v>6122</v>
      </c>
      <c r="E6563" s="136" t="str">
        <f>INDEX([1]道具配置表!$D:$D,MATCH(D6563,[1]道具配置表!$A:$A,0))</f>
        <v>10分钟建造加速</v>
      </c>
      <c r="F6563" s="13">
        <v>3</v>
      </c>
      <c r="K6563" s="13">
        <v>1</v>
      </c>
      <c r="M6563" s="86" t="b">
        <v>1</v>
      </c>
    </row>
    <row r="6564" spans="1:13" x14ac:dyDescent="0.25">
      <c r="D6564" s="13">
        <v>6162</v>
      </c>
      <c r="E6564" s="136" t="str">
        <f>INDEX([1]道具配置表!$D:$D,MATCH(D6564,[1]道具配置表!$A:$A,0))</f>
        <v>10分钟训练加速</v>
      </c>
      <c r="F6564" s="13">
        <v>3</v>
      </c>
      <c r="K6564" s="13">
        <v>1</v>
      </c>
      <c r="M6564" s="86" t="b">
        <v>1</v>
      </c>
    </row>
    <row r="6565" spans="1:13" x14ac:dyDescent="0.25">
      <c r="D6565" s="13">
        <v>504</v>
      </c>
      <c r="E6565" s="136" t="str">
        <f>INDEX([1]道具配置表!$D:$D,MATCH(D6565,[1]道具配置表!$A:$A,0))</f>
        <v>10万资源自选宝箱</v>
      </c>
      <c r="F6565" s="13">
        <v>2</v>
      </c>
      <c r="K6565" s="13">
        <v>1</v>
      </c>
      <c r="M6565" s="86" t="b">
        <v>1</v>
      </c>
    </row>
    <row r="6566" spans="1:13" x14ac:dyDescent="0.25">
      <c r="A6566" s="13">
        <v>6672109</v>
      </c>
      <c r="B6566" s="13" t="s">
        <v>1290</v>
      </c>
      <c r="D6566" s="13">
        <v>7003</v>
      </c>
      <c r="E6566" s="136" t="str">
        <f>INDEX([1]道具配置表!$D:$D,MATCH(D6566,[1]道具配置表!$A:$A,0))</f>
        <v>1银币（立即使用，不进背包）</v>
      </c>
      <c r="F6566" s="13">
        <v>100</v>
      </c>
      <c r="K6566" s="13">
        <v>1</v>
      </c>
      <c r="M6566" s="86" t="b">
        <v>1</v>
      </c>
    </row>
    <row r="6567" spans="1:13" x14ac:dyDescent="0.25">
      <c r="D6567" s="13">
        <v>6122</v>
      </c>
      <c r="E6567" s="136" t="str">
        <f>INDEX([1]道具配置表!$D:$D,MATCH(D6567,[1]道具配置表!$A:$A,0))</f>
        <v>10分钟建造加速</v>
      </c>
      <c r="F6567" s="13">
        <v>2</v>
      </c>
      <c r="K6567" s="13">
        <v>1</v>
      </c>
      <c r="M6567" s="86" t="b">
        <v>1</v>
      </c>
    </row>
    <row r="6568" spans="1:13" x14ac:dyDescent="0.25">
      <c r="D6568" s="13">
        <v>6162</v>
      </c>
      <c r="E6568" s="136" t="str">
        <f>INDEX([1]道具配置表!$D:$D,MATCH(D6568,[1]道具配置表!$A:$A,0))</f>
        <v>10分钟训练加速</v>
      </c>
      <c r="F6568" s="13">
        <v>2</v>
      </c>
      <c r="K6568" s="13">
        <v>1</v>
      </c>
      <c r="M6568" s="86" t="b">
        <v>1</v>
      </c>
    </row>
    <row r="6569" spans="1:13" x14ac:dyDescent="0.25">
      <c r="D6569" s="13">
        <v>504</v>
      </c>
      <c r="E6569" s="136" t="str">
        <f>INDEX([1]道具配置表!$D:$D,MATCH(D6569,[1]道具配置表!$A:$A,0))</f>
        <v>10万资源自选宝箱</v>
      </c>
      <c r="F6569" s="13">
        <v>1</v>
      </c>
      <c r="K6569" s="13">
        <v>1</v>
      </c>
      <c r="M6569" s="86" t="b">
        <v>1</v>
      </c>
    </row>
    <row r="6570" spans="1:13" x14ac:dyDescent="0.25">
      <c r="A6570" s="13">
        <v>6673101</v>
      </c>
      <c r="B6570" s="13" t="s">
        <v>1297</v>
      </c>
      <c r="D6570" s="13">
        <v>7003</v>
      </c>
      <c r="E6570" s="136" t="str">
        <f>INDEX([1]道具配置表!$D:$D,MATCH(D6570,[1]道具配置表!$A:$A,0))</f>
        <v>1银币（立即使用，不进背包）</v>
      </c>
      <c r="F6570" s="13">
        <v>5000</v>
      </c>
      <c r="K6570" s="13">
        <v>1</v>
      </c>
      <c r="M6570" s="91" t="b">
        <v>1</v>
      </c>
    </row>
    <row r="6571" spans="1:13" x14ac:dyDescent="0.25">
      <c r="D6571" s="13">
        <v>2007</v>
      </c>
      <c r="E6571" s="136" t="str">
        <f>INDEX([1]道具配置表!$D:$D,MATCH(D6571,[1]道具配置表!$A:$A,0))</f>
        <v>大奖池招募券</v>
      </c>
      <c r="F6571" s="13">
        <v>5</v>
      </c>
      <c r="K6571" s="13">
        <v>1</v>
      </c>
      <c r="M6571" s="91" t="b">
        <v>1</v>
      </c>
    </row>
    <row r="6572" spans="1:13" x14ac:dyDescent="0.25">
      <c r="D6572" s="13">
        <v>6125</v>
      </c>
      <c r="E6572" s="136" t="str">
        <f>INDEX([1]道具配置表!$D:$D,MATCH(D6572,[1]道具配置表!$A:$A,0))</f>
        <v>60分钟建造加速</v>
      </c>
      <c r="F6572" s="13">
        <v>5</v>
      </c>
      <c r="K6572" s="13">
        <v>1</v>
      </c>
      <c r="M6572" s="91" t="b">
        <v>1</v>
      </c>
    </row>
    <row r="6573" spans="1:13" x14ac:dyDescent="0.25">
      <c r="D6573" s="13">
        <v>6165</v>
      </c>
      <c r="E6573" s="136" t="str">
        <f>INDEX([1]道具配置表!$D:$D,MATCH(D6573,[1]道具配置表!$A:$A,0))</f>
        <v>60分钟训练加速</v>
      </c>
      <c r="F6573" s="13">
        <v>5</v>
      </c>
      <c r="K6573" s="13">
        <v>1</v>
      </c>
      <c r="M6573" s="91" t="b">
        <v>1</v>
      </c>
    </row>
    <row r="6574" spans="1:13" x14ac:dyDescent="0.25">
      <c r="D6574" s="13">
        <v>505</v>
      </c>
      <c r="E6574" s="136" t="str">
        <f>INDEX([1]道具配置表!$D:$D,MATCH(D6574,[1]道具配置表!$A:$A,0))</f>
        <v>20万资源自选宝箱</v>
      </c>
      <c r="F6574" s="13">
        <v>10</v>
      </c>
      <c r="K6574" s="13">
        <v>1</v>
      </c>
      <c r="M6574" s="91" t="b">
        <v>1</v>
      </c>
    </row>
    <row r="6575" spans="1:13" x14ac:dyDescent="0.25">
      <c r="A6575" s="13">
        <v>6673102</v>
      </c>
      <c r="B6575" s="13" t="s">
        <v>1298</v>
      </c>
      <c r="D6575" s="13">
        <v>7003</v>
      </c>
      <c r="E6575" s="136" t="str">
        <f>INDEX([1]道具配置表!$D:$D,MATCH(D6575,[1]道具配置表!$A:$A,0))</f>
        <v>1银币（立即使用，不进背包）</v>
      </c>
      <c r="F6575" s="13">
        <v>4000</v>
      </c>
      <c r="K6575" s="13">
        <v>1</v>
      </c>
      <c r="M6575" s="91" t="b">
        <v>1</v>
      </c>
    </row>
    <row r="6576" spans="1:13" x14ac:dyDescent="0.25">
      <c r="D6576" s="13">
        <v>2007</v>
      </c>
      <c r="E6576" s="136" t="str">
        <f>INDEX([1]道具配置表!$D:$D,MATCH(D6576,[1]道具配置表!$A:$A,0))</f>
        <v>大奖池招募券</v>
      </c>
      <c r="F6576" s="13">
        <v>4</v>
      </c>
      <c r="K6576" s="13">
        <v>1</v>
      </c>
      <c r="M6576" s="91" t="b">
        <v>1</v>
      </c>
    </row>
    <row r="6577" spans="1:13" x14ac:dyDescent="0.25">
      <c r="D6577" s="13">
        <v>6125</v>
      </c>
      <c r="E6577" s="136" t="str">
        <f>INDEX([1]道具配置表!$D:$D,MATCH(D6577,[1]道具配置表!$A:$A,0))</f>
        <v>60分钟建造加速</v>
      </c>
      <c r="F6577" s="13">
        <v>4</v>
      </c>
      <c r="K6577" s="13">
        <v>1</v>
      </c>
      <c r="M6577" s="91" t="b">
        <v>1</v>
      </c>
    </row>
    <row r="6578" spans="1:13" x14ac:dyDescent="0.25">
      <c r="D6578" s="13">
        <v>6165</v>
      </c>
      <c r="E6578" s="136" t="str">
        <f>INDEX([1]道具配置表!$D:$D,MATCH(D6578,[1]道具配置表!$A:$A,0))</f>
        <v>60分钟训练加速</v>
      </c>
      <c r="F6578" s="13">
        <v>4</v>
      </c>
      <c r="K6578" s="13">
        <v>1</v>
      </c>
      <c r="M6578" s="91" t="b">
        <v>1</v>
      </c>
    </row>
    <row r="6579" spans="1:13" x14ac:dyDescent="0.25">
      <c r="D6579" s="13">
        <v>505</v>
      </c>
      <c r="E6579" s="136" t="str">
        <f>INDEX([1]道具配置表!$D:$D,MATCH(D6579,[1]道具配置表!$A:$A,0))</f>
        <v>20万资源自选宝箱</v>
      </c>
      <c r="F6579" s="13">
        <v>8</v>
      </c>
      <c r="K6579" s="13">
        <v>1</v>
      </c>
      <c r="M6579" s="91" t="b">
        <v>1</v>
      </c>
    </row>
    <row r="6580" spans="1:13" x14ac:dyDescent="0.25">
      <c r="A6580" s="13">
        <v>6673103</v>
      </c>
      <c r="B6580" s="13" t="s">
        <v>1299</v>
      </c>
      <c r="D6580" s="13">
        <v>7003</v>
      </c>
      <c r="E6580" s="136" t="str">
        <f>INDEX([1]道具配置表!$D:$D,MATCH(D6580,[1]道具配置表!$A:$A,0))</f>
        <v>1银币（立即使用，不进背包）</v>
      </c>
      <c r="F6580" s="13">
        <v>3000</v>
      </c>
      <c r="K6580" s="13">
        <v>1</v>
      </c>
      <c r="M6580" s="91" t="b">
        <v>1</v>
      </c>
    </row>
    <row r="6581" spans="1:13" x14ac:dyDescent="0.25">
      <c r="D6581" s="13">
        <v>2007</v>
      </c>
      <c r="E6581" s="136" t="str">
        <f>INDEX([1]道具配置表!$D:$D,MATCH(D6581,[1]道具配置表!$A:$A,0))</f>
        <v>大奖池招募券</v>
      </c>
      <c r="F6581" s="13">
        <v>3</v>
      </c>
      <c r="K6581" s="13">
        <v>1</v>
      </c>
      <c r="M6581" s="91" t="b">
        <v>1</v>
      </c>
    </row>
    <row r="6582" spans="1:13" x14ac:dyDescent="0.25">
      <c r="D6582" s="13">
        <v>6125</v>
      </c>
      <c r="E6582" s="136" t="str">
        <f>INDEX([1]道具配置表!$D:$D,MATCH(D6582,[1]道具配置表!$A:$A,0))</f>
        <v>60分钟建造加速</v>
      </c>
      <c r="F6582" s="13">
        <v>3</v>
      </c>
      <c r="K6582" s="13">
        <v>1</v>
      </c>
      <c r="M6582" s="91" t="b">
        <v>1</v>
      </c>
    </row>
    <row r="6583" spans="1:13" x14ac:dyDescent="0.25">
      <c r="D6583" s="13">
        <v>6165</v>
      </c>
      <c r="E6583" s="136" t="str">
        <f>INDEX([1]道具配置表!$D:$D,MATCH(D6583,[1]道具配置表!$A:$A,0))</f>
        <v>60分钟训练加速</v>
      </c>
      <c r="F6583" s="13">
        <v>3</v>
      </c>
      <c r="K6583" s="13">
        <v>1</v>
      </c>
      <c r="M6583" s="91" t="b">
        <v>1</v>
      </c>
    </row>
    <row r="6584" spans="1:13" x14ac:dyDescent="0.25">
      <c r="D6584" s="13">
        <v>505</v>
      </c>
      <c r="E6584" s="136" t="str">
        <f>INDEX([1]道具配置表!$D:$D,MATCH(D6584,[1]道具配置表!$A:$A,0))</f>
        <v>20万资源自选宝箱</v>
      </c>
      <c r="F6584" s="13">
        <v>6</v>
      </c>
      <c r="K6584" s="13">
        <v>1</v>
      </c>
      <c r="M6584" s="91" t="b">
        <v>1</v>
      </c>
    </row>
    <row r="6585" spans="1:13" x14ac:dyDescent="0.25">
      <c r="A6585" s="13">
        <v>6673104</v>
      </c>
      <c r="B6585" s="13" t="s">
        <v>1300</v>
      </c>
      <c r="D6585" s="13">
        <v>7003</v>
      </c>
      <c r="E6585" s="136" t="str">
        <f>INDEX([1]道具配置表!$D:$D,MATCH(D6585,[1]道具配置表!$A:$A,0))</f>
        <v>1银币（立即使用，不进背包）</v>
      </c>
      <c r="F6585" s="13">
        <v>2000</v>
      </c>
      <c r="K6585" s="13">
        <v>1</v>
      </c>
      <c r="M6585" s="91" t="b">
        <v>1</v>
      </c>
    </row>
    <row r="6586" spans="1:13" x14ac:dyDescent="0.25">
      <c r="D6586" s="13">
        <v>2007</v>
      </c>
      <c r="E6586" s="136" t="str">
        <f>INDEX([1]道具配置表!$D:$D,MATCH(D6586,[1]道具配置表!$A:$A,0))</f>
        <v>大奖池招募券</v>
      </c>
      <c r="F6586" s="13">
        <v>2</v>
      </c>
      <c r="K6586" s="13">
        <v>1</v>
      </c>
      <c r="M6586" s="91" t="b">
        <v>1</v>
      </c>
    </row>
    <row r="6587" spans="1:13" x14ac:dyDescent="0.25">
      <c r="D6587" s="13">
        <v>6125</v>
      </c>
      <c r="E6587" s="136" t="str">
        <f>INDEX([1]道具配置表!$D:$D,MATCH(D6587,[1]道具配置表!$A:$A,0))</f>
        <v>60分钟建造加速</v>
      </c>
      <c r="F6587" s="13">
        <v>2</v>
      </c>
      <c r="K6587" s="13">
        <v>1</v>
      </c>
      <c r="M6587" s="91" t="b">
        <v>1</v>
      </c>
    </row>
    <row r="6588" spans="1:13" x14ac:dyDescent="0.25">
      <c r="D6588" s="13">
        <v>6165</v>
      </c>
      <c r="E6588" s="136" t="str">
        <f>INDEX([1]道具配置表!$D:$D,MATCH(D6588,[1]道具配置表!$A:$A,0))</f>
        <v>60分钟训练加速</v>
      </c>
      <c r="F6588" s="13">
        <v>2</v>
      </c>
      <c r="K6588" s="13">
        <v>1</v>
      </c>
      <c r="M6588" s="91" t="b">
        <v>1</v>
      </c>
    </row>
    <row r="6589" spans="1:13" x14ac:dyDescent="0.25">
      <c r="D6589" s="13">
        <v>505</v>
      </c>
      <c r="E6589" s="136" t="str">
        <f>INDEX([1]道具配置表!$D:$D,MATCH(D6589,[1]道具配置表!$A:$A,0))</f>
        <v>20万资源自选宝箱</v>
      </c>
      <c r="F6589" s="13">
        <v>4</v>
      </c>
      <c r="K6589" s="13">
        <v>1</v>
      </c>
      <c r="M6589" s="91" t="b">
        <v>1</v>
      </c>
    </row>
    <row r="6590" spans="1:13" x14ac:dyDescent="0.25">
      <c r="A6590" s="13">
        <v>6673105</v>
      </c>
      <c r="B6590" s="13" t="s">
        <v>1301</v>
      </c>
      <c r="D6590" s="13">
        <v>7003</v>
      </c>
      <c r="E6590" s="136" t="str">
        <f>INDEX([1]道具配置表!$D:$D,MATCH(D6590,[1]道具配置表!$A:$A,0))</f>
        <v>1银币（立即使用，不进背包）</v>
      </c>
      <c r="F6590" s="13">
        <v>1000</v>
      </c>
      <c r="K6590" s="13">
        <v>1</v>
      </c>
      <c r="M6590" s="91" t="b">
        <v>1</v>
      </c>
    </row>
    <row r="6591" spans="1:13" x14ac:dyDescent="0.25">
      <c r="D6591" s="13">
        <v>2007</v>
      </c>
      <c r="E6591" s="136" t="str">
        <f>INDEX([1]道具配置表!$D:$D,MATCH(D6591,[1]道具配置表!$A:$A,0))</f>
        <v>大奖池招募券</v>
      </c>
      <c r="F6591" s="13">
        <v>1</v>
      </c>
      <c r="K6591" s="13">
        <v>1</v>
      </c>
      <c r="M6591" s="91" t="b">
        <v>1</v>
      </c>
    </row>
    <row r="6592" spans="1:13" x14ac:dyDescent="0.25">
      <c r="D6592" s="13">
        <v>6125</v>
      </c>
      <c r="E6592" s="136" t="str">
        <f>INDEX([1]道具配置表!$D:$D,MATCH(D6592,[1]道具配置表!$A:$A,0))</f>
        <v>60分钟建造加速</v>
      </c>
      <c r="F6592" s="13">
        <v>1</v>
      </c>
      <c r="K6592" s="13">
        <v>1</v>
      </c>
      <c r="M6592" s="91" t="b">
        <v>1</v>
      </c>
    </row>
    <row r="6593" spans="1:13" x14ac:dyDescent="0.25">
      <c r="D6593" s="13">
        <v>6201</v>
      </c>
      <c r="E6593" s="136" t="str">
        <f>INDEX([1]道具配置表!$D:$D,MATCH(D6593,[1]道具配置表!$A:$A,0))</f>
        <v>60分钟锻造加速</v>
      </c>
      <c r="F6593" s="13">
        <v>1</v>
      </c>
      <c r="K6593" s="13">
        <v>1</v>
      </c>
      <c r="M6593" s="91" t="b">
        <v>1</v>
      </c>
    </row>
    <row r="6594" spans="1:13" x14ac:dyDescent="0.25">
      <c r="D6594" s="13">
        <v>505</v>
      </c>
      <c r="E6594" s="136" t="str">
        <f>INDEX([1]道具配置表!$D:$D,MATCH(D6594,[1]道具配置表!$A:$A,0))</f>
        <v>20万资源自选宝箱</v>
      </c>
      <c r="F6594" s="13">
        <v>3</v>
      </c>
      <c r="K6594" s="13">
        <v>1</v>
      </c>
      <c r="M6594" s="91" t="b">
        <v>1</v>
      </c>
    </row>
    <row r="6595" spans="1:13" x14ac:dyDescent="0.25">
      <c r="A6595" s="13">
        <v>6673106</v>
      </c>
      <c r="B6595" s="13" t="s">
        <v>1302</v>
      </c>
      <c r="D6595" s="13">
        <v>7003</v>
      </c>
      <c r="E6595" s="136" t="str">
        <f>INDEX([1]道具配置表!$D:$D,MATCH(D6595,[1]道具配置表!$A:$A,0))</f>
        <v>1银币（立即使用，不进背包）</v>
      </c>
      <c r="F6595" s="13">
        <v>500</v>
      </c>
      <c r="K6595" s="13">
        <v>1</v>
      </c>
      <c r="M6595" s="91" t="b">
        <v>1</v>
      </c>
    </row>
    <row r="6596" spans="1:13" x14ac:dyDescent="0.25">
      <c r="D6596" s="13">
        <v>6122</v>
      </c>
      <c r="E6596" s="136" t="str">
        <f>INDEX([1]道具配置表!$D:$D,MATCH(D6596,[1]道具配置表!$A:$A,0))</f>
        <v>10分钟建造加速</v>
      </c>
      <c r="F6596" s="13">
        <v>5</v>
      </c>
      <c r="K6596" s="13">
        <v>1</v>
      </c>
      <c r="M6596" s="91" t="b">
        <v>1</v>
      </c>
    </row>
    <row r="6597" spans="1:13" x14ac:dyDescent="0.25">
      <c r="D6597" s="13">
        <v>6162</v>
      </c>
      <c r="E6597" s="136" t="str">
        <f>INDEX([1]道具配置表!$D:$D,MATCH(D6597,[1]道具配置表!$A:$A,0))</f>
        <v>10分钟训练加速</v>
      </c>
      <c r="F6597" s="13">
        <v>5</v>
      </c>
      <c r="K6597" s="13">
        <v>1</v>
      </c>
      <c r="M6597" s="91" t="b">
        <v>1</v>
      </c>
    </row>
    <row r="6598" spans="1:13" x14ac:dyDescent="0.25">
      <c r="D6598" s="13">
        <v>505</v>
      </c>
      <c r="E6598" s="136" t="str">
        <f>INDEX([1]道具配置表!$D:$D,MATCH(D6598,[1]道具配置表!$A:$A,0))</f>
        <v>20万资源自选宝箱</v>
      </c>
      <c r="F6598" s="13">
        <v>2</v>
      </c>
      <c r="K6598" s="13">
        <v>1</v>
      </c>
      <c r="M6598" s="91" t="b">
        <v>1</v>
      </c>
    </row>
    <row r="6599" spans="1:13" x14ac:dyDescent="0.25">
      <c r="A6599" s="13">
        <v>6673107</v>
      </c>
      <c r="B6599" s="13" t="s">
        <v>1303</v>
      </c>
      <c r="D6599" s="13">
        <v>7003</v>
      </c>
      <c r="E6599" s="136" t="str">
        <f>INDEX([1]道具配置表!$D:$D,MATCH(D6599,[1]道具配置表!$A:$A,0))</f>
        <v>1银币（立即使用，不进背包）</v>
      </c>
      <c r="F6599" s="13">
        <v>300</v>
      </c>
      <c r="K6599" s="13">
        <v>1</v>
      </c>
      <c r="M6599" s="91" t="b">
        <v>1</v>
      </c>
    </row>
    <row r="6600" spans="1:13" x14ac:dyDescent="0.25">
      <c r="D6600" s="13">
        <v>6122</v>
      </c>
      <c r="E6600" s="136" t="str">
        <f>INDEX([1]道具配置表!$D:$D,MATCH(D6600,[1]道具配置表!$A:$A,0))</f>
        <v>10分钟建造加速</v>
      </c>
      <c r="F6600" s="13">
        <v>4</v>
      </c>
      <c r="K6600" s="13">
        <v>1</v>
      </c>
      <c r="M6600" s="91" t="b">
        <v>1</v>
      </c>
    </row>
    <row r="6601" spans="1:13" x14ac:dyDescent="0.25">
      <c r="D6601" s="13">
        <v>6162</v>
      </c>
      <c r="E6601" s="136" t="str">
        <f>INDEX([1]道具配置表!$D:$D,MATCH(D6601,[1]道具配置表!$A:$A,0))</f>
        <v>10分钟训练加速</v>
      </c>
      <c r="F6601" s="13">
        <v>4</v>
      </c>
      <c r="K6601" s="13">
        <v>1</v>
      </c>
      <c r="M6601" s="91" t="b">
        <v>1</v>
      </c>
    </row>
    <row r="6602" spans="1:13" x14ac:dyDescent="0.25">
      <c r="D6602" s="13">
        <v>504</v>
      </c>
      <c r="E6602" s="136" t="str">
        <f>INDEX([1]道具配置表!$D:$D,MATCH(D6602,[1]道具配置表!$A:$A,0))</f>
        <v>10万资源自选宝箱</v>
      </c>
      <c r="F6602" s="13">
        <v>3</v>
      </c>
      <c r="K6602" s="13">
        <v>1</v>
      </c>
      <c r="M6602" s="91" t="b">
        <v>1</v>
      </c>
    </row>
    <row r="6603" spans="1:13" x14ac:dyDescent="0.25">
      <c r="A6603" s="13">
        <v>6673108</v>
      </c>
      <c r="B6603" s="13" t="s">
        <v>1304</v>
      </c>
      <c r="D6603" s="13">
        <v>7003</v>
      </c>
      <c r="E6603" s="136" t="str">
        <f>INDEX([1]道具配置表!$D:$D,MATCH(D6603,[1]道具配置表!$A:$A,0))</f>
        <v>1银币（立即使用，不进背包）</v>
      </c>
      <c r="F6603" s="13">
        <v>200</v>
      </c>
      <c r="K6603" s="13">
        <v>1</v>
      </c>
      <c r="M6603" s="91" t="b">
        <v>1</v>
      </c>
    </row>
    <row r="6604" spans="1:13" x14ac:dyDescent="0.25">
      <c r="D6604" s="13">
        <v>6122</v>
      </c>
      <c r="E6604" s="136" t="str">
        <f>INDEX([1]道具配置表!$D:$D,MATCH(D6604,[1]道具配置表!$A:$A,0))</f>
        <v>10分钟建造加速</v>
      </c>
      <c r="F6604" s="13">
        <v>3</v>
      </c>
      <c r="K6604" s="13">
        <v>1</v>
      </c>
      <c r="M6604" s="91" t="b">
        <v>1</v>
      </c>
    </row>
    <row r="6605" spans="1:13" x14ac:dyDescent="0.25">
      <c r="D6605" s="13">
        <v>6162</v>
      </c>
      <c r="E6605" s="136" t="str">
        <f>INDEX([1]道具配置表!$D:$D,MATCH(D6605,[1]道具配置表!$A:$A,0))</f>
        <v>10分钟训练加速</v>
      </c>
      <c r="F6605" s="13">
        <v>3</v>
      </c>
      <c r="K6605" s="13">
        <v>1</v>
      </c>
      <c r="M6605" s="91" t="b">
        <v>1</v>
      </c>
    </row>
    <row r="6606" spans="1:13" x14ac:dyDescent="0.25">
      <c r="D6606" s="13">
        <v>504</v>
      </c>
      <c r="E6606" s="136" t="str">
        <f>INDEX([1]道具配置表!$D:$D,MATCH(D6606,[1]道具配置表!$A:$A,0))</f>
        <v>10万资源自选宝箱</v>
      </c>
      <c r="F6606" s="13">
        <v>2</v>
      </c>
      <c r="K6606" s="13">
        <v>1</v>
      </c>
      <c r="M6606" s="91" t="b">
        <v>1</v>
      </c>
    </row>
    <row r="6607" spans="1:13" x14ac:dyDescent="0.25">
      <c r="A6607" s="13">
        <v>6673109</v>
      </c>
      <c r="B6607" s="13" t="s">
        <v>1305</v>
      </c>
      <c r="D6607" s="13">
        <v>7003</v>
      </c>
      <c r="E6607" s="136" t="str">
        <f>INDEX([1]道具配置表!$D:$D,MATCH(D6607,[1]道具配置表!$A:$A,0))</f>
        <v>1银币（立即使用，不进背包）</v>
      </c>
      <c r="F6607" s="13">
        <v>100</v>
      </c>
      <c r="K6607" s="13">
        <v>1</v>
      </c>
      <c r="M6607" s="91" t="b">
        <v>1</v>
      </c>
    </row>
    <row r="6608" spans="1:13" x14ac:dyDescent="0.25">
      <c r="D6608" s="13">
        <v>6122</v>
      </c>
      <c r="E6608" s="136" t="str">
        <f>INDEX([1]道具配置表!$D:$D,MATCH(D6608,[1]道具配置表!$A:$A,0))</f>
        <v>10分钟建造加速</v>
      </c>
      <c r="F6608" s="13">
        <v>2</v>
      </c>
      <c r="K6608" s="13">
        <v>1</v>
      </c>
      <c r="M6608" s="91" t="b">
        <v>1</v>
      </c>
    </row>
    <row r="6609" spans="1:13" x14ac:dyDescent="0.25">
      <c r="D6609" s="13">
        <v>6162</v>
      </c>
      <c r="E6609" s="136" t="str">
        <f>INDEX([1]道具配置表!$D:$D,MATCH(D6609,[1]道具配置表!$A:$A,0))</f>
        <v>10分钟训练加速</v>
      </c>
      <c r="F6609" s="13">
        <v>2</v>
      </c>
      <c r="K6609" s="13">
        <v>1</v>
      </c>
      <c r="M6609" s="91" t="b">
        <v>1</v>
      </c>
    </row>
    <row r="6610" spans="1:13" x14ac:dyDescent="0.25">
      <c r="D6610" s="13">
        <v>504</v>
      </c>
      <c r="E6610" s="136" t="str">
        <f>INDEX([1]道具配置表!$D:$D,MATCH(D6610,[1]道具配置表!$A:$A,0))</f>
        <v>10万资源自选宝箱</v>
      </c>
      <c r="F6610" s="13">
        <v>1</v>
      </c>
      <c r="K6610" s="13">
        <v>1</v>
      </c>
      <c r="M6610" s="91" t="b">
        <v>1</v>
      </c>
    </row>
    <row r="6611" spans="1:13" x14ac:dyDescent="0.25">
      <c r="A6611" s="13">
        <v>6653001</v>
      </c>
      <c r="B6611" s="13" t="s">
        <v>1406</v>
      </c>
      <c r="D6611" s="13">
        <v>7003</v>
      </c>
      <c r="E6611" s="136" t="str">
        <f>INDEX([1]道具配置表!$D:$D,MATCH(D6611,[1]道具配置表!$A:$A,0))</f>
        <v>1银币（立即使用，不进背包）</v>
      </c>
      <c r="F6611" s="13">
        <v>30</v>
      </c>
      <c r="K6611" s="13">
        <v>1</v>
      </c>
      <c r="M6611" s="92" t="b">
        <v>1</v>
      </c>
    </row>
    <row r="6612" spans="1:13" x14ac:dyDescent="0.25">
      <c r="A6612" s="13">
        <v>6653002</v>
      </c>
      <c r="B6612" s="13" t="s">
        <v>1407</v>
      </c>
      <c r="D6612" s="13">
        <v>7003</v>
      </c>
      <c r="E6612" s="136" t="str">
        <f>INDEX([1]道具配置表!$D:$D,MATCH(D6612,[1]道具配置表!$A:$A,0))</f>
        <v>1银币（立即使用，不进背包）</v>
      </c>
      <c r="F6612" s="13">
        <v>30</v>
      </c>
      <c r="K6612" s="13">
        <v>1</v>
      </c>
      <c r="M6612" s="92" t="b">
        <v>1</v>
      </c>
    </row>
    <row r="6613" spans="1:13" x14ac:dyDescent="0.25">
      <c r="A6613" s="13">
        <v>6653003</v>
      </c>
      <c r="B6613" s="13" t="s">
        <v>1408</v>
      </c>
      <c r="D6613" s="13">
        <v>7003</v>
      </c>
      <c r="E6613" s="136" t="str">
        <f>INDEX([1]道具配置表!$D:$D,MATCH(D6613,[1]道具配置表!$A:$A,0))</f>
        <v>1银币（立即使用，不进背包）</v>
      </c>
      <c r="F6613" s="13">
        <v>30</v>
      </c>
      <c r="K6613" s="13">
        <v>1</v>
      </c>
      <c r="M6613" s="92" t="b">
        <v>1</v>
      </c>
    </row>
    <row r="6614" spans="1:13" x14ac:dyDescent="0.25">
      <c r="A6614" s="13">
        <v>6653004</v>
      </c>
      <c r="B6614" s="13" t="s">
        <v>1409</v>
      </c>
      <c r="D6614" s="13">
        <v>7003</v>
      </c>
      <c r="E6614" s="136" t="str">
        <f>INDEX([1]道具配置表!$D:$D,MATCH(D6614,[1]道具配置表!$A:$A,0))</f>
        <v>1银币（立即使用，不进背包）</v>
      </c>
      <c r="F6614" s="13">
        <v>30</v>
      </c>
      <c r="K6614" s="13">
        <v>1</v>
      </c>
      <c r="M6614" s="92" t="b">
        <v>1</v>
      </c>
    </row>
    <row r="6615" spans="1:13" x14ac:dyDescent="0.25">
      <c r="A6615" s="13">
        <v>6653005</v>
      </c>
      <c r="B6615" s="13" t="s">
        <v>1410</v>
      </c>
      <c r="D6615" s="13">
        <v>7003</v>
      </c>
      <c r="E6615" s="136" t="str">
        <f>INDEX([1]道具配置表!$D:$D,MATCH(D6615,[1]道具配置表!$A:$A,0))</f>
        <v>1银币（立即使用，不进背包）</v>
      </c>
      <c r="F6615" s="13">
        <v>30</v>
      </c>
      <c r="K6615" s="13">
        <v>1</v>
      </c>
      <c r="M6615" s="92" t="b">
        <v>1</v>
      </c>
    </row>
    <row r="6616" spans="1:13" x14ac:dyDescent="0.25">
      <c r="A6616" s="13">
        <v>6653006</v>
      </c>
      <c r="B6616" s="13" t="s">
        <v>1411</v>
      </c>
      <c r="D6616" s="13">
        <v>7003</v>
      </c>
      <c r="E6616" s="136" t="str">
        <f>INDEX([1]道具配置表!$D:$D,MATCH(D6616,[1]道具配置表!$A:$A,0))</f>
        <v>1银币（立即使用，不进背包）</v>
      </c>
      <c r="F6616" s="13">
        <v>30</v>
      </c>
      <c r="K6616" s="13">
        <v>1</v>
      </c>
      <c r="M6616" s="92" t="b">
        <v>1</v>
      </c>
    </row>
    <row r="6617" spans="1:13" x14ac:dyDescent="0.25">
      <c r="A6617" s="13">
        <v>6653007</v>
      </c>
      <c r="B6617" s="13" t="s">
        <v>1412</v>
      </c>
      <c r="D6617" s="13">
        <v>7003</v>
      </c>
      <c r="E6617" s="136" t="str">
        <f>INDEX([1]道具配置表!$D:$D,MATCH(D6617,[1]道具配置表!$A:$A,0))</f>
        <v>1银币（立即使用，不进背包）</v>
      </c>
      <c r="F6617" s="13">
        <v>30</v>
      </c>
      <c r="K6617" s="13">
        <v>1</v>
      </c>
      <c r="M6617" s="92" t="b">
        <v>1</v>
      </c>
    </row>
    <row r="6618" spans="1:13" x14ac:dyDescent="0.25">
      <c r="A6618" s="13">
        <v>6653008</v>
      </c>
      <c r="B6618" s="13" t="s">
        <v>1413</v>
      </c>
      <c r="D6618" s="13">
        <v>7003</v>
      </c>
      <c r="E6618" s="136" t="str">
        <f>INDEX([1]道具配置表!$D:$D,MATCH(D6618,[1]道具配置表!$A:$A,0))</f>
        <v>1银币（立即使用，不进背包）</v>
      </c>
      <c r="F6618" s="13">
        <v>30</v>
      </c>
      <c r="K6618" s="13">
        <v>1</v>
      </c>
      <c r="M6618" s="92" t="b">
        <v>1</v>
      </c>
    </row>
    <row r="6619" spans="1:13" x14ac:dyDescent="0.25">
      <c r="A6619" s="13">
        <v>6653009</v>
      </c>
      <c r="B6619" s="13" t="s">
        <v>1414</v>
      </c>
      <c r="D6619" s="13">
        <v>7003</v>
      </c>
      <c r="E6619" s="136" t="str">
        <f>INDEX([1]道具配置表!$D:$D,MATCH(D6619,[1]道具配置表!$A:$A,0))</f>
        <v>1银币（立即使用，不进背包）</v>
      </c>
      <c r="F6619" s="13">
        <v>30</v>
      </c>
      <c r="K6619" s="13">
        <v>1</v>
      </c>
      <c r="M6619" s="92" t="b">
        <v>1</v>
      </c>
    </row>
    <row r="6620" spans="1:13" x14ac:dyDescent="0.25">
      <c r="A6620" s="13">
        <v>6653010</v>
      </c>
      <c r="B6620" s="13" t="s">
        <v>1415</v>
      </c>
      <c r="D6620" s="13">
        <v>7003</v>
      </c>
      <c r="E6620" s="136" t="str">
        <f>INDEX([1]道具配置表!$D:$D,MATCH(D6620,[1]道具配置表!$A:$A,0))</f>
        <v>1银币（立即使用，不进背包）</v>
      </c>
      <c r="F6620" s="13">
        <v>30</v>
      </c>
      <c r="K6620" s="13">
        <v>1</v>
      </c>
      <c r="M6620" s="92" t="b">
        <v>1</v>
      </c>
    </row>
    <row r="6621" spans="1:13" x14ac:dyDescent="0.25">
      <c r="A6621" s="13">
        <v>6653011</v>
      </c>
      <c r="B6621" s="13" t="s">
        <v>1416</v>
      </c>
      <c r="D6621" s="13">
        <v>7003</v>
      </c>
      <c r="E6621" s="136" t="str">
        <f>INDEX([1]道具配置表!$D:$D,MATCH(D6621,[1]道具配置表!$A:$A,0))</f>
        <v>1银币（立即使用，不进背包）</v>
      </c>
      <c r="F6621" s="13">
        <v>30</v>
      </c>
      <c r="K6621" s="13">
        <v>1</v>
      </c>
      <c r="M6621" s="92" t="b">
        <v>1</v>
      </c>
    </row>
    <row r="6622" spans="1:13" x14ac:dyDescent="0.25">
      <c r="A6622" s="13">
        <v>6653012</v>
      </c>
      <c r="B6622" s="13" t="s">
        <v>1417</v>
      </c>
      <c r="D6622" s="13">
        <v>7003</v>
      </c>
      <c r="E6622" s="136" t="str">
        <f>INDEX([1]道具配置表!$D:$D,MATCH(D6622,[1]道具配置表!$A:$A,0))</f>
        <v>1银币（立即使用，不进背包）</v>
      </c>
      <c r="F6622" s="13">
        <v>30</v>
      </c>
      <c r="K6622" s="13">
        <v>1</v>
      </c>
      <c r="M6622" s="92" t="b">
        <v>1</v>
      </c>
    </row>
    <row r="6623" spans="1:13" x14ac:dyDescent="0.25">
      <c r="A6623" s="13">
        <v>6653013</v>
      </c>
      <c r="B6623" s="13" t="s">
        <v>1418</v>
      </c>
      <c r="D6623" s="13">
        <v>7003</v>
      </c>
      <c r="E6623" s="136" t="str">
        <f>INDEX([1]道具配置表!$D:$D,MATCH(D6623,[1]道具配置表!$A:$A,0))</f>
        <v>1银币（立即使用，不进背包）</v>
      </c>
      <c r="F6623" s="13">
        <v>30</v>
      </c>
      <c r="K6623" s="13">
        <v>1</v>
      </c>
      <c r="M6623" s="92" t="b">
        <v>1</v>
      </c>
    </row>
    <row r="6624" spans="1:13" x14ac:dyDescent="0.25">
      <c r="A6624" s="13">
        <v>6653014</v>
      </c>
      <c r="B6624" s="13" t="s">
        <v>1419</v>
      </c>
      <c r="D6624" s="13">
        <v>7003</v>
      </c>
      <c r="E6624" s="136" t="str">
        <f>INDEX([1]道具配置表!$D:$D,MATCH(D6624,[1]道具配置表!$A:$A,0))</f>
        <v>1银币（立即使用，不进背包）</v>
      </c>
      <c r="F6624" s="13">
        <v>30</v>
      </c>
      <c r="K6624" s="13">
        <v>1</v>
      </c>
      <c r="M6624" s="92" t="b">
        <v>1</v>
      </c>
    </row>
    <row r="6625" spans="1:13" x14ac:dyDescent="0.25">
      <c r="A6625" s="13">
        <v>6653015</v>
      </c>
      <c r="B6625" s="13" t="s">
        <v>1420</v>
      </c>
      <c r="D6625" s="13">
        <v>7003</v>
      </c>
      <c r="E6625" s="136" t="str">
        <f>INDEX([1]道具配置表!$D:$D,MATCH(D6625,[1]道具配置表!$A:$A,0))</f>
        <v>1银币（立即使用，不进背包）</v>
      </c>
      <c r="F6625" s="13">
        <v>30</v>
      </c>
      <c r="K6625" s="13">
        <v>1</v>
      </c>
      <c r="M6625" s="92" t="b">
        <v>1</v>
      </c>
    </row>
    <row r="6626" spans="1:13" x14ac:dyDescent="0.25">
      <c r="A6626" s="13">
        <v>6653016</v>
      </c>
      <c r="B6626" s="13" t="s">
        <v>1421</v>
      </c>
      <c r="D6626" s="13">
        <v>7003</v>
      </c>
      <c r="E6626" s="136" t="str">
        <f>INDEX([1]道具配置表!$D:$D,MATCH(D6626,[1]道具配置表!$A:$A,0))</f>
        <v>1银币（立即使用，不进背包）</v>
      </c>
      <c r="F6626" s="13">
        <v>30</v>
      </c>
      <c r="K6626" s="13">
        <v>1</v>
      </c>
      <c r="M6626" s="92" t="b">
        <v>1</v>
      </c>
    </row>
    <row r="6627" spans="1:13" x14ac:dyDescent="0.25">
      <c r="A6627" s="13">
        <v>6653017</v>
      </c>
      <c r="B6627" s="13" t="s">
        <v>1422</v>
      </c>
      <c r="D6627" s="13">
        <v>7003</v>
      </c>
      <c r="E6627" s="136" t="str">
        <f>INDEX([1]道具配置表!$D:$D,MATCH(D6627,[1]道具配置表!$A:$A,0))</f>
        <v>1银币（立即使用，不进背包）</v>
      </c>
      <c r="F6627" s="13">
        <v>30</v>
      </c>
      <c r="K6627" s="13">
        <v>1</v>
      </c>
      <c r="M6627" s="92" t="b">
        <v>1</v>
      </c>
    </row>
    <row r="6628" spans="1:13" x14ac:dyDescent="0.25">
      <c r="A6628" s="13">
        <v>6653018</v>
      </c>
      <c r="B6628" s="13" t="s">
        <v>1423</v>
      </c>
      <c r="D6628" s="13">
        <v>7003</v>
      </c>
      <c r="E6628" s="136" t="str">
        <f>INDEX([1]道具配置表!$D:$D,MATCH(D6628,[1]道具配置表!$A:$A,0))</f>
        <v>1银币（立即使用，不进背包）</v>
      </c>
      <c r="F6628" s="13">
        <v>30</v>
      </c>
      <c r="K6628" s="13">
        <v>1</v>
      </c>
      <c r="M6628" s="92" t="b">
        <v>1</v>
      </c>
    </row>
    <row r="6629" spans="1:13" x14ac:dyDescent="0.25">
      <c r="A6629" s="13">
        <v>6653019</v>
      </c>
      <c r="B6629" s="13" t="s">
        <v>1424</v>
      </c>
      <c r="D6629" s="13">
        <v>7003</v>
      </c>
      <c r="E6629" s="136" t="str">
        <f>INDEX([1]道具配置表!$D:$D,MATCH(D6629,[1]道具配置表!$A:$A,0))</f>
        <v>1银币（立即使用，不进背包）</v>
      </c>
      <c r="F6629" s="13">
        <v>30</v>
      </c>
      <c r="K6629" s="13">
        <v>1</v>
      </c>
      <c r="M6629" s="92" t="b">
        <v>1</v>
      </c>
    </row>
    <row r="6630" spans="1:13" x14ac:dyDescent="0.25">
      <c r="A6630" s="13">
        <v>6653020</v>
      </c>
      <c r="B6630" s="13" t="s">
        <v>1425</v>
      </c>
      <c r="D6630" s="13">
        <v>7003</v>
      </c>
      <c r="E6630" s="136" t="str">
        <f>INDEX([1]道具配置表!$D:$D,MATCH(D6630,[1]道具配置表!$A:$A,0))</f>
        <v>1银币（立即使用，不进背包）</v>
      </c>
      <c r="F6630" s="13">
        <v>30</v>
      </c>
      <c r="K6630" s="13">
        <v>1</v>
      </c>
      <c r="M6630" s="92" t="b">
        <v>1</v>
      </c>
    </row>
    <row r="6631" spans="1:13" x14ac:dyDescent="0.25">
      <c r="A6631" s="13">
        <v>6661010</v>
      </c>
      <c r="B6631" s="13" t="s">
        <v>1426</v>
      </c>
      <c r="D6631" s="13">
        <v>7003</v>
      </c>
      <c r="E6631" s="136" t="str">
        <f>INDEX([1]道具配置表!$D:$D,MATCH(D6631,[1]道具配置表!$A:$A,0))</f>
        <v>1银币（立即使用，不进背包）</v>
      </c>
      <c r="F6631" s="13">
        <v>200</v>
      </c>
      <c r="K6631" s="13">
        <v>1</v>
      </c>
      <c r="M6631" s="93" t="b">
        <v>1</v>
      </c>
    </row>
    <row r="6632" spans="1:13" x14ac:dyDescent="0.25">
      <c r="D6632" s="13">
        <v>111</v>
      </c>
      <c r="E6632" s="136" t="str">
        <f>INDEX([1]道具配置表!$D:$D,MATCH(D6632,[1]道具配置表!$A:$A,0))</f>
        <v>1千木材</v>
      </c>
      <c r="F6632" s="13">
        <v>1</v>
      </c>
      <c r="K6632" s="13">
        <v>1</v>
      </c>
      <c r="M6632" s="93" t="b">
        <v>1</v>
      </c>
    </row>
    <row r="6633" spans="1:13" x14ac:dyDescent="0.25">
      <c r="D6633" s="13">
        <v>112</v>
      </c>
      <c r="E6633" s="136" t="str">
        <f>INDEX([1]道具配置表!$D:$D,MATCH(D6633,[1]道具配置表!$A:$A,0))</f>
        <v>1千食物</v>
      </c>
      <c r="F6633" s="13">
        <v>1</v>
      </c>
      <c r="K6633" s="13">
        <v>1</v>
      </c>
      <c r="M6633" s="93" t="b">
        <v>1</v>
      </c>
    </row>
    <row r="6634" spans="1:13" x14ac:dyDescent="0.25">
      <c r="D6634" s="13">
        <v>113</v>
      </c>
      <c r="E6634" s="136" t="str">
        <f>INDEX([1]道具配置表!$D:$D,MATCH(D6634,[1]道具配置表!$A:$A,0))</f>
        <v>1千石头</v>
      </c>
      <c r="F6634" s="13">
        <v>1</v>
      </c>
      <c r="K6634" s="13">
        <v>1</v>
      </c>
      <c r="M6634" s="93" t="b">
        <v>1</v>
      </c>
    </row>
    <row r="6635" spans="1:13" x14ac:dyDescent="0.25">
      <c r="D6635" s="13">
        <v>114</v>
      </c>
      <c r="E6635" s="136" t="str">
        <f>INDEX([1]道具配置表!$D:$D,MATCH(D6635,[1]道具配置表!$A:$A,0))</f>
        <v>1千黄金</v>
      </c>
      <c r="F6635" s="13">
        <v>1</v>
      </c>
      <c r="K6635" s="13">
        <v>1</v>
      </c>
      <c r="M6635" s="93" t="b">
        <v>1</v>
      </c>
    </row>
    <row r="6636" spans="1:13" x14ac:dyDescent="0.25">
      <c r="A6636" s="13">
        <v>6654001</v>
      </c>
      <c r="B6636" s="13" t="s">
        <v>1428</v>
      </c>
      <c r="D6636" s="13">
        <v>49539</v>
      </c>
      <c r="E6636" s="136" t="str">
        <f>INDEX([1]道具配置表!$D:$D,MATCH(D6636,[1]道具配置表!$A:$A,0))</f>
        <v>祈愿占卜抽奖券</v>
      </c>
      <c r="F6636" s="13">
        <v>1</v>
      </c>
      <c r="K6636" s="13">
        <v>1</v>
      </c>
      <c r="M6636" s="94" t="b">
        <v>1</v>
      </c>
    </row>
    <row r="6637" spans="1:13" x14ac:dyDescent="0.25">
      <c r="A6637" s="13">
        <v>6654002</v>
      </c>
      <c r="B6637" s="13" t="s">
        <v>1429</v>
      </c>
      <c r="D6637" s="13">
        <v>49539</v>
      </c>
      <c r="E6637" s="136" t="str">
        <f>INDEX([1]道具配置表!$D:$D,MATCH(D6637,[1]道具配置表!$A:$A,0))</f>
        <v>祈愿占卜抽奖券</v>
      </c>
      <c r="F6637" s="13">
        <v>1</v>
      </c>
      <c r="K6637" s="13">
        <v>1</v>
      </c>
      <c r="M6637" s="94" t="b">
        <v>1</v>
      </c>
    </row>
    <row r="6638" spans="1:13" x14ac:dyDescent="0.25">
      <c r="A6638" s="13">
        <v>6654003</v>
      </c>
      <c r="B6638" s="13" t="s">
        <v>1430</v>
      </c>
      <c r="D6638" s="13">
        <v>49539</v>
      </c>
      <c r="E6638" s="136" t="str">
        <f>INDEX([1]道具配置表!$D:$D,MATCH(D6638,[1]道具配置表!$A:$A,0))</f>
        <v>祈愿占卜抽奖券</v>
      </c>
      <c r="F6638" s="13">
        <v>2</v>
      </c>
      <c r="K6638" s="13">
        <v>1</v>
      </c>
      <c r="M6638" s="94" t="b">
        <v>1</v>
      </c>
    </row>
    <row r="6639" spans="1:13" x14ac:dyDescent="0.25">
      <c r="D6639" s="13">
        <v>49603</v>
      </c>
      <c r="E6639" s="136" t="str">
        <f>INDEX([1]道具配置表!$D:$D,MATCH(D6639,[1]道具配置表!$A:$A,0))</f>
        <v>vip经验50</v>
      </c>
      <c r="F6639" s="13">
        <v>5</v>
      </c>
      <c r="K6639" s="13">
        <v>1</v>
      </c>
      <c r="M6639" s="94" t="b">
        <v>1</v>
      </c>
    </row>
    <row r="6640" spans="1:13" x14ac:dyDescent="0.25">
      <c r="A6640" s="13">
        <v>6654004</v>
      </c>
      <c r="B6640" s="13" t="s">
        <v>1431</v>
      </c>
      <c r="D6640" s="13">
        <v>49539</v>
      </c>
      <c r="E6640" s="136" t="str">
        <f>INDEX([1]道具配置表!$D:$D,MATCH(D6640,[1]道具配置表!$A:$A,0))</f>
        <v>祈愿占卜抽奖券</v>
      </c>
      <c r="F6640" s="13">
        <v>3</v>
      </c>
      <c r="K6640" s="13">
        <v>1</v>
      </c>
      <c r="M6640" s="94" t="b">
        <v>1</v>
      </c>
    </row>
    <row r="6641" spans="1:13" x14ac:dyDescent="0.25">
      <c r="D6641" s="13">
        <v>49603</v>
      </c>
      <c r="E6641" s="136" t="str">
        <f>INDEX([1]道具配置表!$D:$D,MATCH(D6641,[1]道具配置表!$A:$A,0))</f>
        <v>vip经验50</v>
      </c>
      <c r="F6641" s="13">
        <v>15</v>
      </c>
      <c r="K6641" s="13">
        <v>1</v>
      </c>
      <c r="M6641" s="94" t="b">
        <v>1</v>
      </c>
    </row>
    <row r="6642" spans="1:13" x14ac:dyDescent="0.25">
      <c r="A6642" s="13">
        <v>6654005</v>
      </c>
      <c r="B6642" s="13" t="s">
        <v>1432</v>
      </c>
      <c r="D6642" s="13">
        <v>49539</v>
      </c>
      <c r="E6642" s="136" t="str">
        <f>INDEX([1]道具配置表!$D:$D,MATCH(D6642,[1]道具配置表!$A:$A,0))</f>
        <v>祈愿占卜抽奖券</v>
      </c>
      <c r="F6642" s="13">
        <v>8</v>
      </c>
      <c r="K6642" s="13">
        <v>1</v>
      </c>
      <c r="M6642" s="94" t="b">
        <v>1</v>
      </c>
    </row>
    <row r="6643" spans="1:13" x14ac:dyDescent="0.25">
      <c r="D6643" s="13">
        <v>49603</v>
      </c>
      <c r="E6643" s="136" t="str">
        <f>INDEX([1]道具配置表!$D:$D,MATCH(D6643,[1]道具配置表!$A:$A,0))</f>
        <v>vip经验50</v>
      </c>
      <c r="F6643" s="13">
        <v>50</v>
      </c>
      <c r="K6643" s="13">
        <v>1</v>
      </c>
      <c r="M6643" s="94" t="b">
        <v>1</v>
      </c>
    </row>
    <row r="6644" spans="1:13" x14ac:dyDescent="0.25">
      <c r="A6644" s="13">
        <v>6654006</v>
      </c>
      <c r="B6644" s="13" t="s">
        <v>1433</v>
      </c>
      <c r="D6644" s="13">
        <v>49539</v>
      </c>
      <c r="E6644" s="136" t="str">
        <f>INDEX([1]道具配置表!$D:$D,MATCH(D6644,[1]道具配置表!$A:$A,0))</f>
        <v>祈愿占卜抽奖券</v>
      </c>
      <c r="F6644" s="13">
        <v>10</v>
      </c>
      <c r="K6644" s="13">
        <v>1</v>
      </c>
      <c r="M6644" s="94" t="b">
        <v>1</v>
      </c>
    </row>
    <row r="6645" spans="1:13" x14ac:dyDescent="0.25">
      <c r="D6645" s="13">
        <v>49604</v>
      </c>
      <c r="E6645" s="136" t="str">
        <f>INDEX([1]道具配置表!$D:$D,MATCH(D6645,[1]道具配置表!$A:$A,0))</f>
        <v>vip经验100</v>
      </c>
      <c r="F6645" s="13">
        <v>50</v>
      </c>
      <c r="K6645" s="13">
        <v>1</v>
      </c>
      <c r="M6645" s="94" t="b">
        <v>1</v>
      </c>
    </row>
    <row r="6646" spans="1:13" x14ac:dyDescent="0.25">
      <c r="A6646" s="13">
        <v>6654007</v>
      </c>
      <c r="B6646" s="13" t="s">
        <v>1434</v>
      </c>
      <c r="D6646" s="13">
        <v>49539</v>
      </c>
      <c r="E6646" s="136" t="str">
        <f>INDEX([1]道具配置表!$D:$D,MATCH(D6646,[1]道具配置表!$A:$A,0))</f>
        <v>祈愿占卜抽奖券</v>
      </c>
      <c r="F6646" s="13">
        <v>20</v>
      </c>
      <c r="K6646" s="13">
        <v>1</v>
      </c>
      <c r="M6646" s="94" t="b">
        <v>1</v>
      </c>
    </row>
    <row r="6647" spans="1:13" x14ac:dyDescent="0.25">
      <c r="D6647" s="13">
        <v>49604</v>
      </c>
      <c r="E6647" s="136" t="str">
        <f>INDEX([1]道具配置表!$D:$D,MATCH(D6647,[1]道具配置表!$A:$A,0))</f>
        <v>vip经验100</v>
      </c>
      <c r="F6647" s="13">
        <v>125</v>
      </c>
      <c r="K6647" s="13">
        <v>1</v>
      </c>
      <c r="M6647" s="94" t="b">
        <v>1</v>
      </c>
    </row>
    <row r="6648" spans="1:13" x14ac:dyDescent="0.25">
      <c r="A6648" s="13">
        <v>6655001</v>
      </c>
      <c r="B6648" s="13" t="s">
        <v>1479</v>
      </c>
      <c r="D6648" s="13">
        <v>56002</v>
      </c>
      <c r="E6648" s="136" t="str">
        <f>INDEX([1]道具配置表!$D:$D,MATCH(D6648,[1]道具配置表!$A:$A,0))</f>
        <v>强化装备消耗材料</v>
      </c>
      <c r="F6648" s="13">
        <v>10</v>
      </c>
      <c r="K6648" s="13">
        <v>1</v>
      </c>
      <c r="M6648" s="100" t="b">
        <v>1</v>
      </c>
    </row>
    <row r="6649" spans="1:13" x14ac:dyDescent="0.25">
      <c r="D6649" s="13">
        <v>6197</v>
      </c>
      <c r="E6649" s="136" t="str">
        <f>INDEX([1]道具配置表!$D:$D,MATCH(D6649,[1]道具配置表!$A:$A,0))</f>
        <v>5分钟锻造加速</v>
      </c>
      <c r="F6649" s="13">
        <v>3</v>
      </c>
      <c r="K6649" s="13">
        <v>1</v>
      </c>
      <c r="M6649" s="100" t="b">
        <v>1</v>
      </c>
    </row>
    <row r="6650" spans="1:13" x14ac:dyDescent="0.25">
      <c r="A6650" s="13">
        <v>6655002</v>
      </c>
      <c r="B6650" s="13" t="s">
        <v>1480</v>
      </c>
      <c r="D6650" s="13">
        <v>56002</v>
      </c>
      <c r="E6650" s="136" t="str">
        <f>INDEX([1]道具配置表!$D:$D,MATCH(D6650,[1]道具配置表!$A:$A,0))</f>
        <v>强化装备消耗材料</v>
      </c>
      <c r="F6650" s="13">
        <v>20</v>
      </c>
      <c r="K6650" s="13">
        <v>1</v>
      </c>
      <c r="M6650" s="100" t="b">
        <v>1</v>
      </c>
    </row>
    <row r="6651" spans="1:13" x14ac:dyDescent="0.25">
      <c r="D6651" s="13">
        <v>6197</v>
      </c>
      <c r="E6651" s="136" t="str">
        <f>INDEX([1]道具配置表!$D:$D,MATCH(D6651,[1]道具配置表!$A:$A,0))</f>
        <v>5分钟锻造加速</v>
      </c>
      <c r="F6651" s="13">
        <v>4</v>
      </c>
      <c r="K6651" s="13">
        <v>1</v>
      </c>
      <c r="M6651" s="100" t="b">
        <v>1</v>
      </c>
    </row>
    <row r="6652" spans="1:13" x14ac:dyDescent="0.25">
      <c r="A6652" s="13">
        <v>6655003</v>
      </c>
      <c r="B6652" s="13" t="s">
        <v>1481</v>
      </c>
      <c r="D6652" s="13">
        <v>56002</v>
      </c>
      <c r="E6652" s="136" t="str">
        <f>INDEX([1]道具配置表!$D:$D,MATCH(D6652,[1]道具配置表!$A:$A,0))</f>
        <v>强化装备消耗材料</v>
      </c>
      <c r="F6652" s="13">
        <v>30</v>
      </c>
      <c r="K6652" s="13">
        <v>1</v>
      </c>
      <c r="M6652" s="100" t="b">
        <v>1</v>
      </c>
    </row>
    <row r="6653" spans="1:13" x14ac:dyDescent="0.25">
      <c r="D6653" s="13">
        <v>6197</v>
      </c>
      <c r="E6653" s="136" t="str">
        <f>INDEX([1]道具配置表!$D:$D,MATCH(D6653,[1]道具配置表!$A:$A,0))</f>
        <v>5分钟锻造加速</v>
      </c>
      <c r="F6653" s="13">
        <v>5</v>
      </c>
      <c r="K6653" s="13">
        <v>1</v>
      </c>
      <c r="M6653" s="100" t="b">
        <v>1</v>
      </c>
    </row>
    <row r="6654" spans="1:13" x14ac:dyDescent="0.25">
      <c r="A6654" s="13">
        <v>6655004</v>
      </c>
      <c r="B6654" s="13" t="s">
        <v>1482</v>
      </c>
      <c r="D6654" s="13">
        <v>56002</v>
      </c>
      <c r="E6654" s="136" t="str">
        <f>INDEX([1]道具配置表!$D:$D,MATCH(D6654,[1]道具配置表!$A:$A,0))</f>
        <v>强化装备消耗材料</v>
      </c>
      <c r="F6654" s="13">
        <v>40</v>
      </c>
      <c r="K6654" s="13">
        <v>1</v>
      </c>
      <c r="M6654" s="100" t="b">
        <v>1</v>
      </c>
    </row>
    <row r="6655" spans="1:13" x14ac:dyDescent="0.25">
      <c r="D6655" s="13">
        <v>6197</v>
      </c>
      <c r="E6655" s="136" t="str">
        <f>INDEX([1]道具配置表!$D:$D,MATCH(D6655,[1]道具配置表!$A:$A,0))</f>
        <v>5分钟锻造加速</v>
      </c>
      <c r="F6655" s="13">
        <v>6</v>
      </c>
      <c r="K6655" s="13">
        <v>1</v>
      </c>
      <c r="M6655" s="100" t="b">
        <v>1</v>
      </c>
    </row>
    <row r="6656" spans="1:13" x14ac:dyDescent="0.25">
      <c r="A6656" s="13">
        <v>6655005</v>
      </c>
      <c r="B6656" s="13" t="s">
        <v>1483</v>
      </c>
      <c r="D6656" s="13">
        <v>56002</v>
      </c>
      <c r="E6656" s="136" t="str">
        <f>INDEX([1]道具配置表!$D:$D,MATCH(D6656,[1]道具配置表!$A:$A,0))</f>
        <v>强化装备消耗材料</v>
      </c>
      <c r="F6656" s="13">
        <v>50</v>
      </c>
      <c r="K6656" s="13">
        <v>1</v>
      </c>
      <c r="M6656" s="100" t="b">
        <v>1</v>
      </c>
    </row>
    <row r="6657" spans="1:13" x14ac:dyDescent="0.25">
      <c r="D6657" s="13">
        <v>6197</v>
      </c>
      <c r="E6657" s="136" t="str">
        <f>INDEX([1]道具配置表!$D:$D,MATCH(D6657,[1]道具配置表!$A:$A,0))</f>
        <v>5分钟锻造加速</v>
      </c>
      <c r="F6657" s="13">
        <v>7</v>
      </c>
      <c r="K6657" s="13">
        <v>1</v>
      </c>
      <c r="M6657" s="100" t="b">
        <v>1</v>
      </c>
    </row>
    <row r="6658" spans="1:13" x14ac:dyDescent="0.25">
      <c r="A6658" s="13">
        <v>6655006</v>
      </c>
      <c r="B6658" s="13" t="s">
        <v>1484</v>
      </c>
      <c r="D6658" s="13">
        <v>56002</v>
      </c>
      <c r="E6658" s="136" t="str">
        <f>INDEX([1]道具配置表!$D:$D,MATCH(D6658,[1]道具配置表!$A:$A,0))</f>
        <v>强化装备消耗材料</v>
      </c>
      <c r="F6658" s="13">
        <v>60</v>
      </c>
      <c r="K6658" s="13">
        <v>1</v>
      </c>
      <c r="M6658" s="100" t="b">
        <v>1</v>
      </c>
    </row>
    <row r="6659" spans="1:13" x14ac:dyDescent="0.25">
      <c r="D6659" s="13">
        <v>6197</v>
      </c>
      <c r="E6659" s="136" t="str">
        <f>INDEX([1]道具配置表!$D:$D,MATCH(D6659,[1]道具配置表!$A:$A,0))</f>
        <v>5分钟锻造加速</v>
      </c>
      <c r="F6659" s="13">
        <v>8</v>
      </c>
      <c r="K6659" s="13">
        <v>1</v>
      </c>
      <c r="M6659" s="100" t="b">
        <v>1</v>
      </c>
    </row>
    <row r="6660" spans="1:13" x14ac:dyDescent="0.25">
      <c r="A6660" s="13">
        <v>6655007</v>
      </c>
      <c r="B6660" s="13" t="s">
        <v>1485</v>
      </c>
      <c r="D6660" s="13">
        <v>56002</v>
      </c>
      <c r="E6660" s="136" t="str">
        <f>INDEX([1]道具配置表!$D:$D,MATCH(D6660,[1]道具配置表!$A:$A,0))</f>
        <v>强化装备消耗材料</v>
      </c>
      <c r="F6660" s="13">
        <v>70</v>
      </c>
      <c r="K6660" s="13">
        <v>1</v>
      </c>
      <c r="M6660" s="100" t="b">
        <v>1</v>
      </c>
    </row>
    <row r="6661" spans="1:13" x14ac:dyDescent="0.25">
      <c r="D6661" s="13">
        <v>6197</v>
      </c>
      <c r="E6661" s="136" t="str">
        <f>INDEX([1]道具配置表!$D:$D,MATCH(D6661,[1]道具配置表!$A:$A,0))</f>
        <v>5分钟锻造加速</v>
      </c>
      <c r="F6661" s="13">
        <v>9</v>
      </c>
      <c r="K6661" s="13">
        <v>1</v>
      </c>
      <c r="M6661" s="100" t="b">
        <v>1</v>
      </c>
    </row>
    <row r="6662" spans="1:13" x14ac:dyDescent="0.25">
      <c r="A6662" s="13">
        <v>6655008</v>
      </c>
      <c r="B6662" s="13" t="s">
        <v>1486</v>
      </c>
      <c r="D6662" s="13">
        <v>56002</v>
      </c>
      <c r="E6662" s="136" t="str">
        <f>INDEX([1]道具配置表!$D:$D,MATCH(D6662,[1]道具配置表!$A:$A,0))</f>
        <v>强化装备消耗材料</v>
      </c>
      <c r="F6662" s="13">
        <v>80</v>
      </c>
      <c r="K6662" s="13">
        <v>1</v>
      </c>
      <c r="M6662" s="100" t="b">
        <v>1</v>
      </c>
    </row>
    <row r="6663" spans="1:13" x14ac:dyDescent="0.25">
      <c r="D6663" s="13">
        <v>6197</v>
      </c>
      <c r="E6663" s="136" t="str">
        <f>INDEX([1]道具配置表!$D:$D,MATCH(D6663,[1]道具配置表!$A:$A,0))</f>
        <v>5分钟锻造加速</v>
      </c>
      <c r="F6663" s="13">
        <v>10</v>
      </c>
      <c r="K6663" s="13">
        <v>1</v>
      </c>
      <c r="M6663" s="100" t="b">
        <v>1</v>
      </c>
    </row>
    <row r="6664" spans="1:13" x14ac:dyDescent="0.25">
      <c r="A6664" s="13">
        <v>6655009</v>
      </c>
      <c r="B6664" s="13" t="s">
        <v>1487</v>
      </c>
      <c r="D6664" s="13">
        <v>56002</v>
      </c>
      <c r="E6664" s="136" t="str">
        <f>INDEX([1]道具配置表!$D:$D,MATCH(D6664,[1]道具配置表!$A:$A,0))</f>
        <v>强化装备消耗材料</v>
      </c>
      <c r="F6664" s="13">
        <v>90</v>
      </c>
      <c r="K6664" s="13">
        <v>1</v>
      </c>
      <c r="M6664" s="100" t="b">
        <v>1</v>
      </c>
    </row>
    <row r="6665" spans="1:13" x14ac:dyDescent="0.25">
      <c r="D6665" s="13">
        <v>6197</v>
      </c>
      <c r="E6665" s="136" t="str">
        <f>INDEX([1]道具配置表!$D:$D,MATCH(D6665,[1]道具配置表!$A:$A,0))</f>
        <v>5分钟锻造加速</v>
      </c>
      <c r="F6665" s="13">
        <v>11</v>
      </c>
      <c r="K6665" s="13">
        <v>1</v>
      </c>
      <c r="M6665" s="103" t="b">
        <v>1</v>
      </c>
    </row>
    <row r="6666" spans="1:13" x14ac:dyDescent="0.25">
      <c r="A6666" s="13">
        <v>6655010</v>
      </c>
      <c r="B6666" s="13" t="s">
        <v>1488</v>
      </c>
      <c r="D6666" s="13">
        <v>56002</v>
      </c>
      <c r="E6666" s="136" t="str">
        <f>INDEX([1]道具配置表!$D:$D,MATCH(D6666,[1]道具配置表!$A:$A,0))</f>
        <v>强化装备消耗材料</v>
      </c>
      <c r="F6666" s="13">
        <v>100</v>
      </c>
      <c r="K6666" s="13">
        <v>1</v>
      </c>
      <c r="M6666" s="103" t="b">
        <v>1</v>
      </c>
    </row>
    <row r="6667" spans="1:13" x14ac:dyDescent="0.25">
      <c r="D6667" s="13">
        <v>6197</v>
      </c>
      <c r="E6667" s="136" t="str">
        <f>INDEX([1]道具配置表!$D:$D,MATCH(D6667,[1]道具配置表!$A:$A,0))</f>
        <v>5分钟锻造加速</v>
      </c>
      <c r="F6667" s="13">
        <v>12</v>
      </c>
      <c r="K6667" s="13">
        <v>1</v>
      </c>
      <c r="M6667" s="103" t="b">
        <v>1</v>
      </c>
    </row>
    <row r="6668" spans="1:13" x14ac:dyDescent="0.25">
      <c r="A6668" s="13">
        <v>6655011</v>
      </c>
      <c r="B6668" s="13" t="s">
        <v>1504</v>
      </c>
      <c r="D6668" s="13">
        <v>56002</v>
      </c>
      <c r="E6668" s="136" t="str">
        <f>INDEX([1]道具配置表!$D:$D,MATCH(D6668,[1]道具配置表!$A:$A,0))</f>
        <v>强化装备消耗材料</v>
      </c>
      <c r="F6668" s="13">
        <v>110</v>
      </c>
      <c r="K6668" s="13">
        <v>1</v>
      </c>
      <c r="M6668" s="103" t="b">
        <v>1</v>
      </c>
    </row>
    <row r="6669" spans="1:13" x14ac:dyDescent="0.25">
      <c r="D6669" s="13">
        <v>6197</v>
      </c>
      <c r="E6669" s="136" t="str">
        <f>INDEX([1]道具配置表!$D:$D,MATCH(D6669,[1]道具配置表!$A:$A,0))</f>
        <v>5分钟锻造加速</v>
      </c>
      <c r="F6669" s="13">
        <v>13</v>
      </c>
      <c r="K6669" s="13">
        <v>1</v>
      </c>
      <c r="M6669" s="103" t="b">
        <v>1</v>
      </c>
    </row>
    <row r="6670" spans="1:13" x14ac:dyDescent="0.25">
      <c r="A6670" s="13">
        <v>6655012</v>
      </c>
      <c r="B6670" s="13" t="s">
        <v>1505</v>
      </c>
      <c r="D6670" s="13">
        <v>56002</v>
      </c>
      <c r="E6670" s="136" t="str">
        <f>INDEX([1]道具配置表!$D:$D,MATCH(D6670,[1]道具配置表!$A:$A,0))</f>
        <v>强化装备消耗材料</v>
      </c>
      <c r="F6670" s="13">
        <v>120</v>
      </c>
      <c r="K6670" s="13">
        <v>1</v>
      </c>
      <c r="M6670" s="103" t="b">
        <v>1</v>
      </c>
    </row>
    <row r="6671" spans="1:13" x14ac:dyDescent="0.25">
      <c r="D6671" s="13">
        <v>6197</v>
      </c>
      <c r="E6671" s="136" t="str">
        <f>INDEX([1]道具配置表!$D:$D,MATCH(D6671,[1]道具配置表!$A:$A,0))</f>
        <v>5分钟锻造加速</v>
      </c>
      <c r="F6671" s="13">
        <v>14</v>
      </c>
      <c r="K6671" s="13">
        <v>1</v>
      </c>
      <c r="M6671" s="103" t="b">
        <v>1</v>
      </c>
    </row>
    <row r="6672" spans="1:13" x14ac:dyDescent="0.25">
      <c r="A6672" s="13">
        <v>6655013</v>
      </c>
      <c r="B6672" s="13" t="s">
        <v>1506</v>
      </c>
      <c r="D6672" s="13">
        <v>56002</v>
      </c>
      <c r="E6672" s="136" t="str">
        <f>INDEX([1]道具配置表!$D:$D,MATCH(D6672,[1]道具配置表!$A:$A,0))</f>
        <v>强化装备消耗材料</v>
      </c>
      <c r="F6672" s="13">
        <v>130</v>
      </c>
      <c r="K6672" s="13">
        <v>1</v>
      </c>
      <c r="M6672" s="103" t="b">
        <v>1</v>
      </c>
    </row>
    <row r="6673" spans="1:13" x14ac:dyDescent="0.25">
      <c r="D6673" s="13">
        <v>6197</v>
      </c>
      <c r="E6673" s="136" t="str">
        <f>INDEX([1]道具配置表!$D:$D,MATCH(D6673,[1]道具配置表!$A:$A,0))</f>
        <v>5分钟锻造加速</v>
      </c>
      <c r="F6673" s="13">
        <v>15</v>
      </c>
      <c r="K6673" s="13">
        <v>1</v>
      </c>
      <c r="M6673" s="103" t="b">
        <v>1</v>
      </c>
    </row>
    <row r="6674" spans="1:13" x14ac:dyDescent="0.25">
      <c r="A6674" s="13">
        <v>6655014</v>
      </c>
      <c r="B6674" s="13" t="s">
        <v>1507</v>
      </c>
      <c r="D6674" s="13">
        <v>56002</v>
      </c>
      <c r="E6674" s="136" t="str">
        <f>INDEX([1]道具配置表!$D:$D,MATCH(D6674,[1]道具配置表!$A:$A,0))</f>
        <v>强化装备消耗材料</v>
      </c>
      <c r="F6674" s="13">
        <v>140</v>
      </c>
      <c r="K6674" s="13">
        <v>1</v>
      </c>
      <c r="M6674" s="103" t="b">
        <v>1</v>
      </c>
    </row>
    <row r="6675" spans="1:13" x14ac:dyDescent="0.25">
      <c r="D6675" s="13">
        <v>6197</v>
      </c>
      <c r="E6675" s="136" t="str">
        <f>INDEX([1]道具配置表!$D:$D,MATCH(D6675,[1]道具配置表!$A:$A,0))</f>
        <v>5分钟锻造加速</v>
      </c>
      <c r="F6675" s="13">
        <v>16</v>
      </c>
      <c r="K6675" s="13">
        <v>1</v>
      </c>
      <c r="M6675" s="103" t="b">
        <v>1</v>
      </c>
    </row>
    <row r="6676" spans="1:13" x14ac:dyDescent="0.25">
      <c r="A6676" s="13">
        <v>6655015</v>
      </c>
      <c r="B6676" s="13" t="s">
        <v>1508</v>
      </c>
      <c r="D6676" s="13">
        <v>56002</v>
      </c>
      <c r="E6676" s="136" t="str">
        <f>INDEX([1]道具配置表!$D:$D,MATCH(D6676,[1]道具配置表!$A:$A,0))</f>
        <v>强化装备消耗材料</v>
      </c>
      <c r="F6676" s="13">
        <v>150</v>
      </c>
      <c r="K6676" s="13">
        <v>1</v>
      </c>
      <c r="M6676" s="103" t="b">
        <v>1</v>
      </c>
    </row>
    <row r="6677" spans="1:13" x14ac:dyDescent="0.25">
      <c r="D6677" s="13">
        <v>6197</v>
      </c>
      <c r="E6677" s="136" t="str">
        <f>INDEX([1]道具配置表!$D:$D,MATCH(D6677,[1]道具配置表!$A:$A,0))</f>
        <v>5分钟锻造加速</v>
      </c>
      <c r="F6677" s="13">
        <v>17</v>
      </c>
      <c r="K6677" s="13">
        <v>1</v>
      </c>
      <c r="M6677" s="103" t="b">
        <v>1</v>
      </c>
    </row>
    <row r="6678" spans="1:13" x14ac:dyDescent="0.25">
      <c r="A6678" s="13">
        <v>6655016</v>
      </c>
      <c r="B6678" s="13" t="s">
        <v>1509</v>
      </c>
      <c r="D6678" s="13">
        <v>56002</v>
      </c>
      <c r="E6678" s="136" t="str">
        <f>INDEX([1]道具配置表!$D:$D,MATCH(D6678,[1]道具配置表!$A:$A,0))</f>
        <v>强化装备消耗材料</v>
      </c>
      <c r="F6678" s="13">
        <v>160</v>
      </c>
      <c r="K6678" s="13">
        <v>1</v>
      </c>
      <c r="M6678" s="103" t="b">
        <v>1</v>
      </c>
    </row>
    <row r="6679" spans="1:13" x14ac:dyDescent="0.25">
      <c r="D6679" s="13">
        <v>6197</v>
      </c>
      <c r="E6679" s="136" t="str">
        <f>INDEX([1]道具配置表!$D:$D,MATCH(D6679,[1]道具配置表!$A:$A,0))</f>
        <v>5分钟锻造加速</v>
      </c>
      <c r="F6679" s="13">
        <v>18</v>
      </c>
      <c r="K6679" s="13">
        <v>1</v>
      </c>
      <c r="M6679" s="103" t="b">
        <v>1</v>
      </c>
    </row>
    <row r="6680" spans="1:13" x14ac:dyDescent="0.25">
      <c r="A6680" s="13">
        <v>6655017</v>
      </c>
      <c r="B6680" s="13" t="s">
        <v>1510</v>
      </c>
      <c r="D6680" s="13">
        <v>56002</v>
      </c>
      <c r="E6680" s="136" t="str">
        <f>INDEX([1]道具配置表!$D:$D,MATCH(D6680,[1]道具配置表!$A:$A,0))</f>
        <v>强化装备消耗材料</v>
      </c>
      <c r="F6680" s="13">
        <v>170</v>
      </c>
      <c r="K6680" s="13">
        <v>1</v>
      </c>
      <c r="M6680" s="103" t="b">
        <v>1</v>
      </c>
    </row>
    <row r="6681" spans="1:13" x14ac:dyDescent="0.25">
      <c r="D6681" s="13">
        <v>6197</v>
      </c>
      <c r="E6681" s="136" t="str">
        <f>INDEX([1]道具配置表!$D:$D,MATCH(D6681,[1]道具配置表!$A:$A,0))</f>
        <v>5分钟锻造加速</v>
      </c>
      <c r="F6681" s="13">
        <v>19</v>
      </c>
      <c r="K6681" s="13">
        <v>1</v>
      </c>
      <c r="M6681" s="103" t="b">
        <v>1</v>
      </c>
    </row>
    <row r="6682" spans="1:13" x14ac:dyDescent="0.25">
      <c r="A6682" s="13">
        <v>6655018</v>
      </c>
      <c r="B6682" s="13" t="s">
        <v>1511</v>
      </c>
      <c r="D6682" s="13">
        <v>56002</v>
      </c>
      <c r="E6682" s="136" t="str">
        <f>INDEX([1]道具配置表!$D:$D,MATCH(D6682,[1]道具配置表!$A:$A,0))</f>
        <v>强化装备消耗材料</v>
      </c>
      <c r="F6682" s="13">
        <v>180</v>
      </c>
      <c r="K6682" s="13">
        <v>1</v>
      </c>
      <c r="M6682" s="103" t="b">
        <v>1</v>
      </c>
    </row>
    <row r="6683" spans="1:13" x14ac:dyDescent="0.25">
      <c r="D6683" s="13">
        <v>6197</v>
      </c>
      <c r="E6683" s="136" t="str">
        <f>INDEX([1]道具配置表!$D:$D,MATCH(D6683,[1]道具配置表!$A:$A,0))</f>
        <v>5分钟锻造加速</v>
      </c>
      <c r="F6683" s="13">
        <v>20</v>
      </c>
      <c r="K6683" s="13">
        <v>1</v>
      </c>
      <c r="M6683" s="103" t="b">
        <v>1</v>
      </c>
    </row>
    <row r="6684" spans="1:13" x14ac:dyDescent="0.25">
      <c r="A6684" s="13">
        <v>6655019</v>
      </c>
      <c r="B6684" s="13" t="s">
        <v>1512</v>
      </c>
      <c r="D6684" s="13">
        <v>56002</v>
      </c>
      <c r="E6684" s="136" t="str">
        <f>INDEX([1]道具配置表!$D:$D,MATCH(D6684,[1]道具配置表!$A:$A,0))</f>
        <v>强化装备消耗材料</v>
      </c>
      <c r="F6684" s="13">
        <v>190</v>
      </c>
      <c r="K6684" s="13">
        <v>1</v>
      </c>
      <c r="M6684" s="103" t="b">
        <v>1</v>
      </c>
    </row>
    <row r="6685" spans="1:13" x14ac:dyDescent="0.25">
      <c r="D6685" s="13">
        <v>6197</v>
      </c>
      <c r="E6685" s="136" t="str">
        <f>INDEX([1]道具配置表!$D:$D,MATCH(D6685,[1]道具配置表!$A:$A,0))</f>
        <v>5分钟锻造加速</v>
      </c>
      <c r="F6685" s="13">
        <v>21</v>
      </c>
      <c r="K6685" s="13">
        <v>1</v>
      </c>
      <c r="M6685" s="103" t="b">
        <v>1</v>
      </c>
    </row>
    <row r="6686" spans="1:13" x14ac:dyDescent="0.25">
      <c r="A6686" s="13">
        <v>6655020</v>
      </c>
      <c r="B6686" s="13" t="s">
        <v>1513</v>
      </c>
      <c r="D6686" s="13">
        <v>56002</v>
      </c>
      <c r="E6686" s="136" t="str">
        <f>INDEX([1]道具配置表!$D:$D,MATCH(D6686,[1]道具配置表!$A:$A,0))</f>
        <v>强化装备消耗材料</v>
      </c>
      <c r="F6686" s="13">
        <v>200</v>
      </c>
      <c r="K6686" s="13">
        <v>1</v>
      </c>
      <c r="M6686" s="103" t="b">
        <v>1</v>
      </c>
    </row>
    <row r="6687" spans="1:13" x14ac:dyDescent="0.25">
      <c r="D6687" s="13">
        <v>6197</v>
      </c>
      <c r="E6687" s="136" t="str">
        <f>INDEX([1]道具配置表!$D:$D,MATCH(D6687,[1]道具配置表!$A:$A,0))</f>
        <v>5分钟锻造加速</v>
      </c>
      <c r="F6687" s="13">
        <v>22</v>
      </c>
      <c r="K6687" s="13">
        <v>1</v>
      </c>
      <c r="M6687" s="103" t="b">
        <v>1</v>
      </c>
    </row>
    <row r="6688" spans="1:13" x14ac:dyDescent="0.25">
      <c r="A6688" s="13">
        <v>6655021</v>
      </c>
      <c r="B6688" s="13" t="s">
        <v>1514</v>
      </c>
      <c r="D6688" s="13">
        <v>56002</v>
      </c>
      <c r="E6688" s="136" t="str">
        <f>INDEX([1]道具配置表!$D:$D,MATCH(D6688,[1]道具配置表!$A:$A,0))</f>
        <v>强化装备消耗材料</v>
      </c>
      <c r="F6688" s="13">
        <v>210</v>
      </c>
      <c r="K6688" s="13">
        <v>1</v>
      </c>
      <c r="M6688" s="103" t="b">
        <v>1</v>
      </c>
    </row>
    <row r="6689" spans="1:13" x14ac:dyDescent="0.25">
      <c r="D6689" s="13">
        <v>6197</v>
      </c>
      <c r="E6689" s="136" t="str">
        <f>INDEX([1]道具配置表!$D:$D,MATCH(D6689,[1]道具配置表!$A:$A,0))</f>
        <v>5分钟锻造加速</v>
      </c>
      <c r="F6689" s="13">
        <v>23</v>
      </c>
      <c r="K6689" s="13">
        <v>1</v>
      </c>
      <c r="M6689" s="103" t="b">
        <v>1</v>
      </c>
    </row>
    <row r="6690" spans="1:13" x14ac:dyDescent="0.25">
      <c r="A6690" s="13">
        <v>6655022</v>
      </c>
      <c r="B6690" s="13" t="s">
        <v>1515</v>
      </c>
      <c r="D6690" s="13">
        <v>56002</v>
      </c>
      <c r="E6690" s="136" t="str">
        <f>INDEX([1]道具配置表!$D:$D,MATCH(D6690,[1]道具配置表!$A:$A,0))</f>
        <v>强化装备消耗材料</v>
      </c>
      <c r="F6690" s="13">
        <v>220</v>
      </c>
      <c r="K6690" s="13">
        <v>1</v>
      </c>
      <c r="M6690" s="103" t="b">
        <v>1</v>
      </c>
    </row>
    <row r="6691" spans="1:13" x14ac:dyDescent="0.25">
      <c r="D6691" s="13">
        <v>6197</v>
      </c>
      <c r="E6691" s="136" t="str">
        <f>INDEX([1]道具配置表!$D:$D,MATCH(D6691,[1]道具配置表!$A:$A,0))</f>
        <v>5分钟锻造加速</v>
      </c>
      <c r="F6691" s="13">
        <v>24</v>
      </c>
      <c r="K6691" s="13">
        <v>1</v>
      </c>
      <c r="M6691" s="103" t="b">
        <v>1</v>
      </c>
    </row>
    <row r="6692" spans="1:13" x14ac:dyDescent="0.25">
      <c r="A6692" s="13">
        <v>6655023</v>
      </c>
      <c r="B6692" s="13" t="s">
        <v>1516</v>
      </c>
      <c r="D6692" s="13">
        <v>56002</v>
      </c>
      <c r="E6692" s="136" t="str">
        <f>INDEX([1]道具配置表!$D:$D,MATCH(D6692,[1]道具配置表!$A:$A,0))</f>
        <v>强化装备消耗材料</v>
      </c>
      <c r="F6692" s="13">
        <v>230</v>
      </c>
      <c r="K6692" s="13">
        <v>1</v>
      </c>
      <c r="M6692" s="103" t="b">
        <v>1</v>
      </c>
    </row>
    <row r="6693" spans="1:13" x14ac:dyDescent="0.25">
      <c r="D6693" s="13">
        <v>6197</v>
      </c>
      <c r="E6693" s="136" t="str">
        <f>INDEX([1]道具配置表!$D:$D,MATCH(D6693,[1]道具配置表!$A:$A,0))</f>
        <v>5分钟锻造加速</v>
      </c>
      <c r="F6693" s="13">
        <v>25</v>
      </c>
      <c r="K6693" s="13">
        <v>1</v>
      </c>
      <c r="M6693" s="103" t="b">
        <v>1</v>
      </c>
    </row>
    <row r="6694" spans="1:13" x14ac:dyDescent="0.25">
      <c r="A6694" s="13">
        <v>6655024</v>
      </c>
      <c r="B6694" s="13" t="s">
        <v>1517</v>
      </c>
      <c r="D6694" s="13">
        <v>56002</v>
      </c>
      <c r="E6694" s="136" t="str">
        <f>INDEX([1]道具配置表!$D:$D,MATCH(D6694,[1]道具配置表!$A:$A,0))</f>
        <v>强化装备消耗材料</v>
      </c>
      <c r="F6694" s="13">
        <v>240</v>
      </c>
      <c r="K6694" s="13">
        <v>1</v>
      </c>
      <c r="M6694" s="103" t="b">
        <v>1</v>
      </c>
    </row>
    <row r="6695" spans="1:13" x14ac:dyDescent="0.25">
      <c r="D6695" s="13">
        <v>6197</v>
      </c>
      <c r="E6695" s="136" t="str">
        <f>INDEX([1]道具配置表!$D:$D,MATCH(D6695,[1]道具配置表!$A:$A,0))</f>
        <v>5分钟锻造加速</v>
      </c>
      <c r="F6695" s="13">
        <v>26</v>
      </c>
      <c r="K6695" s="13">
        <v>1</v>
      </c>
      <c r="M6695" s="103" t="b">
        <v>1</v>
      </c>
    </row>
    <row r="6696" spans="1:13" x14ac:dyDescent="0.25">
      <c r="A6696" s="13">
        <v>6656001</v>
      </c>
      <c r="B6696" s="13" t="s">
        <v>1489</v>
      </c>
      <c r="D6696" s="13">
        <v>49553</v>
      </c>
      <c r="E6696" s="136" t="str">
        <f>INDEX([1]道具配置表!$D:$D,MATCH(D6696,[1]道具配置表!$A:$A,0))</f>
        <v>橙色兵种图纸自选宝箱</v>
      </c>
      <c r="F6696" s="13">
        <v>3</v>
      </c>
      <c r="K6696" s="13">
        <v>1</v>
      </c>
      <c r="M6696" s="103" t="b">
        <v>1</v>
      </c>
    </row>
    <row r="6697" spans="1:13" x14ac:dyDescent="0.25">
      <c r="D6697" s="13">
        <v>282</v>
      </c>
      <c r="E6697" s="136" t="str">
        <f>INDEX([1]道具配置表!$D:$D,MATCH(D6697,[1]道具配置表!$A:$A,0))</f>
        <v>100万食物</v>
      </c>
      <c r="F6697" s="13">
        <v>4</v>
      </c>
      <c r="K6697" s="13">
        <v>1</v>
      </c>
      <c r="M6697" s="103" t="b">
        <v>1</v>
      </c>
    </row>
    <row r="6698" spans="1:13" x14ac:dyDescent="0.25">
      <c r="D6698" s="13">
        <v>281</v>
      </c>
      <c r="E6698" s="136" t="str">
        <f>INDEX([1]道具配置表!$D:$D,MATCH(D6698,[1]道具配置表!$A:$A,0))</f>
        <v>100万木材</v>
      </c>
      <c r="F6698" s="13">
        <v>4</v>
      </c>
      <c r="K6698" s="13">
        <v>1</v>
      </c>
      <c r="M6698" s="103" t="b">
        <v>1</v>
      </c>
    </row>
    <row r="6699" spans="1:13" x14ac:dyDescent="0.25">
      <c r="D6699" s="13">
        <v>283</v>
      </c>
      <c r="E6699" s="136" t="str">
        <f>INDEX([1]道具配置表!$D:$D,MATCH(D6699,[1]道具配置表!$A:$A,0))</f>
        <v>100万石头</v>
      </c>
      <c r="F6699" s="13">
        <v>4</v>
      </c>
      <c r="K6699" s="13">
        <v>1</v>
      </c>
      <c r="M6699" s="103" t="b">
        <v>1</v>
      </c>
    </row>
    <row r="6700" spans="1:13" x14ac:dyDescent="0.25">
      <c r="D6700" s="13">
        <v>284</v>
      </c>
      <c r="E6700" s="136" t="str">
        <f>INDEX([1]道具配置表!$D:$D,MATCH(D6700,[1]道具配置表!$A:$A,0))</f>
        <v>100万黄金</v>
      </c>
      <c r="F6700" s="13">
        <v>4</v>
      </c>
      <c r="K6700" s="13">
        <v>1</v>
      </c>
      <c r="M6700" s="103" t="b">
        <v>1</v>
      </c>
    </row>
    <row r="6701" spans="1:13" x14ac:dyDescent="0.25">
      <c r="A6701" s="13">
        <v>6656002</v>
      </c>
      <c r="B6701" s="13" t="s">
        <v>1490</v>
      </c>
      <c r="D6701" s="13">
        <v>49553</v>
      </c>
      <c r="E6701" s="136" t="str">
        <f>INDEX([1]道具配置表!$D:$D,MATCH(D6701,[1]道具配置表!$A:$A,0))</f>
        <v>橙色兵种图纸自选宝箱</v>
      </c>
      <c r="F6701" s="13">
        <v>2</v>
      </c>
      <c r="K6701" s="13">
        <v>1</v>
      </c>
      <c r="M6701" s="103" t="b">
        <v>1</v>
      </c>
    </row>
    <row r="6702" spans="1:13" x14ac:dyDescent="0.25">
      <c r="D6702" s="13">
        <v>282</v>
      </c>
      <c r="E6702" s="136" t="str">
        <f>INDEX([1]道具配置表!$D:$D,MATCH(D6702,[1]道具配置表!$A:$A,0))</f>
        <v>100万食物</v>
      </c>
      <c r="F6702" s="13">
        <v>3</v>
      </c>
      <c r="K6702" s="13">
        <v>1</v>
      </c>
      <c r="M6702" s="103" t="b">
        <v>1</v>
      </c>
    </row>
    <row r="6703" spans="1:13" x14ac:dyDescent="0.25">
      <c r="D6703" s="13">
        <v>281</v>
      </c>
      <c r="E6703" s="136" t="str">
        <f>INDEX([1]道具配置表!$D:$D,MATCH(D6703,[1]道具配置表!$A:$A,0))</f>
        <v>100万木材</v>
      </c>
      <c r="F6703" s="13">
        <v>3</v>
      </c>
      <c r="K6703" s="13">
        <v>1</v>
      </c>
      <c r="M6703" s="103" t="b">
        <v>1</v>
      </c>
    </row>
    <row r="6704" spans="1:13" x14ac:dyDescent="0.25">
      <c r="D6704" s="13">
        <v>283</v>
      </c>
      <c r="E6704" s="136" t="str">
        <f>INDEX([1]道具配置表!$D:$D,MATCH(D6704,[1]道具配置表!$A:$A,0))</f>
        <v>100万石头</v>
      </c>
      <c r="F6704" s="13">
        <v>3</v>
      </c>
      <c r="K6704" s="13">
        <v>1</v>
      </c>
      <c r="M6704" s="103" t="b">
        <v>1</v>
      </c>
    </row>
    <row r="6705" spans="1:13" x14ac:dyDescent="0.25">
      <c r="D6705" s="13">
        <v>284</v>
      </c>
      <c r="E6705" s="136" t="str">
        <f>INDEX([1]道具配置表!$D:$D,MATCH(D6705,[1]道具配置表!$A:$A,0))</f>
        <v>100万黄金</v>
      </c>
      <c r="F6705" s="13">
        <v>3</v>
      </c>
      <c r="K6705" s="13">
        <v>1</v>
      </c>
      <c r="M6705" s="103" t="b">
        <v>1</v>
      </c>
    </row>
    <row r="6706" spans="1:13" x14ac:dyDescent="0.25">
      <c r="A6706" s="13">
        <v>6656003</v>
      </c>
      <c r="B6706" s="13" t="s">
        <v>1491</v>
      </c>
      <c r="D6706" s="13">
        <v>49553</v>
      </c>
      <c r="E6706" s="136" t="str">
        <f>INDEX([1]道具配置表!$D:$D,MATCH(D6706,[1]道具配置表!$A:$A,0))</f>
        <v>橙色兵种图纸自选宝箱</v>
      </c>
      <c r="F6706" s="13">
        <v>1</v>
      </c>
      <c r="K6706" s="13">
        <v>1</v>
      </c>
      <c r="M6706" s="103" t="b">
        <v>1</v>
      </c>
    </row>
    <row r="6707" spans="1:13" x14ac:dyDescent="0.25">
      <c r="D6707" s="13">
        <v>282</v>
      </c>
      <c r="E6707" s="136" t="str">
        <f>INDEX([1]道具配置表!$D:$D,MATCH(D6707,[1]道具配置表!$A:$A,0))</f>
        <v>100万食物</v>
      </c>
      <c r="F6707" s="13">
        <v>2</v>
      </c>
      <c r="K6707" s="13">
        <v>1</v>
      </c>
      <c r="M6707" s="103" t="b">
        <v>1</v>
      </c>
    </row>
    <row r="6708" spans="1:13" x14ac:dyDescent="0.25">
      <c r="D6708" s="13">
        <v>281</v>
      </c>
      <c r="E6708" s="136" t="str">
        <f>INDEX([1]道具配置表!$D:$D,MATCH(D6708,[1]道具配置表!$A:$A,0))</f>
        <v>100万木材</v>
      </c>
      <c r="F6708" s="13">
        <v>2</v>
      </c>
      <c r="K6708" s="13">
        <v>1</v>
      </c>
      <c r="M6708" s="103" t="b">
        <v>1</v>
      </c>
    </row>
    <row r="6709" spans="1:13" x14ac:dyDescent="0.25">
      <c r="D6709" s="13">
        <v>283</v>
      </c>
      <c r="E6709" s="136" t="str">
        <f>INDEX([1]道具配置表!$D:$D,MATCH(D6709,[1]道具配置表!$A:$A,0))</f>
        <v>100万石头</v>
      </c>
      <c r="F6709" s="13">
        <v>2</v>
      </c>
      <c r="K6709" s="13">
        <v>1</v>
      </c>
      <c r="M6709" s="103" t="b">
        <v>1</v>
      </c>
    </row>
    <row r="6710" spans="1:13" x14ac:dyDescent="0.25">
      <c r="D6710" s="13">
        <v>284</v>
      </c>
      <c r="E6710" s="136" t="str">
        <f>INDEX([1]道具配置表!$D:$D,MATCH(D6710,[1]道具配置表!$A:$A,0))</f>
        <v>100万黄金</v>
      </c>
      <c r="F6710" s="13">
        <v>2</v>
      </c>
      <c r="K6710" s="13">
        <v>1</v>
      </c>
      <c r="M6710" s="103" t="b">
        <v>1</v>
      </c>
    </row>
    <row r="6711" spans="1:13" x14ac:dyDescent="0.25">
      <c r="A6711" s="13">
        <v>6656004</v>
      </c>
      <c r="B6711" s="13" t="s">
        <v>1492</v>
      </c>
      <c r="D6711" s="13">
        <v>56202</v>
      </c>
      <c r="E6711" s="136" t="str">
        <f>INDEX([1]道具配置表!$D:$D,MATCH(D6711,[1]道具配置表!$A:$A,0))</f>
        <v>传说图纸</v>
      </c>
      <c r="F6711" s="13">
        <v>2</v>
      </c>
      <c r="K6711" s="13">
        <v>1</v>
      </c>
      <c r="M6711" s="103" t="b">
        <v>1</v>
      </c>
    </row>
    <row r="6712" spans="1:13" x14ac:dyDescent="0.25">
      <c r="D6712" s="13">
        <v>282</v>
      </c>
      <c r="E6712" s="136" t="str">
        <f>INDEX([1]道具配置表!$D:$D,MATCH(D6712,[1]道具配置表!$A:$A,0))</f>
        <v>100万食物</v>
      </c>
      <c r="F6712" s="13">
        <v>1</v>
      </c>
      <c r="K6712" s="13">
        <v>1</v>
      </c>
      <c r="M6712" s="103" t="b">
        <v>1</v>
      </c>
    </row>
    <row r="6713" spans="1:13" x14ac:dyDescent="0.25">
      <c r="D6713" s="13">
        <v>281</v>
      </c>
      <c r="E6713" s="136" t="str">
        <f>INDEX([1]道具配置表!$D:$D,MATCH(D6713,[1]道具配置表!$A:$A,0))</f>
        <v>100万木材</v>
      </c>
      <c r="F6713" s="13">
        <v>1</v>
      </c>
      <c r="K6713" s="13">
        <v>1</v>
      </c>
      <c r="M6713" s="103" t="b">
        <v>1</v>
      </c>
    </row>
    <row r="6714" spans="1:13" x14ac:dyDescent="0.25">
      <c r="D6714" s="13">
        <v>283</v>
      </c>
      <c r="E6714" s="136" t="str">
        <f>INDEX([1]道具配置表!$D:$D,MATCH(D6714,[1]道具配置表!$A:$A,0))</f>
        <v>100万石头</v>
      </c>
      <c r="F6714" s="13">
        <v>1</v>
      </c>
      <c r="K6714" s="13">
        <v>1</v>
      </c>
      <c r="M6714" s="103" t="b">
        <v>1</v>
      </c>
    </row>
    <row r="6715" spans="1:13" x14ac:dyDescent="0.25">
      <c r="D6715" s="13">
        <v>284</v>
      </c>
      <c r="E6715" s="136" t="str">
        <f>INDEX([1]道具配置表!$D:$D,MATCH(D6715,[1]道具配置表!$A:$A,0))</f>
        <v>100万黄金</v>
      </c>
      <c r="F6715" s="13">
        <v>1</v>
      </c>
      <c r="K6715" s="13">
        <v>1</v>
      </c>
      <c r="M6715" s="103" t="b">
        <v>1</v>
      </c>
    </row>
    <row r="6716" spans="1:13" x14ac:dyDescent="0.25">
      <c r="A6716" s="13">
        <v>6656005</v>
      </c>
      <c r="B6716" s="13" t="s">
        <v>1493</v>
      </c>
      <c r="D6716" s="13">
        <v>56202</v>
      </c>
      <c r="E6716" s="136" t="str">
        <f>INDEX([1]道具配置表!$D:$D,MATCH(D6716,[1]道具配置表!$A:$A,0))</f>
        <v>传说图纸</v>
      </c>
      <c r="F6716" s="13">
        <v>2</v>
      </c>
      <c r="K6716" s="13">
        <v>1</v>
      </c>
      <c r="M6716" s="103" t="b">
        <v>1</v>
      </c>
    </row>
    <row r="6717" spans="1:13" x14ac:dyDescent="0.25">
      <c r="D6717" s="13">
        <v>262</v>
      </c>
      <c r="E6717" s="136" t="str">
        <f>INDEX([1]道具配置表!$D:$D,MATCH(D6717,[1]道具配置表!$A:$A,0))</f>
        <v>20万食物</v>
      </c>
      <c r="F6717" s="13">
        <v>4</v>
      </c>
      <c r="K6717" s="13">
        <v>1</v>
      </c>
      <c r="M6717" s="103" t="b">
        <v>1</v>
      </c>
    </row>
    <row r="6718" spans="1:13" x14ac:dyDescent="0.25">
      <c r="D6718" s="13">
        <v>261</v>
      </c>
      <c r="E6718" s="136" t="str">
        <f>INDEX([1]道具配置表!$D:$D,MATCH(D6718,[1]道具配置表!$A:$A,0))</f>
        <v>20万木材</v>
      </c>
      <c r="F6718" s="13">
        <v>4</v>
      </c>
      <c r="K6718" s="13">
        <v>1</v>
      </c>
      <c r="M6718" s="103" t="b">
        <v>1</v>
      </c>
    </row>
    <row r="6719" spans="1:13" x14ac:dyDescent="0.25">
      <c r="D6719" s="13">
        <v>263</v>
      </c>
      <c r="E6719" s="136" t="str">
        <f>INDEX([1]道具配置表!$D:$D,MATCH(D6719,[1]道具配置表!$A:$A,0))</f>
        <v>20万石头</v>
      </c>
      <c r="F6719" s="13">
        <v>4</v>
      </c>
      <c r="K6719" s="13">
        <v>1</v>
      </c>
      <c r="M6719" s="103" t="b">
        <v>1</v>
      </c>
    </row>
    <row r="6720" spans="1:13" x14ac:dyDescent="0.25">
      <c r="D6720" s="13">
        <v>264</v>
      </c>
      <c r="E6720" s="136" t="str">
        <f>INDEX([1]道具配置表!$D:$D,MATCH(D6720,[1]道具配置表!$A:$A,0))</f>
        <v>20万黄金</v>
      </c>
      <c r="F6720" s="13">
        <v>4</v>
      </c>
      <c r="K6720" s="13">
        <v>1</v>
      </c>
      <c r="M6720" s="103" t="b">
        <v>1</v>
      </c>
    </row>
    <row r="6721" spans="1:13" x14ac:dyDescent="0.25">
      <c r="A6721" s="13">
        <v>6656006</v>
      </c>
      <c r="B6721" s="13" t="s">
        <v>1494</v>
      </c>
      <c r="D6721" s="13">
        <v>56202</v>
      </c>
      <c r="E6721" s="136" t="str">
        <f>INDEX([1]道具配置表!$D:$D,MATCH(D6721,[1]道具配置表!$A:$A,0))</f>
        <v>传说图纸</v>
      </c>
      <c r="F6721" s="13">
        <v>1</v>
      </c>
      <c r="K6721" s="13">
        <v>1</v>
      </c>
      <c r="M6721" s="103" t="b">
        <v>1</v>
      </c>
    </row>
    <row r="6722" spans="1:13" x14ac:dyDescent="0.25">
      <c r="D6722" s="13">
        <v>262</v>
      </c>
      <c r="E6722" s="136" t="str">
        <f>INDEX([1]道具配置表!$D:$D,MATCH(D6722,[1]道具配置表!$A:$A,0))</f>
        <v>20万食物</v>
      </c>
      <c r="F6722" s="13">
        <v>3</v>
      </c>
      <c r="K6722" s="13">
        <v>1</v>
      </c>
      <c r="M6722" s="103" t="b">
        <v>1</v>
      </c>
    </row>
    <row r="6723" spans="1:13" x14ac:dyDescent="0.25">
      <c r="D6723" s="13">
        <v>261</v>
      </c>
      <c r="E6723" s="136" t="str">
        <f>INDEX([1]道具配置表!$D:$D,MATCH(D6723,[1]道具配置表!$A:$A,0))</f>
        <v>20万木材</v>
      </c>
      <c r="F6723" s="13">
        <v>3</v>
      </c>
      <c r="K6723" s="13">
        <v>1</v>
      </c>
      <c r="M6723" s="103" t="b">
        <v>1</v>
      </c>
    </row>
    <row r="6724" spans="1:13" x14ac:dyDescent="0.25">
      <c r="D6724" s="13">
        <v>263</v>
      </c>
      <c r="E6724" s="136" t="str">
        <f>INDEX([1]道具配置表!$D:$D,MATCH(D6724,[1]道具配置表!$A:$A,0))</f>
        <v>20万石头</v>
      </c>
      <c r="F6724" s="13">
        <v>3</v>
      </c>
      <c r="K6724" s="13">
        <v>1</v>
      </c>
      <c r="M6724" s="103" t="b">
        <v>1</v>
      </c>
    </row>
    <row r="6725" spans="1:13" x14ac:dyDescent="0.25">
      <c r="D6725" s="13">
        <v>264</v>
      </c>
      <c r="E6725" s="136" t="str">
        <f>INDEX([1]道具配置表!$D:$D,MATCH(D6725,[1]道具配置表!$A:$A,0))</f>
        <v>20万黄金</v>
      </c>
      <c r="F6725" s="13">
        <v>3</v>
      </c>
      <c r="K6725" s="13">
        <v>1</v>
      </c>
      <c r="M6725" s="103" t="b">
        <v>1</v>
      </c>
    </row>
    <row r="6726" spans="1:13" x14ac:dyDescent="0.25">
      <c r="A6726" s="13">
        <v>6656007</v>
      </c>
      <c r="B6726" s="13" t="s">
        <v>1518</v>
      </c>
      <c r="D6726" s="13">
        <v>56203</v>
      </c>
      <c r="E6726" s="136" t="str">
        <f>INDEX([1]道具配置表!$D:$D,MATCH(D6726,[1]道具配置表!$A:$A,0))</f>
        <v>全随机图纸</v>
      </c>
      <c r="F6726" s="13">
        <v>2</v>
      </c>
      <c r="K6726" s="13">
        <v>1</v>
      </c>
      <c r="M6726" s="103" t="b">
        <v>1</v>
      </c>
    </row>
    <row r="6727" spans="1:13" x14ac:dyDescent="0.25">
      <c r="D6727" s="13">
        <v>262</v>
      </c>
      <c r="E6727" s="136" t="str">
        <f>INDEX([1]道具配置表!$D:$D,MATCH(D6727,[1]道具配置表!$A:$A,0))</f>
        <v>20万食物</v>
      </c>
      <c r="F6727" s="13">
        <v>2</v>
      </c>
      <c r="K6727" s="13">
        <v>1</v>
      </c>
      <c r="M6727" s="103" t="b">
        <v>1</v>
      </c>
    </row>
    <row r="6728" spans="1:13" x14ac:dyDescent="0.25">
      <c r="D6728" s="13">
        <v>261</v>
      </c>
      <c r="E6728" s="136" t="str">
        <f>INDEX([1]道具配置表!$D:$D,MATCH(D6728,[1]道具配置表!$A:$A,0))</f>
        <v>20万木材</v>
      </c>
      <c r="F6728" s="13">
        <v>2</v>
      </c>
      <c r="K6728" s="13">
        <v>1</v>
      </c>
      <c r="M6728" s="103" t="b">
        <v>1</v>
      </c>
    </row>
    <row r="6729" spans="1:13" x14ac:dyDescent="0.25">
      <c r="D6729" s="13">
        <v>263</v>
      </c>
      <c r="E6729" s="136" t="str">
        <f>INDEX([1]道具配置表!$D:$D,MATCH(D6729,[1]道具配置表!$A:$A,0))</f>
        <v>20万石头</v>
      </c>
      <c r="F6729" s="13">
        <v>2</v>
      </c>
      <c r="K6729" s="13">
        <v>1</v>
      </c>
      <c r="M6729" s="103" t="b">
        <v>1</v>
      </c>
    </row>
    <row r="6730" spans="1:13" x14ac:dyDescent="0.25">
      <c r="D6730" s="13">
        <v>264</v>
      </c>
      <c r="E6730" s="136" t="str">
        <f>INDEX([1]道具配置表!$D:$D,MATCH(D6730,[1]道具配置表!$A:$A,0))</f>
        <v>20万黄金</v>
      </c>
      <c r="F6730" s="13">
        <v>2</v>
      </c>
      <c r="K6730" s="13">
        <v>1</v>
      </c>
      <c r="M6730" s="103" t="b">
        <v>1</v>
      </c>
    </row>
    <row r="6731" spans="1:13" x14ac:dyDescent="0.25">
      <c r="A6731" s="13">
        <v>6656008</v>
      </c>
      <c r="B6731" s="13" t="s">
        <v>1519</v>
      </c>
      <c r="D6731" s="13">
        <v>56203</v>
      </c>
      <c r="E6731" s="136" t="str">
        <f>INDEX([1]道具配置表!$D:$D,MATCH(D6731,[1]道具配置表!$A:$A,0))</f>
        <v>全随机图纸</v>
      </c>
      <c r="F6731" s="13">
        <v>1</v>
      </c>
      <c r="K6731" s="13">
        <v>1</v>
      </c>
      <c r="M6731" s="103" t="b">
        <v>1</v>
      </c>
    </row>
    <row r="6732" spans="1:13" x14ac:dyDescent="0.25">
      <c r="D6732" s="13">
        <v>262</v>
      </c>
      <c r="E6732" s="136" t="str">
        <f>INDEX([1]道具配置表!$D:$D,MATCH(D6732,[1]道具配置表!$A:$A,0))</f>
        <v>20万食物</v>
      </c>
      <c r="F6732" s="13">
        <v>1</v>
      </c>
      <c r="K6732" s="13">
        <v>1</v>
      </c>
      <c r="M6732" s="103" t="b">
        <v>1</v>
      </c>
    </row>
    <row r="6733" spans="1:13" x14ac:dyDescent="0.25">
      <c r="D6733" s="13">
        <v>261</v>
      </c>
      <c r="E6733" s="136" t="str">
        <f>INDEX([1]道具配置表!$D:$D,MATCH(D6733,[1]道具配置表!$A:$A,0))</f>
        <v>20万木材</v>
      </c>
      <c r="F6733" s="13">
        <v>1</v>
      </c>
      <c r="K6733" s="13">
        <v>1</v>
      </c>
      <c r="M6733" s="103" t="b">
        <v>1</v>
      </c>
    </row>
    <row r="6734" spans="1:13" x14ac:dyDescent="0.25">
      <c r="D6734" s="13">
        <v>263</v>
      </c>
      <c r="E6734" s="136" t="str">
        <f>INDEX([1]道具配置表!$D:$D,MATCH(D6734,[1]道具配置表!$A:$A,0))</f>
        <v>20万石头</v>
      </c>
      <c r="F6734" s="13">
        <v>1</v>
      </c>
      <c r="K6734" s="13">
        <v>1</v>
      </c>
      <c r="M6734" s="103" t="b">
        <v>1</v>
      </c>
    </row>
    <row r="6735" spans="1:13" x14ac:dyDescent="0.25">
      <c r="D6735" s="13">
        <v>264</v>
      </c>
      <c r="E6735" s="136" t="str">
        <f>INDEX([1]道具配置表!$D:$D,MATCH(D6735,[1]道具配置表!$A:$A,0))</f>
        <v>20万黄金</v>
      </c>
      <c r="F6735" s="13">
        <v>1</v>
      </c>
      <c r="K6735" s="13">
        <v>1</v>
      </c>
      <c r="M6735" s="103" t="b">
        <v>1</v>
      </c>
    </row>
    <row r="6736" spans="1:13" x14ac:dyDescent="0.25">
      <c r="A6736" s="13">
        <v>6656009</v>
      </c>
      <c r="B6736" s="13" t="s">
        <v>1520</v>
      </c>
      <c r="D6736" s="13">
        <v>56203</v>
      </c>
      <c r="E6736" s="136" t="str">
        <f>INDEX([1]道具配置表!$D:$D,MATCH(D6736,[1]道具配置表!$A:$A,0))</f>
        <v>全随机图纸</v>
      </c>
      <c r="F6736" s="13">
        <v>1</v>
      </c>
      <c r="K6736" s="13">
        <v>1</v>
      </c>
      <c r="M6736" s="103" t="b">
        <v>1</v>
      </c>
    </row>
    <row r="6737" spans="1:13" x14ac:dyDescent="0.25">
      <c r="D6737" s="13">
        <v>242</v>
      </c>
      <c r="E6737" s="136" t="str">
        <f>INDEX([1]道具配置表!$D:$D,MATCH(D6737,[1]道具配置表!$A:$A,0))</f>
        <v>5万食物</v>
      </c>
      <c r="F6737" s="13">
        <v>3</v>
      </c>
      <c r="K6737" s="13">
        <v>1</v>
      </c>
      <c r="M6737" s="103" t="b">
        <v>1</v>
      </c>
    </row>
    <row r="6738" spans="1:13" x14ac:dyDescent="0.25">
      <c r="D6738" s="13">
        <v>241</v>
      </c>
      <c r="E6738" s="136" t="str">
        <f>INDEX([1]道具配置表!$D:$D,MATCH(D6738,[1]道具配置表!$A:$A,0))</f>
        <v>5万木材</v>
      </c>
      <c r="F6738" s="13">
        <v>3</v>
      </c>
      <c r="K6738" s="13">
        <v>1</v>
      </c>
      <c r="M6738" s="103" t="b">
        <v>1</v>
      </c>
    </row>
    <row r="6739" spans="1:13" x14ac:dyDescent="0.25">
      <c r="D6739" s="13">
        <v>243</v>
      </c>
      <c r="E6739" s="136" t="str">
        <f>INDEX([1]道具配置表!$D:$D,MATCH(D6739,[1]道具配置表!$A:$A,0))</f>
        <v>5万石头</v>
      </c>
      <c r="F6739" s="13">
        <v>3</v>
      </c>
      <c r="K6739" s="13">
        <v>1</v>
      </c>
      <c r="M6739" s="103" t="b">
        <v>1</v>
      </c>
    </row>
    <row r="6740" spans="1:13" x14ac:dyDescent="0.25">
      <c r="D6740" s="13">
        <v>244</v>
      </c>
      <c r="E6740" s="136" t="str">
        <f>INDEX([1]道具配置表!$D:$D,MATCH(D6740,[1]道具配置表!$A:$A,0))</f>
        <v>5万黄金</v>
      </c>
      <c r="F6740" s="13">
        <v>3</v>
      </c>
      <c r="K6740" s="13">
        <v>1</v>
      </c>
      <c r="M6740" s="103" t="b">
        <v>1</v>
      </c>
    </row>
    <row r="6741" spans="1:13" x14ac:dyDescent="0.25">
      <c r="A6741" s="13">
        <v>6656010</v>
      </c>
      <c r="B6741" s="13" t="s">
        <v>1521</v>
      </c>
      <c r="D6741" s="13">
        <v>56203</v>
      </c>
      <c r="E6741" s="136" t="str">
        <f>INDEX([1]道具配置表!$D:$D,MATCH(D6741,[1]道具配置表!$A:$A,0))</f>
        <v>全随机图纸</v>
      </c>
      <c r="F6741" s="13">
        <v>1</v>
      </c>
      <c r="K6741" s="13">
        <v>1</v>
      </c>
      <c r="M6741" s="103" t="b">
        <v>1</v>
      </c>
    </row>
    <row r="6742" spans="1:13" x14ac:dyDescent="0.25">
      <c r="D6742" s="13">
        <v>242</v>
      </c>
      <c r="E6742" s="136" t="str">
        <f>INDEX([1]道具配置表!$D:$D,MATCH(D6742,[1]道具配置表!$A:$A,0))</f>
        <v>5万食物</v>
      </c>
      <c r="F6742" s="13">
        <v>2</v>
      </c>
      <c r="K6742" s="13">
        <v>1</v>
      </c>
      <c r="M6742" s="103" t="b">
        <v>1</v>
      </c>
    </row>
    <row r="6743" spans="1:13" x14ac:dyDescent="0.25">
      <c r="D6743" s="13">
        <v>241</v>
      </c>
      <c r="E6743" s="136" t="str">
        <f>INDEX([1]道具配置表!$D:$D,MATCH(D6743,[1]道具配置表!$A:$A,0))</f>
        <v>5万木材</v>
      </c>
      <c r="F6743" s="13">
        <v>2</v>
      </c>
      <c r="K6743" s="13">
        <v>1</v>
      </c>
      <c r="M6743" s="103" t="b">
        <v>1</v>
      </c>
    </row>
    <row r="6744" spans="1:13" x14ac:dyDescent="0.25">
      <c r="D6744" s="13">
        <v>243</v>
      </c>
      <c r="E6744" s="136" t="str">
        <f>INDEX([1]道具配置表!$D:$D,MATCH(D6744,[1]道具配置表!$A:$A,0))</f>
        <v>5万石头</v>
      </c>
      <c r="F6744" s="13">
        <v>2</v>
      </c>
      <c r="K6744" s="13">
        <v>1</v>
      </c>
      <c r="M6744" s="103" t="b">
        <v>1</v>
      </c>
    </row>
    <row r="6745" spans="1:13" x14ac:dyDescent="0.25">
      <c r="D6745" s="13">
        <v>244</v>
      </c>
      <c r="E6745" s="136" t="str">
        <f>INDEX([1]道具配置表!$D:$D,MATCH(D6745,[1]道具配置表!$A:$A,0))</f>
        <v>5万黄金</v>
      </c>
      <c r="F6745" s="13">
        <v>2</v>
      </c>
      <c r="K6745" s="13">
        <v>1</v>
      </c>
      <c r="M6745" s="103" t="b">
        <v>1</v>
      </c>
    </row>
    <row r="6746" spans="1:13" x14ac:dyDescent="0.25">
      <c r="A6746" s="13">
        <v>6657001</v>
      </c>
      <c r="B6746" s="13" t="s">
        <v>1495</v>
      </c>
      <c r="D6746" s="13">
        <v>7003</v>
      </c>
      <c r="E6746" s="136" t="str">
        <f>INDEX([1]道具配置表!$D:$D,MATCH(D6746,[1]道具配置表!$A:$A,0))</f>
        <v>1银币（立即使用，不进背包）</v>
      </c>
      <c r="F6746" s="13">
        <v>4000</v>
      </c>
      <c r="K6746" s="13">
        <v>1</v>
      </c>
      <c r="M6746" s="103" t="b">
        <v>1</v>
      </c>
    </row>
    <row r="6747" spans="1:13" x14ac:dyDescent="0.25">
      <c r="D6747" s="13">
        <v>6201</v>
      </c>
      <c r="E6747" s="136" t="str">
        <f>INDEX([1]道具配置表!$D:$D,MATCH(D6747,[1]道具配置表!$A:$A,0))</f>
        <v>60分钟锻造加速</v>
      </c>
      <c r="F6747" s="13">
        <v>10</v>
      </c>
      <c r="K6747" s="13">
        <v>1</v>
      </c>
      <c r="M6747" s="103" t="b">
        <v>1</v>
      </c>
    </row>
    <row r="6748" spans="1:13" x14ac:dyDescent="0.25">
      <c r="D6748" s="13">
        <v>505</v>
      </c>
      <c r="E6748" s="136" t="str">
        <f>INDEX([1]道具配置表!$D:$D,MATCH(D6748,[1]道具配置表!$A:$A,0))</f>
        <v>20万资源自选宝箱</v>
      </c>
      <c r="F6748" s="13">
        <v>5</v>
      </c>
      <c r="K6748" s="13">
        <v>1</v>
      </c>
      <c r="M6748" s="103" t="b">
        <v>1</v>
      </c>
    </row>
    <row r="6749" spans="1:13" x14ac:dyDescent="0.25">
      <c r="A6749" s="13">
        <v>6657002</v>
      </c>
      <c r="B6749" s="13" t="s">
        <v>1496</v>
      </c>
      <c r="D6749" s="13">
        <v>7003</v>
      </c>
      <c r="E6749" s="136" t="str">
        <f>INDEX([1]道具配置表!$D:$D,MATCH(D6749,[1]道具配置表!$A:$A,0))</f>
        <v>1银币（立即使用，不进背包）</v>
      </c>
      <c r="F6749" s="13">
        <v>3000</v>
      </c>
      <c r="K6749" s="13">
        <v>1</v>
      </c>
      <c r="M6749" s="103" t="b">
        <v>1</v>
      </c>
    </row>
    <row r="6750" spans="1:13" x14ac:dyDescent="0.25">
      <c r="D6750" s="13">
        <v>6201</v>
      </c>
      <c r="E6750" s="136" t="str">
        <f>INDEX([1]道具配置表!$D:$D,MATCH(D6750,[1]道具配置表!$A:$A,0))</f>
        <v>60分钟锻造加速</v>
      </c>
      <c r="F6750" s="13">
        <v>8</v>
      </c>
      <c r="K6750" s="13">
        <v>1</v>
      </c>
      <c r="M6750" s="103" t="b">
        <v>1</v>
      </c>
    </row>
    <row r="6751" spans="1:13" x14ac:dyDescent="0.25">
      <c r="D6751" s="13">
        <v>505</v>
      </c>
      <c r="E6751" s="136" t="str">
        <f>INDEX([1]道具配置表!$D:$D,MATCH(D6751,[1]道具配置表!$A:$A,0))</f>
        <v>20万资源自选宝箱</v>
      </c>
      <c r="F6751" s="13">
        <v>4</v>
      </c>
      <c r="K6751" s="13">
        <v>1</v>
      </c>
      <c r="M6751" s="103" t="b">
        <v>1</v>
      </c>
    </row>
    <row r="6752" spans="1:13" x14ac:dyDescent="0.25">
      <c r="A6752" s="13">
        <v>6657003</v>
      </c>
      <c r="B6752" s="13" t="s">
        <v>1497</v>
      </c>
      <c r="D6752" s="13">
        <v>7003</v>
      </c>
      <c r="E6752" s="136" t="str">
        <f>INDEX([1]道具配置表!$D:$D,MATCH(D6752,[1]道具配置表!$A:$A,0))</f>
        <v>1银币（立即使用，不进背包）</v>
      </c>
      <c r="F6752" s="13">
        <v>2000</v>
      </c>
      <c r="K6752" s="13">
        <v>1</v>
      </c>
      <c r="M6752" s="100" t="b">
        <v>1</v>
      </c>
    </row>
    <row r="6753" spans="1:13" x14ac:dyDescent="0.25">
      <c r="D6753" s="13">
        <v>6201</v>
      </c>
      <c r="E6753" s="136" t="str">
        <f>INDEX([1]道具配置表!$D:$D,MATCH(D6753,[1]道具配置表!$A:$A,0))</f>
        <v>60分钟锻造加速</v>
      </c>
      <c r="F6753" s="13">
        <v>6</v>
      </c>
      <c r="K6753" s="13">
        <v>1</v>
      </c>
      <c r="M6753" s="100" t="b">
        <v>1</v>
      </c>
    </row>
    <row r="6754" spans="1:13" x14ac:dyDescent="0.25">
      <c r="D6754" s="13">
        <v>505</v>
      </c>
      <c r="E6754" s="136" t="str">
        <f>INDEX([1]道具配置表!$D:$D,MATCH(D6754,[1]道具配置表!$A:$A,0))</f>
        <v>20万资源自选宝箱</v>
      </c>
      <c r="F6754" s="13">
        <v>3</v>
      </c>
      <c r="K6754" s="13">
        <v>1</v>
      </c>
      <c r="M6754" s="100" t="b">
        <v>1</v>
      </c>
    </row>
    <row r="6755" spans="1:13" x14ac:dyDescent="0.25">
      <c r="A6755" s="13">
        <v>6657004</v>
      </c>
      <c r="B6755" s="13" t="s">
        <v>1498</v>
      </c>
      <c r="D6755" s="13">
        <v>7003</v>
      </c>
      <c r="E6755" s="136" t="str">
        <f>INDEX([1]道具配置表!$D:$D,MATCH(D6755,[1]道具配置表!$A:$A,0))</f>
        <v>1银币（立即使用，不进背包）</v>
      </c>
      <c r="F6755" s="13">
        <v>1000</v>
      </c>
      <c r="K6755" s="13">
        <v>1</v>
      </c>
      <c r="M6755" s="100" t="b">
        <v>1</v>
      </c>
    </row>
    <row r="6756" spans="1:13" x14ac:dyDescent="0.25">
      <c r="D6756" s="13">
        <v>6201</v>
      </c>
      <c r="E6756" s="136" t="str">
        <f>INDEX([1]道具配置表!$D:$D,MATCH(D6756,[1]道具配置表!$A:$A,0))</f>
        <v>60分钟锻造加速</v>
      </c>
      <c r="F6756" s="13">
        <v>4</v>
      </c>
      <c r="K6756" s="13">
        <v>1</v>
      </c>
      <c r="M6756" s="100" t="b">
        <v>1</v>
      </c>
    </row>
    <row r="6757" spans="1:13" x14ac:dyDescent="0.25">
      <c r="D6757" s="13">
        <v>505</v>
      </c>
      <c r="E6757" s="136" t="str">
        <f>INDEX([1]道具配置表!$D:$D,MATCH(D6757,[1]道具配置表!$A:$A,0))</f>
        <v>20万资源自选宝箱</v>
      </c>
      <c r="F6757" s="13">
        <v>2</v>
      </c>
      <c r="K6757" s="13">
        <v>1</v>
      </c>
      <c r="M6757" s="100" t="b">
        <v>1</v>
      </c>
    </row>
    <row r="6758" spans="1:13" x14ac:dyDescent="0.25">
      <c r="A6758" s="13">
        <v>6657005</v>
      </c>
      <c r="B6758" s="13" t="s">
        <v>1499</v>
      </c>
      <c r="D6758" s="13">
        <v>7003</v>
      </c>
      <c r="E6758" s="136" t="str">
        <f>INDEX([1]道具配置表!$D:$D,MATCH(D6758,[1]道具配置表!$A:$A,0))</f>
        <v>1银币（立即使用，不进背包）</v>
      </c>
      <c r="F6758" s="13">
        <v>800</v>
      </c>
      <c r="K6758" s="13">
        <v>1</v>
      </c>
      <c r="M6758" s="100" t="b">
        <v>1</v>
      </c>
    </row>
    <row r="6759" spans="1:13" x14ac:dyDescent="0.25">
      <c r="D6759" s="13">
        <v>6201</v>
      </c>
      <c r="E6759" s="136" t="str">
        <f>INDEX([1]道具配置表!$D:$D,MATCH(D6759,[1]道具配置表!$A:$A,0))</f>
        <v>60分钟锻造加速</v>
      </c>
      <c r="F6759" s="13">
        <v>2</v>
      </c>
      <c r="K6759" s="13">
        <v>1</v>
      </c>
      <c r="M6759" s="100" t="b">
        <v>1</v>
      </c>
    </row>
    <row r="6760" spans="1:13" x14ac:dyDescent="0.25">
      <c r="D6760" s="13">
        <v>505</v>
      </c>
      <c r="E6760" s="136" t="str">
        <f>INDEX([1]道具配置表!$D:$D,MATCH(D6760,[1]道具配置表!$A:$A,0))</f>
        <v>20万资源自选宝箱</v>
      </c>
      <c r="F6760" s="13">
        <v>1</v>
      </c>
      <c r="K6760" s="13">
        <v>1</v>
      </c>
      <c r="M6760" s="100" t="b">
        <v>1</v>
      </c>
    </row>
    <row r="6761" spans="1:13" x14ac:dyDescent="0.25">
      <c r="A6761" s="13">
        <v>6657006</v>
      </c>
      <c r="B6761" s="13" t="s">
        <v>1500</v>
      </c>
      <c r="D6761" s="13">
        <v>7003</v>
      </c>
      <c r="E6761" s="136" t="str">
        <f>INDEX([1]道具配置表!$D:$D,MATCH(D6761,[1]道具配置表!$A:$A,0))</f>
        <v>1银币（立即使用，不进背包）</v>
      </c>
      <c r="F6761" s="13">
        <v>600</v>
      </c>
      <c r="K6761" s="13">
        <v>1</v>
      </c>
      <c r="M6761" s="100" t="b">
        <v>1</v>
      </c>
    </row>
    <row r="6762" spans="1:13" x14ac:dyDescent="0.25">
      <c r="D6762" s="13">
        <v>6201</v>
      </c>
      <c r="E6762" s="136" t="str">
        <f>INDEX([1]道具配置表!$D:$D,MATCH(D6762,[1]道具配置表!$A:$A,0))</f>
        <v>60分钟锻造加速</v>
      </c>
      <c r="F6762" s="13">
        <v>1</v>
      </c>
      <c r="K6762" s="13">
        <v>1</v>
      </c>
      <c r="M6762" s="100" t="b">
        <v>1</v>
      </c>
    </row>
    <row r="6763" spans="1:13" x14ac:dyDescent="0.25">
      <c r="D6763" s="13">
        <v>503</v>
      </c>
      <c r="E6763" s="136" t="str">
        <f>INDEX([1]道具配置表!$D:$D,MATCH(D6763,[1]道具配置表!$A:$A,0))</f>
        <v>5万资源自选宝箱</v>
      </c>
      <c r="F6763" s="13">
        <v>3</v>
      </c>
      <c r="K6763" s="13">
        <v>1</v>
      </c>
      <c r="M6763" s="100" t="b">
        <v>1</v>
      </c>
    </row>
    <row r="6764" spans="1:13" x14ac:dyDescent="0.25">
      <c r="A6764" s="13">
        <v>6657007</v>
      </c>
      <c r="B6764" s="13" t="s">
        <v>1501</v>
      </c>
      <c r="D6764" s="13">
        <v>7003</v>
      </c>
      <c r="E6764" s="136" t="str">
        <f>INDEX([1]道具配置表!$D:$D,MATCH(D6764,[1]道具配置表!$A:$A,0))</f>
        <v>1银币（立即使用，不进背包）</v>
      </c>
      <c r="F6764" s="13">
        <v>400</v>
      </c>
      <c r="K6764" s="13">
        <v>1</v>
      </c>
      <c r="M6764" s="100" t="b">
        <v>1</v>
      </c>
    </row>
    <row r="6765" spans="1:13" x14ac:dyDescent="0.25">
      <c r="D6765" s="13">
        <v>6197</v>
      </c>
      <c r="E6765" s="136" t="str">
        <f>INDEX([1]道具配置表!$D:$D,MATCH(D6765,[1]道具配置表!$A:$A,0))</f>
        <v>5分钟锻造加速</v>
      </c>
      <c r="F6765" s="13">
        <v>10</v>
      </c>
      <c r="K6765" s="13">
        <v>1</v>
      </c>
      <c r="M6765" s="100" t="b">
        <v>1</v>
      </c>
    </row>
    <row r="6766" spans="1:13" x14ac:dyDescent="0.25">
      <c r="D6766" s="13">
        <v>503</v>
      </c>
      <c r="E6766" s="136" t="str">
        <f>INDEX([1]道具配置表!$D:$D,MATCH(D6766,[1]道具配置表!$A:$A,0))</f>
        <v>5万资源自选宝箱</v>
      </c>
      <c r="F6766" s="13">
        <v>2</v>
      </c>
      <c r="K6766" s="13">
        <v>1</v>
      </c>
      <c r="M6766" s="100" t="b">
        <v>1</v>
      </c>
    </row>
    <row r="6767" spans="1:13" x14ac:dyDescent="0.25">
      <c r="A6767" s="13">
        <v>6657008</v>
      </c>
      <c r="B6767" s="13" t="s">
        <v>1522</v>
      </c>
      <c r="D6767" s="13">
        <v>7003</v>
      </c>
      <c r="E6767" s="136" t="str">
        <f>INDEX([1]道具配置表!$D:$D,MATCH(D6767,[1]道具配置表!$A:$A,0))</f>
        <v>1银币（立即使用，不进背包）</v>
      </c>
      <c r="F6767" s="13">
        <v>200</v>
      </c>
      <c r="K6767" s="13">
        <v>1</v>
      </c>
      <c r="M6767" s="100" t="b">
        <v>1</v>
      </c>
    </row>
    <row r="6768" spans="1:13" x14ac:dyDescent="0.25">
      <c r="D6768" s="13">
        <v>6197</v>
      </c>
      <c r="E6768" s="136" t="str">
        <f>INDEX([1]道具配置表!$D:$D,MATCH(D6768,[1]道具配置表!$A:$A,0))</f>
        <v>5分钟锻造加速</v>
      </c>
      <c r="F6768" s="13">
        <v>8</v>
      </c>
      <c r="K6768" s="13">
        <v>1</v>
      </c>
      <c r="M6768" s="100" t="b">
        <v>1</v>
      </c>
    </row>
    <row r="6769" spans="1:13" x14ac:dyDescent="0.25">
      <c r="D6769" s="13">
        <v>503</v>
      </c>
      <c r="E6769" s="136" t="str">
        <f>INDEX([1]道具配置表!$D:$D,MATCH(D6769,[1]道具配置表!$A:$A,0))</f>
        <v>5万资源自选宝箱</v>
      </c>
      <c r="F6769" s="13">
        <v>1</v>
      </c>
      <c r="K6769" s="13">
        <v>1</v>
      </c>
      <c r="M6769" s="100" t="b">
        <v>1</v>
      </c>
    </row>
    <row r="6770" spans="1:13" x14ac:dyDescent="0.25">
      <c r="A6770" s="13">
        <v>6657009</v>
      </c>
      <c r="B6770" s="13" t="s">
        <v>1523</v>
      </c>
      <c r="D6770" s="13">
        <v>7003</v>
      </c>
      <c r="E6770" s="136" t="str">
        <f>INDEX([1]道具配置表!$D:$D,MATCH(D6770,[1]道具配置表!$A:$A,0))</f>
        <v>1银币（立即使用，不进背包）</v>
      </c>
      <c r="F6770" s="13">
        <v>100</v>
      </c>
      <c r="K6770" s="13">
        <v>1</v>
      </c>
      <c r="M6770" s="100" t="b">
        <v>1</v>
      </c>
    </row>
    <row r="6771" spans="1:13" x14ac:dyDescent="0.25">
      <c r="D6771" s="13">
        <v>6197</v>
      </c>
      <c r="E6771" s="136" t="str">
        <f>INDEX([1]道具配置表!$D:$D,MATCH(D6771,[1]道具配置表!$A:$A,0))</f>
        <v>5分钟锻造加速</v>
      </c>
      <c r="F6771" s="13">
        <v>6</v>
      </c>
      <c r="K6771" s="13">
        <v>1</v>
      </c>
      <c r="M6771" s="100" t="b">
        <v>1</v>
      </c>
    </row>
    <row r="6772" spans="1:13" x14ac:dyDescent="0.25">
      <c r="D6772" s="13">
        <v>503</v>
      </c>
      <c r="E6772" s="136" t="str">
        <f>INDEX([1]道具配置表!$D:$D,MATCH(D6772,[1]道具配置表!$A:$A,0))</f>
        <v>5万资源自选宝箱</v>
      </c>
      <c r="F6772" s="13">
        <v>1</v>
      </c>
      <c r="K6772" s="13">
        <v>1</v>
      </c>
      <c r="M6772" s="100" t="b">
        <v>1</v>
      </c>
    </row>
    <row r="6773" spans="1:13" x14ac:dyDescent="0.25">
      <c r="A6773" s="13">
        <v>6657010</v>
      </c>
      <c r="B6773" s="13" t="s">
        <v>1502</v>
      </c>
      <c r="D6773" s="13">
        <v>7003</v>
      </c>
      <c r="E6773" s="136" t="str">
        <f>INDEX([1]道具配置表!$D:$D,MATCH(D6773,[1]道具配置表!$A:$A,0))</f>
        <v>1银币（立即使用，不进背包）</v>
      </c>
      <c r="F6773" s="13">
        <v>50</v>
      </c>
      <c r="K6773" s="13">
        <v>1</v>
      </c>
      <c r="M6773" s="100" t="b">
        <v>1</v>
      </c>
    </row>
    <row r="6774" spans="1:13" x14ac:dyDescent="0.25">
      <c r="D6774" s="13">
        <v>6197</v>
      </c>
      <c r="E6774" s="136" t="str">
        <f>INDEX([1]道具配置表!$D:$D,MATCH(D6774,[1]道具配置表!$A:$A,0))</f>
        <v>5分钟锻造加速</v>
      </c>
      <c r="F6774" s="13">
        <v>5</v>
      </c>
      <c r="K6774" s="13">
        <v>1</v>
      </c>
      <c r="M6774" s="100" t="b">
        <v>1</v>
      </c>
    </row>
    <row r="6775" spans="1:13" x14ac:dyDescent="0.25">
      <c r="D6775" s="13">
        <v>503</v>
      </c>
      <c r="E6775" s="136" t="str">
        <f>INDEX([1]道具配置表!$D:$D,MATCH(D6775,[1]道具配置表!$A:$A,0))</f>
        <v>5万资源自选宝箱</v>
      </c>
      <c r="F6775" s="13">
        <v>1</v>
      </c>
      <c r="K6775" s="13">
        <v>1</v>
      </c>
      <c r="M6775" s="100" t="b">
        <v>1</v>
      </c>
    </row>
    <row r="6776" spans="1:13" x14ac:dyDescent="0.25">
      <c r="A6776" s="13">
        <v>6658001</v>
      </c>
      <c r="B6776" s="13" t="s">
        <v>1503</v>
      </c>
      <c r="D6776" s="13">
        <v>49553</v>
      </c>
      <c r="E6776" s="136" t="str">
        <f>INDEX([1]道具配置表!$D:$D,MATCH(D6776,[1]道具配置表!$A:$A,0))</f>
        <v>橙色兵种图纸自选宝箱</v>
      </c>
      <c r="F6776" s="13">
        <v>1</v>
      </c>
      <c r="K6776" s="13">
        <v>1</v>
      </c>
      <c r="M6776" s="101" t="b">
        <v>1</v>
      </c>
    </row>
    <row r="6777" spans="1:13" x14ac:dyDescent="0.25">
      <c r="D6777" s="104">
        <v>56002</v>
      </c>
      <c r="E6777" s="136" t="str">
        <f>INDEX([1]道具配置表!$D:$D,MATCH(D6777,[1]道具配置表!$A:$A,0))</f>
        <v>强化装备消耗材料</v>
      </c>
      <c r="F6777" s="13">
        <v>1</v>
      </c>
      <c r="K6777" s="13">
        <v>1</v>
      </c>
      <c r="M6777" s="101" t="b">
        <v>1</v>
      </c>
    </row>
    <row r="6778" spans="1:13" x14ac:dyDescent="0.25">
      <c r="D6778" s="13">
        <v>7003</v>
      </c>
      <c r="E6778" s="136" t="str">
        <f>INDEX([1]道具配置表!$D:$D,MATCH(D6778,[1]道具配置表!$A:$A,0))</f>
        <v>1银币（立即使用，不进背包）</v>
      </c>
      <c r="F6778" s="13">
        <v>1</v>
      </c>
      <c r="K6778" s="13">
        <v>1</v>
      </c>
      <c r="M6778" s="101" t="b">
        <v>1</v>
      </c>
    </row>
    <row r="6779" spans="1:13" x14ac:dyDescent="0.25">
      <c r="A6779" s="13">
        <v>6660011</v>
      </c>
      <c r="B6779" s="13" t="s">
        <v>1524</v>
      </c>
      <c r="D6779" s="13">
        <v>7003</v>
      </c>
      <c r="E6779" s="136" t="str">
        <f>INDEX([1]道具配置表!$D:$D,MATCH(D6779,[1]道具配置表!$A:$A,0))</f>
        <v>1银币（立即使用，不进背包）</v>
      </c>
      <c r="F6779" s="13">
        <v>500</v>
      </c>
      <c r="K6779" s="13">
        <v>1</v>
      </c>
      <c r="M6779" s="105" t="b">
        <v>1</v>
      </c>
    </row>
    <row r="6780" spans="1:13" x14ac:dyDescent="0.25">
      <c r="D6780" s="13">
        <v>56202</v>
      </c>
      <c r="E6780" s="136" t="str">
        <f>INDEX([1]道具配置表!$D:$D,MATCH(D6780,[1]道具配置表!$A:$A,0))</f>
        <v>传说图纸</v>
      </c>
      <c r="F6780" s="13">
        <v>1</v>
      </c>
      <c r="K6780" s="13">
        <v>1</v>
      </c>
      <c r="M6780" s="105" t="b">
        <v>1</v>
      </c>
    </row>
    <row r="6781" spans="1:13" x14ac:dyDescent="0.25">
      <c r="D6781" s="13">
        <v>56002</v>
      </c>
      <c r="E6781" s="136" t="str">
        <f>INDEX([1]道具配置表!$D:$D,MATCH(D6781,[1]道具配置表!$A:$A,0))</f>
        <v>强化装备消耗材料</v>
      </c>
      <c r="F6781" s="13">
        <v>50</v>
      </c>
      <c r="K6781" s="13">
        <v>1</v>
      </c>
      <c r="M6781" s="105" t="b">
        <v>1</v>
      </c>
    </row>
    <row r="6782" spans="1:13" x14ac:dyDescent="0.25">
      <c r="D6782" s="13">
        <v>56005</v>
      </c>
      <c r="E6782" s="136" t="str">
        <f>INDEX([1]道具配置表!$D:$D,MATCH(D6782,[1]道具配置表!$A:$A,0))</f>
        <v>突破橙装消耗材料</v>
      </c>
      <c r="F6782" s="13">
        <v>1</v>
      </c>
      <c r="K6782" s="13">
        <v>1</v>
      </c>
      <c r="M6782" s="105" t="b">
        <v>1</v>
      </c>
    </row>
    <row r="6783" spans="1:13" x14ac:dyDescent="0.25">
      <c r="A6783" s="13">
        <v>6660012</v>
      </c>
      <c r="B6783" s="13" t="s">
        <v>1525</v>
      </c>
      <c r="D6783" s="13">
        <v>7003</v>
      </c>
      <c r="E6783" s="136" t="str">
        <f>INDEX([1]道具配置表!$D:$D,MATCH(D6783,[1]道具配置表!$A:$A,0))</f>
        <v>1银币（立即使用，不进背包）</v>
      </c>
      <c r="F6783" s="13">
        <v>1000</v>
      </c>
      <c r="K6783" s="13">
        <v>1</v>
      </c>
      <c r="M6783" s="105" t="b">
        <v>1</v>
      </c>
    </row>
    <row r="6784" spans="1:13" x14ac:dyDescent="0.25">
      <c r="D6784" s="13">
        <v>56202</v>
      </c>
      <c r="E6784" s="136" t="str">
        <f>INDEX([1]道具配置表!$D:$D,MATCH(D6784,[1]道具配置表!$A:$A,0))</f>
        <v>传说图纸</v>
      </c>
      <c r="F6784" s="13">
        <v>1</v>
      </c>
      <c r="K6784" s="13">
        <v>1</v>
      </c>
      <c r="M6784" s="105" t="b">
        <v>1</v>
      </c>
    </row>
    <row r="6785" spans="1:13" x14ac:dyDescent="0.25">
      <c r="D6785" s="13">
        <v>56002</v>
      </c>
      <c r="E6785" s="136" t="str">
        <f>INDEX([1]道具配置表!$D:$D,MATCH(D6785,[1]道具配置表!$A:$A,0))</f>
        <v>强化装备消耗材料</v>
      </c>
      <c r="F6785" s="13">
        <v>100</v>
      </c>
      <c r="K6785" s="13">
        <v>1</v>
      </c>
      <c r="M6785" s="105" t="b">
        <v>1</v>
      </c>
    </row>
    <row r="6786" spans="1:13" x14ac:dyDescent="0.25">
      <c r="D6786" s="13">
        <v>56005</v>
      </c>
      <c r="E6786" s="136" t="str">
        <f>INDEX([1]道具配置表!$D:$D,MATCH(D6786,[1]道具配置表!$A:$A,0))</f>
        <v>突破橙装消耗材料</v>
      </c>
      <c r="F6786" s="13">
        <v>2</v>
      </c>
      <c r="K6786" s="13">
        <v>1</v>
      </c>
      <c r="M6786" s="105" t="b">
        <v>1</v>
      </c>
    </row>
    <row r="6787" spans="1:13" x14ac:dyDescent="0.25">
      <c r="A6787" s="13">
        <v>6660013</v>
      </c>
      <c r="B6787" s="13" t="s">
        <v>1526</v>
      </c>
      <c r="D6787" s="13">
        <v>7003</v>
      </c>
      <c r="E6787" s="136" t="str">
        <f>INDEX([1]道具配置表!$D:$D,MATCH(D6787,[1]道具配置表!$A:$A,0))</f>
        <v>1银币（立即使用，不进背包）</v>
      </c>
      <c r="F6787" s="13">
        <v>1500</v>
      </c>
      <c r="K6787" s="13">
        <v>1</v>
      </c>
      <c r="M6787" s="105" t="b">
        <v>1</v>
      </c>
    </row>
    <row r="6788" spans="1:13" x14ac:dyDescent="0.25">
      <c r="D6788" s="13">
        <v>56202</v>
      </c>
      <c r="E6788" s="136" t="str">
        <f>INDEX([1]道具配置表!$D:$D,MATCH(D6788,[1]道具配置表!$A:$A,0))</f>
        <v>传说图纸</v>
      </c>
      <c r="F6788" s="13">
        <v>1</v>
      </c>
      <c r="K6788" s="13">
        <v>1</v>
      </c>
      <c r="M6788" s="105" t="b">
        <v>1</v>
      </c>
    </row>
    <row r="6789" spans="1:13" x14ac:dyDescent="0.25">
      <c r="D6789" s="13">
        <v>56002</v>
      </c>
      <c r="E6789" s="136" t="str">
        <f>INDEX([1]道具配置表!$D:$D,MATCH(D6789,[1]道具配置表!$A:$A,0))</f>
        <v>强化装备消耗材料</v>
      </c>
      <c r="F6789" s="13">
        <v>150</v>
      </c>
      <c r="K6789" s="13">
        <v>1</v>
      </c>
      <c r="M6789" s="105" t="b">
        <v>1</v>
      </c>
    </row>
    <row r="6790" spans="1:13" x14ac:dyDescent="0.25">
      <c r="D6790" s="13">
        <v>56005</v>
      </c>
      <c r="E6790" s="136" t="str">
        <f>INDEX([1]道具配置表!$D:$D,MATCH(D6790,[1]道具配置表!$A:$A,0))</f>
        <v>突破橙装消耗材料</v>
      </c>
      <c r="F6790" s="13">
        <v>3</v>
      </c>
      <c r="K6790" s="13">
        <v>1</v>
      </c>
      <c r="M6790" s="105" t="b">
        <v>1</v>
      </c>
    </row>
    <row r="6791" spans="1:13" x14ac:dyDescent="0.25">
      <c r="A6791" s="13">
        <v>6660014</v>
      </c>
      <c r="B6791" s="13" t="s">
        <v>1527</v>
      </c>
      <c r="D6791" s="13">
        <v>7003</v>
      </c>
      <c r="E6791" s="136" t="str">
        <f>INDEX([1]道具配置表!$D:$D,MATCH(D6791,[1]道具配置表!$A:$A,0))</f>
        <v>1银币（立即使用，不进背包）</v>
      </c>
      <c r="F6791" s="13">
        <v>2000</v>
      </c>
      <c r="K6791" s="13">
        <v>1</v>
      </c>
      <c r="M6791" s="105" t="b">
        <v>1</v>
      </c>
    </row>
    <row r="6792" spans="1:13" x14ac:dyDescent="0.25">
      <c r="D6792" s="13">
        <v>56202</v>
      </c>
      <c r="E6792" s="136" t="str">
        <f>INDEX([1]道具配置表!$D:$D,MATCH(D6792,[1]道具配置表!$A:$A,0))</f>
        <v>传说图纸</v>
      </c>
      <c r="F6792" s="13">
        <v>1</v>
      </c>
      <c r="K6792" s="13">
        <v>1</v>
      </c>
      <c r="M6792" s="105" t="b">
        <v>1</v>
      </c>
    </row>
    <row r="6793" spans="1:13" x14ac:dyDescent="0.25">
      <c r="D6793" s="13">
        <v>56002</v>
      </c>
      <c r="E6793" s="136" t="str">
        <f>INDEX([1]道具配置表!$D:$D,MATCH(D6793,[1]道具配置表!$A:$A,0))</f>
        <v>强化装备消耗材料</v>
      </c>
      <c r="F6793" s="13">
        <v>200</v>
      </c>
      <c r="K6793" s="13">
        <v>1</v>
      </c>
      <c r="M6793" s="105" t="b">
        <v>1</v>
      </c>
    </row>
    <row r="6794" spans="1:13" x14ac:dyDescent="0.25">
      <c r="D6794" s="13">
        <v>56005</v>
      </c>
      <c r="E6794" s="136" t="str">
        <f>INDEX([1]道具配置表!$D:$D,MATCH(D6794,[1]道具配置表!$A:$A,0))</f>
        <v>突破橙装消耗材料</v>
      </c>
      <c r="F6794" s="13">
        <v>4</v>
      </c>
      <c r="K6794" s="13">
        <v>1</v>
      </c>
      <c r="M6794" s="105" t="b">
        <v>1</v>
      </c>
    </row>
    <row r="6795" spans="1:13" x14ac:dyDescent="0.25">
      <c r="A6795" s="13">
        <v>6660015</v>
      </c>
      <c r="B6795" s="13" t="s">
        <v>1528</v>
      </c>
      <c r="D6795" s="13">
        <v>7003</v>
      </c>
      <c r="E6795" s="136" t="str">
        <f>INDEX([1]道具配置表!$D:$D,MATCH(D6795,[1]道具配置表!$A:$A,0))</f>
        <v>1银币（立即使用，不进背包）</v>
      </c>
      <c r="F6795" s="13">
        <v>2500</v>
      </c>
      <c r="K6795" s="13">
        <v>1</v>
      </c>
      <c r="M6795" s="105" t="b">
        <v>1</v>
      </c>
    </row>
    <row r="6796" spans="1:13" x14ac:dyDescent="0.25">
      <c r="D6796" s="13">
        <v>56202</v>
      </c>
      <c r="E6796" s="136" t="str">
        <f>INDEX([1]道具配置表!$D:$D,MATCH(D6796,[1]道具配置表!$A:$A,0))</f>
        <v>传说图纸</v>
      </c>
      <c r="F6796" s="13">
        <v>1</v>
      </c>
      <c r="K6796" s="13">
        <v>1</v>
      </c>
      <c r="M6796" s="105" t="b">
        <v>1</v>
      </c>
    </row>
    <row r="6797" spans="1:13" x14ac:dyDescent="0.25">
      <c r="D6797" s="13">
        <v>56002</v>
      </c>
      <c r="E6797" s="136" t="str">
        <f>INDEX([1]道具配置表!$D:$D,MATCH(D6797,[1]道具配置表!$A:$A,0))</f>
        <v>强化装备消耗材料</v>
      </c>
      <c r="F6797" s="13">
        <v>300</v>
      </c>
      <c r="K6797" s="13">
        <v>1</v>
      </c>
      <c r="M6797" s="105" t="b">
        <v>1</v>
      </c>
    </row>
    <row r="6798" spans="1:13" x14ac:dyDescent="0.25">
      <c r="D6798" s="13">
        <v>56005</v>
      </c>
      <c r="E6798" s="136" t="str">
        <f>INDEX([1]道具配置表!$D:$D,MATCH(D6798,[1]道具配置表!$A:$A,0))</f>
        <v>突破橙装消耗材料</v>
      </c>
      <c r="F6798" s="13">
        <v>5</v>
      </c>
      <c r="K6798" s="13">
        <v>1</v>
      </c>
      <c r="M6798" s="105" t="b">
        <v>1</v>
      </c>
    </row>
    <row r="6799" spans="1:13" x14ac:dyDescent="0.25">
      <c r="A6799" s="13">
        <v>6660016</v>
      </c>
      <c r="B6799" s="13" t="s">
        <v>1529</v>
      </c>
      <c r="D6799" s="13">
        <v>7003</v>
      </c>
      <c r="E6799" s="136" t="str">
        <f>INDEX([1]道具配置表!$D:$D,MATCH(D6799,[1]道具配置表!$A:$A,0))</f>
        <v>1银币（立即使用，不进背包）</v>
      </c>
      <c r="F6799" s="13">
        <v>3000</v>
      </c>
      <c r="K6799" s="13">
        <v>1</v>
      </c>
      <c r="M6799" s="105" t="b">
        <v>1</v>
      </c>
    </row>
    <row r="6800" spans="1:13" x14ac:dyDescent="0.25">
      <c r="D6800" s="13">
        <v>56202</v>
      </c>
      <c r="E6800" s="136" t="str">
        <f>INDEX([1]道具配置表!$D:$D,MATCH(D6800,[1]道具配置表!$A:$A,0))</f>
        <v>传说图纸</v>
      </c>
      <c r="F6800" s="13">
        <v>1</v>
      </c>
      <c r="K6800" s="13">
        <v>1</v>
      </c>
      <c r="M6800" s="105" t="b">
        <v>1</v>
      </c>
    </row>
    <row r="6801" spans="1:13" x14ac:dyDescent="0.25">
      <c r="D6801" s="13">
        <v>56002</v>
      </c>
      <c r="E6801" s="136" t="str">
        <f>INDEX([1]道具配置表!$D:$D,MATCH(D6801,[1]道具配置表!$A:$A,0))</f>
        <v>强化装备消耗材料</v>
      </c>
      <c r="F6801" s="13">
        <v>400</v>
      </c>
      <c r="K6801" s="13">
        <v>1</v>
      </c>
      <c r="M6801" s="105" t="b">
        <v>1</v>
      </c>
    </row>
    <row r="6802" spans="1:13" x14ac:dyDescent="0.25">
      <c r="D6802" s="13">
        <v>56005</v>
      </c>
      <c r="E6802" s="136" t="str">
        <f>INDEX([1]道具配置表!$D:$D,MATCH(D6802,[1]道具配置表!$A:$A,0))</f>
        <v>突破橙装消耗材料</v>
      </c>
      <c r="F6802" s="13">
        <v>6</v>
      </c>
      <c r="K6802" s="13">
        <v>1</v>
      </c>
      <c r="M6802" s="105" t="b">
        <v>1</v>
      </c>
    </row>
    <row r="6803" spans="1:13" x14ac:dyDescent="0.25">
      <c r="A6803" s="13">
        <v>6660017</v>
      </c>
      <c r="B6803" s="13" t="s">
        <v>1530</v>
      </c>
      <c r="D6803" s="13">
        <v>7003</v>
      </c>
      <c r="E6803" s="136" t="str">
        <f>INDEX([1]道具配置表!$D:$D,MATCH(D6803,[1]道具配置表!$A:$A,0))</f>
        <v>1银币（立即使用，不进背包）</v>
      </c>
      <c r="F6803" s="13">
        <v>4000</v>
      </c>
      <c r="K6803" s="13">
        <v>1</v>
      </c>
      <c r="M6803" s="105" t="b">
        <v>1</v>
      </c>
    </row>
    <row r="6804" spans="1:13" x14ac:dyDescent="0.25">
      <c r="D6804" s="13">
        <v>49553</v>
      </c>
      <c r="E6804" s="136" t="str">
        <f>INDEX([1]道具配置表!$D:$D,MATCH(D6804,[1]道具配置表!$A:$A,0))</f>
        <v>橙色兵种图纸自选宝箱</v>
      </c>
      <c r="F6804" s="13">
        <v>1</v>
      </c>
      <c r="K6804" s="13">
        <v>1</v>
      </c>
      <c r="M6804" s="105" t="b">
        <v>1</v>
      </c>
    </row>
    <row r="6805" spans="1:13" x14ac:dyDescent="0.25">
      <c r="D6805" s="13">
        <v>56002</v>
      </c>
      <c r="E6805" s="136" t="str">
        <f>INDEX([1]道具配置表!$D:$D,MATCH(D6805,[1]道具配置表!$A:$A,0))</f>
        <v>强化装备消耗材料</v>
      </c>
      <c r="F6805" s="13">
        <v>500</v>
      </c>
      <c r="K6805" s="13">
        <v>1</v>
      </c>
      <c r="M6805" s="105" t="b">
        <v>1</v>
      </c>
    </row>
    <row r="6806" spans="1:13" x14ac:dyDescent="0.25">
      <c r="D6806" s="13">
        <v>56005</v>
      </c>
      <c r="E6806" s="136" t="str">
        <f>INDEX([1]道具配置表!$D:$D,MATCH(D6806,[1]道具配置表!$A:$A,0))</f>
        <v>突破橙装消耗材料</v>
      </c>
      <c r="F6806" s="13">
        <v>7</v>
      </c>
      <c r="K6806" s="13">
        <v>1</v>
      </c>
      <c r="M6806" s="105" t="b">
        <v>1</v>
      </c>
    </row>
    <row r="6807" spans="1:13" x14ac:dyDescent="0.25">
      <c r="A6807" s="13">
        <v>6660018</v>
      </c>
      <c r="B6807" s="13" t="s">
        <v>1531</v>
      </c>
      <c r="D6807" s="13">
        <v>7003</v>
      </c>
      <c r="E6807" s="136" t="str">
        <f>INDEX([1]道具配置表!$D:$D,MATCH(D6807,[1]道具配置表!$A:$A,0))</f>
        <v>1银币（立即使用，不进背包）</v>
      </c>
      <c r="F6807" s="13">
        <v>5000</v>
      </c>
      <c r="K6807" s="13">
        <v>1</v>
      </c>
      <c r="M6807" s="105" t="b">
        <v>1</v>
      </c>
    </row>
    <row r="6808" spans="1:13" x14ac:dyDescent="0.25">
      <c r="D6808" s="13">
        <v>49553</v>
      </c>
      <c r="E6808" s="136" t="str">
        <f>INDEX([1]道具配置表!$D:$D,MATCH(D6808,[1]道具配置表!$A:$A,0))</f>
        <v>橙色兵种图纸自选宝箱</v>
      </c>
      <c r="F6808" s="13">
        <v>1</v>
      </c>
      <c r="K6808" s="13">
        <v>1</v>
      </c>
      <c r="M6808" s="105" t="b">
        <v>1</v>
      </c>
    </row>
    <row r="6809" spans="1:13" x14ac:dyDescent="0.25">
      <c r="D6809" s="13">
        <v>56002</v>
      </c>
      <c r="E6809" s="136" t="str">
        <f>INDEX([1]道具配置表!$D:$D,MATCH(D6809,[1]道具配置表!$A:$A,0))</f>
        <v>强化装备消耗材料</v>
      </c>
      <c r="F6809" s="13">
        <v>600</v>
      </c>
      <c r="K6809" s="13">
        <v>1</v>
      </c>
      <c r="M6809" s="105" t="b">
        <v>1</v>
      </c>
    </row>
    <row r="6810" spans="1:13" x14ac:dyDescent="0.25">
      <c r="D6810" s="13">
        <v>56026</v>
      </c>
      <c r="E6810" s="136" t="str">
        <f>INDEX([1]道具配置表!$D:$D,MATCH(D6810,[1]道具配置表!$A:$A,0))</f>
        <v>突破橙装消耗材料-2</v>
      </c>
      <c r="F6810" s="13">
        <v>4</v>
      </c>
      <c r="K6810" s="13">
        <v>1</v>
      </c>
      <c r="M6810" s="105" t="b">
        <v>1</v>
      </c>
    </row>
    <row r="6811" spans="1:13" x14ac:dyDescent="0.25">
      <c r="A6811" s="13">
        <v>6660019</v>
      </c>
      <c r="B6811" s="13" t="s">
        <v>1532</v>
      </c>
      <c r="D6811" s="13">
        <v>7003</v>
      </c>
      <c r="E6811" s="136" t="str">
        <f>INDEX([1]道具配置表!$D:$D,MATCH(D6811,[1]道具配置表!$A:$A,0))</f>
        <v>1银币（立即使用，不进背包）</v>
      </c>
      <c r="F6811" s="13">
        <v>6000</v>
      </c>
      <c r="K6811" s="13">
        <v>1</v>
      </c>
      <c r="M6811" s="105" t="b">
        <v>1</v>
      </c>
    </row>
    <row r="6812" spans="1:13" x14ac:dyDescent="0.25">
      <c r="D6812" s="13">
        <v>49553</v>
      </c>
      <c r="E6812" s="136" t="str">
        <f>INDEX([1]道具配置表!$D:$D,MATCH(D6812,[1]道具配置表!$A:$A,0))</f>
        <v>橙色兵种图纸自选宝箱</v>
      </c>
      <c r="F6812" s="13">
        <v>1</v>
      </c>
      <c r="K6812" s="13">
        <v>1</v>
      </c>
      <c r="M6812" s="120" t="b">
        <v>1</v>
      </c>
    </row>
    <row r="6813" spans="1:13" x14ac:dyDescent="0.25">
      <c r="D6813" s="13">
        <v>56002</v>
      </c>
      <c r="E6813" s="136" t="str">
        <f>INDEX([1]道具配置表!$D:$D,MATCH(D6813,[1]道具配置表!$A:$A,0))</f>
        <v>强化装备消耗材料</v>
      </c>
      <c r="F6813" s="13">
        <v>800</v>
      </c>
      <c r="K6813" s="13">
        <v>1</v>
      </c>
      <c r="M6813" s="120" t="b">
        <v>1</v>
      </c>
    </row>
    <row r="6814" spans="1:13" x14ac:dyDescent="0.25">
      <c r="D6814" s="13">
        <v>56026</v>
      </c>
      <c r="E6814" s="136" t="str">
        <f>INDEX([1]道具配置表!$D:$D,MATCH(D6814,[1]道具配置表!$A:$A,0))</f>
        <v>突破橙装消耗材料-2</v>
      </c>
      <c r="F6814" s="13">
        <v>5</v>
      </c>
      <c r="K6814" s="13">
        <v>1</v>
      </c>
      <c r="M6814" s="120" t="b">
        <v>1</v>
      </c>
    </row>
    <row r="6815" spans="1:13" x14ac:dyDescent="0.25">
      <c r="A6815" s="13">
        <v>6665001</v>
      </c>
      <c r="B6815" s="13" t="s">
        <v>1708</v>
      </c>
      <c r="C6815" s="4"/>
      <c r="D6815" s="13">
        <v>7227</v>
      </c>
      <c r="E6815" s="136" t="str">
        <f>INDEX([1]道具配置表!$D:$D,MATCH(D6815,[1]道具配置表!$A:$A,0))</f>
        <v>经验书*1000</v>
      </c>
      <c r="F6815" s="13">
        <v>2</v>
      </c>
      <c r="K6815" s="13">
        <v>1</v>
      </c>
      <c r="M6815" s="120" t="b">
        <v>1</v>
      </c>
    </row>
    <row r="6816" spans="1:13" x14ac:dyDescent="0.25">
      <c r="C6816" s="4"/>
      <c r="D6816" s="13">
        <v>20000</v>
      </c>
      <c r="E6816" s="136" t="str">
        <f>INDEX([1]道具配置表!$D:$D,MATCH(D6816,[1]道具配置表!$A:$A,0))</f>
        <v>技能点1</v>
      </c>
      <c r="F6816" s="13">
        <v>50</v>
      </c>
      <c r="K6816" s="13">
        <v>1</v>
      </c>
      <c r="M6816" s="120" t="b">
        <v>1</v>
      </c>
    </row>
    <row r="6817" spans="1:13" x14ac:dyDescent="0.25">
      <c r="C6817" s="4"/>
      <c r="D6817" s="13">
        <v>6120</v>
      </c>
      <c r="E6817" s="136" t="str">
        <f>INDEX([1]道具配置表!$D:$D,MATCH(D6817,[1]道具配置表!$A:$A,0))</f>
        <v>1分钟建造加速</v>
      </c>
      <c r="F6817" s="13">
        <v>1</v>
      </c>
      <c r="K6817" s="13">
        <v>0.3</v>
      </c>
      <c r="M6817" s="120" t="b">
        <v>1</v>
      </c>
    </row>
    <row r="6818" spans="1:13" x14ac:dyDescent="0.25">
      <c r="C6818" s="4"/>
      <c r="D6818" s="13">
        <v>6140</v>
      </c>
      <c r="E6818" s="136" t="str">
        <f>INDEX([1]道具配置表!$D:$D,MATCH(D6818,[1]道具配置表!$A:$A,0))</f>
        <v>1分钟科技加速</v>
      </c>
      <c r="F6818" s="13">
        <v>1</v>
      </c>
      <c r="K6818" s="13">
        <v>0.3</v>
      </c>
      <c r="M6818" s="120" t="b">
        <v>1</v>
      </c>
    </row>
    <row r="6819" spans="1:13" x14ac:dyDescent="0.25">
      <c r="C6819" s="4"/>
      <c r="D6819" s="13">
        <v>6160</v>
      </c>
      <c r="E6819" s="136" t="str">
        <f>INDEX([1]道具配置表!$D:$D,MATCH(D6819,[1]道具配置表!$A:$A,0))</f>
        <v>1分钟训练加速</v>
      </c>
      <c r="F6819" s="13">
        <v>1</v>
      </c>
      <c r="K6819" s="13">
        <v>0.3</v>
      </c>
      <c r="M6819" s="120" t="b">
        <v>1</v>
      </c>
    </row>
    <row r="6820" spans="1:13" x14ac:dyDescent="0.25">
      <c r="A6820" s="13">
        <v>6665002</v>
      </c>
      <c r="B6820" s="13" t="s">
        <v>1709</v>
      </c>
      <c r="C6820" s="4"/>
      <c r="D6820" s="13">
        <v>7227</v>
      </c>
      <c r="E6820" s="136" t="str">
        <f>INDEX([1]道具配置表!$D:$D,MATCH(D6820,[1]道具配置表!$A:$A,0))</f>
        <v>经验书*1000</v>
      </c>
      <c r="F6820" s="13">
        <v>2</v>
      </c>
      <c r="K6820" s="13">
        <v>1</v>
      </c>
      <c r="M6820" s="120" t="b">
        <v>1</v>
      </c>
    </row>
    <row r="6821" spans="1:13" x14ac:dyDescent="0.25">
      <c r="C6821" s="4"/>
      <c r="D6821" s="13">
        <v>20000</v>
      </c>
      <c r="E6821" s="136" t="str">
        <f>INDEX([1]道具配置表!$D:$D,MATCH(D6821,[1]道具配置表!$A:$A,0))</f>
        <v>技能点1</v>
      </c>
      <c r="F6821" s="13">
        <v>50</v>
      </c>
      <c r="K6821" s="13">
        <v>1</v>
      </c>
      <c r="M6821" s="120" t="b">
        <v>1</v>
      </c>
    </row>
    <row r="6822" spans="1:13" x14ac:dyDescent="0.25">
      <c r="C6822" s="4"/>
      <c r="D6822" s="13">
        <v>6120</v>
      </c>
      <c r="E6822" s="136" t="str">
        <f>INDEX([1]道具配置表!$D:$D,MATCH(D6822,[1]道具配置表!$A:$A,0))</f>
        <v>1分钟建造加速</v>
      </c>
      <c r="F6822" s="13">
        <v>1</v>
      </c>
      <c r="K6822" s="13">
        <v>0.3</v>
      </c>
      <c r="M6822" s="120" t="b">
        <v>1</v>
      </c>
    </row>
    <row r="6823" spans="1:13" x14ac:dyDescent="0.25">
      <c r="C6823" s="4"/>
      <c r="D6823" s="13">
        <v>6140</v>
      </c>
      <c r="E6823" s="136" t="str">
        <f>INDEX([1]道具配置表!$D:$D,MATCH(D6823,[1]道具配置表!$A:$A,0))</f>
        <v>1分钟科技加速</v>
      </c>
      <c r="F6823" s="13">
        <v>1</v>
      </c>
      <c r="K6823" s="13">
        <v>0.3</v>
      </c>
      <c r="M6823" s="120" t="b">
        <v>1</v>
      </c>
    </row>
    <row r="6824" spans="1:13" x14ac:dyDescent="0.25">
      <c r="C6824" s="4"/>
      <c r="D6824" s="13">
        <v>6160</v>
      </c>
      <c r="E6824" s="136" t="str">
        <f>INDEX([1]道具配置表!$D:$D,MATCH(D6824,[1]道具配置表!$A:$A,0))</f>
        <v>1分钟训练加速</v>
      </c>
      <c r="F6824" s="13">
        <v>1</v>
      </c>
      <c r="K6824" s="13">
        <v>0.3</v>
      </c>
      <c r="M6824" s="120" t="b">
        <v>1</v>
      </c>
    </row>
    <row r="6825" spans="1:13" x14ac:dyDescent="0.25">
      <c r="A6825" s="13">
        <v>6665003</v>
      </c>
      <c r="B6825" s="13" t="s">
        <v>1710</v>
      </c>
      <c r="C6825" s="4"/>
      <c r="D6825" s="13">
        <v>7227</v>
      </c>
      <c r="E6825" s="136" t="str">
        <f>INDEX([1]道具配置表!$D:$D,MATCH(D6825,[1]道具配置表!$A:$A,0))</f>
        <v>经验书*1000</v>
      </c>
      <c r="F6825" s="13">
        <v>6</v>
      </c>
      <c r="K6825" s="13">
        <v>1</v>
      </c>
      <c r="M6825" s="120" t="b">
        <v>1</v>
      </c>
    </row>
    <row r="6826" spans="1:13" x14ac:dyDescent="0.25">
      <c r="C6826" s="4"/>
      <c r="D6826" s="13">
        <v>20000</v>
      </c>
      <c r="E6826" s="136" t="str">
        <f>INDEX([1]道具配置表!$D:$D,MATCH(D6826,[1]道具配置表!$A:$A,0))</f>
        <v>技能点1</v>
      </c>
      <c r="F6826" s="13">
        <v>100</v>
      </c>
      <c r="K6826" s="13">
        <v>1</v>
      </c>
      <c r="M6826" s="120" t="b">
        <v>1</v>
      </c>
    </row>
    <row r="6827" spans="1:13" x14ac:dyDescent="0.25">
      <c r="C6827" s="4"/>
      <c r="D6827" s="13">
        <v>6120</v>
      </c>
      <c r="E6827" s="136" t="str">
        <f>INDEX([1]道具配置表!$D:$D,MATCH(D6827,[1]道具配置表!$A:$A,0))</f>
        <v>1分钟建造加速</v>
      </c>
      <c r="F6827" s="13">
        <v>3</v>
      </c>
      <c r="K6827" s="13">
        <v>0.3</v>
      </c>
      <c r="M6827" s="120" t="b">
        <v>1</v>
      </c>
    </row>
    <row r="6828" spans="1:13" x14ac:dyDescent="0.25">
      <c r="C6828" s="4"/>
      <c r="D6828" s="13">
        <v>6140</v>
      </c>
      <c r="E6828" s="136" t="str">
        <f>INDEX([1]道具配置表!$D:$D,MATCH(D6828,[1]道具配置表!$A:$A,0))</f>
        <v>1分钟科技加速</v>
      </c>
      <c r="F6828" s="13">
        <v>3</v>
      </c>
      <c r="K6828" s="13">
        <v>0.3</v>
      </c>
      <c r="M6828" s="120" t="b">
        <v>1</v>
      </c>
    </row>
    <row r="6829" spans="1:13" x14ac:dyDescent="0.25">
      <c r="C6829" s="4"/>
      <c r="D6829" s="13">
        <v>6160</v>
      </c>
      <c r="E6829" s="136" t="str">
        <f>INDEX([1]道具配置表!$D:$D,MATCH(D6829,[1]道具配置表!$A:$A,0))</f>
        <v>1分钟训练加速</v>
      </c>
      <c r="F6829" s="13">
        <v>3</v>
      </c>
      <c r="K6829" s="13">
        <v>0.3</v>
      </c>
      <c r="M6829" s="120" t="b">
        <v>1</v>
      </c>
    </row>
    <row r="6830" spans="1:13" x14ac:dyDescent="0.25">
      <c r="A6830" s="13">
        <v>6665101</v>
      </c>
      <c r="B6830" s="13" t="s">
        <v>1711</v>
      </c>
      <c r="C6830" s="4"/>
      <c r="D6830" s="13">
        <v>7227</v>
      </c>
      <c r="E6830" s="136" t="str">
        <f>INDEX([1]道具配置表!$D:$D,MATCH(D6830,[1]道具配置表!$A:$A,0))</f>
        <v>经验书*1000</v>
      </c>
      <c r="F6830" s="13">
        <v>3</v>
      </c>
      <c r="K6830" s="13">
        <v>1</v>
      </c>
      <c r="M6830" s="120" t="b">
        <v>1</v>
      </c>
    </row>
    <row r="6831" spans="1:13" x14ac:dyDescent="0.25">
      <c r="C6831" s="4"/>
      <c r="D6831" s="13">
        <v>20000</v>
      </c>
      <c r="E6831" s="136" t="str">
        <f>INDEX([1]道具配置表!$D:$D,MATCH(D6831,[1]道具配置表!$A:$A,0))</f>
        <v>技能点1</v>
      </c>
      <c r="F6831" s="13">
        <v>100</v>
      </c>
      <c r="K6831" s="13">
        <v>1</v>
      </c>
      <c r="M6831" s="120" t="b">
        <v>1</v>
      </c>
    </row>
    <row r="6832" spans="1:13" x14ac:dyDescent="0.25">
      <c r="C6832" s="4"/>
      <c r="D6832" s="13">
        <v>6120</v>
      </c>
      <c r="E6832" s="136" t="str">
        <f>INDEX([1]道具配置表!$D:$D,MATCH(D6832,[1]道具配置表!$A:$A,0))</f>
        <v>1分钟建造加速</v>
      </c>
      <c r="F6832" s="13">
        <v>2</v>
      </c>
      <c r="K6832" s="13">
        <v>0.3</v>
      </c>
      <c r="M6832" s="120" t="b">
        <v>1</v>
      </c>
    </row>
    <row r="6833" spans="1:13" x14ac:dyDescent="0.25">
      <c r="C6833" s="4"/>
      <c r="D6833" s="13">
        <v>6140</v>
      </c>
      <c r="E6833" s="136" t="str">
        <f>INDEX([1]道具配置表!$D:$D,MATCH(D6833,[1]道具配置表!$A:$A,0))</f>
        <v>1分钟科技加速</v>
      </c>
      <c r="F6833" s="13">
        <v>2</v>
      </c>
      <c r="K6833" s="13">
        <v>0.3</v>
      </c>
      <c r="M6833" s="120" t="b">
        <v>1</v>
      </c>
    </row>
    <row r="6834" spans="1:13" x14ac:dyDescent="0.25">
      <c r="C6834" s="4"/>
      <c r="D6834" s="13">
        <v>6160</v>
      </c>
      <c r="E6834" s="136" t="str">
        <f>INDEX([1]道具配置表!$D:$D,MATCH(D6834,[1]道具配置表!$A:$A,0))</f>
        <v>1分钟训练加速</v>
      </c>
      <c r="F6834" s="13">
        <v>2</v>
      </c>
      <c r="K6834" s="13">
        <v>0.3</v>
      </c>
      <c r="M6834" s="120" t="b">
        <v>1</v>
      </c>
    </row>
    <row r="6835" spans="1:13" x14ac:dyDescent="0.25">
      <c r="A6835" s="13">
        <v>6665102</v>
      </c>
      <c r="B6835" s="13" t="s">
        <v>1712</v>
      </c>
      <c r="C6835" s="4"/>
      <c r="D6835" s="13">
        <v>7227</v>
      </c>
      <c r="E6835" s="136" t="str">
        <f>INDEX([1]道具配置表!$D:$D,MATCH(D6835,[1]道具配置表!$A:$A,0))</f>
        <v>经验书*1000</v>
      </c>
      <c r="F6835" s="13">
        <v>3</v>
      </c>
      <c r="K6835" s="13">
        <v>1</v>
      </c>
      <c r="M6835" s="120" t="b">
        <v>1</v>
      </c>
    </row>
    <row r="6836" spans="1:13" x14ac:dyDescent="0.25">
      <c r="C6836" s="4"/>
      <c r="D6836" s="13">
        <v>20000</v>
      </c>
      <c r="E6836" s="136" t="str">
        <f>INDEX([1]道具配置表!$D:$D,MATCH(D6836,[1]道具配置表!$A:$A,0))</f>
        <v>技能点1</v>
      </c>
      <c r="F6836" s="13">
        <v>100</v>
      </c>
      <c r="K6836" s="13">
        <v>1</v>
      </c>
      <c r="M6836" s="120" t="b">
        <v>1</v>
      </c>
    </row>
    <row r="6837" spans="1:13" x14ac:dyDescent="0.25">
      <c r="C6837" s="4"/>
      <c r="D6837" s="13">
        <v>6120</v>
      </c>
      <c r="E6837" s="136" t="str">
        <f>INDEX([1]道具配置表!$D:$D,MATCH(D6837,[1]道具配置表!$A:$A,0))</f>
        <v>1分钟建造加速</v>
      </c>
      <c r="F6837" s="13">
        <v>2</v>
      </c>
      <c r="K6837" s="13">
        <v>0.3</v>
      </c>
      <c r="M6837" s="120" t="b">
        <v>1</v>
      </c>
    </row>
    <row r="6838" spans="1:13" x14ac:dyDescent="0.25">
      <c r="C6838" s="4"/>
      <c r="D6838" s="13">
        <v>6140</v>
      </c>
      <c r="E6838" s="136" t="str">
        <f>INDEX([1]道具配置表!$D:$D,MATCH(D6838,[1]道具配置表!$A:$A,0))</f>
        <v>1分钟科技加速</v>
      </c>
      <c r="F6838" s="13">
        <v>2</v>
      </c>
      <c r="K6838" s="13">
        <v>0.3</v>
      </c>
      <c r="M6838" s="120" t="b">
        <v>1</v>
      </c>
    </row>
    <row r="6839" spans="1:13" x14ac:dyDescent="0.25">
      <c r="C6839" s="4"/>
      <c r="D6839" s="13">
        <v>6160</v>
      </c>
      <c r="E6839" s="136" t="str">
        <f>INDEX([1]道具配置表!$D:$D,MATCH(D6839,[1]道具配置表!$A:$A,0))</f>
        <v>1分钟训练加速</v>
      </c>
      <c r="F6839" s="13">
        <v>2</v>
      </c>
      <c r="K6839" s="13">
        <v>0.3</v>
      </c>
      <c r="M6839" s="120" t="b">
        <v>1</v>
      </c>
    </row>
    <row r="6840" spans="1:13" x14ac:dyDescent="0.25">
      <c r="A6840" s="13">
        <v>6665103</v>
      </c>
      <c r="B6840" s="13" t="s">
        <v>1713</v>
      </c>
      <c r="C6840" s="4"/>
      <c r="D6840" s="13">
        <v>7227</v>
      </c>
      <c r="E6840" s="136" t="str">
        <f>INDEX([1]道具配置表!$D:$D,MATCH(D6840,[1]道具配置表!$A:$A,0))</f>
        <v>经验书*1000</v>
      </c>
      <c r="F6840" s="13">
        <v>9</v>
      </c>
      <c r="K6840" s="13">
        <v>1</v>
      </c>
      <c r="M6840" s="120" t="b">
        <v>1</v>
      </c>
    </row>
    <row r="6841" spans="1:13" x14ac:dyDescent="0.25">
      <c r="C6841" s="4"/>
      <c r="D6841" s="13">
        <v>20000</v>
      </c>
      <c r="E6841" s="136" t="str">
        <f>INDEX([1]道具配置表!$D:$D,MATCH(D6841,[1]道具配置表!$A:$A,0))</f>
        <v>技能点1</v>
      </c>
      <c r="F6841" s="13">
        <v>150</v>
      </c>
      <c r="K6841" s="13">
        <v>1</v>
      </c>
      <c r="M6841" s="120" t="b">
        <v>1</v>
      </c>
    </row>
    <row r="6842" spans="1:13" x14ac:dyDescent="0.25">
      <c r="C6842" s="4"/>
      <c r="D6842" s="13">
        <v>6120</v>
      </c>
      <c r="E6842" s="136" t="str">
        <f>INDEX([1]道具配置表!$D:$D,MATCH(D6842,[1]道具配置表!$A:$A,0))</f>
        <v>1分钟建造加速</v>
      </c>
      <c r="F6842" s="13">
        <v>6</v>
      </c>
      <c r="K6842" s="13">
        <v>0.3</v>
      </c>
      <c r="M6842" s="120" t="b">
        <v>1</v>
      </c>
    </row>
    <row r="6843" spans="1:13" x14ac:dyDescent="0.25">
      <c r="C6843" s="4"/>
      <c r="D6843" s="13">
        <v>6140</v>
      </c>
      <c r="E6843" s="136" t="str">
        <f>INDEX([1]道具配置表!$D:$D,MATCH(D6843,[1]道具配置表!$A:$A,0))</f>
        <v>1分钟科技加速</v>
      </c>
      <c r="F6843" s="13">
        <v>6</v>
      </c>
      <c r="K6843" s="13">
        <v>0.3</v>
      </c>
      <c r="M6843" s="120" t="b">
        <v>1</v>
      </c>
    </row>
    <row r="6844" spans="1:13" x14ac:dyDescent="0.25">
      <c r="C6844" s="4"/>
      <c r="D6844" s="13">
        <v>6160</v>
      </c>
      <c r="E6844" s="136" t="str">
        <f>INDEX([1]道具配置表!$D:$D,MATCH(D6844,[1]道具配置表!$A:$A,0))</f>
        <v>1分钟训练加速</v>
      </c>
      <c r="F6844" s="13">
        <v>6</v>
      </c>
      <c r="K6844" s="13">
        <v>0.3</v>
      </c>
      <c r="M6844" s="120" t="b">
        <v>1</v>
      </c>
    </row>
    <row r="6845" spans="1:13" x14ac:dyDescent="0.25">
      <c r="A6845" s="13">
        <v>6665201</v>
      </c>
      <c r="B6845" s="13" t="s">
        <v>1714</v>
      </c>
      <c r="C6845" s="4"/>
      <c r="D6845" s="13">
        <v>7227</v>
      </c>
      <c r="E6845" s="136" t="str">
        <f>INDEX([1]道具配置表!$D:$D,MATCH(D6845,[1]道具配置表!$A:$A,0))</f>
        <v>经验书*1000</v>
      </c>
      <c r="F6845" s="13">
        <v>4</v>
      </c>
      <c r="K6845" s="13">
        <v>1</v>
      </c>
      <c r="M6845" s="120" t="b">
        <v>1</v>
      </c>
    </row>
    <row r="6846" spans="1:13" x14ac:dyDescent="0.25">
      <c r="C6846" s="4"/>
      <c r="D6846" s="13">
        <v>20000</v>
      </c>
      <c r="E6846" s="136" t="str">
        <f>INDEX([1]道具配置表!$D:$D,MATCH(D6846,[1]道具配置表!$A:$A,0))</f>
        <v>技能点1</v>
      </c>
      <c r="F6846" s="13">
        <v>150</v>
      </c>
      <c r="K6846" s="13">
        <v>1</v>
      </c>
      <c r="M6846" s="120" t="b">
        <v>1</v>
      </c>
    </row>
    <row r="6847" spans="1:13" x14ac:dyDescent="0.25">
      <c r="C6847" s="4"/>
      <c r="D6847" s="13">
        <v>6120</v>
      </c>
      <c r="E6847" s="136" t="str">
        <f>INDEX([1]道具配置表!$D:$D,MATCH(D6847,[1]道具配置表!$A:$A,0))</f>
        <v>1分钟建造加速</v>
      </c>
      <c r="F6847" s="13">
        <v>4</v>
      </c>
      <c r="K6847" s="13">
        <v>0.3</v>
      </c>
      <c r="M6847" s="120" t="b">
        <v>1</v>
      </c>
    </row>
    <row r="6848" spans="1:13" x14ac:dyDescent="0.25">
      <c r="C6848" s="4"/>
      <c r="D6848" s="13">
        <v>6140</v>
      </c>
      <c r="E6848" s="136" t="str">
        <f>INDEX([1]道具配置表!$D:$D,MATCH(D6848,[1]道具配置表!$A:$A,0))</f>
        <v>1分钟科技加速</v>
      </c>
      <c r="F6848" s="13">
        <v>4</v>
      </c>
      <c r="K6848" s="13">
        <v>0.3</v>
      </c>
      <c r="M6848" s="120" t="b">
        <v>1</v>
      </c>
    </row>
    <row r="6849" spans="1:13" x14ac:dyDescent="0.25">
      <c r="C6849" s="4"/>
      <c r="D6849" s="13">
        <v>6160</v>
      </c>
      <c r="E6849" s="136" t="str">
        <f>INDEX([1]道具配置表!$D:$D,MATCH(D6849,[1]道具配置表!$A:$A,0))</f>
        <v>1分钟训练加速</v>
      </c>
      <c r="F6849" s="13">
        <v>4</v>
      </c>
      <c r="K6849" s="13">
        <v>0.3</v>
      </c>
      <c r="M6849" s="120" t="b">
        <v>1</v>
      </c>
    </row>
    <row r="6850" spans="1:13" x14ac:dyDescent="0.25">
      <c r="A6850" s="13">
        <v>6665202</v>
      </c>
      <c r="B6850" s="13" t="s">
        <v>1715</v>
      </c>
      <c r="C6850" s="4"/>
      <c r="D6850" s="13">
        <v>7227</v>
      </c>
      <c r="E6850" s="136" t="str">
        <f>INDEX([1]道具配置表!$D:$D,MATCH(D6850,[1]道具配置表!$A:$A,0))</f>
        <v>经验书*1000</v>
      </c>
      <c r="F6850" s="13">
        <v>4</v>
      </c>
      <c r="K6850" s="13">
        <v>1</v>
      </c>
      <c r="M6850" s="120" t="b">
        <v>1</v>
      </c>
    </row>
    <row r="6851" spans="1:13" x14ac:dyDescent="0.25">
      <c r="C6851" s="4"/>
      <c r="D6851" s="13">
        <v>20000</v>
      </c>
      <c r="E6851" s="136" t="str">
        <f>INDEX([1]道具配置表!$D:$D,MATCH(D6851,[1]道具配置表!$A:$A,0))</f>
        <v>技能点1</v>
      </c>
      <c r="F6851" s="13">
        <v>150</v>
      </c>
      <c r="K6851" s="13">
        <v>1</v>
      </c>
      <c r="M6851" s="120" t="b">
        <v>1</v>
      </c>
    </row>
    <row r="6852" spans="1:13" x14ac:dyDescent="0.25">
      <c r="C6852" s="4"/>
      <c r="D6852" s="13">
        <v>6120</v>
      </c>
      <c r="E6852" s="136" t="str">
        <f>INDEX([1]道具配置表!$D:$D,MATCH(D6852,[1]道具配置表!$A:$A,0))</f>
        <v>1分钟建造加速</v>
      </c>
      <c r="F6852" s="13">
        <v>4</v>
      </c>
      <c r="K6852" s="13">
        <v>0.3</v>
      </c>
      <c r="M6852" s="120" t="b">
        <v>1</v>
      </c>
    </row>
    <row r="6853" spans="1:13" x14ac:dyDescent="0.25">
      <c r="C6853" s="4"/>
      <c r="D6853" s="13">
        <v>6140</v>
      </c>
      <c r="E6853" s="136" t="str">
        <f>INDEX([1]道具配置表!$D:$D,MATCH(D6853,[1]道具配置表!$A:$A,0))</f>
        <v>1分钟科技加速</v>
      </c>
      <c r="F6853" s="13">
        <v>4</v>
      </c>
      <c r="K6853" s="13">
        <v>0.3</v>
      </c>
      <c r="M6853" s="120" t="b">
        <v>1</v>
      </c>
    </row>
    <row r="6854" spans="1:13" s="102" customFormat="1" x14ac:dyDescent="0.25">
      <c r="A6854" s="13"/>
      <c r="B6854" s="13"/>
      <c r="C6854" s="4"/>
      <c r="D6854" s="13">
        <v>6160</v>
      </c>
      <c r="E6854" s="136" t="str">
        <f>INDEX([1]道具配置表!$D:$D,MATCH(D6854,[1]道具配置表!$A:$A,0))</f>
        <v>1分钟训练加速</v>
      </c>
      <c r="F6854" s="13">
        <v>4</v>
      </c>
      <c r="G6854" s="13"/>
      <c r="H6854" s="13"/>
      <c r="I6854" s="13"/>
      <c r="J6854" s="13"/>
      <c r="K6854" s="13">
        <v>0.3</v>
      </c>
      <c r="L6854" s="13"/>
      <c r="M6854" s="120" t="b">
        <v>1</v>
      </c>
    </row>
    <row r="6855" spans="1:13" x14ac:dyDescent="0.25">
      <c r="A6855" s="13">
        <v>6665203</v>
      </c>
      <c r="B6855" s="13" t="s">
        <v>1716</v>
      </c>
      <c r="C6855" s="4"/>
      <c r="D6855" s="13">
        <v>7227</v>
      </c>
      <c r="E6855" s="136" t="str">
        <f>INDEX([1]道具配置表!$D:$D,MATCH(D6855,[1]道具配置表!$A:$A,0))</f>
        <v>经验书*1000</v>
      </c>
      <c r="F6855" s="13">
        <v>12</v>
      </c>
      <c r="K6855" s="13">
        <v>1</v>
      </c>
      <c r="M6855" s="120" t="b">
        <v>1</v>
      </c>
    </row>
    <row r="6856" spans="1:13" x14ac:dyDescent="0.25">
      <c r="C6856" s="4"/>
      <c r="D6856" s="13">
        <v>20000</v>
      </c>
      <c r="E6856" s="136" t="str">
        <f>INDEX([1]道具配置表!$D:$D,MATCH(D6856,[1]道具配置表!$A:$A,0))</f>
        <v>技能点1</v>
      </c>
      <c r="F6856" s="13">
        <v>200</v>
      </c>
      <c r="K6856" s="13">
        <v>1</v>
      </c>
      <c r="M6856" s="120" t="b">
        <v>1</v>
      </c>
    </row>
    <row r="6857" spans="1:13" x14ac:dyDescent="0.25">
      <c r="C6857" s="4"/>
      <c r="D6857" s="13">
        <v>6120</v>
      </c>
      <c r="E6857" s="136" t="str">
        <f>INDEX([1]道具配置表!$D:$D,MATCH(D6857,[1]道具配置表!$A:$A,0))</f>
        <v>1分钟建造加速</v>
      </c>
      <c r="F6857" s="13">
        <v>12</v>
      </c>
      <c r="K6857" s="13">
        <v>0.3</v>
      </c>
      <c r="M6857" s="120" t="b">
        <v>1</v>
      </c>
    </row>
    <row r="6858" spans="1:13" s="102" customFormat="1" x14ac:dyDescent="0.25">
      <c r="A6858" s="13"/>
      <c r="B6858" s="13"/>
      <c r="C6858" s="4"/>
      <c r="D6858" s="13">
        <v>6140</v>
      </c>
      <c r="E6858" s="136" t="str">
        <f>INDEX([1]道具配置表!$D:$D,MATCH(D6858,[1]道具配置表!$A:$A,0))</f>
        <v>1分钟科技加速</v>
      </c>
      <c r="F6858" s="13">
        <v>12</v>
      </c>
      <c r="G6858" s="13"/>
      <c r="H6858" s="13"/>
      <c r="I6858" s="13"/>
      <c r="J6858" s="13"/>
      <c r="K6858" s="13">
        <v>0.3</v>
      </c>
      <c r="L6858" s="13"/>
      <c r="M6858" s="120" t="b">
        <v>1</v>
      </c>
    </row>
    <row r="6859" spans="1:13" s="102" customFormat="1" x14ac:dyDescent="0.25">
      <c r="A6859" s="13"/>
      <c r="B6859" s="13"/>
      <c r="C6859" s="4"/>
      <c r="D6859" s="13">
        <v>6160</v>
      </c>
      <c r="E6859" s="136" t="str">
        <f>INDEX([1]道具配置表!$D:$D,MATCH(D6859,[1]道具配置表!$A:$A,0))</f>
        <v>1分钟训练加速</v>
      </c>
      <c r="F6859" s="13">
        <v>12</v>
      </c>
      <c r="G6859" s="13"/>
      <c r="H6859" s="13"/>
      <c r="I6859" s="13"/>
      <c r="J6859" s="13"/>
      <c r="K6859" s="13">
        <v>0.3</v>
      </c>
      <c r="L6859" s="13"/>
      <c r="M6859" s="120" t="b">
        <v>1</v>
      </c>
    </row>
    <row r="6860" spans="1:13" x14ac:dyDescent="0.25">
      <c r="A6860" s="13">
        <v>6665301</v>
      </c>
      <c r="B6860" s="13" t="s">
        <v>1717</v>
      </c>
      <c r="C6860" s="4"/>
      <c r="D6860" s="13">
        <v>2007</v>
      </c>
      <c r="E6860" s="136" t="str">
        <f>INDEX([1]道具配置表!$D:$D,MATCH(D6860,[1]道具配置表!$A:$A,0))</f>
        <v>大奖池招募券</v>
      </c>
      <c r="F6860" s="13">
        <v>1</v>
      </c>
      <c r="G6860" s="13">
        <v>3</v>
      </c>
      <c r="H6860" s="13">
        <v>3</v>
      </c>
      <c r="I6860" s="13" t="s">
        <v>368</v>
      </c>
      <c r="J6860" s="13">
        <v>20</v>
      </c>
      <c r="M6860" s="120" t="b">
        <v>1</v>
      </c>
    </row>
    <row r="6861" spans="1:13" x14ac:dyDescent="0.25">
      <c r="C6861" s="4"/>
      <c r="D6861" s="13">
        <v>2006</v>
      </c>
      <c r="E6861" s="136" t="str">
        <f>INDEX([1]道具配置表!$D:$D,MATCH(D6861,[1]道具配置表!$A:$A,0))</f>
        <v>铜币奖池招募券</v>
      </c>
      <c r="F6861" s="13">
        <v>1</v>
      </c>
      <c r="J6861" s="13">
        <v>200</v>
      </c>
      <c r="M6861" s="120" t="b">
        <v>1</v>
      </c>
    </row>
    <row r="6862" spans="1:13" x14ac:dyDescent="0.25">
      <c r="C6862" s="4"/>
      <c r="D6862" s="13">
        <v>7228</v>
      </c>
      <c r="E6862" s="136" t="str">
        <f>INDEX([1]道具配置表!$D:$D,MATCH(D6862,[1]道具配置表!$A:$A,0))</f>
        <v>经验书*10000</v>
      </c>
      <c r="F6862" s="13">
        <v>1</v>
      </c>
      <c r="J6862" s="13">
        <v>20</v>
      </c>
      <c r="M6862" s="120" t="b">
        <v>1</v>
      </c>
    </row>
    <row r="6863" spans="1:13" s="102" customFormat="1" x14ac:dyDescent="0.25">
      <c r="A6863" s="13"/>
      <c r="B6863" s="13"/>
      <c r="C6863" s="4"/>
      <c r="D6863" s="13">
        <v>7229</v>
      </c>
      <c r="E6863" s="136" t="str">
        <f>INDEX([1]道具配置表!$D:$D,MATCH(D6863,[1]道具配置表!$A:$A,0))</f>
        <v>经验书*50000</v>
      </c>
      <c r="F6863" s="13">
        <v>1</v>
      </c>
      <c r="G6863" s="13"/>
      <c r="H6863" s="13"/>
      <c r="I6863" s="13"/>
      <c r="J6863" s="13">
        <v>200</v>
      </c>
      <c r="K6863" s="13"/>
      <c r="L6863" s="13"/>
      <c r="M6863" s="120" t="b">
        <v>1</v>
      </c>
    </row>
    <row r="6864" spans="1:13" s="102" customFormat="1" x14ac:dyDescent="0.25">
      <c r="A6864" s="13"/>
      <c r="B6864" s="13"/>
      <c r="C6864" s="4"/>
      <c r="D6864" s="13">
        <v>6125</v>
      </c>
      <c r="E6864" s="136" t="str">
        <f>INDEX([1]道具配置表!$D:$D,MATCH(D6864,[1]道具配置表!$A:$A,0))</f>
        <v>60分钟建造加速</v>
      </c>
      <c r="F6864" s="13">
        <v>1</v>
      </c>
      <c r="G6864" s="13"/>
      <c r="H6864" s="13"/>
      <c r="I6864" s="13"/>
      <c r="J6864" s="13">
        <v>20</v>
      </c>
      <c r="K6864" s="13"/>
      <c r="L6864" s="13"/>
      <c r="M6864" s="120" t="b">
        <v>1</v>
      </c>
    </row>
    <row r="6865" spans="1:13" x14ac:dyDescent="0.25">
      <c r="C6865" s="4"/>
      <c r="D6865" s="13">
        <v>6124</v>
      </c>
      <c r="E6865" s="136" t="str">
        <f>INDEX([1]道具配置表!$D:$D,MATCH(D6865,[1]道具配置表!$A:$A,0))</f>
        <v>30分钟建造加速</v>
      </c>
      <c r="F6865" s="13">
        <v>1</v>
      </c>
      <c r="J6865" s="13">
        <v>50</v>
      </c>
      <c r="M6865" s="120" t="b">
        <v>1</v>
      </c>
    </row>
    <row r="6866" spans="1:13" x14ac:dyDescent="0.25">
      <c r="C6866" s="4"/>
      <c r="D6866" s="13">
        <v>6122</v>
      </c>
      <c r="E6866" s="136" t="str">
        <f>INDEX([1]道具配置表!$D:$D,MATCH(D6866,[1]道具配置表!$A:$A,0))</f>
        <v>10分钟建造加速</v>
      </c>
      <c r="F6866" s="13">
        <v>1</v>
      </c>
      <c r="J6866" s="13">
        <v>200</v>
      </c>
      <c r="M6866" s="120" t="b">
        <v>1</v>
      </c>
    </row>
    <row r="6867" spans="1:13" x14ac:dyDescent="0.25">
      <c r="A6867" s="13">
        <v>6665302</v>
      </c>
      <c r="B6867" s="13" t="s">
        <v>1718</v>
      </c>
      <c r="C6867" s="4"/>
      <c r="D6867" s="13">
        <v>2007</v>
      </c>
      <c r="E6867" s="136" t="str">
        <f>INDEX([1]道具配置表!$D:$D,MATCH(D6867,[1]道具配置表!$A:$A,0))</f>
        <v>大奖池招募券</v>
      </c>
      <c r="F6867" s="13">
        <v>1</v>
      </c>
      <c r="G6867" s="13">
        <v>3</v>
      </c>
      <c r="H6867" s="13">
        <v>3</v>
      </c>
      <c r="I6867" s="13" t="s">
        <v>368</v>
      </c>
      <c r="J6867" s="13">
        <v>20</v>
      </c>
      <c r="M6867" s="120" t="b">
        <v>1</v>
      </c>
    </row>
    <row r="6868" spans="1:13" x14ac:dyDescent="0.25">
      <c r="C6868" s="4"/>
      <c r="D6868" s="13">
        <v>2006</v>
      </c>
      <c r="E6868" s="136" t="str">
        <f>INDEX([1]道具配置表!$D:$D,MATCH(D6868,[1]道具配置表!$A:$A,0))</f>
        <v>铜币奖池招募券</v>
      </c>
      <c r="F6868" s="13">
        <v>1</v>
      </c>
      <c r="J6868" s="13">
        <v>200</v>
      </c>
      <c r="M6868" s="120" t="b">
        <v>1</v>
      </c>
    </row>
    <row r="6869" spans="1:13" x14ac:dyDescent="0.25">
      <c r="C6869" s="4"/>
      <c r="D6869" s="13">
        <v>7228</v>
      </c>
      <c r="E6869" s="136" t="str">
        <f>INDEX([1]道具配置表!$D:$D,MATCH(D6869,[1]道具配置表!$A:$A,0))</f>
        <v>经验书*10000</v>
      </c>
      <c r="F6869" s="13">
        <v>1</v>
      </c>
      <c r="J6869" s="13">
        <v>20</v>
      </c>
      <c r="M6869" s="120" t="b">
        <v>1</v>
      </c>
    </row>
    <row r="6870" spans="1:13" x14ac:dyDescent="0.25">
      <c r="C6870" s="4"/>
      <c r="D6870" s="13">
        <v>7229</v>
      </c>
      <c r="E6870" s="136" t="str">
        <f>INDEX([1]道具配置表!$D:$D,MATCH(D6870,[1]道具配置表!$A:$A,0))</f>
        <v>经验书*50000</v>
      </c>
      <c r="F6870" s="13">
        <v>1</v>
      </c>
      <c r="J6870" s="13">
        <v>200</v>
      </c>
      <c r="M6870" s="120" t="b">
        <v>1</v>
      </c>
    </row>
    <row r="6871" spans="1:13" x14ac:dyDescent="0.25">
      <c r="C6871" s="4"/>
      <c r="D6871" s="13">
        <v>6125</v>
      </c>
      <c r="E6871" s="136" t="str">
        <f>INDEX([1]道具配置表!$D:$D,MATCH(D6871,[1]道具配置表!$A:$A,0))</f>
        <v>60分钟建造加速</v>
      </c>
      <c r="F6871" s="13">
        <v>1</v>
      </c>
      <c r="J6871" s="13">
        <v>20</v>
      </c>
      <c r="M6871" s="120" t="b">
        <v>1</v>
      </c>
    </row>
    <row r="6872" spans="1:13" x14ac:dyDescent="0.25">
      <c r="C6872" s="4"/>
      <c r="D6872" s="13">
        <v>6124</v>
      </c>
      <c r="E6872" s="136" t="str">
        <f>INDEX([1]道具配置表!$D:$D,MATCH(D6872,[1]道具配置表!$A:$A,0))</f>
        <v>30分钟建造加速</v>
      </c>
      <c r="F6872" s="13">
        <v>1</v>
      </c>
      <c r="J6872" s="13">
        <v>50</v>
      </c>
      <c r="M6872" s="120" t="b">
        <v>1</v>
      </c>
    </row>
    <row r="6873" spans="1:13" x14ac:dyDescent="0.25">
      <c r="C6873" s="4"/>
      <c r="D6873" s="13">
        <v>6122</v>
      </c>
      <c r="E6873" s="136" t="str">
        <f>INDEX([1]道具配置表!$D:$D,MATCH(D6873,[1]道具配置表!$A:$A,0))</f>
        <v>10分钟建造加速</v>
      </c>
      <c r="F6873" s="13">
        <v>1</v>
      </c>
      <c r="J6873" s="13">
        <v>200</v>
      </c>
      <c r="M6873" s="120" t="b">
        <v>1</v>
      </c>
    </row>
    <row r="6874" spans="1:13" x14ac:dyDescent="0.25">
      <c r="A6874" s="13">
        <v>6665303</v>
      </c>
      <c r="B6874" s="13" t="s">
        <v>1719</v>
      </c>
      <c r="C6874" s="4"/>
      <c r="D6874" s="13">
        <v>2007</v>
      </c>
      <c r="E6874" s="136" t="str">
        <f>INDEX([1]道具配置表!$D:$D,MATCH(D6874,[1]道具配置表!$A:$A,0))</f>
        <v>大奖池招募券</v>
      </c>
      <c r="F6874" s="13">
        <v>1</v>
      </c>
      <c r="G6874" s="13">
        <v>3</v>
      </c>
      <c r="H6874" s="13">
        <v>3</v>
      </c>
      <c r="I6874" s="13" t="s">
        <v>368</v>
      </c>
      <c r="J6874" s="13">
        <v>20</v>
      </c>
      <c r="M6874" s="120" t="b">
        <v>1</v>
      </c>
    </row>
    <row r="6875" spans="1:13" x14ac:dyDescent="0.25">
      <c r="C6875" s="4"/>
      <c r="D6875" s="13">
        <v>2006</v>
      </c>
      <c r="E6875" s="136" t="str">
        <f>INDEX([1]道具配置表!$D:$D,MATCH(D6875,[1]道具配置表!$A:$A,0))</f>
        <v>铜币奖池招募券</v>
      </c>
      <c r="F6875" s="13">
        <v>1</v>
      </c>
      <c r="J6875" s="13">
        <v>200</v>
      </c>
      <c r="M6875" s="120" t="b">
        <v>1</v>
      </c>
    </row>
    <row r="6876" spans="1:13" x14ac:dyDescent="0.25">
      <c r="C6876" s="4"/>
      <c r="D6876" s="13">
        <v>7228</v>
      </c>
      <c r="E6876" s="136" t="str">
        <f>INDEX([1]道具配置表!$D:$D,MATCH(D6876,[1]道具配置表!$A:$A,0))</f>
        <v>经验书*10000</v>
      </c>
      <c r="F6876" s="13">
        <v>1</v>
      </c>
      <c r="J6876" s="13">
        <v>20</v>
      </c>
      <c r="M6876" s="120" t="b">
        <v>1</v>
      </c>
    </row>
    <row r="6877" spans="1:13" x14ac:dyDescent="0.25">
      <c r="C6877" s="4"/>
      <c r="D6877" s="13">
        <v>7229</v>
      </c>
      <c r="E6877" s="136" t="str">
        <f>INDEX([1]道具配置表!$D:$D,MATCH(D6877,[1]道具配置表!$A:$A,0))</f>
        <v>经验书*50000</v>
      </c>
      <c r="F6877" s="13">
        <v>1</v>
      </c>
      <c r="J6877" s="13">
        <v>200</v>
      </c>
      <c r="M6877" s="120" t="b">
        <v>1</v>
      </c>
    </row>
    <row r="6878" spans="1:13" x14ac:dyDescent="0.25">
      <c r="C6878" s="4"/>
      <c r="D6878" s="13">
        <v>6125</v>
      </c>
      <c r="E6878" s="136" t="str">
        <f>INDEX([1]道具配置表!$D:$D,MATCH(D6878,[1]道具配置表!$A:$A,0))</f>
        <v>60分钟建造加速</v>
      </c>
      <c r="F6878" s="13">
        <v>1</v>
      </c>
      <c r="J6878" s="13">
        <v>20</v>
      </c>
      <c r="M6878" s="120" t="b">
        <v>1</v>
      </c>
    </row>
    <row r="6879" spans="1:13" x14ac:dyDescent="0.25">
      <c r="C6879" s="4"/>
      <c r="D6879" s="13">
        <v>6124</v>
      </c>
      <c r="E6879" s="136" t="str">
        <f>INDEX([1]道具配置表!$D:$D,MATCH(D6879,[1]道具配置表!$A:$A,0))</f>
        <v>30分钟建造加速</v>
      </c>
      <c r="F6879" s="13">
        <v>1</v>
      </c>
      <c r="J6879" s="13">
        <v>50</v>
      </c>
      <c r="M6879" s="120" t="b">
        <v>1</v>
      </c>
    </row>
    <row r="6880" spans="1:13" x14ac:dyDescent="0.25">
      <c r="C6880" s="4"/>
      <c r="D6880" s="13">
        <v>6122</v>
      </c>
      <c r="E6880" s="136" t="str">
        <f>INDEX([1]道具配置表!$D:$D,MATCH(D6880,[1]道具配置表!$A:$A,0))</f>
        <v>10分钟建造加速</v>
      </c>
      <c r="F6880" s="13">
        <v>1</v>
      </c>
      <c r="J6880" s="13">
        <v>200</v>
      </c>
      <c r="M6880" s="120" t="b">
        <v>1</v>
      </c>
    </row>
    <row r="6881" spans="1:13" x14ac:dyDescent="0.25">
      <c r="A6881" s="13">
        <v>6665401</v>
      </c>
      <c r="B6881" s="13" t="s">
        <v>1720</v>
      </c>
      <c r="C6881" s="4"/>
      <c r="D6881" s="13">
        <v>2007</v>
      </c>
      <c r="E6881" s="136" t="str">
        <f>INDEX([1]道具配置表!$D:$D,MATCH(D6881,[1]道具配置表!$A:$A,0))</f>
        <v>大奖池招募券</v>
      </c>
      <c r="F6881" s="13">
        <v>10</v>
      </c>
      <c r="K6881" s="13">
        <v>1</v>
      </c>
      <c r="M6881" s="120" t="b">
        <v>1</v>
      </c>
    </row>
    <row r="6882" spans="1:13" x14ac:dyDescent="0.25">
      <c r="C6882" s="4"/>
      <c r="D6882" s="13">
        <v>6122</v>
      </c>
      <c r="E6882" s="136" t="str">
        <f>INDEX([1]道具配置表!$D:$D,MATCH(D6882,[1]道具配置表!$A:$A,0))</f>
        <v>10分钟建造加速</v>
      </c>
      <c r="F6882" s="13">
        <v>15</v>
      </c>
      <c r="K6882" s="13">
        <v>1</v>
      </c>
      <c r="M6882" s="120" t="b">
        <v>1</v>
      </c>
    </row>
    <row r="6883" spans="1:13" x14ac:dyDescent="0.25">
      <c r="C6883" s="4"/>
      <c r="D6883" s="13">
        <v>6162</v>
      </c>
      <c r="E6883" s="136" t="str">
        <f>INDEX([1]道具配置表!$D:$D,MATCH(D6883,[1]道具配置表!$A:$A,0))</f>
        <v>10分钟训练加速</v>
      </c>
      <c r="F6883" s="13">
        <v>15</v>
      </c>
      <c r="K6883" s="13">
        <v>1</v>
      </c>
      <c r="M6883" s="120" t="b">
        <v>1</v>
      </c>
    </row>
    <row r="6884" spans="1:13" x14ac:dyDescent="0.25">
      <c r="C6884" s="4"/>
      <c r="D6884" s="13">
        <v>502</v>
      </c>
      <c r="E6884" s="136" t="str">
        <f>INDEX([1]道具配置表!$D:$D,MATCH(D6884,[1]道具配置表!$A:$A,0))</f>
        <v>1万资源自选宝箱</v>
      </c>
      <c r="F6884" s="13">
        <v>50</v>
      </c>
      <c r="K6884" s="13">
        <v>1</v>
      </c>
      <c r="M6884" s="120" t="b">
        <v>1</v>
      </c>
    </row>
    <row r="6885" spans="1:13" x14ac:dyDescent="0.25">
      <c r="A6885" s="13">
        <v>6665402</v>
      </c>
      <c r="B6885" s="13" t="s">
        <v>1721</v>
      </c>
      <c r="C6885" s="4"/>
      <c r="D6885" s="13">
        <v>2007</v>
      </c>
      <c r="E6885" s="136" t="str">
        <f>INDEX([1]道具配置表!$D:$D,MATCH(D6885,[1]道具配置表!$A:$A,0))</f>
        <v>大奖池招募券</v>
      </c>
      <c r="F6885" s="13">
        <v>9</v>
      </c>
      <c r="K6885" s="13">
        <v>1</v>
      </c>
      <c r="M6885" s="120" t="b">
        <v>1</v>
      </c>
    </row>
    <row r="6886" spans="1:13" x14ac:dyDescent="0.25">
      <c r="C6886" s="4"/>
      <c r="D6886" s="13">
        <v>6122</v>
      </c>
      <c r="E6886" s="136" t="str">
        <f>INDEX([1]道具配置表!$D:$D,MATCH(D6886,[1]道具配置表!$A:$A,0))</f>
        <v>10分钟建造加速</v>
      </c>
      <c r="F6886" s="13">
        <v>14</v>
      </c>
      <c r="K6886" s="13">
        <v>1</v>
      </c>
      <c r="M6886" s="120" t="b">
        <v>1</v>
      </c>
    </row>
    <row r="6887" spans="1:13" x14ac:dyDescent="0.25">
      <c r="C6887" s="4"/>
      <c r="D6887" s="13">
        <v>6162</v>
      </c>
      <c r="E6887" s="136" t="str">
        <f>INDEX([1]道具配置表!$D:$D,MATCH(D6887,[1]道具配置表!$A:$A,0))</f>
        <v>10分钟训练加速</v>
      </c>
      <c r="F6887" s="13">
        <v>14</v>
      </c>
      <c r="K6887" s="13">
        <v>1</v>
      </c>
      <c r="M6887" s="120" t="b">
        <v>1</v>
      </c>
    </row>
    <row r="6888" spans="1:13" x14ac:dyDescent="0.25">
      <c r="C6888" s="4"/>
      <c r="D6888" s="13">
        <v>502</v>
      </c>
      <c r="E6888" s="136" t="str">
        <f>INDEX([1]道具配置表!$D:$D,MATCH(D6888,[1]道具配置表!$A:$A,0))</f>
        <v>1万资源自选宝箱</v>
      </c>
      <c r="F6888" s="13">
        <v>45</v>
      </c>
      <c r="K6888" s="13">
        <v>1</v>
      </c>
      <c r="M6888" s="120" t="b">
        <v>1</v>
      </c>
    </row>
    <row r="6889" spans="1:13" x14ac:dyDescent="0.25">
      <c r="A6889" s="13">
        <v>6665403</v>
      </c>
      <c r="B6889" s="13" t="s">
        <v>1722</v>
      </c>
      <c r="C6889" s="4"/>
      <c r="D6889" s="13">
        <v>2007</v>
      </c>
      <c r="E6889" s="136" t="str">
        <f>INDEX([1]道具配置表!$D:$D,MATCH(D6889,[1]道具配置表!$A:$A,0))</f>
        <v>大奖池招募券</v>
      </c>
      <c r="F6889" s="13">
        <v>8</v>
      </c>
      <c r="K6889" s="13">
        <v>1</v>
      </c>
      <c r="M6889" s="120" t="b">
        <v>1</v>
      </c>
    </row>
    <row r="6890" spans="1:13" x14ac:dyDescent="0.25">
      <c r="C6890" s="4"/>
      <c r="D6890" s="13">
        <v>6122</v>
      </c>
      <c r="E6890" s="136" t="str">
        <f>INDEX([1]道具配置表!$D:$D,MATCH(D6890,[1]道具配置表!$A:$A,0))</f>
        <v>10分钟建造加速</v>
      </c>
      <c r="F6890" s="13">
        <v>13</v>
      </c>
      <c r="K6890" s="13">
        <v>1</v>
      </c>
      <c r="M6890" s="120" t="b">
        <v>1</v>
      </c>
    </row>
    <row r="6891" spans="1:13" x14ac:dyDescent="0.25">
      <c r="C6891" s="4"/>
      <c r="D6891" s="13">
        <v>6162</v>
      </c>
      <c r="E6891" s="136" t="str">
        <f>INDEX([1]道具配置表!$D:$D,MATCH(D6891,[1]道具配置表!$A:$A,0))</f>
        <v>10分钟训练加速</v>
      </c>
      <c r="F6891" s="13">
        <v>13</v>
      </c>
      <c r="K6891" s="13">
        <v>1</v>
      </c>
      <c r="M6891" s="120" t="b">
        <v>1</v>
      </c>
    </row>
    <row r="6892" spans="1:13" x14ac:dyDescent="0.25">
      <c r="C6892" s="4"/>
      <c r="D6892" s="13">
        <v>502</v>
      </c>
      <c r="E6892" s="136" t="str">
        <f>INDEX([1]道具配置表!$D:$D,MATCH(D6892,[1]道具配置表!$A:$A,0))</f>
        <v>1万资源自选宝箱</v>
      </c>
      <c r="F6892" s="13">
        <v>40</v>
      </c>
      <c r="K6892" s="13">
        <v>1</v>
      </c>
      <c r="M6892" s="120" t="b">
        <v>1</v>
      </c>
    </row>
    <row r="6893" spans="1:13" x14ac:dyDescent="0.25">
      <c r="A6893" s="13">
        <v>6665404</v>
      </c>
      <c r="B6893" s="13" t="s">
        <v>1723</v>
      </c>
      <c r="C6893" s="4"/>
      <c r="D6893" s="13">
        <v>2007</v>
      </c>
      <c r="E6893" s="136" t="str">
        <f>INDEX([1]道具配置表!$D:$D,MATCH(D6893,[1]道具配置表!$A:$A,0))</f>
        <v>大奖池招募券</v>
      </c>
      <c r="F6893" s="13">
        <v>7</v>
      </c>
      <c r="K6893" s="13">
        <v>1</v>
      </c>
      <c r="M6893" s="120" t="b">
        <v>1</v>
      </c>
    </row>
    <row r="6894" spans="1:13" x14ac:dyDescent="0.25">
      <c r="C6894" s="4"/>
      <c r="D6894" s="13">
        <v>6122</v>
      </c>
      <c r="E6894" s="136" t="str">
        <f>INDEX([1]道具配置表!$D:$D,MATCH(D6894,[1]道具配置表!$A:$A,0))</f>
        <v>10分钟建造加速</v>
      </c>
      <c r="F6894" s="13">
        <v>12</v>
      </c>
      <c r="K6894" s="13">
        <v>1</v>
      </c>
      <c r="M6894" s="120" t="b">
        <v>1</v>
      </c>
    </row>
    <row r="6895" spans="1:13" x14ac:dyDescent="0.25">
      <c r="C6895" s="4"/>
      <c r="D6895" s="13">
        <v>6162</v>
      </c>
      <c r="E6895" s="136" t="str">
        <f>INDEX([1]道具配置表!$D:$D,MATCH(D6895,[1]道具配置表!$A:$A,0))</f>
        <v>10分钟训练加速</v>
      </c>
      <c r="F6895" s="13">
        <v>12</v>
      </c>
      <c r="K6895" s="13">
        <v>1</v>
      </c>
      <c r="M6895" s="120" t="b">
        <v>1</v>
      </c>
    </row>
    <row r="6896" spans="1:13" x14ac:dyDescent="0.25">
      <c r="C6896" s="4"/>
      <c r="D6896" s="13">
        <v>502</v>
      </c>
      <c r="E6896" s="136" t="str">
        <f>INDEX([1]道具配置表!$D:$D,MATCH(D6896,[1]道具配置表!$A:$A,0))</f>
        <v>1万资源自选宝箱</v>
      </c>
      <c r="F6896" s="13">
        <v>35</v>
      </c>
      <c r="K6896" s="13">
        <v>1</v>
      </c>
      <c r="M6896" s="120" t="b">
        <v>1</v>
      </c>
    </row>
    <row r="6897" spans="1:13" x14ac:dyDescent="0.25">
      <c r="A6897" s="13">
        <v>6665405</v>
      </c>
      <c r="B6897" s="13" t="s">
        <v>1724</v>
      </c>
      <c r="C6897" s="4"/>
      <c r="D6897" s="13">
        <v>2007</v>
      </c>
      <c r="E6897" s="136" t="str">
        <f>INDEX([1]道具配置表!$D:$D,MATCH(D6897,[1]道具配置表!$A:$A,0))</f>
        <v>大奖池招募券</v>
      </c>
      <c r="F6897" s="13">
        <v>6</v>
      </c>
      <c r="K6897" s="13">
        <v>1</v>
      </c>
      <c r="M6897" s="120" t="b">
        <v>1</v>
      </c>
    </row>
    <row r="6898" spans="1:13" x14ac:dyDescent="0.25">
      <c r="C6898" s="4"/>
      <c r="D6898" s="13">
        <v>6122</v>
      </c>
      <c r="E6898" s="136" t="str">
        <f>INDEX([1]道具配置表!$D:$D,MATCH(D6898,[1]道具配置表!$A:$A,0))</f>
        <v>10分钟建造加速</v>
      </c>
      <c r="F6898" s="13">
        <v>11</v>
      </c>
      <c r="K6898" s="13">
        <v>1</v>
      </c>
      <c r="M6898" s="120" t="b">
        <v>1</v>
      </c>
    </row>
    <row r="6899" spans="1:13" x14ac:dyDescent="0.25">
      <c r="C6899" s="4"/>
      <c r="D6899" s="13">
        <v>6162</v>
      </c>
      <c r="E6899" s="136" t="str">
        <f>INDEX([1]道具配置表!$D:$D,MATCH(D6899,[1]道具配置表!$A:$A,0))</f>
        <v>10分钟训练加速</v>
      </c>
      <c r="F6899" s="13">
        <v>11</v>
      </c>
      <c r="K6899" s="13">
        <v>1</v>
      </c>
      <c r="M6899" s="120" t="b">
        <v>1</v>
      </c>
    </row>
    <row r="6900" spans="1:13" x14ac:dyDescent="0.25">
      <c r="C6900" s="4"/>
      <c r="D6900" s="13">
        <v>502</v>
      </c>
      <c r="E6900" s="136" t="str">
        <f>INDEX([1]道具配置表!$D:$D,MATCH(D6900,[1]道具配置表!$A:$A,0))</f>
        <v>1万资源自选宝箱</v>
      </c>
      <c r="F6900" s="13">
        <v>30</v>
      </c>
      <c r="K6900" s="13">
        <v>1</v>
      </c>
      <c r="M6900" s="120" t="b">
        <v>1</v>
      </c>
    </row>
    <row r="6901" spans="1:13" x14ac:dyDescent="0.25">
      <c r="A6901" s="13">
        <v>6665406</v>
      </c>
      <c r="B6901" s="13" t="s">
        <v>1725</v>
      </c>
      <c r="C6901" s="4"/>
      <c r="D6901" s="13">
        <v>2007</v>
      </c>
      <c r="E6901" s="136" t="str">
        <f>INDEX([1]道具配置表!$D:$D,MATCH(D6901,[1]道具配置表!$A:$A,0))</f>
        <v>大奖池招募券</v>
      </c>
      <c r="F6901" s="13">
        <v>5</v>
      </c>
      <c r="K6901" s="13">
        <v>1</v>
      </c>
      <c r="M6901" s="120" t="b">
        <v>1</v>
      </c>
    </row>
    <row r="6902" spans="1:13" x14ac:dyDescent="0.25">
      <c r="C6902" s="4"/>
      <c r="D6902" s="13">
        <v>6122</v>
      </c>
      <c r="E6902" s="136" t="str">
        <f>INDEX([1]道具配置表!$D:$D,MATCH(D6902,[1]道具配置表!$A:$A,0))</f>
        <v>10分钟建造加速</v>
      </c>
      <c r="F6902" s="13">
        <v>10</v>
      </c>
      <c r="K6902" s="13">
        <v>1</v>
      </c>
      <c r="M6902" s="120" t="b">
        <v>1</v>
      </c>
    </row>
    <row r="6903" spans="1:13" x14ac:dyDescent="0.25">
      <c r="C6903" s="4"/>
      <c r="D6903" s="13">
        <v>6162</v>
      </c>
      <c r="E6903" s="136" t="str">
        <f>INDEX([1]道具配置表!$D:$D,MATCH(D6903,[1]道具配置表!$A:$A,0))</f>
        <v>10分钟训练加速</v>
      </c>
      <c r="F6903" s="13">
        <v>10</v>
      </c>
      <c r="K6903" s="13">
        <v>1</v>
      </c>
      <c r="M6903" s="120" t="b">
        <v>1</v>
      </c>
    </row>
    <row r="6904" spans="1:13" x14ac:dyDescent="0.25">
      <c r="C6904" s="4"/>
      <c r="D6904" s="13">
        <v>502</v>
      </c>
      <c r="E6904" s="136" t="str">
        <f>INDEX([1]道具配置表!$D:$D,MATCH(D6904,[1]道具配置表!$A:$A,0))</f>
        <v>1万资源自选宝箱</v>
      </c>
      <c r="F6904" s="13">
        <v>25</v>
      </c>
      <c r="K6904" s="13">
        <v>1</v>
      </c>
      <c r="M6904" s="120" t="b">
        <v>1</v>
      </c>
    </row>
    <row r="6905" spans="1:13" x14ac:dyDescent="0.25">
      <c r="A6905" s="13">
        <v>6665407</v>
      </c>
      <c r="B6905" s="13" t="s">
        <v>1726</v>
      </c>
      <c r="C6905" s="4"/>
      <c r="D6905" s="13">
        <v>2007</v>
      </c>
      <c r="E6905" s="136" t="str">
        <f>INDEX([1]道具配置表!$D:$D,MATCH(D6905,[1]道具配置表!$A:$A,0))</f>
        <v>大奖池招募券</v>
      </c>
      <c r="F6905" s="13">
        <v>4</v>
      </c>
      <c r="K6905" s="13">
        <v>1</v>
      </c>
      <c r="M6905" s="120" t="b">
        <v>1</v>
      </c>
    </row>
    <row r="6906" spans="1:13" x14ac:dyDescent="0.25">
      <c r="C6906" s="4"/>
      <c r="D6906" s="13">
        <v>6122</v>
      </c>
      <c r="E6906" s="136" t="str">
        <f>INDEX([1]道具配置表!$D:$D,MATCH(D6906,[1]道具配置表!$A:$A,0))</f>
        <v>10分钟建造加速</v>
      </c>
      <c r="F6906" s="13">
        <v>9</v>
      </c>
      <c r="K6906" s="13">
        <v>1</v>
      </c>
      <c r="M6906" s="120" t="b">
        <v>1</v>
      </c>
    </row>
    <row r="6907" spans="1:13" x14ac:dyDescent="0.25">
      <c r="C6907" s="4"/>
      <c r="D6907" s="13">
        <v>6162</v>
      </c>
      <c r="E6907" s="136" t="str">
        <f>INDEX([1]道具配置表!$D:$D,MATCH(D6907,[1]道具配置表!$A:$A,0))</f>
        <v>10分钟训练加速</v>
      </c>
      <c r="F6907" s="13">
        <v>9</v>
      </c>
      <c r="K6907" s="13">
        <v>1</v>
      </c>
      <c r="M6907" s="120" t="b">
        <v>1</v>
      </c>
    </row>
    <row r="6908" spans="1:13" x14ac:dyDescent="0.25">
      <c r="C6908" s="4"/>
      <c r="D6908" s="13">
        <v>502</v>
      </c>
      <c r="E6908" s="136" t="str">
        <f>INDEX([1]道具配置表!$D:$D,MATCH(D6908,[1]道具配置表!$A:$A,0))</f>
        <v>1万资源自选宝箱</v>
      </c>
      <c r="F6908" s="13">
        <v>20</v>
      </c>
      <c r="K6908" s="13">
        <v>1</v>
      </c>
      <c r="M6908" s="120" t="b">
        <v>1</v>
      </c>
    </row>
    <row r="6909" spans="1:13" x14ac:dyDescent="0.25">
      <c r="A6909" s="13">
        <v>6665408</v>
      </c>
      <c r="B6909" s="13" t="s">
        <v>1727</v>
      </c>
      <c r="C6909" s="4"/>
      <c r="D6909" s="13">
        <v>2007</v>
      </c>
      <c r="E6909" s="136" t="str">
        <f>INDEX([1]道具配置表!$D:$D,MATCH(D6909,[1]道具配置表!$A:$A,0))</f>
        <v>大奖池招募券</v>
      </c>
      <c r="F6909" s="13">
        <v>3</v>
      </c>
      <c r="K6909" s="13">
        <v>1</v>
      </c>
      <c r="M6909" s="120" t="b">
        <v>1</v>
      </c>
    </row>
    <row r="6910" spans="1:13" x14ac:dyDescent="0.25">
      <c r="C6910" s="4"/>
      <c r="D6910" s="13">
        <v>6122</v>
      </c>
      <c r="E6910" s="136" t="str">
        <f>INDEX([1]道具配置表!$D:$D,MATCH(D6910,[1]道具配置表!$A:$A,0))</f>
        <v>10分钟建造加速</v>
      </c>
      <c r="F6910" s="13">
        <v>8</v>
      </c>
      <c r="K6910" s="13">
        <v>1</v>
      </c>
      <c r="M6910" s="120" t="b">
        <v>1</v>
      </c>
    </row>
    <row r="6911" spans="1:13" x14ac:dyDescent="0.25">
      <c r="C6911" s="4"/>
      <c r="D6911" s="13">
        <v>6162</v>
      </c>
      <c r="E6911" s="136" t="str">
        <f>INDEX([1]道具配置表!$D:$D,MATCH(D6911,[1]道具配置表!$A:$A,0))</f>
        <v>10分钟训练加速</v>
      </c>
      <c r="F6911" s="13">
        <v>8</v>
      </c>
      <c r="K6911" s="13">
        <v>1</v>
      </c>
      <c r="M6911" s="120" t="b">
        <v>1</v>
      </c>
    </row>
    <row r="6912" spans="1:13" x14ac:dyDescent="0.25">
      <c r="C6912" s="4"/>
      <c r="D6912" s="13">
        <v>502</v>
      </c>
      <c r="E6912" s="136" t="str">
        <f>INDEX([1]道具配置表!$D:$D,MATCH(D6912,[1]道具配置表!$A:$A,0))</f>
        <v>1万资源自选宝箱</v>
      </c>
      <c r="F6912" s="13">
        <v>15</v>
      </c>
      <c r="K6912" s="13">
        <v>1</v>
      </c>
      <c r="M6912" s="120" t="b">
        <v>1</v>
      </c>
    </row>
    <row r="6913" spans="1:13" x14ac:dyDescent="0.25">
      <c r="A6913" s="13">
        <v>6665409</v>
      </c>
      <c r="B6913" s="13" t="s">
        <v>1728</v>
      </c>
      <c r="C6913" s="4"/>
      <c r="D6913" s="13">
        <v>2007</v>
      </c>
      <c r="E6913" s="136" t="str">
        <f>INDEX([1]道具配置表!$D:$D,MATCH(D6913,[1]道具配置表!$A:$A,0))</f>
        <v>大奖池招募券</v>
      </c>
      <c r="F6913" s="13">
        <v>2</v>
      </c>
      <c r="K6913" s="13">
        <v>1</v>
      </c>
      <c r="M6913" s="120" t="b">
        <v>1</v>
      </c>
    </row>
    <row r="6914" spans="1:13" x14ac:dyDescent="0.25">
      <c r="C6914" s="4"/>
      <c r="D6914" s="13">
        <v>6122</v>
      </c>
      <c r="E6914" s="136" t="str">
        <f>INDEX([1]道具配置表!$D:$D,MATCH(D6914,[1]道具配置表!$A:$A,0))</f>
        <v>10分钟建造加速</v>
      </c>
      <c r="F6914" s="13">
        <v>7</v>
      </c>
      <c r="K6914" s="13">
        <v>1</v>
      </c>
      <c r="M6914" s="120" t="b">
        <v>1</v>
      </c>
    </row>
    <row r="6915" spans="1:13" x14ac:dyDescent="0.25">
      <c r="C6915" s="4"/>
      <c r="D6915" s="13">
        <v>6162</v>
      </c>
      <c r="E6915" s="136" t="str">
        <f>INDEX([1]道具配置表!$D:$D,MATCH(D6915,[1]道具配置表!$A:$A,0))</f>
        <v>10分钟训练加速</v>
      </c>
      <c r="F6915" s="13">
        <v>7</v>
      </c>
      <c r="K6915" s="13">
        <v>1</v>
      </c>
      <c r="M6915" s="120" t="b">
        <v>1</v>
      </c>
    </row>
    <row r="6916" spans="1:13" x14ac:dyDescent="0.25">
      <c r="C6916" s="4"/>
      <c r="D6916" s="13">
        <v>502</v>
      </c>
      <c r="E6916" s="136" t="str">
        <f>INDEX([1]道具配置表!$D:$D,MATCH(D6916,[1]道具配置表!$A:$A,0))</f>
        <v>1万资源自选宝箱</v>
      </c>
      <c r="F6916" s="13">
        <v>10</v>
      </c>
      <c r="K6916" s="13">
        <v>1</v>
      </c>
      <c r="M6916" s="120" t="b">
        <v>1</v>
      </c>
    </row>
    <row r="6917" spans="1:13" x14ac:dyDescent="0.25">
      <c r="A6917" s="13">
        <v>6665410</v>
      </c>
      <c r="B6917" s="13" t="s">
        <v>1729</v>
      </c>
      <c r="C6917" s="4"/>
      <c r="D6917" s="13">
        <v>2007</v>
      </c>
      <c r="E6917" s="136" t="str">
        <f>INDEX([1]道具配置表!$D:$D,MATCH(D6917,[1]道具配置表!$A:$A,0))</f>
        <v>大奖池招募券</v>
      </c>
      <c r="F6917" s="13">
        <v>1</v>
      </c>
      <c r="K6917" s="13">
        <v>1</v>
      </c>
      <c r="M6917" s="120" t="b">
        <v>1</v>
      </c>
    </row>
    <row r="6918" spans="1:13" x14ac:dyDescent="0.25">
      <c r="C6918" s="4"/>
      <c r="D6918" s="13">
        <v>6122</v>
      </c>
      <c r="E6918" s="136" t="str">
        <f>INDEX([1]道具配置表!$D:$D,MATCH(D6918,[1]道具配置表!$A:$A,0))</f>
        <v>10分钟建造加速</v>
      </c>
      <c r="F6918" s="13">
        <v>6</v>
      </c>
      <c r="K6918" s="13">
        <v>1</v>
      </c>
      <c r="M6918" s="120" t="b">
        <v>1</v>
      </c>
    </row>
    <row r="6919" spans="1:13" x14ac:dyDescent="0.25">
      <c r="C6919" s="4"/>
      <c r="D6919" s="13">
        <v>6162</v>
      </c>
      <c r="E6919" s="136" t="str">
        <f>INDEX([1]道具配置表!$D:$D,MATCH(D6919,[1]道具配置表!$A:$A,0))</f>
        <v>10分钟训练加速</v>
      </c>
      <c r="F6919" s="13">
        <v>6</v>
      </c>
      <c r="K6919" s="13">
        <v>1</v>
      </c>
      <c r="M6919" s="120" t="b">
        <v>1</v>
      </c>
    </row>
    <row r="6920" spans="1:13" x14ac:dyDescent="0.25">
      <c r="C6920" s="4"/>
      <c r="D6920" s="13">
        <v>502</v>
      </c>
      <c r="E6920" s="136" t="str">
        <f>INDEX([1]道具配置表!$D:$D,MATCH(D6920,[1]道具配置表!$A:$A,0))</f>
        <v>1万资源自选宝箱</v>
      </c>
      <c r="F6920" s="13">
        <v>8</v>
      </c>
      <c r="K6920" s="13">
        <v>1</v>
      </c>
      <c r="M6920" s="120" t="b">
        <v>1</v>
      </c>
    </row>
    <row r="6921" spans="1:13" x14ac:dyDescent="0.25">
      <c r="A6921" s="13">
        <v>6665411</v>
      </c>
      <c r="B6921" s="13" t="s">
        <v>1730</v>
      </c>
      <c r="C6921" s="4"/>
      <c r="D6921" s="13">
        <v>2006</v>
      </c>
      <c r="E6921" s="136" t="str">
        <f>INDEX([1]道具配置表!$D:$D,MATCH(D6921,[1]道具配置表!$A:$A,0))</f>
        <v>铜币奖池招募券</v>
      </c>
      <c r="F6921" s="13">
        <v>3</v>
      </c>
      <c r="K6921" s="13">
        <v>1</v>
      </c>
      <c r="M6921" s="120" t="b">
        <v>1</v>
      </c>
    </row>
    <row r="6922" spans="1:13" x14ac:dyDescent="0.25">
      <c r="C6922" s="4"/>
      <c r="D6922" s="13">
        <v>6122</v>
      </c>
      <c r="E6922" s="136" t="str">
        <f>INDEX([1]道具配置表!$D:$D,MATCH(D6922,[1]道具配置表!$A:$A,0))</f>
        <v>10分钟建造加速</v>
      </c>
      <c r="F6922" s="13">
        <v>5</v>
      </c>
      <c r="K6922" s="13">
        <v>1</v>
      </c>
      <c r="M6922" s="120" t="b">
        <v>1</v>
      </c>
    </row>
    <row r="6923" spans="1:13" x14ac:dyDescent="0.25">
      <c r="C6923" s="4"/>
      <c r="D6923" s="13">
        <v>6162</v>
      </c>
      <c r="E6923" s="136" t="str">
        <f>INDEX([1]道具配置表!$D:$D,MATCH(D6923,[1]道具配置表!$A:$A,0))</f>
        <v>10分钟训练加速</v>
      </c>
      <c r="F6923" s="13">
        <v>5</v>
      </c>
      <c r="K6923" s="13">
        <v>1</v>
      </c>
      <c r="M6923" s="120" t="b">
        <v>1</v>
      </c>
    </row>
    <row r="6924" spans="1:13" x14ac:dyDescent="0.25">
      <c r="C6924" s="4"/>
      <c r="D6924" s="13">
        <v>502</v>
      </c>
      <c r="E6924" s="136" t="str">
        <f>INDEX([1]道具配置表!$D:$D,MATCH(D6924,[1]道具配置表!$A:$A,0))</f>
        <v>1万资源自选宝箱</v>
      </c>
      <c r="F6924" s="13">
        <v>6</v>
      </c>
      <c r="K6924" s="13">
        <v>1</v>
      </c>
      <c r="M6924" s="120" t="b">
        <v>1</v>
      </c>
    </row>
    <row r="6925" spans="1:13" x14ac:dyDescent="0.25">
      <c r="A6925" s="13">
        <v>6665412</v>
      </c>
      <c r="B6925" s="13" t="s">
        <v>1731</v>
      </c>
      <c r="C6925" s="4"/>
      <c r="D6925" s="13">
        <v>2006</v>
      </c>
      <c r="E6925" s="136" t="str">
        <f>INDEX([1]道具配置表!$D:$D,MATCH(D6925,[1]道具配置表!$A:$A,0))</f>
        <v>铜币奖池招募券</v>
      </c>
      <c r="F6925" s="13">
        <v>2</v>
      </c>
      <c r="K6925" s="13">
        <v>1</v>
      </c>
      <c r="M6925" s="120" t="b">
        <v>1</v>
      </c>
    </row>
    <row r="6926" spans="1:13" x14ac:dyDescent="0.25">
      <c r="C6926" s="4"/>
      <c r="D6926" s="13">
        <v>6122</v>
      </c>
      <c r="E6926" s="136" t="str">
        <f>INDEX([1]道具配置表!$D:$D,MATCH(D6926,[1]道具配置表!$A:$A,0))</f>
        <v>10分钟建造加速</v>
      </c>
      <c r="F6926" s="13">
        <v>4</v>
      </c>
      <c r="K6926" s="13">
        <v>1</v>
      </c>
      <c r="M6926" s="120" t="b">
        <v>1</v>
      </c>
    </row>
    <row r="6927" spans="1:13" x14ac:dyDescent="0.25">
      <c r="C6927" s="4"/>
      <c r="D6927" s="13">
        <v>6162</v>
      </c>
      <c r="E6927" s="136" t="str">
        <f>INDEX([1]道具配置表!$D:$D,MATCH(D6927,[1]道具配置表!$A:$A,0))</f>
        <v>10分钟训练加速</v>
      </c>
      <c r="F6927" s="13">
        <v>4</v>
      </c>
      <c r="K6927" s="13">
        <v>1</v>
      </c>
      <c r="M6927" s="120" t="b">
        <v>1</v>
      </c>
    </row>
    <row r="6928" spans="1:13" x14ac:dyDescent="0.25">
      <c r="C6928" s="4"/>
      <c r="D6928" s="13">
        <v>502</v>
      </c>
      <c r="E6928" s="136" t="str">
        <f>INDEX([1]道具配置表!$D:$D,MATCH(D6928,[1]道具配置表!$A:$A,0))</f>
        <v>1万资源自选宝箱</v>
      </c>
      <c r="F6928" s="13">
        <v>4</v>
      </c>
      <c r="K6928" s="13">
        <v>1</v>
      </c>
      <c r="M6928" s="120" t="b">
        <v>1</v>
      </c>
    </row>
    <row r="6929" spans="1:13" x14ac:dyDescent="0.25">
      <c r="A6929" s="13">
        <v>6665413</v>
      </c>
      <c r="B6929" s="13" t="s">
        <v>1732</v>
      </c>
      <c r="C6929" s="4"/>
      <c r="D6929" s="13">
        <v>2006</v>
      </c>
      <c r="E6929" s="136" t="str">
        <f>INDEX([1]道具配置表!$D:$D,MATCH(D6929,[1]道具配置表!$A:$A,0))</f>
        <v>铜币奖池招募券</v>
      </c>
      <c r="F6929" s="13">
        <v>1</v>
      </c>
      <c r="K6929" s="13">
        <v>1</v>
      </c>
      <c r="M6929" s="120" t="b">
        <v>1</v>
      </c>
    </row>
    <row r="6930" spans="1:13" x14ac:dyDescent="0.25">
      <c r="C6930" s="4"/>
      <c r="D6930" s="13">
        <v>6122</v>
      </c>
      <c r="E6930" s="136" t="str">
        <f>INDEX([1]道具配置表!$D:$D,MATCH(D6930,[1]道具配置表!$A:$A,0))</f>
        <v>10分钟建造加速</v>
      </c>
      <c r="F6930" s="13">
        <v>3</v>
      </c>
      <c r="K6930" s="13">
        <v>1</v>
      </c>
      <c r="M6930" s="120" t="b">
        <v>1</v>
      </c>
    </row>
    <row r="6931" spans="1:13" x14ac:dyDescent="0.25">
      <c r="C6931" s="4"/>
      <c r="D6931" s="13">
        <v>6162</v>
      </c>
      <c r="E6931" s="136" t="str">
        <f>INDEX([1]道具配置表!$D:$D,MATCH(D6931,[1]道具配置表!$A:$A,0))</f>
        <v>10分钟训练加速</v>
      </c>
      <c r="F6931" s="13">
        <v>3</v>
      </c>
      <c r="K6931" s="13">
        <v>1</v>
      </c>
      <c r="M6931" s="120" t="b">
        <v>1</v>
      </c>
    </row>
    <row r="6932" spans="1:13" x14ac:dyDescent="0.25">
      <c r="C6932" s="4"/>
      <c r="D6932" s="13">
        <v>502</v>
      </c>
      <c r="E6932" s="136" t="str">
        <f>INDEX([1]道具配置表!$D:$D,MATCH(D6932,[1]道具配置表!$A:$A,0))</f>
        <v>1万资源自选宝箱</v>
      </c>
      <c r="F6932" s="13">
        <v>3</v>
      </c>
      <c r="K6932" s="13">
        <v>1</v>
      </c>
      <c r="M6932" s="120" t="b">
        <v>1</v>
      </c>
    </row>
    <row r="6933" spans="1:13" x14ac:dyDescent="0.25">
      <c r="A6933" s="13">
        <v>6665414</v>
      </c>
      <c r="B6933" s="13" t="s">
        <v>1733</v>
      </c>
      <c r="C6933" s="4"/>
      <c r="D6933" s="13">
        <v>2006</v>
      </c>
      <c r="E6933" s="136" t="str">
        <f>INDEX([1]道具配置表!$D:$D,MATCH(D6933,[1]道具配置表!$A:$A,0))</f>
        <v>铜币奖池招募券</v>
      </c>
      <c r="F6933" s="13">
        <v>1</v>
      </c>
      <c r="K6933" s="13">
        <v>1</v>
      </c>
      <c r="M6933" s="120" t="b">
        <v>1</v>
      </c>
    </row>
    <row r="6934" spans="1:13" x14ac:dyDescent="0.25">
      <c r="C6934" s="4"/>
      <c r="D6934" s="13">
        <v>6122</v>
      </c>
      <c r="E6934" s="136" t="str">
        <f>INDEX([1]道具配置表!$D:$D,MATCH(D6934,[1]道具配置表!$A:$A,0))</f>
        <v>10分钟建造加速</v>
      </c>
      <c r="F6934" s="13">
        <v>2</v>
      </c>
      <c r="K6934" s="13">
        <v>1</v>
      </c>
      <c r="M6934" s="120" t="b">
        <v>1</v>
      </c>
    </row>
    <row r="6935" spans="1:13" x14ac:dyDescent="0.25">
      <c r="C6935" s="4"/>
      <c r="D6935" s="13">
        <v>6162</v>
      </c>
      <c r="E6935" s="136" t="str">
        <f>INDEX([1]道具配置表!$D:$D,MATCH(D6935,[1]道具配置表!$A:$A,0))</f>
        <v>10分钟训练加速</v>
      </c>
      <c r="F6935" s="13">
        <v>2</v>
      </c>
      <c r="K6935" s="13">
        <v>1</v>
      </c>
      <c r="M6935" s="120" t="b">
        <v>1</v>
      </c>
    </row>
    <row r="6936" spans="1:13" x14ac:dyDescent="0.25">
      <c r="C6936" s="4"/>
      <c r="D6936" s="13">
        <v>502</v>
      </c>
      <c r="E6936" s="136" t="str">
        <f>INDEX([1]道具配置表!$D:$D,MATCH(D6936,[1]道具配置表!$A:$A,0))</f>
        <v>1万资源自选宝箱</v>
      </c>
      <c r="F6936" s="13">
        <v>2</v>
      </c>
      <c r="K6936" s="13">
        <v>1</v>
      </c>
      <c r="M6936" s="120" t="b">
        <v>1</v>
      </c>
    </row>
    <row r="6937" spans="1:13" x14ac:dyDescent="0.25">
      <c r="A6937" s="13">
        <v>6665415</v>
      </c>
      <c r="B6937" s="13" t="s">
        <v>1734</v>
      </c>
      <c r="C6937" s="4"/>
      <c r="D6937" s="13">
        <v>2006</v>
      </c>
      <c r="E6937" s="136" t="str">
        <f>INDEX([1]道具配置表!$D:$D,MATCH(D6937,[1]道具配置表!$A:$A,0))</f>
        <v>铜币奖池招募券</v>
      </c>
      <c r="F6937" s="13">
        <v>1</v>
      </c>
      <c r="K6937" s="13">
        <v>1</v>
      </c>
      <c r="M6937" s="120" t="b">
        <v>1</v>
      </c>
    </row>
    <row r="6938" spans="1:13" x14ac:dyDescent="0.25">
      <c r="C6938" s="4"/>
      <c r="D6938" s="13">
        <v>6122</v>
      </c>
      <c r="E6938" s="136" t="str">
        <f>INDEX([1]道具配置表!$D:$D,MATCH(D6938,[1]道具配置表!$A:$A,0))</f>
        <v>10分钟建造加速</v>
      </c>
      <c r="F6938" s="13">
        <v>1</v>
      </c>
      <c r="K6938" s="13">
        <v>1</v>
      </c>
      <c r="M6938" s="120" t="b">
        <v>1</v>
      </c>
    </row>
    <row r="6939" spans="1:13" x14ac:dyDescent="0.25">
      <c r="C6939" s="4"/>
      <c r="D6939" s="13">
        <v>6162</v>
      </c>
      <c r="E6939" s="136" t="str">
        <f>INDEX([1]道具配置表!$D:$D,MATCH(D6939,[1]道具配置表!$A:$A,0))</f>
        <v>10分钟训练加速</v>
      </c>
      <c r="F6939" s="13">
        <v>1</v>
      </c>
      <c r="K6939" s="13">
        <v>1</v>
      </c>
      <c r="M6939" s="120" t="b">
        <v>1</v>
      </c>
    </row>
    <row r="6940" spans="1:13" s="102" customFormat="1" x14ac:dyDescent="0.25">
      <c r="A6940" s="13"/>
      <c r="B6940" s="13"/>
      <c r="C6940" s="4"/>
      <c r="D6940" s="13">
        <v>502</v>
      </c>
      <c r="E6940" s="136" t="str">
        <f>INDEX([1]道具配置表!$D:$D,MATCH(D6940,[1]道具配置表!$A:$A,0))</f>
        <v>1万资源自选宝箱</v>
      </c>
      <c r="F6940" s="13">
        <v>1</v>
      </c>
      <c r="G6940" s="13"/>
      <c r="H6940" s="13"/>
      <c r="I6940" s="13"/>
      <c r="J6940" s="13"/>
      <c r="K6940" s="13">
        <v>1</v>
      </c>
      <c r="L6940" s="13"/>
      <c r="M6940" s="120" t="b">
        <v>1</v>
      </c>
    </row>
    <row r="6941" spans="1:13" s="102" customFormat="1" x14ac:dyDescent="0.25">
      <c r="A6941" s="13">
        <v>6666001</v>
      </c>
      <c r="B6941" s="13" t="s">
        <v>1736</v>
      </c>
      <c r="C6941" s="4"/>
      <c r="D6941" s="13">
        <v>7229</v>
      </c>
      <c r="E6941" s="136" t="str">
        <f>INDEX([1]道具配置表!$D:$D,MATCH(D6941,[1]道具配置表!$A:$A,0))</f>
        <v>经验书*50000</v>
      </c>
      <c r="F6941" s="13">
        <v>2</v>
      </c>
      <c r="G6941" s="13"/>
      <c r="H6941" s="13"/>
      <c r="I6941" s="13"/>
      <c r="J6941" s="13"/>
      <c r="K6941" s="13">
        <v>1</v>
      </c>
      <c r="L6941" s="13"/>
      <c r="M6941" s="122" t="b">
        <v>1</v>
      </c>
    </row>
    <row r="6942" spans="1:13" s="102" customFormat="1" x14ac:dyDescent="0.25">
      <c r="A6942" s="13"/>
      <c r="B6942" s="13"/>
      <c r="C6942" s="4"/>
      <c r="D6942" s="13">
        <v>20000</v>
      </c>
      <c r="E6942" s="136" t="str">
        <f>INDEX([1]道具配置表!$D:$D,MATCH(D6942,[1]道具配置表!$A:$A,0))</f>
        <v>技能点1</v>
      </c>
      <c r="F6942" s="13">
        <v>200</v>
      </c>
      <c r="G6942" s="13"/>
      <c r="H6942" s="13"/>
      <c r="I6942" s="13"/>
      <c r="J6942" s="13"/>
      <c r="K6942" s="13">
        <v>1</v>
      </c>
      <c r="L6942" s="13"/>
      <c r="M6942" s="122" t="b">
        <v>1</v>
      </c>
    </row>
    <row r="6943" spans="1:13" x14ac:dyDescent="0.25">
      <c r="A6943" s="13">
        <v>6666002</v>
      </c>
      <c r="B6943" s="13" t="s">
        <v>1737</v>
      </c>
      <c r="C6943" s="4"/>
      <c r="D6943" s="13">
        <v>7229</v>
      </c>
      <c r="E6943" s="136" t="str">
        <f>INDEX([1]道具配置表!$D:$D,MATCH(D6943,[1]道具配置表!$A:$A,0))</f>
        <v>经验书*50000</v>
      </c>
      <c r="F6943" s="13">
        <v>4</v>
      </c>
      <c r="K6943" s="13">
        <v>1</v>
      </c>
      <c r="M6943" s="122" t="b">
        <v>1</v>
      </c>
    </row>
    <row r="6944" spans="1:13" x14ac:dyDescent="0.25">
      <c r="C6944" s="4"/>
      <c r="D6944" s="13">
        <v>20000</v>
      </c>
      <c r="E6944" s="136" t="str">
        <f>INDEX([1]道具配置表!$D:$D,MATCH(D6944,[1]道具配置表!$A:$A,0))</f>
        <v>技能点1</v>
      </c>
      <c r="F6944" s="13">
        <v>400</v>
      </c>
      <c r="K6944" s="13">
        <v>1</v>
      </c>
      <c r="M6944" s="122" t="b">
        <v>1</v>
      </c>
    </row>
    <row r="6945" spans="1:13" x14ac:dyDescent="0.25">
      <c r="A6945" s="13">
        <v>6666003</v>
      </c>
      <c r="B6945" s="13" t="s">
        <v>1738</v>
      </c>
      <c r="C6945" s="4"/>
      <c r="D6945" s="13">
        <v>2006</v>
      </c>
      <c r="E6945" s="136" t="str">
        <f>INDEX([1]道具配置表!$D:$D,MATCH(D6945,[1]道具配置表!$A:$A,0))</f>
        <v>铜币奖池招募券</v>
      </c>
      <c r="F6945" s="13">
        <v>1</v>
      </c>
      <c r="K6945" s="13">
        <v>1</v>
      </c>
      <c r="M6945" s="122" t="b">
        <v>1</v>
      </c>
    </row>
    <row r="6946" spans="1:13" x14ac:dyDescent="0.25">
      <c r="C6946" s="4"/>
      <c r="D6946" s="13">
        <v>7229</v>
      </c>
      <c r="E6946" s="136" t="str">
        <f>INDEX([1]道具配置表!$D:$D,MATCH(D6946,[1]道具配置表!$A:$A,0))</f>
        <v>经验书*50000</v>
      </c>
      <c r="F6946" s="13">
        <v>8</v>
      </c>
      <c r="K6946" s="13">
        <v>1</v>
      </c>
      <c r="M6946" s="122" t="b">
        <v>1</v>
      </c>
    </row>
    <row r="6947" spans="1:13" x14ac:dyDescent="0.25">
      <c r="C6947" s="4"/>
      <c r="D6947" s="13">
        <v>20000</v>
      </c>
      <c r="E6947" s="136" t="str">
        <f>INDEX([1]道具配置表!$D:$D,MATCH(D6947,[1]道具配置表!$A:$A,0))</f>
        <v>技能点1</v>
      </c>
      <c r="F6947" s="13">
        <v>800</v>
      </c>
      <c r="K6947" s="13">
        <v>1</v>
      </c>
      <c r="M6947" s="122" t="b">
        <v>1</v>
      </c>
    </row>
    <row r="6948" spans="1:13" x14ac:dyDescent="0.25">
      <c r="A6948" s="13">
        <v>6666004</v>
      </c>
      <c r="B6948" s="13" t="s">
        <v>1739</v>
      </c>
      <c r="C6948" s="4"/>
      <c r="D6948" s="13">
        <v>2007</v>
      </c>
      <c r="E6948" s="136" t="str">
        <f>INDEX([1]道具配置表!$D:$D,MATCH(D6948,[1]道具配置表!$A:$A,0))</f>
        <v>大奖池招募券</v>
      </c>
      <c r="F6948" s="13">
        <v>1</v>
      </c>
      <c r="K6948" s="13">
        <v>1</v>
      </c>
      <c r="M6948" s="122" t="b">
        <v>1</v>
      </c>
    </row>
    <row r="6949" spans="1:13" x14ac:dyDescent="0.25">
      <c r="C6949" s="4"/>
      <c r="D6949" s="13">
        <v>7229</v>
      </c>
      <c r="E6949" s="136" t="str">
        <f>INDEX([1]道具配置表!$D:$D,MATCH(D6949,[1]道具配置表!$A:$A,0))</f>
        <v>经验书*50000</v>
      </c>
      <c r="F6949" s="13">
        <v>16</v>
      </c>
      <c r="K6949" s="13">
        <v>1</v>
      </c>
      <c r="M6949" s="122" t="b">
        <v>1</v>
      </c>
    </row>
    <row r="6950" spans="1:13" x14ac:dyDescent="0.25">
      <c r="C6950" s="4"/>
      <c r="D6950" s="13">
        <v>20000</v>
      </c>
      <c r="E6950" s="136" t="str">
        <f>INDEX([1]道具配置表!$D:$D,MATCH(D6950,[1]道具配置表!$A:$A,0))</f>
        <v>技能点1</v>
      </c>
      <c r="F6950" s="13">
        <v>1600</v>
      </c>
      <c r="K6950" s="13">
        <v>1</v>
      </c>
      <c r="M6950" s="122" t="b">
        <v>1</v>
      </c>
    </row>
    <row r="6951" spans="1:13" x14ac:dyDescent="0.25">
      <c r="A6951" s="13">
        <v>6666101</v>
      </c>
      <c r="B6951" s="13" t="s">
        <v>1748</v>
      </c>
      <c r="C6951" s="4"/>
      <c r="D6951" s="13">
        <v>262</v>
      </c>
      <c r="E6951" s="136" t="str">
        <f>INDEX([1]道具配置表!$D:$D,MATCH(D6951,[1]道具配置表!$A:$A,0))</f>
        <v>20万食物</v>
      </c>
      <c r="F6951" s="13">
        <v>1</v>
      </c>
      <c r="K6951" s="13">
        <v>1</v>
      </c>
      <c r="M6951" s="124" t="b">
        <v>1</v>
      </c>
    </row>
    <row r="6952" spans="1:13" x14ac:dyDescent="0.25">
      <c r="A6952" s="13">
        <v>6666102</v>
      </c>
      <c r="B6952" s="13" t="s">
        <v>1749</v>
      </c>
      <c r="C6952" s="4"/>
      <c r="D6952" s="13">
        <v>261</v>
      </c>
      <c r="E6952" s="136" t="str">
        <f>INDEX([1]道具配置表!$D:$D,MATCH(D6952,[1]道具配置表!$A:$A,0))</f>
        <v>20万木材</v>
      </c>
      <c r="F6952" s="13">
        <v>1</v>
      </c>
      <c r="K6952" s="13">
        <v>1</v>
      </c>
      <c r="M6952" s="124" t="b">
        <v>1</v>
      </c>
    </row>
    <row r="6953" spans="1:13" x14ac:dyDescent="0.25">
      <c r="A6953" s="13">
        <v>6666103</v>
      </c>
      <c r="B6953" s="13" t="s">
        <v>1750</v>
      </c>
      <c r="C6953" s="4"/>
      <c r="D6953" s="13">
        <v>263</v>
      </c>
      <c r="E6953" s="136" t="str">
        <f>INDEX([1]道具配置表!$D:$D,MATCH(D6953,[1]道具配置表!$A:$A,0))</f>
        <v>20万石头</v>
      </c>
      <c r="F6953" s="13">
        <v>1</v>
      </c>
      <c r="K6953" s="13">
        <v>1</v>
      </c>
      <c r="M6953" s="124" t="b">
        <v>1</v>
      </c>
    </row>
    <row r="6954" spans="1:13" x14ac:dyDescent="0.25">
      <c r="A6954" s="13">
        <v>6666104</v>
      </c>
      <c r="B6954" s="13" t="s">
        <v>1751</v>
      </c>
      <c r="C6954" s="4"/>
      <c r="D6954" s="13">
        <v>264</v>
      </c>
      <c r="E6954" s="136" t="str">
        <f>INDEX([1]道具配置表!$D:$D,MATCH(D6954,[1]道具配置表!$A:$A,0))</f>
        <v>20万黄金</v>
      </c>
      <c r="F6954" s="13">
        <v>1</v>
      </c>
      <c r="K6954" s="13">
        <v>1</v>
      </c>
      <c r="M6954" s="124" t="b">
        <v>1</v>
      </c>
    </row>
    <row r="6955" spans="1:13" x14ac:dyDescent="0.25">
      <c r="A6955" s="13">
        <v>6678001</v>
      </c>
      <c r="B6955" s="13" t="s">
        <v>1555</v>
      </c>
      <c r="D6955" s="13">
        <v>56213</v>
      </c>
      <c r="E6955" s="136" t="str">
        <f>INDEX([1]道具配置表!$D:$D,MATCH(D6955,[1]道具配置表!$A:$A,0))</f>
        <v>白色宝石宝箱-随机</v>
      </c>
      <c r="F6955" s="13">
        <v>1</v>
      </c>
      <c r="G6955" s="13">
        <v>1</v>
      </c>
      <c r="H6955" s="13">
        <v>1</v>
      </c>
      <c r="I6955" s="13" t="s">
        <v>368</v>
      </c>
      <c r="K6955" s="13">
        <v>1</v>
      </c>
      <c r="M6955" s="118" t="b">
        <v>1</v>
      </c>
    </row>
    <row r="6956" spans="1:13" x14ac:dyDescent="0.25">
      <c r="D6956" s="13">
        <v>56002</v>
      </c>
      <c r="E6956" s="136" t="str">
        <f>INDEX([1]道具配置表!$D:$D,MATCH(D6956,[1]道具配置表!$A:$A,0))</f>
        <v>强化装备消耗材料</v>
      </c>
      <c r="F6956" s="13">
        <v>100</v>
      </c>
      <c r="K6956" s="13">
        <v>1</v>
      </c>
      <c r="M6956" s="118" t="b">
        <v>1</v>
      </c>
    </row>
    <row r="6957" spans="1:13" x14ac:dyDescent="0.25">
      <c r="D6957" s="13">
        <v>6125</v>
      </c>
      <c r="E6957" s="136" t="str">
        <f>INDEX([1]道具配置表!$D:$D,MATCH(D6957,[1]道具配置表!$A:$A,0))</f>
        <v>60分钟建造加速</v>
      </c>
      <c r="F6957" s="13">
        <v>1</v>
      </c>
      <c r="K6957" s="13">
        <v>1</v>
      </c>
      <c r="M6957" s="118" t="b">
        <v>1</v>
      </c>
    </row>
    <row r="6958" spans="1:13" x14ac:dyDescent="0.25">
      <c r="D6958" s="13">
        <v>6165</v>
      </c>
      <c r="E6958" s="136" t="str">
        <f>INDEX([1]道具配置表!$D:$D,MATCH(D6958,[1]道具配置表!$A:$A,0))</f>
        <v>60分钟训练加速</v>
      </c>
      <c r="F6958" s="13">
        <v>1</v>
      </c>
      <c r="K6958" s="13">
        <v>1</v>
      </c>
      <c r="M6958" s="118" t="b">
        <v>1</v>
      </c>
    </row>
    <row r="6959" spans="1:13" x14ac:dyDescent="0.25">
      <c r="D6959" s="13">
        <v>504</v>
      </c>
      <c r="E6959" s="136" t="str">
        <f>INDEX([1]道具配置表!$D:$D,MATCH(D6959,[1]道具配置表!$A:$A,0))</f>
        <v>10万资源自选宝箱</v>
      </c>
      <c r="F6959" s="13">
        <v>5</v>
      </c>
      <c r="K6959" s="13">
        <v>1</v>
      </c>
      <c r="M6959" s="118" t="b">
        <v>1</v>
      </c>
    </row>
    <row r="6960" spans="1:13" x14ac:dyDescent="0.25">
      <c r="D6960" s="13">
        <v>7003</v>
      </c>
      <c r="E6960" s="136" t="str">
        <f>INDEX([1]道具配置表!$D:$D,MATCH(D6960,[1]道具配置表!$A:$A,0))</f>
        <v>1银币（立即使用，不进背包）</v>
      </c>
      <c r="F6960" s="13">
        <v>500</v>
      </c>
      <c r="J6960" s="13">
        <v>200</v>
      </c>
      <c r="M6960" s="118" t="b">
        <v>1</v>
      </c>
    </row>
    <row r="6961" spans="1:13" x14ac:dyDescent="0.25">
      <c r="D6961" s="13">
        <v>2007</v>
      </c>
      <c r="E6961" s="136" t="str">
        <f>INDEX([1]道具配置表!$D:$D,MATCH(D6961,[1]道具配置表!$A:$A,0))</f>
        <v>大奖池招募券</v>
      </c>
      <c r="F6961" s="13">
        <v>1</v>
      </c>
      <c r="J6961" s="13">
        <v>50</v>
      </c>
      <c r="M6961" s="118" t="b">
        <v>1</v>
      </c>
    </row>
    <row r="6962" spans="1:13" x14ac:dyDescent="0.25">
      <c r="D6962" s="13">
        <v>56200</v>
      </c>
      <c r="E6962" s="136" t="str">
        <f>INDEX([1]道具配置表!$D:$D,MATCH(D6962,[1]道具配置表!$A:$A,0))</f>
        <v>稀有图纸</v>
      </c>
      <c r="F6962" s="13">
        <v>1</v>
      </c>
      <c r="J6962" s="13">
        <v>200</v>
      </c>
      <c r="M6962" s="118" t="b">
        <v>1</v>
      </c>
    </row>
    <row r="6963" spans="1:13" x14ac:dyDescent="0.25">
      <c r="D6963" s="13">
        <v>56201</v>
      </c>
      <c r="E6963" s="136" t="str">
        <f>INDEX([1]道具配置表!$D:$D,MATCH(D6963,[1]道具配置表!$A:$A,0))</f>
        <v>史诗图纸</v>
      </c>
      <c r="F6963" s="13">
        <v>1</v>
      </c>
      <c r="J6963" s="13">
        <v>40</v>
      </c>
      <c r="M6963" s="118" t="b">
        <v>1</v>
      </c>
    </row>
    <row r="6964" spans="1:13" x14ac:dyDescent="0.25">
      <c r="D6964" s="13">
        <v>56202</v>
      </c>
      <c r="E6964" s="136" t="str">
        <f>INDEX([1]道具配置表!$D:$D,MATCH(D6964,[1]道具配置表!$A:$A,0))</f>
        <v>传说图纸</v>
      </c>
      <c r="F6964" s="13">
        <v>1</v>
      </c>
      <c r="J6964" s="13">
        <v>4</v>
      </c>
      <c r="M6964" s="118" t="b">
        <v>1</v>
      </c>
    </row>
    <row r="6965" spans="1:13" x14ac:dyDescent="0.25">
      <c r="A6965" s="13">
        <v>6678201</v>
      </c>
      <c r="B6965" s="13" t="s">
        <v>1556</v>
      </c>
      <c r="D6965" s="13">
        <v>56005</v>
      </c>
      <c r="E6965" s="136" t="str">
        <f>INDEX([1]道具配置表!$D:$D,MATCH(D6965,[1]道具配置表!$A:$A,0))</f>
        <v>突破橙装消耗材料</v>
      </c>
      <c r="F6965" s="13">
        <v>10</v>
      </c>
      <c r="K6965" s="13">
        <v>1</v>
      </c>
      <c r="M6965" s="118" t="b">
        <v>1</v>
      </c>
    </row>
    <row r="6966" spans="1:13" x14ac:dyDescent="0.25">
      <c r="D6966" s="13">
        <v>56202</v>
      </c>
      <c r="E6966" s="136" t="str">
        <f>INDEX([1]道具配置表!$D:$D,MATCH(D6966,[1]道具配置表!$A:$A,0))</f>
        <v>传说图纸</v>
      </c>
      <c r="F6966" s="13">
        <v>1</v>
      </c>
      <c r="K6966" s="13">
        <v>1</v>
      </c>
      <c r="M6966" s="118" t="b">
        <v>1</v>
      </c>
    </row>
    <row r="6967" spans="1:13" x14ac:dyDescent="0.25">
      <c r="D6967" s="13">
        <v>6201</v>
      </c>
      <c r="E6967" s="136" t="str">
        <f>INDEX([1]道具配置表!$D:$D,MATCH(D6967,[1]道具配置表!$A:$A,0))</f>
        <v>60分钟锻造加速</v>
      </c>
      <c r="F6967" s="13">
        <v>30</v>
      </c>
      <c r="K6967" s="13">
        <v>1</v>
      </c>
      <c r="M6967" s="118" t="b">
        <v>1</v>
      </c>
    </row>
    <row r="6968" spans="1:13" x14ac:dyDescent="0.25">
      <c r="D6968" s="13">
        <v>56001</v>
      </c>
      <c r="E6968" s="136" t="str">
        <f>INDEX([1]道具配置表!$D:$D,MATCH(D6968,[1]道具配置表!$A:$A,0))</f>
        <v>锻造装备消耗材料</v>
      </c>
      <c r="F6968" s="13">
        <v>10000</v>
      </c>
      <c r="K6968" s="13">
        <v>1</v>
      </c>
      <c r="M6968" s="118" t="b">
        <v>1</v>
      </c>
    </row>
    <row r="6969" spans="1:13" x14ac:dyDescent="0.25">
      <c r="A6969" s="13">
        <v>6678202</v>
      </c>
      <c r="B6969" s="13" t="s">
        <v>1557</v>
      </c>
      <c r="D6969" s="13">
        <v>56005</v>
      </c>
      <c r="E6969" s="136" t="str">
        <f>INDEX([1]道具配置表!$D:$D,MATCH(D6969,[1]道具配置表!$A:$A,0))</f>
        <v>突破橙装消耗材料</v>
      </c>
      <c r="F6969" s="13">
        <v>8</v>
      </c>
      <c r="K6969" s="13">
        <v>1</v>
      </c>
      <c r="M6969" s="118" t="b">
        <v>1</v>
      </c>
    </row>
    <row r="6970" spans="1:13" x14ac:dyDescent="0.25">
      <c r="D6970" s="13">
        <v>56202</v>
      </c>
      <c r="E6970" s="136" t="str">
        <f>INDEX([1]道具配置表!$D:$D,MATCH(D6970,[1]道具配置表!$A:$A,0))</f>
        <v>传说图纸</v>
      </c>
      <c r="F6970" s="13">
        <v>1</v>
      </c>
      <c r="K6970" s="13">
        <v>1</v>
      </c>
      <c r="M6970" s="118" t="b">
        <v>1</v>
      </c>
    </row>
    <row r="6971" spans="1:13" x14ac:dyDescent="0.25">
      <c r="D6971" s="13">
        <v>6201</v>
      </c>
      <c r="E6971" s="136" t="str">
        <f>INDEX([1]道具配置表!$D:$D,MATCH(D6971,[1]道具配置表!$A:$A,0))</f>
        <v>60分钟锻造加速</v>
      </c>
      <c r="F6971" s="13">
        <v>25</v>
      </c>
      <c r="K6971" s="13">
        <v>1</v>
      </c>
      <c r="M6971" s="118" t="b">
        <v>1</v>
      </c>
    </row>
    <row r="6972" spans="1:13" x14ac:dyDescent="0.25">
      <c r="D6972" s="13">
        <v>56001</v>
      </c>
      <c r="E6972" s="136" t="str">
        <f>INDEX([1]道具配置表!$D:$D,MATCH(D6972,[1]道具配置表!$A:$A,0))</f>
        <v>锻造装备消耗材料</v>
      </c>
      <c r="F6972" s="13">
        <v>9000</v>
      </c>
      <c r="K6972" s="13">
        <v>1</v>
      </c>
      <c r="M6972" s="118" t="b">
        <v>1</v>
      </c>
    </row>
    <row r="6973" spans="1:13" x14ac:dyDescent="0.25">
      <c r="A6973" s="13">
        <v>6678203</v>
      </c>
      <c r="B6973" s="13" t="s">
        <v>1558</v>
      </c>
      <c r="D6973" s="13">
        <v>56005</v>
      </c>
      <c r="E6973" s="136" t="str">
        <f>INDEX([1]道具配置表!$D:$D,MATCH(D6973,[1]道具配置表!$A:$A,0))</f>
        <v>突破橙装消耗材料</v>
      </c>
      <c r="F6973" s="13">
        <v>6</v>
      </c>
      <c r="K6973" s="13">
        <v>1</v>
      </c>
      <c r="M6973" s="118" t="b">
        <v>1</v>
      </c>
    </row>
    <row r="6974" spans="1:13" x14ac:dyDescent="0.25">
      <c r="D6974" s="13">
        <v>56202</v>
      </c>
      <c r="E6974" s="136" t="str">
        <f>INDEX([1]道具配置表!$D:$D,MATCH(D6974,[1]道具配置表!$A:$A,0))</f>
        <v>传说图纸</v>
      </c>
      <c r="F6974" s="13">
        <v>1</v>
      </c>
      <c r="K6974" s="13">
        <v>1</v>
      </c>
      <c r="M6974" s="118" t="b">
        <v>1</v>
      </c>
    </row>
    <row r="6975" spans="1:13" x14ac:dyDescent="0.25">
      <c r="D6975" s="13">
        <v>6201</v>
      </c>
      <c r="E6975" s="136" t="str">
        <f>INDEX([1]道具配置表!$D:$D,MATCH(D6975,[1]道具配置表!$A:$A,0))</f>
        <v>60分钟锻造加速</v>
      </c>
      <c r="F6975" s="13">
        <v>20</v>
      </c>
      <c r="K6975" s="13">
        <v>1</v>
      </c>
      <c r="M6975" s="118" t="b">
        <v>1</v>
      </c>
    </row>
    <row r="6976" spans="1:13" x14ac:dyDescent="0.25">
      <c r="D6976" s="13">
        <v>56001</v>
      </c>
      <c r="E6976" s="136" t="str">
        <f>INDEX([1]道具配置表!$D:$D,MATCH(D6976,[1]道具配置表!$A:$A,0))</f>
        <v>锻造装备消耗材料</v>
      </c>
      <c r="F6976" s="13">
        <v>8000</v>
      </c>
      <c r="K6976" s="13">
        <v>1</v>
      </c>
      <c r="M6976" s="118" t="b">
        <v>1</v>
      </c>
    </row>
    <row r="6977" spans="1:13" x14ac:dyDescent="0.25">
      <c r="A6977" s="13">
        <v>6678204</v>
      </c>
      <c r="B6977" s="13" t="s">
        <v>1560</v>
      </c>
      <c r="D6977" s="13">
        <v>56005</v>
      </c>
      <c r="E6977" s="136" t="str">
        <f>INDEX([1]道具配置表!$D:$D,MATCH(D6977,[1]道具配置表!$A:$A,0))</f>
        <v>突破橙装消耗材料</v>
      </c>
      <c r="F6977" s="13">
        <v>4</v>
      </c>
      <c r="K6977" s="13">
        <v>1</v>
      </c>
      <c r="M6977" s="118" t="b">
        <v>1</v>
      </c>
    </row>
    <row r="6978" spans="1:13" x14ac:dyDescent="0.25">
      <c r="D6978" s="13">
        <v>56202</v>
      </c>
      <c r="E6978" s="136" t="str">
        <f>INDEX([1]道具配置表!$D:$D,MATCH(D6978,[1]道具配置表!$A:$A,0))</f>
        <v>传说图纸</v>
      </c>
      <c r="F6978" s="13">
        <v>1</v>
      </c>
      <c r="K6978" s="13">
        <v>1</v>
      </c>
      <c r="M6978" s="118" t="b">
        <v>1</v>
      </c>
    </row>
    <row r="6979" spans="1:13" x14ac:dyDescent="0.25">
      <c r="D6979" s="13">
        <v>6201</v>
      </c>
      <c r="E6979" s="136" t="str">
        <f>INDEX([1]道具配置表!$D:$D,MATCH(D6979,[1]道具配置表!$A:$A,0))</f>
        <v>60分钟锻造加速</v>
      </c>
      <c r="F6979" s="13">
        <v>15</v>
      </c>
      <c r="K6979" s="13">
        <v>1</v>
      </c>
      <c r="M6979" s="118" t="b">
        <v>1</v>
      </c>
    </row>
    <row r="6980" spans="1:13" x14ac:dyDescent="0.25">
      <c r="D6980" s="13">
        <v>56001</v>
      </c>
      <c r="E6980" s="136" t="str">
        <f>INDEX([1]道具配置表!$D:$D,MATCH(D6980,[1]道具配置表!$A:$A,0))</f>
        <v>锻造装备消耗材料</v>
      </c>
      <c r="F6980" s="13">
        <v>7500</v>
      </c>
      <c r="K6980" s="13">
        <v>1</v>
      </c>
      <c r="M6980" s="118" t="b">
        <v>1</v>
      </c>
    </row>
    <row r="6981" spans="1:13" x14ac:dyDescent="0.25">
      <c r="A6981" s="13">
        <v>6678205</v>
      </c>
      <c r="B6981" s="13" t="s">
        <v>1559</v>
      </c>
      <c r="D6981" s="13">
        <v>56005</v>
      </c>
      <c r="E6981" s="136" t="str">
        <f>INDEX([1]道具配置表!$D:$D,MATCH(D6981,[1]道具配置表!$A:$A,0))</f>
        <v>突破橙装消耗材料</v>
      </c>
      <c r="F6981" s="13">
        <v>2</v>
      </c>
      <c r="K6981" s="13">
        <v>1</v>
      </c>
      <c r="M6981" s="118" t="b">
        <v>1</v>
      </c>
    </row>
    <row r="6982" spans="1:13" x14ac:dyDescent="0.25">
      <c r="D6982" s="13">
        <v>56202</v>
      </c>
      <c r="E6982" s="136" t="str">
        <f>INDEX([1]道具配置表!$D:$D,MATCH(D6982,[1]道具配置表!$A:$A,0))</f>
        <v>传说图纸</v>
      </c>
      <c r="F6982" s="13">
        <v>1</v>
      </c>
      <c r="K6982" s="13">
        <v>1</v>
      </c>
      <c r="M6982" s="118" t="b">
        <v>1</v>
      </c>
    </row>
    <row r="6983" spans="1:13" x14ac:dyDescent="0.25">
      <c r="D6983" s="13">
        <v>6201</v>
      </c>
      <c r="E6983" s="136" t="str">
        <f>INDEX([1]道具配置表!$D:$D,MATCH(D6983,[1]道具配置表!$A:$A,0))</f>
        <v>60分钟锻造加速</v>
      </c>
      <c r="F6983" s="13">
        <v>10</v>
      </c>
      <c r="K6983" s="13">
        <v>1</v>
      </c>
      <c r="M6983" s="118" t="b">
        <v>1</v>
      </c>
    </row>
    <row r="6984" spans="1:13" x14ac:dyDescent="0.25">
      <c r="D6984" s="13">
        <v>56001</v>
      </c>
      <c r="E6984" s="136" t="str">
        <f>INDEX([1]道具配置表!$D:$D,MATCH(D6984,[1]道具配置表!$A:$A,0))</f>
        <v>锻造装备消耗材料</v>
      </c>
      <c r="F6984" s="13">
        <v>7000</v>
      </c>
      <c r="K6984" s="13">
        <v>1</v>
      </c>
      <c r="M6984" s="118" t="b">
        <v>1</v>
      </c>
    </row>
    <row r="6985" spans="1:13" x14ac:dyDescent="0.25">
      <c r="A6985" s="13">
        <v>6678206</v>
      </c>
      <c r="B6985" s="13" t="s">
        <v>1561</v>
      </c>
      <c r="D6985" s="13">
        <v>56005</v>
      </c>
      <c r="E6985" s="136" t="str">
        <f>INDEX([1]道具配置表!$D:$D,MATCH(D6985,[1]道具配置表!$A:$A,0))</f>
        <v>突破橙装消耗材料</v>
      </c>
      <c r="F6985" s="13">
        <v>1</v>
      </c>
      <c r="K6985" s="13">
        <v>1</v>
      </c>
      <c r="M6985" s="118" t="b">
        <v>1</v>
      </c>
    </row>
    <row r="6986" spans="1:13" x14ac:dyDescent="0.25">
      <c r="D6986" s="13">
        <v>56202</v>
      </c>
      <c r="E6986" s="136" t="str">
        <f>INDEX([1]道具配置表!$D:$D,MATCH(D6986,[1]道具配置表!$A:$A,0))</f>
        <v>传说图纸</v>
      </c>
      <c r="F6986" s="13">
        <v>1</v>
      </c>
      <c r="K6986" s="13">
        <v>1</v>
      </c>
      <c r="M6986" s="118" t="b">
        <v>1</v>
      </c>
    </row>
    <row r="6987" spans="1:13" x14ac:dyDescent="0.25">
      <c r="D6987" s="13">
        <v>6201</v>
      </c>
      <c r="E6987" s="136" t="str">
        <f>INDEX([1]道具配置表!$D:$D,MATCH(D6987,[1]道具配置表!$A:$A,0))</f>
        <v>60分钟锻造加速</v>
      </c>
      <c r="F6987" s="13">
        <v>8</v>
      </c>
      <c r="K6987" s="13">
        <v>1</v>
      </c>
      <c r="M6987" s="118" t="b">
        <v>1</v>
      </c>
    </row>
    <row r="6988" spans="1:13" x14ac:dyDescent="0.25">
      <c r="D6988" s="13">
        <v>56001</v>
      </c>
      <c r="E6988" s="136" t="str">
        <f>INDEX([1]道具配置表!$D:$D,MATCH(D6988,[1]道具配置表!$A:$A,0))</f>
        <v>锻造装备消耗材料</v>
      </c>
      <c r="F6988" s="13">
        <v>6500</v>
      </c>
      <c r="K6988" s="13">
        <v>1</v>
      </c>
      <c r="M6988" s="118" t="b">
        <v>1</v>
      </c>
    </row>
    <row r="6989" spans="1:13" x14ac:dyDescent="0.25">
      <c r="A6989" s="13">
        <v>6678207</v>
      </c>
      <c r="B6989" s="13" t="s">
        <v>1562</v>
      </c>
      <c r="D6989" s="13">
        <v>56202</v>
      </c>
      <c r="E6989" s="136" t="str">
        <f>INDEX([1]道具配置表!$D:$D,MATCH(D6989,[1]道具配置表!$A:$A,0))</f>
        <v>传说图纸</v>
      </c>
      <c r="F6989" s="13">
        <v>1</v>
      </c>
      <c r="K6989" s="13">
        <v>1</v>
      </c>
      <c r="M6989" s="118" t="b">
        <v>1</v>
      </c>
    </row>
    <row r="6990" spans="1:13" x14ac:dyDescent="0.25">
      <c r="D6990" s="13">
        <v>6201</v>
      </c>
      <c r="E6990" s="136" t="str">
        <f>INDEX([1]道具配置表!$D:$D,MATCH(D6990,[1]道具配置表!$A:$A,0))</f>
        <v>60分钟锻造加速</v>
      </c>
      <c r="F6990" s="13">
        <v>6</v>
      </c>
      <c r="K6990" s="13">
        <v>1</v>
      </c>
      <c r="M6990" s="118" t="b">
        <v>1</v>
      </c>
    </row>
    <row r="6991" spans="1:13" x14ac:dyDescent="0.25">
      <c r="D6991" s="13">
        <v>56001</v>
      </c>
      <c r="E6991" s="136" t="str">
        <f>INDEX([1]道具配置表!$D:$D,MATCH(D6991,[1]道具配置表!$A:$A,0))</f>
        <v>锻造装备消耗材料</v>
      </c>
      <c r="F6991" s="13">
        <v>6000</v>
      </c>
      <c r="K6991" s="13">
        <v>1</v>
      </c>
      <c r="M6991" s="118" t="b">
        <v>1</v>
      </c>
    </row>
    <row r="6992" spans="1:13" x14ac:dyDescent="0.25">
      <c r="A6992" s="13">
        <v>6678208</v>
      </c>
      <c r="B6992" s="13" t="s">
        <v>1563</v>
      </c>
      <c r="D6992" s="13">
        <v>56202</v>
      </c>
      <c r="E6992" s="136" t="str">
        <f>INDEX([1]道具配置表!$D:$D,MATCH(D6992,[1]道具配置表!$A:$A,0))</f>
        <v>传说图纸</v>
      </c>
      <c r="F6992" s="13">
        <v>1</v>
      </c>
      <c r="K6992" s="13">
        <v>1</v>
      </c>
      <c r="M6992" s="118" t="b">
        <v>1</v>
      </c>
    </row>
    <row r="6993" spans="1:13" x14ac:dyDescent="0.25">
      <c r="D6993" s="13">
        <v>6201</v>
      </c>
      <c r="E6993" s="136" t="str">
        <f>INDEX([1]道具配置表!$D:$D,MATCH(D6993,[1]道具配置表!$A:$A,0))</f>
        <v>60分钟锻造加速</v>
      </c>
      <c r="F6993" s="13">
        <v>4</v>
      </c>
      <c r="K6993" s="13">
        <v>1</v>
      </c>
      <c r="M6993" s="118" t="b">
        <v>1</v>
      </c>
    </row>
    <row r="6994" spans="1:13" x14ac:dyDescent="0.25">
      <c r="D6994" s="13">
        <v>56001</v>
      </c>
      <c r="E6994" s="136" t="str">
        <f>INDEX([1]道具配置表!$D:$D,MATCH(D6994,[1]道具配置表!$A:$A,0))</f>
        <v>锻造装备消耗材料</v>
      </c>
      <c r="F6994" s="13">
        <v>5500</v>
      </c>
      <c r="K6994" s="13">
        <v>1</v>
      </c>
      <c r="M6994" s="118" t="b">
        <v>1</v>
      </c>
    </row>
    <row r="6995" spans="1:13" x14ac:dyDescent="0.25">
      <c r="A6995" s="13">
        <v>6678209</v>
      </c>
      <c r="B6995" s="13" t="s">
        <v>1564</v>
      </c>
      <c r="D6995" s="13">
        <v>56202</v>
      </c>
      <c r="E6995" s="136" t="str">
        <f>INDEX([1]道具配置表!$D:$D,MATCH(D6995,[1]道具配置表!$A:$A,0))</f>
        <v>传说图纸</v>
      </c>
      <c r="F6995" s="13">
        <v>1</v>
      </c>
      <c r="K6995" s="13">
        <v>1</v>
      </c>
      <c r="M6995" s="118" t="b">
        <v>1</v>
      </c>
    </row>
    <row r="6996" spans="1:13" x14ac:dyDescent="0.25">
      <c r="D6996" s="13">
        <v>6198</v>
      </c>
      <c r="E6996" s="136" t="str">
        <f>INDEX([1]道具配置表!$D:$D,MATCH(D6996,[1]道具配置表!$A:$A,0))</f>
        <v>10分钟锻造加速</v>
      </c>
      <c r="F6996" s="13">
        <v>20</v>
      </c>
      <c r="K6996" s="13">
        <v>1</v>
      </c>
      <c r="M6996" s="118" t="b">
        <v>1</v>
      </c>
    </row>
    <row r="6997" spans="1:13" x14ac:dyDescent="0.25">
      <c r="D6997" s="13">
        <v>56001</v>
      </c>
      <c r="E6997" s="136" t="str">
        <f>INDEX([1]道具配置表!$D:$D,MATCH(D6997,[1]道具配置表!$A:$A,0))</f>
        <v>锻造装备消耗材料</v>
      </c>
      <c r="F6997" s="13">
        <v>5000</v>
      </c>
      <c r="K6997" s="13">
        <v>1</v>
      </c>
      <c r="M6997" s="118" t="b">
        <v>1</v>
      </c>
    </row>
    <row r="6998" spans="1:13" x14ac:dyDescent="0.25">
      <c r="A6998" s="13">
        <v>6678210</v>
      </c>
      <c r="B6998" s="13" t="s">
        <v>1565</v>
      </c>
      <c r="D6998" s="13">
        <v>56202</v>
      </c>
      <c r="E6998" s="136" t="str">
        <f>INDEX([1]道具配置表!$D:$D,MATCH(D6998,[1]道具配置表!$A:$A,0))</f>
        <v>传说图纸</v>
      </c>
      <c r="F6998" s="13">
        <v>1</v>
      </c>
      <c r="K6998" s="13">
        <v>1</v>
      </c>
      <c r="M6998" s="118" t="b">
        <v>1</v>
      </c>
    </row>
    <row r="6999" spans="1:13" x14ac:dyDescent="0.25">
      <c r="D6999" s="13">
        <v>6198</v>
      </c>
      <c r="E6999" s="136" t="str">
        <f>INDEX([1]道具配置表!$D:$D,MATCH(D6999,[1]道具配置表!$A:$A,0))</f>
        <v>10分钟锻造加速</v>
      </c>
      <c r="F6999" s="13">
        <v>18</v>
      </c>
      <c r="K6999" s="13">
        <v>1</v>
      </c>
      <c r="M6999" s="118" t="b">
        <v>1</v>
      </c>
    </row>
    <row r="7000" spans="1:13" x14ac:dyDescent="0.25">
      <c r="D7000" s="13">
        <v>56001</v>
      </c>
      <c r="E7000" s="136" t="str">
        <f>INDEX([1]道具配置表!$D:$D,MATCH(D7000,[1]道具配置表!$A:$A,0))</f>
        <v>锻造装备消耗材料</v>
      </c>
      <c r="F7000" s="13">
        <v>4500</v>
      </c>
      <c r="K7000" s="13">
        <v>1</v>
      </c>
      <c r="M7000" s="118" t="b">
        <v>1</v>
      </c>
    </row>
    <row r="7001" spans="1:13" x14ac:dyDescent="0.25">
      <c r="A7001" s="13">
        <v>6678211</v>
      </c>
      <c r="B7001" s="13" t="s">
        <v>1566</v>
      </c>
      <c r="D7001" s="13">
        <v>56202</v>
      </c>
      <c r="E7001" s="136" t="str">
        <f>INDEX([1]道具配置表!$D:$D,MATCH(D7001,[1]道具配置表!$A:$A,0))</f>
        <v>传说图纸</v>
      </c>
      <c r="F7001" s="13">
        <v>1</v>
      </c>
      <c r="K7001" s="13">
        <v>1</v>
      </c>
      <c r="M7001" s="118" t="b">
        <v>1</v>
      </c>
    </row>
    <row r="7002" spans="1:13" x14ac:dyDescent="0.25">
      <c r="D7002" s="13">
        <v>6198</v>
      </c>
      <c r="E7002" s="136" t="str">
        <f>INDEX([1]道具配置表!$D:$D,MATCH(D7002,[1]道具配置表!$A:$A,0))</f>
        <v>10分钟锻造加速</v>
      </c>
      <c r="F7002" s="13">
        <v>16</v>
      </c>
      <c r="K7002" s="13">
        <v>1</v>
      </c>
      <c r="M7002" s="118" t="b">
        <v>1</v>
      </c>
    </row>
    <row r="7003" spans="1:13" x14ac:dyDescent="0.25">
      <c r="D7003" s="13">
        <v>56001</v>
      </c>
      <c r="E7003" s="136" t="str">
        <f>INDEX([1]道具配置表!$D:$D,MATCH(D7003,[1]道具配置表!$A:$A,0))</f>
        <v>锻造装备消耗材料</v>
      </c>
      <c r="F7003" s="13">
        <v>4000</v>
      </c>
      <c r="K7003" s="13">
        <v>1</v>
      </c>
      <c r="M7003" s="118" t="b">
        <v>1</v>
      </c>
    </row>
    <row r="7004" spans="1:13" x14ac:dyDescent="0.25">
      <c r="A7004" s="13">
        <v>6678212</v>
      </c>
      <c r="B7004" s="13" t="s">
        <v>1567</v>
      </c>
      <c r="D7004" s="13">
        <v>56202</v>
      </c>
      <c r="E7004" s="136" t="str">
        <f>INDEX([1]道具配置表!$D:$D,MATCH(D7004,[1]道具配置表!$A:$A,0))</f>
        <v>传说图纸</v>
      </c>
      <c r="F7004" s="13">
        <v>1</v>
      </c>
      <c r="K7004" s="13">
        <v>1</v>
      </c>
      <c r="M7004" s="118" t="b">
        <v>1</v>
      </c>
    </row>
    <row r="7005" spans="1:13" x14ac:dyDescent="0.25">
      <c r="D7005" s="13">
        <v>6198</v>
      </c>
      <c r="E7005" s="136" t="str">
        <f>INDEX([1]道具配置表!$D:$D,MATCH(D7005,[1]道具配置表!$A:$A,0))</f>
        <v>10分钟锻造加速</v>
      </c>
      <c r="F7005" s="13">
        <v>14</v>
      </c>
      <c r="K7005" s="13">
        <v>1</v>
      </c>
      <c r="M7005" s="118" t="b">
        <v>1</v>
      </c>
    </row>
    <row r="7006" spans="1:13" x14ac:dyDescent="0.25">
      <c r="D7006" s="13">
        <v>56001</v>
      </c>
      <c r="E7006" s="136" t="str">
        <f>INDEX([1]道具配置表!$D:$D,MATCH(D7006,[1]道具配置表!$A:$A,0))</f>
        <v>锻造装备消耗材料</v>
      </c>
      <c r="F7006" s="13">
        <v>3500</v>
      </c>
      <c r="K7006" s="13">
        <v>1</v>
      </c>
      <c r="M7006" s="118" t="b">
        <v>1</v>
      </c>
    </row>
    <row r="7007" spans="1:13" x14ac:dyDescent="0.25">
      <c r="A7007" s="13">
        <v>6678213</v>
      </c>
      <c r="B7007" s="13" t="s">
        <v>1568</v>
      </c>
      <c r="D7007" s="13">
        <v>56202</v>
      </c>
      <c r="E7007" s="136" t="str">
        <f>INDEX([1]道具配置表!$D:$D,MATCH(D7007,[1]道具配置表!$A:$A,0))</f>
        <v>传说图纸</v>
      </c>
      <c r="F7007" s="13">
        <v>1</v>
      </c>
      <c r="K7007" s="13">
        <v>1</v>
      </c>
      <c r="M7007" s="118" t="b">
        <v>1</v>
      </c>
    </row>
    <row r="7008" spans="1:13" x14ac:dyDescent="0.25">
      <c r="D7008" s="13">
        <v>6198</v>
      </c>
      <c r="E7008" s="136" t="str">
        <f>INDEX([1]道具配置表!$D:$D,MATCH(D7008,[1]道具配置表!$A:$A,0))</f>
        <v>10分钟锻造加速</v>
      </c>
      <c r="F7008" s="13">
        <v>12</v>
      </c>
      <c r="K7008" s="13">
        <v>1</v>
      </c>
      <c r="M7008" s="118" t="b">
        <v>1</v>
      </c>
    </row>
    <row r="7009" spans="1:13" x14ac:dyDescent="0.25">
      <c r="D7009" s="13">
        <v>56001</v>
      </c>
      <c r="E7009" s="136" t="str">
        <f>INDEX([1]道具配置表!$D:$D,MATCH(D7009,[1]道具配置表!$A:$A,0))</f>
        <v>锻造装备消耗材料</v>
      </c>
      <c r="F7009" s="13">
        <v>3000</v>
      </c>
      <c r="K7009" s="13">
        <v>1</v>
      </c>
      <c r="M7009" s="118" t="b">
        <v>1</v>
      </c>
    </row>
    <row r="7010" spans="1:13" x14ac:dyDescent="0.25">
      <c r="A7010" s="13">
        <v>6678214</v>
      </c>
      <c r="B7010" s="13" t="s">
        <v>1569</v>
      </c>
      <c r="D7010" s="13">
        <v>56202</v>
      </c>
      <c r="E7010" s="136" t="str">
        <f>INDEX([1]道具配置表!$D:$D,MATCH(D7010,[1]道具配置表!$A:$A,0))</f>
        <v>传说图纸</v>
      </c>
      <c r="F7010" s="13">
        <v>1</v>
      </c>
      <c r="K7010" s="13">
        <v>1</v>
      </c>
      <c r="M7010" s="118" t="b">
        <v>1</v>
      </c>
    </row>
    <row r="7011" spans="1:13" x14ac:dyDescent="0.25">
      <c r="D7011" s="13">
        <v>6198</v>
      </c>
      <c r="E7011" s="136" t="str">
        <f>INDEX([1]道具配置表!$D:$D,MATCH(D7011,[1]道具配置表!$A:$A,0))</f>
        <v>10分钟锻造加速</v>
      </c>
      <c r="F7011" s="13">
        <v>8</v>
      </c>
      <c r="K7011" s="13">
        <v>1</v>
      </c>
      <c r="M7011" s="118" t="b">
        <v>1</v>
      </c>
    </row>
    <row r="7012" spans="1:13" x14ac:dyDescent="0.25">
      <c r="D7012" s="13">
        <v>56001</v>
      </c>
      <c r="E7012" s="136" t="str">
        <f>INDEX([1]道具配置表!$D:$D,MATCH(D7012,[1]道具配置表!$A:$A,0))</f>
        <v>锻造装备消耗材料</v>
      </c>
      <c r="F7012" s="13">
        <v>2500</v>
      </c>
      <c r="K7012" s="13">
        <v>1</v>
      </c>
      <c r="M7012" s="118" t="b">
        <v>1</v>
      </c>
    </row>
    <row r="7013" spans="1:13" x14ac:dyDescent="0.25">
      <c r="A7013" s="13">
        <v>6678215</v>
      </c>
      <c r="B7013" s="13" t="s">
        <v>1570</v>
      </c>
      <c r="D7013" s="13">
        <v>56202</v>
      </c>
      <c r="E7013" s="136" t="str">
        <f>INDEX([1]道具配置表!$D:$D,MATCH(D7013,[1]道具配置表!$A:$A,0))</f>
        <v>传说图纸</v>
      </c>
      <c r="F7013" s="13">
        <v>1</v>
      </c>
      <c r="K7013" s="13">
        <v>1</v>
      </c>
      <c r="M7013" s="118" t="b">
        <v>1</v>
      </c>
    </row>
    <row r="7014" spans="1:13" x14ac:dyDescent="0.25">
      <c r="D7014" s="13">
        <v>6198</v>
      </c>
      <c r="E7014" s="136" t="str">
        <f>INDEX([1]道具配置表!$D:$D,MATCH(D7014,[1]道具配置表!$A:$A,0))</f>
        <v>10分钟锻造加速</v>
      </c>
      <c r="F7014" s="13">
        <v>4</v>
      </c>
      <c r="K7014" s="13">
        <v>1</v>
      </c>
      <c r="M7014" s="118" t="b">
        <v>1</v>
      </c>
    </row>
    <row r="7015" spans="1:13" x14ac:dyDescent="0.25">
      <c r="D7015" s="13">
        <v>56001</v>
      </c>
      <c r="E7015" s="136" t="str">
        <f>INDEX([1]道具配置表!$D:$D,MATCH(D7015,[1]道具配置表!$A:$A,0))</f>
        <v>锻造装备消耗材料</v>
      </c>
      <c r="F7015" s="13">
        <v>2000</v>
      </c>
      <c r="K7015" s="13">
        <v>1</v>
      </c>
      <c r="M7015" s="118" t="b">
        <v>1</v>
      </c>
    </row>
    <row r="7016" spans="1:13" x14ac:dyDescent="0.25">
      <c r="A7016" s="13">
        <v>6678216</v>
      </c>
      <c r="B7016" s="13" t="s">
        <v>1571</v>
      </c>
      <c r="D7016" s="13">
        <v>56202</v>
      </c>
      <c r="E7016" s="136" t="str">
        <f>INDEX([1]道具配置表!$D:$D,MATCH(D7016,[1]道具配置表!$A:$A,0))</f>
        <v>传说图纸</v>
      </c>
      <c r="F7016" s="13">
        <v>1</v>
      </c>
      <c r="K7016" s="13">
        <v>1</v>
      </c>
      <c r="M7016" s="118" t="b">
        <v>1</v>
      </c>
    </row>
    <row r="7017" spans="1:13" x14ac:dyDescent="0.25">
      <c r="D7017" s="13">
        <v>6198</v>
      </c>
      <c r="E7017" s="136" t="str">
        <f>INDEX([1]道具配置表!$D:$D,MATCH(D7017,[1]道具配置表!$A:$A,0))</f>
        <v>10分钟锻造加速</v>
      </c>
      <c r="F7017" s="13">
        <v>2</v>
      </c>
      <c r="K7017" s="13">
        <v>1</v>
      </c>
      <c r="M7017" s="118" t="b">
        <v>1</v>
      </c>
    </row>
    <row r="7018" spans="1:13" x14ac:dyDescent="0.25">
      <c r="D7018" s="13">
        <v>56001</v>
      </c>
      <c r="E7018" s="136" t="str">
        <f>INDEX([1]道具配置表!$D:$D,MATCH(D7018,[1]道具配置表!$A:$A,0))</f>
        <v>锻造装备消耗材料</v>
      </c>
      <c r="F7018" s="13">
        <v>1000</v>
      </c>
      <c r="K7018" s="13">
        <v>1</v>
      </c>
      <c r="M7018" s="118" t="b">
        <v>1</v>
      </c>
    </row>
    <row r="7019" spans="1:13" x14ac:dyDescent="0.25">
      <c r="A7019" s="13">
        <v>6678301</v>
      </c>
      <c r="B7019" s="13" t="s">
        <v>1572</v>
      </c>
      <c r="D7019" s="13">
        <v>6125</v>
      </c>
      <c r="E7019" s="136" t="str">
        <f>INDEX([1]道具配置表!$D:$D,MATCH(D7019,[1]道具配置表!$A:$A,0))</f>
        <v>60分钟建造加速</v>
      </c>
      <c r="F7019" s="13">
        <v>20</v>
      </c>
      <c r="K7019" s="13">
        <v>1</v>
      </c>
      <c r="M7019" s="118" t="b">
        <v>1</v>
      </c>
    </row>
    <row r="7020" spans="1:13" x14ac:dyDescent="0.25">
      <c r="D7020" s="13">
        <v>6165</v>
      </c>
      <c r="E7020" s="136" t="str">
        <f>INDEX([1]道具配置表!$D:$D,MATCH(D7020,[1]道具配置表!$A:$A,0))</f>
        <v>60分钟训练加速</v>
      </c>
      <c r="F7020" s="13">
        <v>20</v>
      </c>
      <c r="K7020" s="13">
        <v>1</v>
      </c>
      <c r="M7020" s="118" t="b">
        <v>1</v>
      </c>
    </row>
    <row r="7021" spans="1:13" x14ac:dyDescent="0.25">
      <c r="D7021" s="13">
        <v>507</v>
      </c>
      <c r="E7021" s="136" t="str">
        <f>INDEX([1]道具配置表!$D:$D,MATCH(D7021,[1]道具配置表!$A:$A,0))</f>
        <v>100万资源自选宝箱</v>
      </c>
      <c r="F7021" s="13">
        <v>10</v>
      </c>
      <c r="K7021" s="13">
        <v>1</v>
      </c>
      <c r="M7021" s="118" t="b">
        <v>1</v>
      </c>
    </row>
    <row r="7022" spans="1:13" x14ac:dyDescent="0.25">
      <c r="A7022" s="13">
        <v>6678302</v>
      </c>
      <c r="B7022" s="13" t="s">
        <v>1573</v>
      </c>
      <c r="D7022" s="13">
        <v>6125</v>
      </c>
      <c r="E7022" s="136" t="str">
        <f>INDEX([1]道具配置表!$D:$D,MATCH(D7022,[1]道具配置表!$A:$A,0))</f>
        <v>60分钟建造加速</v>
      </c>
      <c r="F7022" s="13">
        <v>18</v>
      </c>
      <c r="K7022" s="13">
        <v>1</v>
      </c>
      <c r="M7022" s="118" t="b">
        <v>1</v>
      </c>
    </row>
    <row r="7023" spans="1:13" x14ac:dyDescent="0.25">
      <c r="D7023" s="13">
        <v>6165</v>
      </c>
      <c r="E7023" s="136" t="str">
        <f>INDEX([1]道具配置表!$D:$D,MATCH(D7023,[1]道具配置表!$A:$A,0))</f>
        <v>60分钟训练加速</v>
      </c>
      <c r="F7023" s="13">
        <v>18</v>
      </c>
      <c r="K7023" s="13">
        <v>1</v>
      </c>
      <c r="M7023" s="118" t="b">
        <v>1</v>
      </c>
    </row>
    <row r="7024" spans="1:13" x14ac:dyDescent="0.25">
      <c r="D7024" s="13">
        <v>507</v>
      </c>
      <c r="E7024" s="136" t="str">
        <f>INDEX([1]道具配置表!$D:$D,MATCH(D7024,[1]道具配置表!$A:$A,0))</f>
        <v>100万资源自选宝箱</v>
      </c>
      <c r="F7024" s="13">
        <v>9</v>
      </c>
      <c r="K7024" s="13">
        <v>1</v>
      </c>
      <c r="M7024" s="118" t="b">
        <v>1</v>
      </c>
    </row>
    <row r="7025" spans="1:13" x14ac:dyDescent="0.25">
      <c r="A7025" s="13">
        <v>6678303</v>
      </c>
      <c r="B7025" s="13" t="s">
        <v>1574</v>
      </c>
      <c r="D7025" s="13">
        <v>6125</v>
      </c>
      <c r="E7025" s="136" t="str">
        <f>INDEX([1]道具配置表!$D:$D,MATCH(D7025,[1]道具配置表!$A:$A,0))</f>
        <v>60分钟建造加速</v>
      </c>
      <c r="F7025" s="13">
        <v>16</v>
      </c>
      <c r="K7025" s="13">
        <v>1</v>
      </c>
      <c r="M7025" s="118" t="b">
        <v>1</v>
      </c>
    </row>
    <row r="7026" spans="1:13" x14ac:dyDescent="0.25">
      <c r="D7026" s="13">
        <v>6165</v>
      </c>
      <c r="E7026" s="136" t="str">
        <f>INDEX([1]道具配置表!$D:$D,MATCH(D7026,[1]道具配置表!$A:$A,0))</f>
        <v>60分钟训练加速</v>
      </c>
      <c r="F7026" s="13">
        <v>16</v>
      </c>
      <c r="K7026" s="13">
        <v>1</v>
      </c>
      <c r="M7026" s="118" t="b">
        <v>1</v>
      </c>
    </row>
    <row r="7027" spans="1:13" x14ac:dyDescent="0.25">
      <c r="D7027" s="13">
        <v>507</v>
      </c>
      <c r="E7027" s="136" t="str">
        <f>INDEX([1]道具配置表!$D:$D,MATCH(D7027,[1]道具配置表!$A:$A,0))</f>
        <v>100万资源自选宝箱</v>
      </c>
      <c r="F7027" s="13">
        <v>8</v>
      </c>
      <c r="K7027" s="13">
        <v>1</v>
      </c>
      <c r="M7027" s="118" t="b">
        <v>1</v>
      </c>
    </row>
    <row r="7028" spans="1:13" x14ac:dyDescent="0.25">
      <c r="A7028" s="13">
        <v>6678304</v>
      </c>
      <c r="B7028" s="13" t="s">
        <v>1575</v>
      </c>
      <c r="D7028" s="13">
        <v>6125</v>
      </c>
      <c r="E7028" s="136" t="str">
        <f>INDEX([1]道具配置表!$D:$D,MATCH(D7028,[1]道具配置表!$A:$A,0))</f>
        <v>60分钟建造加速</v>
      </c>
      <c r="F7028" s="13">
        <v>14</v>
      </c>
      <c r="K7028" s="13">
        <v>1</v>
      </c>
      <c r="M7028" s="118" t="b">
        <v>1</v>
      </c>
    </row>
    <row r="7029" spans="1:13" x14ac:dyDescent="0.25">
      <c r="D7029" s="13">
        <v>6165</v>
      </c>
      <c r="E7029" s="136" t="str">
        <f>INDEX([1]道具配置表!$D:$D,MATCH(D7029,[1]道具配置表!$A:$A,0))</f>
        <v>60分钟训练加速</v>
      </c>
      <c r="F7029" s="13">
        <v>14</v>
      </c>
      <c r="K7029" s="13">
        <v>1</v>
      </c>
      <c r="M7029" s="118" t="b">
        <v>1</v>
      </c>
    </row>
    <row r="7030" spans="1:13" x14ac:dyDescent="0.25">
      <c r="D7030" s="13">
        <v>507</v>
      </c>
      <c r="E7030" s="136" t="str">
        <f>INDEX([1]道具配置表!$D:$D,MATCH(D7030,[1]道具配置表!$A:$A,0))</f>
        <v>100万资源自选宝箱</v>
      </c>
      <c r="F7030" s="13">
        <v>7</v>
      </c>
      <c r="K7030" s="13">
        <v>1</v>
      </c>
      <c r="M7030" s="118" t="b">
        <v>1</v>
      </c>
    </row>
    <row r="7031" spans="1:13" x14ac:dyDescent="0.25">
      <c r="A7031" s="13">
        <v>6678305</v>
      </c>
      <c r="B7031" s="13" t="s">
        <v>1576</v>
      </c>
      <c r="D7031" s="13">
        <v>6125</v>
      </c>
      <c r="E7031" s="136" t="str">
        <f>INDEX([1]道具配置表!$D:$D,MATCH(D7031,[1]道具配置表!$A:$A,0))</f>
        <v>60分钟建造加速</v>
      </c>
      <c r="F7031" s="13">
        <v>12</v>
      </c>
      <c r="K7031" s="13">
        <v>1</v>
      </c>
      <c r="M7031" s="118" t="b">
        <v>1</v>
      </c>
    </row>
    <row r="7032" spans="1:13" x14ac:dyDescent="0.25">
      <c r="D7032" s="13">
        <v>6165</v>
      </c>
      <c r="E7032" s="136" t="str">
        <f>INDEX([1]道具配置表!$D:$D,MATCH(D7032,[1]道具配置表!$A:$A,0))</f>
        <v>60分钟训练加速</v>
      </c>
      <c r="F7032" s="13">
        <v>12</v>
      </c>
      <c r="K7032" s="13">
        <v>1</v>
      </c>
      <c r="M7032" s="118" t="b">
        <v>1</v>
      </c>
    </row>
    <row r="7033" spans="1:13" x14ac:dyDescent="0.25">
      <c r="D7033" s="13">
        <v>507</v>
      </c>
      <c r="E7033" s="136" t="str">
        <f>INDEX([1]道具配置表!$D:$D,MATCH(D7033,[1]道具配置表!$A:$A,0))</f>
        <v>100万资源自选宝箱</v>
      </c>
      <c r="F7033" s="13">
        <v>6</v>
      </c>
      <c r="K7033" s="13">
        <v>1</v>
      </c>
      <c r="M7033" s="118" t="b">
        <v>1</v>
      </c>
    </row>
    <row r="7034" spans="1:13" x14ac:dyDescent="0.25">
      <c r="A7034" s="13">
        <v>6678306</v>
      </c>
      <c r="B7034" s="13" t="s">
        <v>1577</v>
      </c>
      <c r="D7034" s="13">
        <v>6125</v>
      </c>
      <c r="E7034" s="136" t="str">
        <f>INDEX([1]道具配置表!$D:$D,MATCH(D7034,[1]道具配置表!$A:$A,0))</f>
        <v>60分钟建造加速</v>
      </c>
      <c r="F7034" s="13">
        <v>10</v>
      </c>
      <c r="K7034" s="13">
        <v>1</v>
      </c>
      <c r="M7034" s="118" t="b">
        <v>1</v>
      </c>
    </row>
    <row r="7035" spans="1:13" x14ac:dyDescent="0.25">
      <c r="D7035" s="13">
        <v>6165</v>
      </c>
      <c r="E7035" s="136" t="str">
        <f>INDEX([1]道具配置表!$D:$D,MATCH(D7035,[1]道具配置表!$A:$A,0))</f>
        <v>60分钟训练加速</v>
      </c>
      <c r="F7035" s="13">
        <v>10</v>
      </c>
      <c r="K7035" s="13">
        <v>1</v>
      </c>
      <c r="M7035" s="118" t="b">
        <v>1</v>
      </c>
    </row>
    <row r="7036" spans="1:13" x14ac:dyDescent="0.25">
      <c r="D7036" s="13">
        <v>507</v>
      </c>
      <c r="E7036" s="136" t="str">
        <f>INDEX([1]道具配置表!$D:$D,MATCH(D7036,[1]道具配置表!$A:$A,0))</f>
        <v>100万资源自选宝箱</v>
      </c>
      <c r="F7036" s="13">
        <v>5</v>
      </c>
      <c r="K7036" s="13">
        <v>1</v>
      </c>
      <c r="M7036" s="118" t="b">
        <v>1</v>
      </c>
    </row>
    <row r="7037" spans="1:13" x14ac:dyDescent="0.25">
      <c r="A7037" s="13">
        <v>6678307</v>
      </c>
      <c r="B7037" s="13" t="s">
        <v>1578</v>
      </c>
      <c r="D7037" s="13">
        <v>6125</v>
      </c>
      <c r="E7037" s="136" t="str">
        <f>INDEX([1]道具配置表!$D:$D,MATCH(D7037,[1]道具配置表!$A:$A,0))</f>
        <v>60分钟建造加速</v>
      </c>
      <c r="F7037" s="13">
        <v>8</v>
      </c>
      <c r="K7037" s="13">
        <v>1</v>
      </c>
      <c r="M7037" s="118" t="b">
        <v>1</v>
      </c>
    </row>
    <row r="7038" spans="1:13" x14ac:dyDescent="0.25">
      <c r="D7038" s="13">
        <v>6165</v>
      </c>
      <c r="E7038" s="136" t="str">
        <f>INDEX([1]道具配置表!$D:$D,MATCH(D7038,[1]道具配置表!$A:$A,0))</f>
        <v>60分钟训练加速</v>
      </c>
      <c r="F7038" s="13">
        <v>8</v>
      </c>
      <c r="K7038" s="13">
        <v>1</v>
      </c>
      <c r="M7038" s="118" t="b">
        <v>1</v>
      </c>
    </row>
    <row r="7039" spans="1:13" x14ac:dyDescent="0.25">
      <c r="D7039" s="13">
        <v>507</v>
      </c>
      <c r="E7039" s="136" t="str">
        <f>INDEX([1]道具配置表!$D:$D,MATCH(D7039,[1]道具配置表!$A:$A,0))</f>
        <v>100万资源自选宝箱</v>
      </c>
      <c r="F7039" s="13">
        <v>4</v>
      </c>
      <c r="K7039" s="13">
        <v>1</v>
      </c>
      <c r="M7039" s="118" t="b">
        <v>1</v>
      </c>
    </row>
    <row r="7040" spans="1:13" x14ac:dyDescent="0.25">
      <c r="A7040" s="13">
        <v>6678308</v>
      </c>
      <c r="B7040" s="13" t="s">
        <v>1579</v>
      </c>
      <c r="D7040" s="13">
        <v>6125</v>
      </c>
      <c r="E7040" s="136" t="str">
        <f>INDEX([1]道具配置表!$D:$D,MATCH(D7040,[1]道具配置表!$A:$A,0))</f>
        <v>60分钟建造加速</v>
      </c>
      <c r="F7040" s="13">
        <v>6</v>
      </c>
      <c r="K7040" s="13">
        <v>1</v>
      </c>
      <c r="M7040" s="118" t="b">
        <v>1</v>
      </c>
    </row>
    <row r="7041" spans="1:13" x14ac:dyDescent="0.25">
      <c r="D7041" s="13">
        <v>6165</v>
      </c>
      <c r="E7041" s="136" t="str">
        <f>INDEX([1]道具配置表!$D:$D,MATCH(D7041,[1]道具配置表!$A:$A,0))</f>
        <v>60分钟训练加速</v>
      </c>
      <c r="F7041" s="13">
        <v>6</v>
      </c>
      <c r="K7041" s="13">
        <v>1</v>
      </c>
      <c r="M7041" s="118" t="b">
        <v>1</v>
      </c>
    </row>
    <row r="7042" spans="1:13" x14ac:dyDescent="0.25">
      <c r="D7042" s="13">
        <v>507</v>
      </c>
      <c r="E7042" s="136" t="str">
        <f>INDEX([1]道具配置表!$D:$D,MATCH(D7042,[1]道具配置表!$A:$A,0))</f>
        <v>100万资源自选宝箱</v>
      </c>
      <c r="F7042" s="13">
        <v>3</v>
      </c>
      <c r="K7042" s="13">
        <v>1</v>
      </c>
      <c r="M7042" s="118" t="b">
        <v>1</v>
      </c>
    </row>
    <row r="7043" spans="1:13" x14ac:dyDescent="0.25">
      <c r="A7043" s="13">
        <v>6678309</v>
      </c>
      <c r="B7043" s="13" t="s">
        <v>1580</v>
      </c>
      <c r="D7043" s="13">
        <v>6125</v>
      </c>
      <c r="E7043" s="136" t="str">
        <f>INDEX([1]道具配置表!$D:$D,MATCH(D7043,[1]道具配置表!$A:$A,0))</f>
        <v>60分钟建造加速</v>
      </c>
      <c r="F7043" s="13">
        <v>5</v>
      </c>
      <c r="K7043" s="13">
        <v>1</v>
      </c>
      <c r="M7043" s="118" t="b">
        <v>1</v>
      </c>
    </row>
    <row r="7044" spans="1:13" x14ac:dyDescent="0.25">
      <c r="D7044" s="13">
        <v>6165</v>
      </c>
      <c r="E7044" s="136" t="str">
        <f>INDEX([1]道具配置表!$D:$D,MATCH(D7044,[1]道具配置表!$A:$A,0))</f>
        <v>60分钟训练加速</v>
      </c>
      <c r="F7044" s="13">
        <v>5</v>
      </c>
      <c r="K7044" s="13">
        <v>1</v>
      </c>
      <c r="M7044" s="118" t="b">
        <v>1</v>
      </c>
    </row>
    <row r="7045" spans="1:13" x14ac:dyDescent="0.25">
      <c r="D7045" s="13">
        <v>507</v>
      </c>
      <c r="E7045" s="136" t="str">
        <f>INDEX([1]道具配置表!$D:$D,MATCH(D7045,[1]道具配置表!$A:$A,0))</f>
        <v>100万资源自选宝箱</v>
      </c>
      <c r="F7045" s="13">
        <v>2</v>
      </c>
      <c r="K7045" s="13">
        <v>1</v>
      </c>
      <c r="M7045" s="118" t="b">
        <v>1</v>
      </c>
    </row>
    <row r="7046" spans="1:13" x14ac:dyDescent="0.25">
      <c r="A7046" s="13">
        <v>6678310</v>
      </c>
      <c r="B7046" s="13" t="s">
        <v>1581</v>
      </c>
      <c r="D7046" s="13">
        <v>6125</v>
      </c>
      <c r="E7046" s="136" t="str">
        <f>INDEX([1]道具配置表!$D:$D,MATCH(D7046,[1]道具配置表!$A:$A,0))</f>
        <v>60分钟建造加速</v>
      </c>
      <c r="F7046" s="13">
        <v>4</v>
      </c>
      <c r="K7046" s="13">
        <v>1</v>
      </c>
      <c r="M7046" s="118" t="b">
        <v>1</v>
      </c>
    </row>
    <row r="7047" spans="1:13" x14ac:dyDescent="0.25">
      <c r="D7047" s="13">
        <v>6165</v>
      </c>
      <c r="E7047" s="136" t="str">
        <f>INDEX([1]道具配置表!$D:$D,MATCH(D7047,[1]道具配置表!$A:$A,0))</f>
        <v>60分钟训练加速</v>
      </c>
      <c r="F7047" s="13">
        <v>4</v>
      </c>
      <c r="K7047" s="13">
        <v>1</v>
      </c>
      <c r="M7047" s="118" t="b">
        <v>1</v>
      </c>
    </row>
    <row r="7048" spans="1:13" x14ac:dyDescent="0.25">
      <c r="D7048" s="13">
        <v>507</v>
      </c>
      <c r="E7048" s="136" t="str">
        <f>INDEX([1]道具配置表!$D:$D,MATCH(D7048,[1]道具配置表!$A:$A,0))</f>
        <v>100万资源自选宝箱</v>
      </c>
      <c r="F7048" s="13">
        <v>1</v>
      </c>
      <c r="K7048" s="13">
        <v>1</v>
      </c>
      <c r="M7048" s="118" t="b">
        <v>1</v>
      </c>
    </row>
    <row r="7049" spans="1:13" x14ac:dyDescent="0.25">
      <c r="A7049" s="13">
        <v>6678311</v>
      </c>
      <c r="B7049" s="13" t="s">
        <v>1582</v>
      </c>
      <c r="D7049" s="13">
        <v>6125</v>
      </c>
      <c r="E7049" s="136" t="str">
        <f>INDEX([1]道具配置表!$D:$D,MATCH(D7049,[1]道具配置表!$A:$A,0))</f>
        <v>60分钟建造加速</v>
      </c>
      <c r="F7049" s="13">
        <v>3</v>
      </c>
      <c r="K7049" s="13">
        <v>1</v>
      </c>
      <c r="M7049" s="118" t="b">
        <v>1</v>
      </c>
    </row>
    <row r="7050" spans="1:13" x14ac:dyDescent="0.25">
      <c r="D7050" s="13">
        <v>6165</v>
      </c>
      <c r="E7050" s="136" t="str">
        <f>INDEX([1]道具配置表!$D:$D,MATCH(D7050,[1]道具配置表!$A:$A,0))</f>
        <v>60分钟训练加速</v>
      </c>
      <c r="F7050" s="13">
        <v>3</v>
      </c>
      <c r="K7050" s="13">
        <v>1</v>
      </c>
      <c r="M7050" s="118" t="b">
        <v>1</v>
      </c>
    </row>
    <row r="7051" spans="1:13" x14ac:dyDescent="0.25">
      <c r="D7051" s="13">
        <v>505</v>
      </c>
      <c r="E7051" s="136" t="str">
        <f>INDEX([1]道具配置表!$D:$D,MATCH(D7051,[1]道具配置表!$A:$A,0))</f>
        <v>20万资源自选宝箱</v>
      </c>
      <c r="F7051" s="13">
        <v>4</v>
      </c>
      <c r="K7051" s="13">
        <v>1</v>
      </c>
      <c r="M7051" s="118" t="b">
        <v>1</v>
      </c>
    </row>
    <row r="7052" spans="1:13" x14ac:dyDescent="0.25">
      <c r="A7052" s="13">
        <v>6678312</v>
      </c>
      <c r="B7052" s="13" t="s">
        <v>1583</v>
      </c>
      <c r="D7052" s="13">
        <v>6125</v>
      </c>
      <c r="E7052" s="136" t="str">
        <f>INDEX([1]道具配置表!$D:$D,MATCH(D7052,[1]道具配置表!$A:$A,0))</f>
        <v>60分钟建造加速</v>
      </c>
      <c r="F7052" s="13">
        <v>2</v>
      </c>
      <c r="K7052" s="13">
        <v>1</v>
      </c>
      <c r="M7052" s="118" t="b">
        <v>1</v>
      </c>
    </row>
    <row r="7053" spans="1:13" x14ac:dyDescent="0.25">
      <c r="D7053" s="13">
        <v>6165</v>
      </c>
      <c r="E7053" s="136" t="str">
        <f>INDEX([1]道具配置表!$D:$D,MATCH(D7053,[1]道具配置表!$A:$A,0))</f>
        <v>60分钟训练加速</v>
      </c>
      <c r="F7053" s="13">
        <v>2</v>
      </c>
      <c r="K7053" s="13">
        <v>1</v>
      </c>
      <c r="M7053" s="118" t="b">
        <v>1</v>
      </c>
    </row>
    <row r="7054" spans="1:13" x14ac:dyDescent="0.25">
      <c r="D7054" s="13">
        <v>505</v>
      </c>
      <c r="E7054" s="136" t="str">
        <f>INDEX([1]道具配置表!$D:$D,MATCH(D7054,[1]道具配置表!$A:$A,0))</f>
        <v>20万资源自选宝箱</v>
      </c>
      <c r="F7054" s="13">
        <v>3</v>
      </c>
      <c r="K7054" s="13">
        <v>1</v>
      </c>
      <c r="M7054" s="118" t="b">
        <v>1</v>
      </c>
    </row>
    <row r="7055" spans="1:13" x14ac:dyDescent="0.25">
      <c r="A7055" s="13">
        <v>6678313</v>
      </c>
      <c r="B7055" s="13" t="s">
        <v>1768</v>
      </c>
      <c r="D7055" s="13">
        <v>6125</v>
      </c>
      <c r="E7055" s="136" t="str">
        <f>INDEX([1]道具配置表!$D:$D,MATCH(D7055,[1]道具配置表!$A:$A,0))</f>
        <v>60分钟建造加速</v>
      </c>
      <c r="F7055" s="13">
        <v>2</v>
      </c>
      <c r="K7055" s="13">
        <v>1</v>
      </c>
      <c r="M7055" s="125" t="b">
        <v>1</v>
      </c>
    </row>
    <row r="7056" spans="1:13" x14ac:dyDescent="0.25">
      <c r="D7056" s="13">
        <v>6165</v>
      </c>
      <c r="E7056" s="136" t="str">
        <f>INDEX([1]道具配置表!$D:$D,MATCH(D7056,[1]道具配置表!$A:$A,0))</f>
        <v>60分钟训练加速</v>
      </c>
      <c r="F7056" s="13">
        <v>2</v>
      </c>
      <c r="K7056" s="13">
        <v>1</v>
      </c>
      <c r="M7056" s="125" t="b">
        <v>1</v>
      </c>
    </row>
    <row r="7057" spans="1:13" x14ac:dyDescent="0.25">
      <c r="D7057" s="13">
        <v>505</v>
      </c>
      <c r="E7057" s="136" t="str">
        <f>INDEX([1]道具配置表!$D:$D,MATCH(D7057,[1]道具配置表!$A:$A,0))</f>
        <v>20万资源自选宝箱</v>
      </c>
      <c r="F7057" s="13">
        <v>2</v>
      </c>
      <c r="K7057" s="13">
        <v>1</v>
      </c>
      <c r="M7057" s="125" t="b">
        <v>1</v>
      </c>
    </row>
    <row r="7058" spans="1:13" x14ac:dyDescent="0.25">
      <c r="A7058" s="13">
        <v>6678314</v>
      </c>
      <c r="B7058" s="13" t="s">
        <v>1769</v>
      </c>
      <c r="D7058" s="13">
        <v>6125</v>
      </c>
      <c r="E7058" s="136" t="str">
        <f>INDEX([1]道具配置表!$D:$D,MATCH(D7058,[1]道具配置表!$A:$A,0))</f>
        <v>60分钟建造加速</v>
      </c>
      <c r="F7058" s="13">
        <v>2</v>
      </c>
      <c r="K7058" s="13">
        <v>1</v>
      </c>
      <c r="M7058" s="125" t="b">
        <v>1</v>
      </c>
    </row>
    <row r="7059" spans="1:13" x14ac:dyDescent="0.25">
      <c r="D7059" s="13">
        <v>6165</v>
      </c>
      <c r="E7059" s="136" t="str">
        <f>INDEX([1]道具配置表!$D:$D,MATCH(D7059,[1]道具配置表!$A:$A,0))</f>
        <v>60分钟训练加速</v>
      </c>
      <c r="F7059" s="13">
        <v>2</v>
      </c>
      <c r="K7059" s="13">
        <v>1</v>
      </c>
      <c r="M7059" s="125" t="b">
        <v>1</v>
      </c>
    </row>
    <row r="7060" spans="1:13" x14ac:dyDescent="0.25">
      <c r="D7060" s="13">
        <v>505</v>
      </c>
      <c r="E7060" s="136" t="str">
        <f>INDEX([1]道具配置表!$D:$D,MATCH(D7060,[1]道具配置表!$A:$A,0))</f>
        <v>20万资源自选宝箱</v>
      </c>
      <c r="F7060" s="13">
        <v>1</v>
      </c>
      <c r="K7060" s="13">
        <v>1</v>
      </c>
      <c r="M7060" s="125" t="b">
        <v>1</v>
      </c>
    </row>
    <row r="7061" spans="1:13" x14ac:dyDescent="0.25">
      <c r="A7061" s="13">
        <v>6678701</v>
      </c>
      <c r="B7061" s="13" t="s">
        <v>1584</v>
      </c>
      <c r="D7061" s="13">
        <v>7003</v>
      </c>
      <c r="E7061" s="136" t="str">
        <f>INDEX([1]道具配置表!$D:$D,MATCH(D7061,[1]道具配置表!$A:$A,0))</f>
        <v>1银币（立即使用，不进背包）</v>
      </c>
      <c r="F7061" s="13">
        <v>50000</v>
      </c>
      <c r="K7061" s="13">
        <v>1</v>
      </c>
      <c r="M7061" s="118" t="b">
        <v>1</v>
      </c>
    </row>
    <row r="7062" spans="1:13" x14ac:dyDescent="0.25">
      <c r="D7062" s="13">
        <v>7229</v>
      </c>
      <c r="E7062" s="136" t="str">
        <f>INDEX([1]道具配置表!$D:$D,MATCH(D7062,[1]道具配置表!$A:$A,0))</f>
        <v>经验书*50000</v>
      </c>
      <c r="F7062" s="13">
        <v>200</v>
      </c>
      <c r="K7062" s="13">
        <v>1</v>
      </c>
      <c r="M7062" s="118" t="b">
        <v>1</v>
      </c>
    </row>
    <row r="7063" spans="1:13" x14ac:dyDescent="0.25">
      <c r="D7063" s="13">
        <v>20000</v>
      </c>
      <c r="E7063" s="136" t="str">
        <f>INDEX([1]道具配置表!$D:$D,MATCH(D7063,[1]道具配置表!$A:$A,0))</f>
        <v>技能点1</v>
      </c>
      <c r="F7063" s="13">
        <v>100000</v>
      </c>
      <c r="K7063" s="13">
        <v>1</v>
      </c>
      <c r="M7063" s="118" t="b">
        <v>1</v>
      </c>
    </row>
    <row r="7064" spans="1:13" x14ac:dyDescent="0.25">
      <c r="A7064" s="102"/>
      <c r="B7064" s="102"/>
      <c r="C7064" s="102"/>
      <c r="D7064" s="102">
        <v>61032</v>
      </c>
      <c r="E7064" s="136" t="str">
        <f>INDEX([1]道具配置表!$D:$D,MATCH(D7064,[1]道具配置表!$A:$A,0))</f>
        <v>金之殿聊天气泡（限时42天）</v>
      </c>
      <c r="F7064" s="102">
        <v>1</v>
      </c>
      <c r="G7064" s="102"/>
      <c r="H7064" s="102"/>
      <c r="I7064" s="102"/>
      <c r="J7064" s="102"/>
      <c r="K7064" s="102">
        <v>1</v>
      </c>
      <c r="L7064" s="102"/>
      <c r="M7064" s="22" t="b">
        <v>1</v>
      </c>
    </row>
    <row r="7065" spans="1:13" x14ac:dyDescent="0.25">
      <c r="A7065" s="13">
        <v>6678702</v>
      </c>
      <c r="B7065" s="13" t="s">
        <v>1585</v>
      </c>
      <c r="D7065" s="13">
        <v>7003</v>
      </c>
      <c r="E7065" s="136" t="str">
        <f>INDEX([1]道具配置表!$D:$D,MATCH(D7065,[1]道具配置表!$A:$A,0))</f>
        <v>1银币（立即使用，不进背包）</v>
      </c>
      <c r="F7065" s="13">
        <v>40000</v>
      </c>
      <c r="K7065" s="13">
        <v>1</v>
      </c>
      <c r="M7065" s="118" t="b">
        <v>1</v>
      </c>
    </row>
    <row r="7066" spans="1:13" x14ac:dyDescent="0.25">
      <c r="D7066" s="13">
        <v>7229</v>
      </c>
      <c r="E7066" s="136" t="str">
        <f>INDEX([1]道具配置表!$D:$D,MATCH(D7066,[1]道具配置表!$A:$A,0))</f>
        <v>经验书*50000</v>
      </c>
      <c r="F7066" s="13">
        <v>150</v>
      </c>
      <c r="K7066" s="13">
        <v>1</v>
      </c>
      <c r="M7066" s="118" t="b">
        <v>1</v>
      </c>
    </row>
    <row r="7067" spans="1:13" x14ac:dyDescent="0.25">
      <c r="D7067" s="13">
        <v>20000</v>
      </c>
      <c r="E7067" s="136" t="str">
        <f>INDEX([1]道具配置表!$D:$D,MATCH(D7067,[1]道具配置表!$A:$A,0))</f>
        <v>技能点1</v>
      </c>
      <c r="F7067" s="13">
        <v>80000</v>
      </c>
      <c r="K7067" s="13">
        <v>1</v>
      </c>
      <c r="M7067" s="118" t="b">
        <v>1</v>
      </c>
    </row>
    <row r="7068" spans="1:13" x14ac:dyDescent="0.25">
      <c r="A7068" s="102"/>
      <c r="B7068" s="102"/>
      <c r="C7068" s="102"/>
      <c r="D7068" s="102">
        <v>61030</v>
      </c>
      <c r="E7068" s="136" t="str">
        <f>INDEX([1]道具配置表!$D:$D,MATCH(D7068,[1]道具配置表!$A:$A,0))</f>
        <v>银之堂聊天气泡（限时42天）</v>
      </c>
      <c r="F7068" s="102">
        <v>1</v>
      </c>
      <c r="G7068" s="102"/>
      <c r="H7068" s="102"/>
      <c r="I7068" s="102"/>
      <c r="J7068" s="102"/>
      <c r="K7068" s="102">
        <v>1</v>
      </c>
      <c r="L7068" s="102"/>
      <c r="M7068" s="22" t="b">
        <v>1</v>
      </c>
    </row>
    <row r="7069" spans="1:13" x14ac:dyDescent="0.25">
      <c r="A7069" s="102"/>
      <c r="B7069" s="102"/>
      <c r="C7069" s="102"/>
      <c r="D7069" s="102">
        <v>42181</v>
      </c>
      <c r="E7069" s="136" t="str">
        <f>INDEX([1]道具配置表!$D:$D,MATCH(D7069,[1]道具配置表!$A:$A,0))</f>
        <v>银星之勋头像框（限时42天）</v>
      </c>
      <c r="F7069" s="102">
        <v>1</v>
      </c>
      <c r="G7069" s="102"/>
      <c r="H7069" s="102"/>
      <c r="I7069" s="102"/>
      <c r="J7069" s="102"/>
      <c r="K7069" s="102">
        <v>1</v>
      </c>
      <c r="L7069" s="102"/>
      <c r="M7069" s="22" t="b">
        <v>1</v>
      </c>
    </row>
    <row r="7070" spans="1:13" x14ac:dyDescent="0.25">
      <c r="A7070" s="13">
        <v>6678703</v>
      </c>
      <c r="B7070" s="13" t="s">
        <v>1586</v>
      </c>
      <c r="D7070" s="13">
        <v>7003</v>
      </c>
      <c r="E7070" s="136" t="str">
        <f>INDEX([1]道具配置表!$D:$D,MATCH(D7070,[1]道具配置表!$A:$A,0))</f>
        <v>1银币（立即使用，不进背包）</v>
      </c>
      <c r="F7070" s="13">
        <v>30000</v>
      </c>
      <c r="K7070" s="13">
        <v>1</v>
      </c>
      <c r="M7070" s="118" t="b">
        <v>1</v>
      </c>
    </row>
    <row r="7071" spans="1:13" x14ac:dyDescent="0.25">
      <c r="D7071" s="13">
        <v>7229</v>
      </c>
      <c r="E7071" s="136" t="str">
        <f>INDEX([1]道具配置表!$D:$D,MATCH(D7071,[1]道具配置表!$A:$A,0))</f>
        <v>经验书*50000</v>
      </c>
      <c r="F7071" s="13">
        <v>100</v>
      </c>
      <c r="K7071" s="13">
        <v>1</v>
      </c>
      <c r="M7071" s="118" t="b">
        <v>1</v>
      </c>
    </row>
    <row r="7072" spans="1:13" x14ac:dyDescent="0.25">
      <c r="D7072" s="13">
        <v>20000</v>
      </c>
      <c r="E7072" s="136" t="str">
        <f>INDEX([1]道具配置表!$D:$D,MATCH(D7072,[1]道具配置表!$A:$A,0))</f>
        <v>技能点1</v>
      </c>
      <c r="F7072" s="13">
        <v>60000</v>
      </c>
      <c r="K7072" s="13">
        <v>1</v>
      </c>
      <c r="M7072" s="118" t="b">
        <v>1</v>
      </c>
    </row>
    <row r="7073" spans="1:13" x14ac:dyDescent="0.25">
      <c r="A7073" s="102"/>
      <c r="B7073" s="102"/>
      <c r="C7073" s="102"/>
      <c r="D7073" s="102">
        <v>61028</v>
      </c>
      <c r="E7073" s="136" t="str">
        <f>INDEX([1]道具配置表!$D:$D,MATCH(D7073,[1]道具配置表!$A:$A,0))</f>
        <v>铜之厅聊天气泡（限时42天）</v>
      </c>
      <c r="F7073" s="102">
        <v>1</v>
      </c>
      <c r="G7073" s="102"/>
      <c r="H7073" s="102"/>
      <c r="I7073" s="102"/>
      <c r="J7073" s="102"/>
      <c r="K7073" s="102">
        <v>1</v>
      </c>
      <c r="L7073" s="102"/>
      <c r="M7073" s="22" t="b">
        <v>1</v>
      </c>
    </row>
    <row r="7074" spans="1:13" x14ac:dyDescent="0.25">
      <c r="A7074" s="102"/>
      <c r="B7074" s="102"/>
      <c r="C7074" s="102"/>
      <c r="D7074" s="102">
        <v>42183</v>
      </c>
      <c r="E7074" s="136" t="str">
        <f>INDEX([1]道具配置表!$D:$D,MATCH(D7074,[1]道具配置表!$A:$A,0))</f>
        <v>铜火之证头像框（限时42天）</v>
      </c>
      <c r="F7074" s="102">
        <v>1</v>
      </c>
      <c r="G7074" s="102"/>
      <c r="H7074" s="102"/>
      <c r="I7074" s="102"/>
      <c r="J7074" s="102"/>
      <c r="K7074" s="102">
        <v>1</v>
      </c>
      <c r="L7074" s="102"/>
      <c r="M7074" s="22" t="b">
        <v>1</v>
      </c>
    </row>
    <row r="7075" spans="1:13" x14ac:dyDescent="0.25">
      <c r="A7075" s="13">
        <v>6678704</v>
      </c>
      <c r="B7075" s="13" t="s">
        <v>1587</v>
      </c>
      <c r="D7075" s="13">
        <v>7003</v>
      </c>
      <c r="E7075" s="136" t="str">
        <f>INDEX([1]道具配置表!$D:$D,MATCH(D7075,[1]道具配置表!$A:$A,0))</f>
        <v>1银币（立即使用，不进背包）</v>
      </c>
      <c r="F7075" s="13">
        <v>20000</v>
      </c>
      <c r="K7075" s="13">
        <v>1</v>
      </c>
      <c r="M7075" s="118" t="b">
        <v>1</v>
      </c>
    </row>
    <row r="7076" spans="1:13" x14ac:dyDescent="0.25">
      <c r="D7076" s="13">
        <v>7229</v>
      </c>
      <c r="E7076" s="136" t="str">
        <f>INDEX([1]道具配置表!$D:$D,MATCH(D7076,[1]道具配置表!$A:$A,0))</f>
        <v>经验书*50000</v>
      </c>
      <c r="F7076" s="13">
        <v>80</v>
      </c>
      <c r="K7076" s="13">
        <v>1</v>
      </c>
      <c r="M7076" s="118" t="b">
        <v>1</v>
      </c>
    </row>
    <row r="7077" spans="1:13" x14ac:dyDescent="0.25">
      <c r="D7077" s="13">
        <v>20000</v>
      </c>
      <c r="E7077" s="136" t="str">
        <f>INDEX([1]道具配置表!$D:$D,MATCH(D7077,[1]道具配置表!$A:$A,0))</f>
        <v>技能点1</v>
      </c>
      <c r="F7077" s="13">
        <v>50000</v>
      </c>
      <c r="K7077" s="13">
        <v>1</v>
      </c>
      <c r="M7077" s="118" t="b">
        <v>1</v>
      </c>
    </row>
    <row r="7078" spans="1:13" x14ac:dyDescent="0.25">
      <c r="A7078" s="13">
        <v>6678705</v>
      </c>
      <c r="B7078" s="13" t="s">
        <v>1588</v>
      </c>
      <c r="D7078" s="13">
        <v>7003</v>
      </c>
      <c r="E7078" s="136" t="str">
        <f>INDEX([1]道具配置表!$D:$D,MATCH(D7078,[1]道具配置表!$A:$A,0))</f>
        <v>1银币（立即使用，不进背包）</v>
      </c>
      <c r="F7078" s="13">
        <v>15000</v>
      </c>
      <c r="K7078" s="13">
        <v>1</v>
      </c>
      <c r="M7078" s="118" t="b">
        <v>1</v>
      </c>
    </row>
    <row r="7079" spans="1:13" x14ac:dyDescent="0.25">
      <c r="D7079" s="13">
        <v>7229</v>
      </c>
      <c r="E7079" s="136" t="str">
        <f>INDEX([1]道具配置表!$D:$D,MATCH(D7079,[1]道具配置表!$A:$A,0))</f>
        <v>经验书*50000</v>
      </c>
      <c r="F7079" s="13">
        <v>60</v>
      </c>
      <c r="K7079" s="13">
        <v>1</v>
      </c>
      <c r="M7079" s="118" t="b">
        <v>1</v>
      </c>
    </row>
    <row r="7080" spans="1:13" x14ac:dyDescent="0.25">
      <c r="D7080" s="13">
        <v>20000</v>
      </c>
      <c r="E7080" s="136" t="str">
        <f>INDEX([1]道具配置表!$D:$D,MATCH(D7080,[1]道具配置表!$A:$A,0))</f>
        <v>技能点1</v>
      </c>
      <c r="F7080" s="13">
        <v>45000</v>
      </c>
      <c r="K7080" s="13">
        <v>1</v>
      </c>
      <c r="M7080" s="118" t="b">
        <v>1</v>
      </c>
    </row>
    <row r="7081" spans="1:13" x14ac:dyDescent="0.25">
      <c r="A7081" s="13">
        <v>6678706</v>
      </c>
      <c r="B7081" s="13" t="s">
        <v>1589</v>
      </c>
      <c r="D7081" s="13">
        <v>7003</v>
      </c>
      <c r="E7081" s="136" t="str">
        <f>INDEX([1]道具配置表!$D:$D,MATCH(D7081,[1]道具配置表!$A:$A,0))</f>
        <v>1银币（立即使用，不进背包）</v>
      </c>
      <c r="F7081" s="13">
        <v>10000</v>
      </c>
      <c r="K7081" s="13">
        <v>1</v>
      </c>
      <c r="M7081" s="118" t="b">
        <v>1</v>
      </c>
    </row>
    <row r="7082" spans="1:13" x14ac:dyDescent="0.25">
      <c r="D7082" s="13">
        <v>7229</v>
      </c>
      <c r="E7082" s="136" t="str">
        <f>INDEX([1]道具配置表!$D:$D,MATCH(D7082,[1]道具配置表!$A:$A,0))</f>
        <v>经验书*50000</v>
      </c>
      <c r="F7082" s="13">
        <v>40</v>
      </c>
      <c r="K7082" s="13">
        <v>1</v>
      </c>
      <c r="M7082" s="118" t="b">
        <v>1</v>
      </c>
    </row>
    <row r="7083" spans="1:13" x14ac:dyDescent="0.25">
      <c r="D7083" s="13">
        <v>20000</v>
      </c>
      <c r="E7083" s="136" t="str">
        <f>INDEX([1]道具配置表!$D:$D,MATCH(D7083,[1]道具配置表!$A:$A,0))</f>
        <v>技能点1</v>
      </c>
      <c r="F7083" s="13">
        <v>40000</v>
      </c>
      <c r="K7083" s="13">
        <v>1</v>
      </c>
      <c r="M7083" s="118" t="b">
        <v>1</v>
      </c>
    </row>
    <row r="7084" spans="1:13" x14ac:dyDescent="0.25">
      <c r="A7084" s="13">
        <v>6678707</v>
      </c>
      <c r="B7084" s="13" t="s">
        <v>1590</v>
      </c>
      <c r="D7084" s="13">
        <v>7003</v>
      </c>
      <c r="E7084" s="136" t="str">
        <f>INDEX([1]道具配置表!$D:$D,MATCH(D7084,[1]道具配置表!$A:$A,0))</f>
        <v>1银币（立即使用，不进背包）</v>
      </c>
      <c r="F7084" s="13">
        <v>8000</v>
      </c>
      <c r="K7084" s="13">
        <v>1</v>
      </c>
      <c r="M7084" s="118" t="b">
        <v>1</v>
      </c>
    </row>
    <row r="7085" spans="1:13" x14ac:dyDescent="0.25">
      <c r="D7085" s="13">
        <v>7229</v>
      </c>
      <c r="E7085" s="136" t="str">
        <f>INDEX([1]道具配置表!$D:$D,MATCH(D7085,[1]道具配置表!$A:$A,0))</f>
        <v>经验书*50000</v>
      </c>
      <c r="F7085" s="13">
        <v>30</v>
      </c>
      <c r="K7085" s="13">
        <v>1</v>
      </c>
      <c r="M7085" s="118" t="b">
        <v>1</v>
      </c>
    </row>
    <row r="7086" spans="1:13" x14ac:dyDescent="0.25">
      <c r="D7086" s="13">
        <v>20000</v>
      </c>
      <c r="E7086" s="136" t="str">
        <f>INDEX([1]道具配置表!$D:$D,MATCH(D7086,[1]道具配置表!$A:$A,0))</f>
        <v>技能点1</v>
      </c>
      <c r="F7086" s="13">
        <v>35000</v>
      </c>
      <c r="K7086" s="13">
        <v>1</v>
      </c>
      <c r="M7086" s="118" t="b">
        <v>1</v>
      </c>
    </row>
    <row r="7087" spans="1:13" x14ac:dyDescent="0.25">
      <c r="A7087" s="13">
        <v>6678708</v>
      </c>
      <c r="B7087" s="13" t="s">
        <v>1591</v>
      </c>
      <c r="D7087" s="13">
        <v>7003</v>
      </c>
      <c r="E7087" s="136" t="str">
        <f>INDEX([1]道具配置表!$D:$D,MATCH(D7087,[1]道具配置表!$A:$A,0))</f>
        <v>1银币（立即使用，不进背包）</v>
      </c>
      <c r="F7087" s="13">
        <v>6000</v>
      </c>
      <c r="K7087" s="13">
        <v>1</v>
      </c>
      <c r="M7087" s="118" t="b">
        <v>1</v>
      </c>
    </row>
    <row r="7088" spans="1:13" x14ac:dyDescent="0.25">
      <c r="D7088" s="13">
        <v>7229</v>
      </c>
      <c r="E7088" s="136" t="str">
        <f>INDEX([1]道具配置表!$D:$D,MATCH(D7088,[1]道具配置表!$A:$A,0))</f>
        <v>经验书*50000</v>
      </c>
      <c r="F7088" s="13">
        <v>25</v>
      </c>
      <c r="K7088" s="13">
        <v>1</v>
      </c>
      <c r="M7088" s="118" t="b">
        <v>1</v>
      </c>
    </row>
    <row r="7089" spans="1:13" x14ac:dyDescent="0.25">
      <c r="D7089" s="13">
        <v>20000</v>
      </c>
      <c r="E7089" s="136" t="str">
        <f>INDEX([1]道具配置表!$D:$D,MATCH(D7089,[1]道具配置表!$A:$A,0))</f>
        <v>技能点1</v>
      </c>
      <c r="F7089" s="13">
        <v>30000</v>
      </c>
      <c r="K7089" s="13">
        <v>1</v>
      </c>
      <c r="M7089" s="118" t="b">
        <v>1</v>
      </c>
    </row>
    <row r="7090" spans="1:13" x14ac:dyDescent="0.25">
      <c r="A7090" s="13">
        <v>6678709</v>
      </c>
      <c r="B7090" s="13" t="s">
        <v>1592</v>
      </c>
      <c r="D7090" s="13">
        <v>7003</v>
      </c>
      <c r="E7090" s="136" t="str">
        <f>INDEX([1]道具配置表!$D:$D,MATCH(D7090,[1]道具配置表!$A:$A,0))</f>
        <v>1银币（立即使用，不进背包）</v>
      </c>
      <c r="F7090" s="13">
        <v>4000</v>
      </c>
      <c r="K7090" s="13">
        <v>1</v>
      </c>
      <c r="M7090" s="118" t="b">
        <v>1</v>
      </c>
    </row>
    <row r="7091" spans="1:13" x14ac:dyDescent="0.25">
      <c r="D7091" s="13">
        <v>7229</v>
      </c>
      <c r="E7091" s="136" t="str">
        <f>INDEX([1]道具配置表!$D:$D,MATCH(D7091,[1]道具配置表!$A:$A,0))</f>
        <v>经验书*50000</v>
      </c>
      <c r="F7091" s="13">
        <v>20</v>
      </c>
      <c r="K7091" s="13">
        <v>1</v>
      </c>
      <c r="M7091" s="118" t="b">
        <v>1</v>
      </c>
    </row>
    <row r="7092" spans="1:13" x14ac:dyDescent="0.25">
      <c r="D7092" s="13">
        <v>20000</v>
      </c>
      <c r="E7092" s="136" t="str">
        <f>INDEX([1]道具配置表!$D:$D,MATCH(D7092,[1]道具配置表!$A:$A,0))</f>
        <v>技能点1</v>
      </c>
      <c r="F7092" s="13">
        <v>25000</v>
      </c>
      <c r="K7092" s="13">
        <v>1</v>
      </c>
      <c r="M7092" s="118" t="b">
        <v>1</v>
      </c>
    </row>
    <row r="7093" spans="1:13" x14ac:dyDescent="0.25">
      <c r="A7093" s="13">
        <v>6678710</v>
      </c>
      <c r="B7093" s="13" t="s">
        <v>1593</v>
      </c>
      <c r="D7093" s="13">
        <v>7003</v>
      </c>
      <c r="E7093" s="136" t="str">
        <f>INDEX([1]道具配置表!$D:$D,MATCH(D7093,[1]道具配置表!$A:$A,0))</f>
        <v>1银币（立即使用，不进背包）</v>
      </c>
      <c r="F7093" s="13">
        <v>3000</v>
      </c>
      <c r="K7093" s="13">
        <v>1</v>
      </c>
      <c r="M7093" s="118" t="b">
        <v>1</v>
      </c>
    </row>
    <row r="7094" spans="1:13" x14ac:dyDescent="0.25">
      <c r="D7094" s="13">
        <v>7229</v>
      </c>
      <c r="E7094" s="136" t="str">
        <f>INDEX([1]道具配置表!$D:$D,MATCH(D7094,[1]道具配置表!$A:$A,0))</f>
        <v>经验书*50000</v>
      </c>
      <c r="F7094" s="13">
        <v>15</v>
      </c>
      <c r="K7094" s="13">
        <v>1</v>
      </c>
      <c r="M7094" s="118" t="b">
        <v>1</v>
      </c>
    </row>
    <row r="7095" spans="1:13" x14ac:dyDescent="0.25">
      <c r="D7095" s="13">
        <v>20000</v>
      </c>
      <c r="E7095" s="136" t="str">
        <f>INDEX([1]道具配置表!$D:$D,MATCH(D7095,[1]道具配置表!$A:$A,0))</f>
        <v>技能点1</v>
      </c>
      <c r="F7095" s="13">
        <v>20000</v>
      </c>
      <c r="K7095" s="13">
        <v>1</v>
      </c>
      <c r="M7095" s="118" t="b">
        <v>1</v>
      </c>
    </row>
    <row r="7096" spans="1:13" x14ac:dyDescent="0.25">
      <c r="A7096" s="13">
        <v>6678711</v>
      </c>
      <c r="B7096" s="13" t="s">
        <v>1594</v>
      </c>
      <c r="D7096" s="13">
        <v>7003</v>
      </c>
      <c r="E7096" s="136" t="str">
        <f>INDEX([1]道具配置表!$D:$D,MATCH(D7096,[1]道具配置表!$A:$A,0))</f>
        <v>1银币（立即使用，不进背包）</v>
      </c>
      <c r="F7096" s="13">
        <v>2000</v>
      </c>
      <c r="K7096" s="13">
        <v>1</v>
      </c>
      <c r="M7096" s="118" t="b">
        <v>1</v>
      </c>
    </row>
    <row r="7097" spans="1:13" x14ac:dyDescent="0.25">
      <c r="D7097" s="13">
        <v>7229</v>
      </c>
      <c r="E7097" s="136" t="str">
        <f>INDEX([1]道具配置表!$D:$D,MATCH(D7097,[1]道具配置表!$A:$A,0))</f>
        <v>经验书*50000</v>
      </c>
      <c r="F7097" s="13">
        <v>10</v>
      </c>
      <c r="K7097" s="13">
        <v>1</v>
      </c>
      <c r="M7097" s="118" t="b">
        <v>1</v>
      </c>
    </row>
    <row r="7098" spans="1:13" x14ac:dyDescent="0.25">
      <c r="D7098" s="13">
        <v>20000</v>
      </c>
      <c r="E7098" s="136" t="str">
        <f>INDEX([1]道具配置表!$D:$D,MATCH(D7098,[1]道具配置表!$A:$A,0))</f>
        <v>技能点1</v>
      </c>
      <c r="F7098" s="13">
        <v>15000</v>
      </c>
      <c r="K7098" s="13">
        <v>1</v>
      </c>
      <c r="M7098" s="118" t="b">
        <v>1</v>
      </c>
    </row>
    <row r="7099" spans="1:13" x14ac:dyDescent="0.25">
      <c r="A7099" s="13">
        <v>6678712</v>
      </c>
      <c r="B7099" s="13" t="s">
        <v>1595</v>
      </c>
      <c r="D7099" s="13">
        <v>7003</v>
      </c>
      <c r="E7099" s="136" t="str">
        <f>INDEX([1]道具配置表!$D:$D,MATCH(D7099,[1]道具配置表!$A:$A,0))</f>
        <v>1银币（立即使用，不进背包）</v>
      </c>
      <c r="F7099" s="13">
        <v>1000</v>
      </c>
      <c r="K7099" s="13">
        <v>1</v>
      </c>
      <c r="M7099" s="118" t="b">
        <v>1</v>
      </c>
    </row>
    <row r="7100" spans="1:13" x14ac:dyDescent="0.25">
      <c r="D7100" s="13">
        <v>7229</v>
      </c>
      <c r="E7100" s="136" t="str">
        <f>INDEX([1]道具配置表!$D:$D,MATCH(D7100,[1]道具配置表!$A:$A,0))</f>
        <v>经验书*50000</v>
      </c>
      <c r="F7100" s="13">
        <v>5</v>
      </c>
      <c r="K7100" s="13">
        <v>1</v>
      </c>
      <c r="M7100" s="118" t="b">
        <v>1</v>
      </c>
    </row>
    <row r="7101" spans="1:13" x14ac:dyDescent="0.25">
      <c r="D7101" s="13">
        <v>20000</v>
      </c>
      <c r="E7101" s="136" t="str">
        <f>INDEX([1]道具配置表!$D:$D,MATCH(D7101,[1]道具配置表!$A:$A,0))</f>
        <v>技能点1</v>
      </c>
      <c r="F7101" s="13">
        <v>12000</v>
      </c>
      <c r="K7101" s="13">
        <v>1</v>
      </c>
      <c r="M7101" s="118" t="b">
        <v>1</v>
      </c>
    </row>
    <row r="7102" spans="1:13" x14ac:dyDescent="0.25">
      <c r="A7102" s="13">
        <v>6678713</v>
      </c>
      <c r="B7102" s="13" t="s">
        <v>1766</v>
      </c>
      <c r="D7102" s="13">
        <v>7003</v>
      </c>
      <c r="E7102" s="136" t="str">
        <f>INDEX([1]道具配置表!$D:$D,MATCH(D7102,[1]道具配置表!$A:$A,0))</f>
        <v>1银币（立即使用，不进背包）</v>
      </c>
      <c r="F7102" s="13">
        <v>800</v>
      </c>
      <c r="K7102" s="13">
        <v>1</v>
      </c>
      <c r="M7102" s="124" t="b">
        <v>1</v>
      </c>
    </row>
    <row r="7103" spans="1:13" x14ac:dyDescent="0.25">
      <c r="D7103" s="13">
        <v>7229</v>
      </c>
      <c r="E7103" s="136" t="str">
        <f>INDEX([1]道具配置表!$D:$D,MATCH(D7103,[1]道具配置表!$A:$A,0))</f>
        <v>经验书*50000</v>
      </c>
      <c r="F7103" s="13">
        <v>4</v>
      </c>
      <c r="K7103" s="13">
        <v>1</v>
      </c>
      <c r="M7103" s="124" t="b">
        <v>1</v>
      </c>
    </row>
    <row r="7104" spans="1:13" x14ac:dyDescent="0.25">
      <c r="D7104" s="13">
        <v>20000</v>
      </c>
      <c r="E7104" s="136" t="str">
        <f>INDEX([1]道具配置表!$D:$D,MATCH(D7104,[1]道具配置表!$A:$A,0))</f>
        <v>技能点1</v>
      </c>
      <c r="F7104" s="13">
        <v>10000</v>
      </c>
      <c r="K7104" s="13">
        <v>1</v>
      </c>
      <c r="M7104" s="124" t="b">
        <v>1</v>
      </c>
    </row>
    <row r="7105" spans="1:13" x14ac:dyDescent="0.25">
      <c r="A7105" s="13">
        <v>6678714</v>
      </c>
      <c r="B7105" s="13" t="s">
        <v>1767</v>
      </c>
      <c r="D7105" s="13">
        <v>7003</v>
      </c>
      <c r="E7105" s="136" t="str">
        <f>INDEX([1]道具配置表!$D:$D,MATCH(D7105,[1]道具配置表!$A:$A,0))</f>
        <v>1银币（立即使用，不进背包）</v>
      </c>
      <c r="F7105" s="13">
        <v>600</v>
      </c>
      <c r="K7105" s="13">
        <v>1</v>
      </c>
      <c r="M7105" s="124" t="b">
        <v>1</v>
      </c>
    </row>
    <row r="7106" spans="1:13" x14ac:dyDescent="0.25">
      <c r="D7106" s="13">
        <v>7229</v>
      </c>
      <c r="E7106" s="136" t="str">
        <f>INDEX([1]道具配置表!$D:$D,MATCH(D7106,[1]道具配置表!$A:$A,0))</f>
        <v>经验书*50000</v>
      </c>
      <c r="F7106" s="13">
        <v>3</v>
      </c>
      <c r="K7106" s="13">
        <v>1</v>
      </c>
      <c r="M7106" s="124" t="b">
        <v>1</v>
      </c>
    </row>
    <row r="7107" spans="1:13" x14ac:dyDescent="0.25">
      <c r="D7107" s="13">
        <v>20000</v>
      </c>
      <c r="E7107" s="136" t="str">
        <f>INDEX([1]道具配置表!$D:$D,MATCH(D7107,[1]道具配置表!$A:$A,0))</f>
        <v>技能点1</v>
      </c>
      <c r="F7107" s="13">
        <v>8000</v>
      </c>
      <c r="K7107" s="13">
        <v>1</v>
      </c>
      <c r="M7107" s="124" t="b">
        <v>1</v>
      </c>
    </row>
    <row r="7108" spans="1:13" x14ac:dyDescent="0.25">
      <c r="A7108" s="13">
        <v>6678801</v>
      </c>
      <c r="B7108" s="13" t="s">
        <v>1752</v>
      </c>
      <c r="D7108" s="13">
        <v>7003</v>
      </c>
      <c r="E7108" s="136" t="str">
        <f>INDEX([1]道具配置表!$D:$D,MATCH(D7108,[1]道具配置表!$A:$A,0))</f>
        <v>1银币（立即使用，不进背包）</v>
      </c>
      <c r="F7108" s="13">
        <v>10000</v>
      </c>
      <c r="K7108" s="13">
        <v>1</v>
      </c>
      <c r="M7108" s="124" t="b">
        <v>1</v>
      </c>
    </row>
    <row r="7109" spans="1:13" x14ac:dyDescent="0.25">
      <c r="D7109" s="13">
        <v>7229</v>
      </c>
      <c r="E7109" s="136" t="str">
        <f>INDEX([1]道具配置表!$D:$D,MATCH(D7109,[1]道具配置表!$A:$A,0))</f>
        <v>经验书*50000</v>
      </c>
      <c r="F7109" s="13">
        <v>20</v>
      </c>
      <c r="K7109" s="13">
        <v>1</v>
      </c>
      <c r="M7109" s="124" t="b">
        <v>1</v>
      </c>
    </row>
    <row r="7110" spans="1:13" x14ac:dyDescent="0.25">
      <c r="D7110" s="13">
        <v>20000</v>
      </c>
      <c r="E7110" s="136" t="str">
        <f>INDEX([1]道具配置表!$D:$D,MATCH(D7110,[1]道具配置表!$A:$A,0))</f>
        <v>技能点1</v>
      </c>
      <c r="F7110" s="13">
        <v>20000</v>
      </c>
      <c r="K7110" s="13">
        <v>1</v>
      </c>
      <c r="M7110" s="124" t="b">
        <v>1</v>
      </c>
    </row>
    <row r="7111" spans="1:13" x14ac:dyDescent="0.25">
      <c r="A7111" s="13">
        <v>6678802</v>
      </c>
      <c r="B7111" s="13" t="s">
        <v>1753</v>
      </c>
      <c r="D7111" s="13">
        <v>7003</v>
      </c>
      <c r="E7111" s="136" t="str">
        <f>INDEX([1]道具配置表!$D:$D,MATCH(D7111,[1]道具配置表!$A:$A,0))</f>
        <v>1银币（立即使用，不进背包）</v>
      </c>
      <c r="F7111" s="13">
        <v>9500</v>
      </c>
      <c r="K7111" s="13">
        <v>1</v>
      </c>
      <c r="M7111" s="124" t="b">
        <v>1</v>
      </c>
    </row>
    <row r="7112" spans="1:13" x14ac:dyDescent="0.25">
      <c r="D7112" s="13">
        <v>7229</v>
      </c>
      <c r="E7112" s="136" t="str">
        <f>INDEX([1]道具配置表!$D:$D,MATCH(D7112,[1]道具配置表!$A:$A,0))</f>
        <v>经验书*50000</v>
      </c>
      <c r="F7112" s="13">
        <v>19</v>
      </c>
      <c r="K7112" s="13">
        <v>1</v>
      </c>
      <c r="M7112" s="124" t="b">
        <v>1</v>
      </c>
    </row>
    <row r="7113" spans="1:13" x14ac:dyDescent="0.25">
      <c r="D7113" s="13">
        <v>20000</v>
      </c>
      <c r="E7113" s="136" t="str">
        <f>INDEX([1]道具配置表!$D:$D,MATCH(D7113,[1]道具配置表!$A:$A,0))</f>
        <v>技能点1</v>
      </c>
      <c r="F7113" s="13">
        <v>19500</v>
      </c>
      <c r="K7113" s="13">
        <v>1</v>
      </c>
      <c r="M7113" s="124" t="b">
        <v>1</v>
      </c>
    </row>
    <row r="7114" spans="1:13" x14ac:dyDescent="0.25">
      <c r="A7114" s="13">
        <v>6678803</v>
      </c>
      <c r="B7114" s="13" t="s">
        <v>1754</v>
      </c>
      <c r="D7114" s="13">
        <v>7003</v>
      </c>
      <c r="E7114" s="136" t="str">
        <f>INDEX([1]道具配置表!$D:$D,MATCH(D7114,[1]道具配置表!$A:$A,0))</f>
        <v>1银币（立即使用，不进背包）</v>
      </c>
      <c r="F7114" s="13">
        <v>9000</v>
      </c>
      <c r="K7114" s="13">
        <v>1</v>
      </c>
      <c r="M7114" s="124" t="b">
        <v>1</v>
      </c>
    </row>
    <row r="7115" spans="1:13" x14ac:dyDescent="0.25">
      <c r="D7115" s="13">
        <v>7229</v>
      </c>
      <c r="E7115" s="136" t="str">
        <f>INDEX([1]道具配置表!$D:$D,MATCH(D7115,[1]道具配置表!$A:$A,0))</f>
        <v>经验书*50000</v>
      </c>
      <c r="F7115" s="13">
        <v>18</v>
      </c>
      <c r="K7115" s="13">
        <v>1</v>
      </c>
      <c r="M7115" s="124" t="b">
        <v>1</v>
      </c>
    </row>
    <row r="7116" spans="1:13" x14ac:dyDescent="0.25">
      <c r="D7116" s="13">
        <v>20000</v>
      </c>
      <c r="E7116" s="136" t="str">
        <f>INDEX([1]道具配置表!$D:$D,MATCH(D7116,[1]道具配置表!$A:$A,0))</f>
        <v>技能点1</v>
      </c>
      <c r="F7116" s="13">
        <v>19000</v>
      </c>
      <c r="K7116" s="13">
        <v>1</v>
      </c>
      <c r="M7116" s="124" t="b">
        <v>1</v>
      </c>
    </row>
    <row r="7117" spans="1:13" x14ac:dyDescent="0.25">
      <c r="A7117" s="13">
        <v>6678804</v>
      </c>
      <c r="B7117" s="13" t="s">
        <v>1755</v>
      </c>
      <c r="D7117" s="13">
        <v>7003</v>
      </c>
      <c r="E7117" s="136" t="str">
        <f>INDEX([1]道具配置表!$D:$D,MATCH(D7117,[1]道具配置表!$A:$A,0))</f>
        <v>1银币（立即使用，不进背包）</v>
      </c>
      <c r="F7117" s="13">
        <v>8500</v>
      </c>
      <c r="K7117" s="13">
        <v>1</v>
      </c>
      <c r="M7117" s="124" t="b">
        <v>1</v>
      </c>
    </row>
    <row r="7118" spans="1:13" x14ac:dyDescent="0.25">
      <c r="D7118" s="13">
        <v>7229</v>
      </c>
      <c r="E7118" s="136" t="str">
        <f>INDEX([1]道具配置表!$D:$D,MATCH(D7118,[1]道具配置表!$A:$A,0))</f>
        <v>经验书*50000</v>
      </c>
      <c r="F7118" s="13">
        <v>17</v>
      </c>
      <c r="K7118" s="13">
        <v>1</v>
      </c>
      <c r="M7118" s="124" t="b">
        <v>1</v>
      </c>
    </row>
    <row r="7119" spans="1:13" x14ac:dyDescent="0.25">
      <c r="D7119" s="13">
        <v>20000</v>
      </c>
      <c r="E7119" s="136" t="str">
        <f>INDEX([1]道具配置表!$D:$D,MATCH(D7119,[1]道具配置表!$A:$A,0))</f>
        <v>技能点1</v>
      </c>
      <c r="F7119" s="13">
        <v>18500</v>
      </c>
      <c r="K7119" s="13">
        <v>1</v>
      </c>
      <c r="M7119" s="124" t="b">
        <v>1</v>
      </c>
    </row>
    <row r="7120" spans="1:13" x14ac:dyDescent="0.25">
      <c r="A7120" s="13">
        <v>6678805</v>
      </c>
      <c r="B7120" s="13" t="s">
        <v>1756</v>
      </c>
      <c r="D7120" s="13">
        <v>7003</v>
      </c>
      <c r="E7120" s="136" t="str">
        <f>INDEX([1]道具配置表!$D:$D,MATCH(D7120,[1]道具配置表!$A:$A,0))</f>
        <v>1银币（立即使用，不进背包）</v>
      </c>
      <c r="F7120" s="13">
        <v>8000</v>
      </c>
      <c r="K7120" s="13">
        <v>1</v>
      </c>
      <c r="M7120" s="124" t="b">
        <v>1</v>
      </c>
    </row>
    <row r="7121" spans="1:13" x14ac:dyDescent="0.25">
      <c r="D7121" s="13">
        <v>7229</v>
      </c>
      <c r="E7121" s="136" t="str">
        <f>INDEX([1]道具配置表!$D:$D,MATCH(D7121,[1]道具配置表!$A:$A,0))</f>
        <v>经验书*50000</v>
      </c>
      <c r="F7121" s="13">
        <v>16</v>
      </c>
      <c r="K7121" s="13">
        <v>1</v>
      </c>
      <c r="M7121" s="124" t="b">
        <v>1</v>
      </c>
    </row>
    <row r="7122" spans="1:13" x14ac:dyDescent="0.25">
      <c r="D7122" s="13">
        <v>20000</v>
      </c>
      <c r="E7122" s="136" t="str">
        <f>INDEX([1]道具配置表!$D:$D,MATCH(D7122,[1]道具配置表!$A:$A,0))</f>
        <v>技能点1</v>
      </c>
      <c r="F7122" s="13">
        <v>18000</v>
      </c>
      <c r="K7122" s="13">
        <v>1</v>
      </c>
      <c r="M7122" s="124" t="b">
        <v>1</v>
      </c>
    </row>
    <row r="7123" spans="1:13" x14ac:dyDescent="0.25">
      <c r="A7123" s="13">
        <v>6678806</v>
      </c>
      <c r="B7123" s="13" t="s">
        <v>1757</v>
      </c>
      <c r="D7123" s="13">
        <v>7003</v>
      </c>
      <c r="E7123" s="136" t="str">
        <f>INDEX([1]道具配置表!$D:$D,MATCH(D7123,[1]道具配置表!$A:$A,0))</f>
        <v>1银币（立即使用，不进背包）</v>
      </c>
      <c r="F7123" s="13">
        <v>7500</v>
      </c>
      <c r="K7123" s="13">
        <v>1</v>
      </c>
      <c r="M7123" s="124" t="b">
        <v>1</v>
      </c>
    </row>
    <row r="7124" spans="1:13" x14ac:dyDescent="0.25">
      <c r="D7124" s="13">
        <v>7229</v>
      </c>
      <c r="E7124" s="136" t="str">
        <f>INDEX([1]道具配置表!$D:$D,MATCH(D7124,[1]道具配置表!$A:$A,0))</f>
        <v>经验书*50000</v>
      </c>
      <c r="F7124" s="13">
        <v>15</v>
      </c>
      <c r="K7124" s="13">
        <v>1</v>
      </c>
      <c r="M7124" s="124" t="b">
        <v>1</v>
      </c>
    </row>
    <row r="7125" spans="1:13" x14ac:dyDescent="0.25">
      <c r="D7125" s="13">
        <v>20000</v>
      </c>
      <c r="E7125" s="136" t="str">
        <f>INDEX([1]道具配置表!$D:$D,MATCH(D7125,[1]道具配置表!$A:$A,0))</f>
        <v>技能点1</v>
      </c>
      <c r="F7125" s="13">
        <v>17500</v>
      </c>
      <c r="K7125" s="13">
        <v>1</v>
      </c>
      <c r="M7125" s="124" t="b">
        <v>1</v>
      </c>
    </row>
    <row r="7126" spans="1:13" x14ac:dyDescent="0.25">
      <c r="A7126" s="13">
        <v>6678807</v>
      </c>
      <c r="B7126" s="13" t="s">
        <v>1758</v>
      </c>
      <c r="D7126" s="13">
        <v>7003</v>
      </c>
      <c r="E7126" s="136" t="str">
        <f>INDEX([1]道具配置表!$D:$D,MATCH(D7126,[1]道具配置表!$A:$A,0))</f>
        <v>1银币（立即使用，不进背包）</v>
      </c>
      <c r="F7126" s="13">
        <v>7000</v>
      </c>
      <c r="K7126" s="13">
        <v>1</v>
      </c>
      <c r="M7126" s="124" t="b">
        <v>1</v>
      </c>
    </row>
    <row r="7127" spans="1:13" x14ac:dyDescent="0.25">
      <c r="D7127" s="13">
        <v>7229</v>
      </c>
      <c r="E7127" s="136" t="str">
        <f>INDEX([1]道具配置表!$D:$D,MATCH(D7127,[1]道具配置表!$A:$A,0))</f>
        <v>经验书*50000</v>
      </c>
      <c r="F7127" s="13">
        <v>14</v>
      </c>
      <c r="K7127" s="13">
        <v>1</v>
      </c>
      <c r="M7127" s="124" t="b">
        <v>1</v>
      </c>
    </row>
    <row r="7128" spans="1:13" x14ac:dyDescent="0.25">
      <c r="D7128" s="13">
        <v>20000</v>
      </c>
      <c r="E7128" s="136" t="str">
        <f>INDEX([1]道具配置表!$D:$D,MATCH(D7128,[1]道具配置表!$A:$A,0))</f>
        <v>技能点1</v>
      </c>
      <c r="F7128" s="13">
        <v>17000</v>
      </c>
      <c r="K7128" s="13">
        <v>1</v>
      </c>
      <c r="M7128" s="124" t="b">
        <v>1</v>
      </c>
    </row>
    <row r="7129" spans="1:13" x14ac:dyDescent="0.25">
      <c r="A7129" s="13">
        <v>6678808</v>
      </c>
      <c r="B7129" s="13" t="s">
        <v>1759</v>
      </c>
      <c r="D7129" s="13">
        <v>7003</v>
      </c>
      <c r="E7129" s="136" t="str">
        <f>INDEX([1]道具配置表!$D:$D,MATCH(D7129,[1]道具配置表!$A:$A,0))</f>
        <v>1银币（立即使用，不进背包）</v>
      </c>
      <c r="F7129" s="13">
        <v>6500</v>
      </c>
      <c r="K7129" s="13">
        <v>1</v>
      </c>
      <c r="M7129" s="124" t="b">
        <v>1</v>
      </c>
    </row>
    <row r="7130" spans="1:13" x14ac:dyDescent="0.25">
      <c r="D7130" s="13">
        <v>7229</v>
      </c>
      <c r="E7130" s="136" t="str">
        <f>INDEX([1]道具配置表!$D:$D,MATCH(D7130,[1]道具配置表!$A:$A,0))</f>
        <v>经验书*50000</v>
      </c>
      <c r="F7130" s="13">
        <v>13</v>
      </c>
      <c r="K7130" s="13">
        <v>1</v>
      </c>
      <c r="M7130" s="124" t="b">
        <v>1</v>
      </c>
    </row>
    <row r="7131" spans="1:13" x14ac:dyDescent="0.25">
      <c r="D7131" s="13">
        <v>20000</v>
      </c>
      <c r="E7131" s="136" t="str">
        <f>INDEX([1]道具配置表!$D:$D,MATCH(D7131,[1]道具配置表!$A:$A,0))</f>
        <v>技能点1</v>
      </c>
      <c r="F7131" s="13">
        <v>16500</v>
      </c>
      <c r="K7131" s="13">
        <v>1</v>
      </c>
      <c r="M7131" s="124" t="b">
        <v>1</v>
      </c>
    </row>
    <row r="7132" spans="1:13" x14ac:dyDescent="0.25">
      <c r="A7132" s="13">
        <v>6678809</v>
      </c>
      <c r="B7132" s="13" t="s">
        <v>1760</v>
      </c>
      <c r="D7132" s="13">
        <v>7003</v>
      </c>
      <c r="E7132" s="136" t="str">
        <f>INDEX([1]道具配置表!$D:$D,MATCH(D7132,[1]道具配置表!$A:$A,0))</f>
        <v>1银币（立即使用，不进背包）</v>
      </c>
      <c r="F7132" s="13">
        <v>6000</v>
      </c>
      <c r="K7132" s="13">
        <v>1</v>
      </c>
      <c r="M7132" s="124" t="b">
        <v>1</v>
      </c>
    </row>
    <row r="7133" spans="1:13" x14ac:dyDescent="0.25">
      <c r="D7133" s="13">
        <v>7229</v>
      </c>
      <c r="E7133" s="136" t="str">
        <f>INDEX([1]道具配置表!$D:$D,MATCH(D7133,[1]道具配置表!$A:$A,0))</f>
        <v>经验书*50000</v>
      </c>
      <c r="F7133" s="13">
        <v>12</v>
      </c>
      <c r="K7133" s="13">
        <v>1</v>
      </c>
      <c r="M7133" s="124" t="b">
        <v>1</v>
      </c>
    </row>
    <row r="7134" spans="1:13" x14ac:dyDescent="0.25">
      <c r="D7134" s="13">
        <v>20000</v>
      </c>
      <c r="E7134" s="136" t="str">
        <f>INDEX([1]道具配置表!$D:$D,MATCH(D7134,[1]道具配置表!$A:$A,0))</f>
        <v>技能点1</v>
      </c>
      <c r="F7134" s="13">
        <v>16000</v>
      </c>
      <c r="K7134" s="13">
        <v>1</v>
      </c>
      <c r="M7134" s="124" t="b">
        <v>1</v>
      </c>
    </row>
    <row r="7135" spans="1:13" x14ac:dyDescent="0.25">
      <c r="A7135" s="13">
        <v>6678810</v>
      </c>
      <c r="B7135" s="13" t="s">
        <v>1761</v>
      </c>
      <c r="D7135" s="13">
        <v>7003</v>
      </c>
      <c r="E7135" s="136" t="str">
        <f>INDEX([1]道具配置表!$D:$D,MATCH(D7135,[1]道具配置表!$A:$A,0))</f>
        <v>1银币（立即使用，不进背包）</v>
      </c>
      <c r="F7135" s="13">
        <v>5500</v>
      </c>
      <c r="K7135" s="13">
        <v>1</v>
      </c>
      <c r="M7135" s="124" t="b">
        <v>1</v>
      </c>
    </row>
    <row r="7136" spans="1:13" x14ac:dyDescent="0.25">
      <c r="D7136" s="13">
        <v>7229</v>
      </c>
      <c r="E7136" s="136" t="str">
        <f>INDEX([1]道具配置表!$D:$D,MATCH(D7136,[1]道具配置表!$A:$A,0))</f>
        <v>经验书*50000</v>
      </c>
      <c r="F7136" s="13">
        <v>11</v>
      </c>
      <c r="K7136" s="13">
        <v>1</v>
      </c>
      <c r="M7136" s="124" t="b">
        <v>1</v>
      </c>
    </row>
    <row r="7137" spans="1:13" x14ac:dyDescent="0.25">
      <c r="D7137" s="13">
        <v>20000</v>
      </c>
      <c r="E7137" s="136" t="str">
        <f>INDEX([1]道具配置表!$D:$D,MATCH(D7137,[1]道具配置表!$A:$A,0))</f>
        <v>技能点1</v>
      </c>
      <c r="F7137" s="13">
        <v>15500</v>
      </c>
      <c r="K7137" s="13">
        <v>1</v>
      </c>
      <c r="M7137" s="124" t="b">
        <v>1</v>
      </c>
    </row>
    <row r="7138" spans="1:13" x14ac:dyDescent="0.25">
      <c r="A7138" s="13">
        <v>6678811</v>
      </c>
      <c r="B7138" s="13" t="s">
        <v>1762</v>
      </c>
      <c r="D7138" s="13">
        <v>7003</v>
      </c>
      <c r="E7138" s="136" t="str">
        <f>INDEX([1]道具配置表!$D:$D,MATCH(D7138,[1]道具配置表!$A:$A,0))</f>
        <v>1银币（立即使用，不进背包）</v>
      </c>
      <c r="F7138" s="13">
        <v>5000</v>
      </c>
      <c r="K7138" s="13">
        <v>1</v>
      </c>
      <c r="M7138" s="124" t="b">
        <v>1</v>
      </c>
    </row>
    <row r="7139" spans="1:13" x14ac:dyDescent="0.25">
      <c r="D7139" s="13">
        <v>7229</v>
      </c>
      <c r="E7139" s="136" t="str">
        <f>INDEX([1]道具配置表!$D:$D,MATCH(D7139,[1]道具配置表!$A:$A,0))</f>
        <v>经验书*50000</v>
      </c>
      <c r="F7139" s="13">
        <v>10</v>
      </c>
      <c r="K7139" s="13">
        <v>1</v>
      </c>
      <c r="M7139" s="124" t="b">
        <v>1</v>
      </c>
    </row>
    <row r="7140" spans="1:13" x14ac:dyDescent="0.25">
      <c r="D7140" s="13">
        <v>20000</v>
      </c>
      <c r="E7140" s="136" t="str">
        <f>INDEX([1]道具配置表!$D:$D,MATCH(D7140,[1]道具配置表!$A:$A,0))</f>
        <v>技能点1</v>
      </c>
      <c r="F7140" s="13">
        <v>15000</v>
      </c>
      <c r="K7140" s="13">
        <v>1</v>
      </c>
      <c r="M7140" s="124" t="b">
        <v>1</v>
      </c>
    </row>
    <row r="7141" spans="1:13" x14ac:dyDescent="0.25">
      <c r="A7141" s="13">
        <v>6678812</v>
      </c>
      <c r="B7141" s="13" t="s">
        <v>1763</v>
      </c>
      <c r="D7141" s="13">
        <v>7003</v>
      </c>
      <c r="E7141" s="136" t="str">
        <f>INDEX([1]道具配置表!$D:$D,MATCH(D7141,[1]道具配置表!$A:$A,0))</f>
        <v>1银币（立即使用，不进背包）</v>
      </c>
      <c r="F7141" s="13">
        <v>4500</v>
      </c>
      <c r="K7141" s="13">
        <v>1</v>
      </c>
      <c r="M7141" s="124" t="b">
        <v>1</v>
      </c>
    </row>
    <row r="7142" spans="1:13" x14ac:dyDescent="0.25">
      <c r="D7142" s="13">
        <v>7229</v>
      </c>
      <c r="E7142" s="136" t="str">
        <f>INDEX([1]道具配置表!$D:$D,MATCH(D7142,[1]道具配置表!$A:$A,0))</f>
        <v>经验书*50000</v>
      </c>
      <c r="F7142" s="13">
        <v>10</v>
      </c>
      <c r="K7142" s="13">
        <v>1</v>
      </c>
      <c r="M7142" s="124" t="b">
        <v>1</v>
      </c>
    </row>
    <row r="7143" spans="1:13" x14ac:dyDescent="0.25">
      <c r="D7143" s="13">
        <v>20000</v>
      </c>
      <c r="E7143" s="136" t="str">
        <f>INDEX([1]道具配置表!$D:$D,MATCH(D7143,[1]道具配置表!$A:$A,0))</f>
        <v>技能点1</v>
      </c>
      <c r="F7143" s="13">
        <v>14500</v>
      </c>
      <c r="K7143" s="13">
        <v>1</v>
      </c>
      <c r="M7143" s="124" t="b">
        <v>1</v>
      </c>
    </row>
    <row r="7144" spans="1:13" x14ac:dyDescent="0.25">
      <c r="A7144" s="13">
        <v>6678813</v>
      </c>
      <c r="B7144" s="13" t="s">
        <v>1764</v>
      </c>
      <c r="D7144" s="13">
        <v>7003</v>
      </c>
      <c r="E7144" s="136" t="str">
        <f>INDEX([1]道具配置表!$D:$D,MATCH(D7144,[1]道具配置表!$A:$A,0))</f>
        <v>1银币（立即使用，不进背包）</v>
      </c>
      <c r="F7144" s="13">
        <v>4000</v>
      </c>
      <c r="K7144" s="13">
        <v>1</v>
      </c>
      <c r="M7144" s="124" t="b">
        <v>1</v>
      </c>
    </row>
    <row r="7145" spans="1:13" x14ac:dyDescent="0.25">
      <c r="D7145" s="13">
        <v>7229</v>
      </c>
      <c r="E7145" s="136" t="str">
        <f>INDEX([1]道具配置表!$D:$D,MATCH(D7145,[1]道具配置表!$A:$A,0))</f>
        <v>经验书*50000</v>
      </c>
      <c r="F7145" s="13">
        <v>8</v>
      </c>
      <c r="K7145" s="13">
        <v>1</v>
      </c>
      <c r="M7145" s="124" t="b">
        <v>1</v>
      </c>
    </row>
    <row r="7146" spans="1:13" x14ac:dyDescent="0.25">
      <c r="D7146" s="13">
        <v>20000</v>
      </c>
      <c r="E7146" s="136" t="str">
        <f>INDEX([1]道具配置表!$D:$D,MATCH(D7146,[1]道具配置表!$A:$A,0))</f>
        <v>技能点1</v>
      </c>
      <c r="F7146" s="13">
        <v>14000</v>
      </c>
      <c r="K7146" s="13">
        <v>1</v>
      </c>
      <c r="M7146" s="124" t="b">
        <v>1</v>
      </c>
    </row>
    <row r="7147" spans="1:13" x14ac:dyDescent="0.25">
      <c r="A7147" s="13">
        <v>6678814</v>
      </c>
      <c r="B7147" s="13" t="s">
        <v>1765</v>
      </c>
      <c r="D7147" s="13">
        <v>7003</v>
      </c>
      <c r="E7147" s="136" t="str">
        <f>INDEX([1]道具配置表!$D:$D,MATCH(D7147,[1]道具配置表!$A:$A,0))</f>
        <v>1银币（立即使用，不进背包）</v>
      </c>
      <c r="F7147" s="13">
        <v>3500</v>
      </c>
      <c r="K7147" s="13">
        <v>1</v>
      </c>
      <c r="M7147" s="124" t="b">
        <v>1</v>
      </c>
    </row>
    <row r="7148" spans="1:13" x14ac:dyDescent="0.25">
      <c r="D7148" s="13">
        <v>7229</v>
      </c>
      <c r="E7148" s="136" t="str">
        <f>INDEX([1]道具配置表!$D:$D,MATCH(D7148,[1]道具配置表!$A:$A,0))</f>
        <v>经验书*50000</v>
      </c>
      <c r="F7148" s="13">
        <v>8</v>
      </c>
      <c r="K7148" s="13">
        <v>1</v>
      </c>
      <c r="M7148" s="124" t="b">
        <v>1</v>
      </c>
    </row>
    <row r="7149" spans="1:13" x14ac:dyDescent="0.25">
      <c r="D7149" s="13">
        <v>20000</v>
      </c>
      <c r="E7149" s="136" t="str">
        <f>INDEX([1]道具配置表!$D:$D,MATCH(D7149,[1]道具配置表!$A:$A,0))</f>
        <v>技能点1</v>
      </c>
      <c r="F7149" s="13">
        <v>13500</v>
      </c>
      <c r="K7149" s="13">
        <v>1</v>
      </c>
      <c r="M7149" s="124" t="b">
        <v>1</v>
      </c>
    </row>
    <row r="7150" spans="1:13" x14ac:dyDescent="0.25">
      <c r="A7150" s="102">
        <v>6678815</v>
      </c>
      <c r="B7150" s="102" t="s">
        <v>1771</v>
      </c>
      <c r="C7150" s="102"/>
      <c r="D7150" s="102">
        <v>42179</v>
      </c>
      <c r="E7150" s="136" t="str">
        <f>INDEX([1]道具配置表!$D:$D,MATCH(D7150,[1]道具配置表!$A:$A,0))</f>
        <v>黄金加冕头像框（限时42天）</v>
      </c>
      <c r="F7150" s="102">
        <v>1</v>
      </c>
      <c r="G7150" s="102"/>
      <c r="H7150" s="102"/>
      <c r="I7150" s="102"/>
      <c r="J7150" s="102"/>
      <c r="K7150" s="102">
        <v>1</v>
      </c>
      <c r="L7150" s="102"/>
      <c r="M7150" s="22" t="b">
        <v>1</v>
      </c>
    </row>
    <row r="7151" spans="1:13" x14ac:dyDescent="0.25">
      <c r="A7151" s="102">
        <v>6678816</v>
      </c>
      <c r="B7151" s="102" t="s">
        <v>1772</v>
      </c>
      <c r="C7151" s="102"/>
      <c r="D7151" s="102">
        <v>42177</v>
      </c>
      <c r="E7151" s="136" t="str">
        <f>INDEX([1]道具配置表!$D:$D,MATCH(D7151,[1]道具配置表!$A:$A,0))</f>
        <v>不败之王头像框（限时42天）</v>
      </c>
      <c r="F7151" s="102">
        <v>1</v>
      </c>
      <c r="G7151" s="102"/>
      <c r="H7151" s="102"/>
      <c r="I7151" s="102"/>
      <c r="J7151" s="102"/>
      <c r="K7151" s="102">
        <v>1</v>
      </c>
      <c r="L7151" s="102"/>
      <c r="M7151" s="22" t="b">
        <v>1</v>
      </c>
    </row>
    <row r="7152" spans="1:13" x14ac:dyDescent="0.25">
      <c r="A7152" s="102">
        <v>6678817</v>
      </c>
      <c r="B7152" s="102" t="s">
        <v>1773</v>
      </c>
      <c r="C7152" s="102"/>
      <c r="D7152" s="102">
        <v>42175</v>
      </c>
      <c r="E7152" s="136" t="str">
        <f>INDEX([1]道具配置表!$D:$D,MATCH(D7152,[1]道具配置表!$A:$A,0))</f>
        <v>无暇之王头像框（限时42天）</v>
      </c>
      <c r="F7152" s="102">
        <v>1</v>
      </c>
      <c r="G7152" s="102"/>
      <c r="H7152" s="102"/>
      <c r="I7152" s="102"/>
      <c r="J7152" s="102"/>
      <c r="K7152" s="102">
        <v>1</v>
      </c>
      <c r="L7152" s="102"/>
      <c r="M7152" s="22" t="b">
        <v>1</v>
      </c>
    </row>
    <row r="7153" spans="1:13" x14ac:dyDescent="0.25">
      <c r="A7153" s="13">
        <v>6678901</v>
      </c>
      <c r="B7153" s="13" t="s">
        <v>1770</v>
      </c>
      <c r="D7153" s="13">
        <v>6105</v>
      </c>
      <c r="E7153" s="136" t="str">
        <f>INDEX([1]道具配置表!$D:$D,MATCH(D7153,[1]道具配置表!$A:$A,0))</f>
        <v>60分钟通用加速</v>
      </c>
      <c r="F7153" s="13">
        <v>10</v>
      </c>
      <c r="K7153" s="13">
        <v>1</v>
      </c>
      <c r="M7153" s="22" t="b">
        <v>1</v>
      </c>
    </row>
    <row r="7154" spans="1:13" x14ac:dyDescent="0.25">
      <c r="D7154" s="13">
        <v>507</v>
      </c>
      <c r="E7154" s="136" t="str">
        <f>INDEX([1]道具配置表!$D:$D,MATCH(D7154,[1]道具配置表!$A:$A,0))</f>
        <v>100万资源自选宝箱</v>
      </c>
      <c r="F7154" s="13">
        <v>5</v>
      </c>
      <c r="K7154" s="13">
        <v>1</v>
      </c>
      <c r="M7154" s="126" t="b">
        <v>1</v>
      </c>
    </row>
    <row r="7155" spans="1:13" x14ac:dyDescent="0.25">
      <c r="A7155" s="13">
        <v>6679001</v>
      </c>
      <c r="B7155" s="13" t="s">
        <v>1774</v>
      </c>
      <c r="D7155" s="102">
        <v>62055</v>
      </c>
      <c r="E7155" s="136" t="str">
        <f>INDEX([1]道具配置表!$D:$D,MATCH(D7155,[1]道具配置表!$A:$A,0))</f>
        <v>至高远征行军套装</v>
      </c>
      <c r="F7155" s="13">
        <v>1</v>
      </c>
      <c r="K7155" s="13">
        <v>1</v>
      </c>
      <c r="M7155" s="22" t="b">
        <v>1</v>
      </c>
    </row>
    <row r="7156" spans="1:13" x14ac:dyDescent="0.25">
      <c r="D7156" s="102">
        <v>61033</v>
      </c>
      <c r="E7156" s="136" t="str">
        <f>INDEX([1]道具配置表!$D:$D,MATCH(D7156,[1]道具配置表!$A:$A,0))</f>
        <v>光之廷聊天气泡</v>
      </c>
      <c r="F7156" s="13">
        <v>1</v>
      </c>
      <c r="K7156" s="13">
        <v>1</v>
      </c>
      <c r="M7156" s="126" t="b">
        <v>1</v>
      </c>
    </row>
    <row r="7157" spans="1:13" x14ac:dyDescent="0.25">
      <c r="A7157" s="13">
        <v>6680101</v>
      </c>
      <c r="B7157" s="13" t="s">
        <v>1596</v>
      </c>
      <c r="D7157" s="13">
        <v>6801</v>
      </c>
      <c r="E7157" s="136" t="str">
        <f>INDEX([1]道具配置表!$D:$D,MATCH(D7157,[1]道具配置表!$A:$A,0))</f>
        <v>最强帝国金币</v>
      </c>
      <c r="F7157" s="13">
        <v>100</v>
      </c>
      <c r="K7157" s="13">
        <v>1</v>
      </c>
      <c r="M7157" s="22" t="b">
        <v>1</v>
      </c>
    </row>
    <row r="7158" spans="1:13" x14ac:dyDescent="0.25">
      <c r="D7158" s="13">
        <v>6125</v>
      </c>
      <c r="E7158" s="136" t="str">
        <f>INDEX([1]道具配置表!$D:$D,MATCH(D7158,[1]道具配置表!$A:$A,0))</f>
        <v>60分钟建造加速</v>
      </c>
      <c r="F7158" s="13">
        <v>5</v>
      </c>
      <c r="K7158" s="13">
        <v>1</v>
      </c>
      <c r="M7158" s="109" t="b">
        <v>1</v>
      </c>
    </row>
    <row r="7159" spans="1:13" x14ac:dyDescent="0.25">
      <c r="D7159" s="13">
        <v>505</v>
      </c>
      <c r="E7159" s="136" t="str">
        <f>INDEX([1]道具配置表!$D:$D,MATCH(D7159,[1]道具配置表!$A:$A,0))</f>
        <v>20万资源自选宝箱</v>
      </c>
      <c r="F7159" s="13">
        <v>5</v>
      </c>
      <c r="K7159" s="13">
        <v>1</v>
      </c>
      <c r="M7159" s="109" t="b">
        <v>1</v>
      </c>
    </row>
    <row r="7160" spans="1:13" x14ac:dyDescent="0.25">
      <c r="A7160" s="13">
        <v>6680102</v>
      </c>
      <c r="B7160" s="13" t="s">
        <v>1597</v>
      </c>
      <c r="D7160" s="13">
        <v>6801</v>
      </c>
      <c r="E7160" s="136" t="str">
        <f>INDEX([1]道具配置表!$D:$D,MATCH(D7160,[1]道具配置表!$A:$A,0))</f>
        <v>最强帝国金币</v>
      </c>
      <c r="F7160" s="13">
        <v>300</v>
      </c>
      <c r="K7160" s="13">
        <v>1</v>
      </c>
      <c r="M7160" s="109" t="b">
        <v>1</v>
      </c>
    </row>
    <row r="7161" spans="1:13" x14ac:dyDescent="0.25">
      <c r="D7161" s="13">
        <v>6145</v>
      </c>
      <c r="E7161" s="136" t="str">
        <f>INDEX([1]道具配置表!$D:$D,MATCH(D7161,[1]道具配置表!$A:$A,0))</f>
        <v>60分钟科技加速</v>
      </c>
      <c r="F7161" s="13">
        <v>5</v>
      </c>
      <c r="K7161" s="13">
        <v>1</v>
      </c>
      <c r="M7161" s="109" t="b">
        <v>1</v>
      </c>
    </row>
    <row r="7162" spans="1:13" x14ac:dyDescent="0.25">
      <c r="D7162" s="13">
        <v>505</v>
      </c>
      <c r="E7162" s="136" t="str">
        <f>INDEX([1]道具配置表!$D:$D,MATCH(D7162,[1]道具配置表!$A:$A,0))</f>
        <v>20万资源自选宝箱</v>
      </c>
      <c r="F7162" s="13">
        <v>8</v>
      </c>
      <c r="K7162" s="13">
        <v>1</v>
      </c>
      <c r="M7162" s="109" t="b">
        <v>1</v>
      </c>
    </row>
    <row r="7163" spans="1:13" x14ac:dyDescent="0.25">
      <c r="A7163" s="13">
        <v>6680103</v>
      </c>
      <c r="B7163" s="13" t="s">
        <v>1598</v>
      </c>
      <c r="D7163" s="13">
        <v>6801</v>
      </c>
      <c r="E7163" s="136" t="str">
        <f>INDEX([1]道具配置表!$D:$D,MATCH(D7163,[1]道具配置表!$A:$A,0))</f>
        <v>最强帝国金币</v>
      </c>
      <c r="F7163" s="13">
        <v>500</v>
      </c>
      <c r="K7163" s="13">
        <v>1</v>
      </c>
      <c r="M7163" s="109" t="b">
        <v>1</v>
      </c>
    </row>
    <row r="7164" spans="1:13" x14ac:dyDescent="0.25">
      <c r="D7164" s="13">
        <v>6800</v>
      </c>
      <c r="E7164" s="136" t="str">
        <f>INDEX([1]道具配置表!$D:$D,MATCH(D7164,[1]道具配置表!$A:$A,0))</f>
        <v>帝国荣耀勋章</v>
      </c>
      <c r="F7164" s="13">
        <v>1</v>
      </c>
      <c r="K7164" s="13">
        <v>1</v>
      </c>
      <c r="M7164" s="113" t="b">
        <v>1</v>
      </c>
    </row>
    <row r="7165" spans="1:13" x14ac:dyDescent="0.25">
      <c r="D7165" s="13">
        <v>6165</v>
      </c>
      <c r="E7165" s="136" t="str">
        <f>INDEX([1]道具配置表!$D:$D,MATCH(D7165,[1]道具配置表!$A:$A,0))</f>
        <v>60分钟训练加速</v>
      </c>
      <c r="F7165" s="13">
        <v>5</v>
      </c>
      <c r="K7165" s="13">
        <v>1</v>
      </c>
      <c r="M7165" s="109" t="b">
        <v>1</v>
      </c>
    </row>
    <row r="7166" spans="1:13" x14ac:dyDescent="0.25">
      <c r="D7166" s="13">
        <v>505</v>
      </c>
      <c r="E7166" s="136" t="str">
        <f>INDEX([1]道具配置表!$D:$D,MATCH(D7166,[1]道具配置表!$A:$A,0))</f>
        <v>20万资源自选宝箱</v>
      </c>
      <c r="F7166" s="13">
        <v>12</v>
      </c>
      <c r="K7166" s="13">
        <v>1</v>
      </c>
      <c r="M7166" s="109" t="b">
        <v>1</v>
      </c>
    </row>
    <row r="7167" spans="1:13" x14ac:dyDescent="0.25">
      <c r="A7167" s="13">
        <v>6680201</v>
      </c>
      <c r="B7167" s="13" t="s">
        <v>1599</v>
      </c>
      <c r="D7167" s="13">
        <v>6801</v>
      </c>
      <c r="E7167" s="136" t="str">
        <f>INDEX([1]道具配置表!$D:$D,MATCH(D7167,[1]道具配置表!$A:$A,0))</f>
        <v>最强帝国金币</v>
      </c>
      <c r="F7167" s="13">
        <v>100</v>
      </c>
      <c r="K7167" s="13">
        <v>1</v>
      </c>
      <c r="M7167" s="109" t="b">
        <v>1</v>
      </c>
    </row>
    <row r="7168" spans="1:13" x14ac:dyDescent="0.25">
      <c r="D7168" s="13">
        <v>6125</v>
      </c>
      <c r="E7168" s="136" t="str">
        <f>INDEX([1]道具配置表!$D:$D,MATCH(D7168,[1]道具配置表!$A:$A,0))</f>
        <v>60分钟建造加速</v>
      </c>
      <c r="F7168" s="13">
        <v>5</v>
      </c>
      <c r="K7168" s="13">
        <v>1</v>
      </c>
      <c r="M7168" s="109" t="b">
        <v>1</v>
      </c>
    </row>
    <row r="7169" spans="1:13" x14ac:dyDescent="0.25">
      <c r="D7169" s="13">
        <v>505</v>
      </c>
      <c r="E7169" s="136" t="str">
        <f>INDEX([1]道具配置表!$D:$D,MATCH(D7169,[1]道具配置表!$A:$A,0))</f>
        <v>20万资源自选宝箱</v>
      </c>
      <c r="F7169" s="13">
        <v>5</v>
      </c>
      <c r="K7169" s="13">
        <v>1</v>
      </c>
      <c r="M7169" s="109" t="b">
        <v>1</v>
      </c>
    </row>
    <row r="7170" spans="1:13" x14ac:dyDescent="0.25">
      <c r="A7170" s="13">
        <v>6680202</v>
      </c>
      <c r="B7170" s="13" t="s">
        <v>1600</v>
      </c>
      <c r="D7170" s="13">
        <v>6801</v>
      </c>
      <c r="E7170" s="136" t="str">
        <f>INDEX([1]道具配置表!$D:$D,MATCH(D7170,[1]道具配置表!$A:$A,0))</f>
        <v>最强帝国金币</v>
      </c>
      <c r="F7170" s="13">
        <v>300</v>
      </c>
      <c r="K7170" s="13">
        <v>1</v>
      </c>
      <c r="M7170" s="109" t="b">
        <v>1</v>
      </c>
    </row>
    <row r="7171" spans="1:13" x14ac:dyDescent="0.25">
      <c r="D7171" s="13">
        <v>6145</v>
      </c>
      <c r="E7171" s="136" t="str">
        <f>INDEX([1]道具配置表!$D:$D,MATCH(D7171,[1]道具配置表!$A:$A,0))</f>
        <v>60分钟科技加速</v>
      </c>
      <c r="F7171" s="13">
        <v>5</v>
      </c>
      <c r="K7171" s="13">
        <v>1</v>
      </c>
      <c r="M7171" s="109" t="b">
        <v>1</v>
      </c>
    </row>
    <row r="7172" spans="1:13" x14ac:dyDescent="0.25">
      <c r="D7172" s="13">
        <v>505</v>
      </c>
      <c r="E7172" s="136" t="str">
        <f>INDEX([1]道具配置表!$D:$D,MATCH(D7172,[1]道具配置表!$A:$A,0))</f>
        <v>20万资源自选宝箱</v>
      </c>
      <c r="F7172" s="13">
        <v>8</v>
      </c>
      <c r="K7172" s="13">
        <v>1</v>
      </c>
      <c r="M7172" s="109" t="b">
        <v>1</v>
      </c>
    </row>
    <row r="7173" spans="1:13" x14ac:dyDescent="0.25">
      <c r="A7173" s="13">
        <v>6680203</v>
      </c>
      <c r="B7173" s="13" t="s">
        <v>1601</v>
      </c>
      <c r="D7173" s="13">
        <v>6801</v>
      </c>
      <c r="E7173" s="136" t="str">
        <f>INDEX([1]道具配置表!$D:$D,MATCH(D7173,[1]道具配置表!$A:$A,0))</f>
        <v>最强帝国金币</v>
      </c>
      <c r="F7173" s="13">
        <v>500</v>
      </c>
      <c r="K7173" s="13">
        <v>1</v>
      </c>
      <c r="M7173" s="109" t="b">
        <v>1</v>
      </c>
    </row>
    <row r="7174" spans="1:13" x14ac:dyDescent="0.25">
      <c r="D7174" s="13">
        <v>6800</v>
      </c>
      <c r="E7174" s="136" t="str">
        <f>INDEX([1]道具配置表!$D:$D,MATCH(D7174,[1]道具配置表!$A:$A,0))</f>
        <v>帝国荣耀勋章</v>
      </c>
      <c r="F7174" s="13">
        <v>1</v>
      </c>
      <c r="K7174" s="13">
        <v>1</v>
      </c>
      <c r="M7174" s="113" t="b">
        <v>1</v>
      </c>
    </row>
    <row r="7175" spans="1:13" x14ac:dyDescent="0.25">
      <c r="D7175" s="13">
        <v>6165</v>
      </c>
      <c r="E7175" s="136" t="str">
        <f>INDEX([1]道具配置表!$D:$D,MATCH(D7175,[1]道具配置表!$A:$A,0))</f>
        <v>60分钟训练加速</v>
      </c>
      <c r="F7175" s="13">
        <v>5</v>
      </c>
      <c r="K7175" s="13">
        <v>1</v>
      </c>
      <c r="M7175" s="109" t="b">
        <v>1</v>
      </c>
    </row>
    <row r="7176" spans="1:13" x14ac:dyDescent="0.25">
      <c r="D7176" s="13">
        <v>505</v>
      </c>
      <c r="E7176" s="136" t="str">
        <f>INDEX([1]道具配置表!$D:$D,MATCH(D7176,[1]道具配置表!$A:$A,0))</f>
        <v>20万资源自选宝箱</v>
      </c>
      <c r="F7176" s="13">
        <v>12</v>
      </c>
      <c r="K7176" s="13">
        <v>1</v>
      </c>
      <c r="M7176" s="109" t="b">
        <v>1</v>
      </c>
    </row>
    <row r="7177" spans="1:13" x14ac:dyDescent="0.25">
      <c r="A7177" s="13">
        <v>6680301</v>
      </c>
      <c r="B7177" s="13" t="s">
        <v>1602</v>
      </c>
      <c r="D7177" s="13">
        <v>6801</v>
      </c>
      <c r="E7177" s="136" t="str">
        <f>INDEX([1]道具配置表!$D:$D,MATCH(D7177,[1]道具配置表!$A:$A,0))</f>
        <v>最强帝国金币</v>
      </c>
      <c r="F7177" s="13">
        <v>100</v>
      </c>
      <c r="K7177" s="13">
        <v>1</v>
      </c>
      <c r="M7177" s="109" t="b">
        <v>1</v>
      </c>
    </row>
    <row r="7178" spans="1:13" x14ac:dyDescent="0.25">
      <c r="D7178" s="13">
        <v>6125</v>
      </c>
      <c r="E7178" s="136" t="str">
        <f>INDEX([1]道具配置表!$D:$D,MATCH(D7178,[1]道具配置表!$A:$A,0))</f>
        <v>60分钟建造加速</v>
      </c>
      <c r="F7178" s="13">
        <v>5</v>
      </c>
      <c r="K7178" s="13">
        <v>1</v>
      </c>
      <c r="M7178" s="109" t="b">
        <v>1</v>
      </c>
    </row>
    <row r="7179" spans="1:13" x14ac:dyDescent="0.25">
      <c r="D7179" s="13">
        <v>505</v>
      </c>
      <c r="E7179" s="136" t="str">
        <f>INDEX([1]道具配置表!$D:$D,MATCH(D7179,[1]道具配置表!$A:$A,0))</f>
        <v>20万资源自选宝箱</v>
      </c>
      <c r="F7179" s="13">
        <v>5</v>
      </c>
      <c r="K7179" s="13">
        <v>1</v>
      </c>
      <c r="M7179" s="109" t="b">
        <v>1</v>
      </c>
    </row>
    <row r="7180" spans="1:13" x14ac:dyDescent="0.25">
      <c r="A7180" s="13">
        <v>6680302</v>
      </c>
      <c r="B7180" s="13" t="s">
        <v>1603</v>
      </c>
      <c r="D7180" s="13">
        <v>6801</v>
      </c>
      <c r="E7180" s="136" t="str">
        <f>INDEX([1]道具配置表!$D:$D,MATCH(D7180,[1]道具配置表!$A:$A,0))</f>
        <v>最强帝国金币</v>
      </c>
      <c r="F7180" s="13">
        <v>300</v>
      </c>
      <c r="K7180" s="13">
        <v>1</v>
      </c>
      <c r="M7180" s="109" t="b">
        <v>1</v>
      </c>
    </row>
    <row r="7181" spans="1:13" x14ac:dyDescent="0.25">
      <c r="D7181" s="13">
        <v>6145</v>
      </c>
      <c r="E7181" s="136" t="str">
        <f>INDEX([1]道具配置表!$D:$D,MATCH(D7181,[1]道具配置表!$A:$A,0))</f>
        <v>60分钟科技加速</v>
      </c>
      <c r="F7181" s="13">
        <v>5</v>
      </c>
      <c r="K7181" s="13">
        <v>1</v>
      </c>
      <c r="M7181" s="109" t="b">
        <v>1</v>
      </c>
    </row>
    <row r="7182" spans="1:13" x14ac:dyDescent="0.25">
      <c r="D7182" s="13">
        <v>505</v>
      </c>
      <c r="E7182" s="136" t="str">
        <f>INDEX([1]道具配置表!$D:$D,MATCH(D7182,[1]道具配置表!$A:$A,0))</f>
        <v>20万资源自选宝箱</v>
      </c>
      <c r="F7182" s="13">
        <v>8</v>
      </c>
      <c r="K7182" s="13">
        <v>1</v>
      </c>
      <c r="M7182" s="109" t="b">
        <v>1</v>
      </c>
    </row>
    <row r="7183" spans="1:13" x14ac:dyDescent="0.25">
      <c r="A7183" s="13">
        <v>6680303</v>
      </c>
      <c r="B7183" s="13" t="s">
        <v>1604</v>
      </c>
      <c r="D7183" s="13">
        <v>6801</v>
      </c>
      <c r="E7183" s="136" t="str">
        <f>INDEX([1]道具配置表!$D:$D,MATCH(D7183,[1]道具配置表!$A:$A,0))</f>
        <v>最强帝国金币</v>
      </c>
      <c r="F7183" s="13">
        <v>500</v>
      </c>
      <c r="K7183" s="13">
        <v>1</v>
      </c>
      <c r="M7183" s="109" t="b">
        <v>1</v>
      </c>
    </row>
    <row r="7184" spans="1:13" x14ac:dyDescent="0.25">
      <c r="D7184" s="13">
        <v>6800</v>
      </c>
      <c r="E7184" s="136" t="str">
        <f>INDEX([1]道具配置表!$D:$D,MATCH(D7184,[1]道具配置表!$A:$A,0))</f>
        <v>帝国荣耀勋章</v>
      </c>
      <c r="F7184" s="13">
        <v>1</v>
      </c>
      <c r="K7184" s="13">
        <v>1</v>
      </c>
      <c r="M7184" s="113" t="b">
        <v>1</v>
      </c>
    </row>
    <row r="7185" spans="1:13" x14ac:dyDescent="0.25">
      <c r="D7185" s="13">
        <v>6165</v>
      </c>
      <c r="E7185" s="136" t="str">
        <f>INDEX([1]道具配置表!$D:$D,MATCH(D7185,[1]道具配置表!$A:$A,0))</f>
        <v>60分钟训练加速</v>
      </c>
      <c r="F7185" s="13">
        <v>5</v>
      </c>
      <c r="K7185" s="13">
        <v>1</v>
      </c>
      <c r="M7185" s="109" t="b">
        <v>1</v>
      </c>
    </row>
    <row r="7186" spans="1:13" x14ac:dyDescent="0.25">
      <c r="D7186" s="13">
        <v>505</v>
      </c>
      <c r="E7186" s="136" t="str">
        <f>INDEX([1]道具配置表!$D:$D,MATCH(D7186,[1]道具配置表!$A:$A,0))</f>
        <v>20万资源自选宝箱</v>
      </c>
      <c r="F7186" s="13">
        <v>12</v>
      </c>
      <c r="K7186" s="13">
        <v>1</v>
      </c>
      <c r="M7186" s="109" t="b">
        <v>1</v>
      </c>
    </row>
    <row r="7187" spans="1:13" x14ac:dyDescent="0.25">
      <c r="A7187" s="13">
        <v>6680401</v>
      </c>
      <c r="B7187" s="13" t="s">
        <v>1605</v>
      </c>
      <c r="D7187" s="13">
        <v>6801</v>
      </c>
      <c r="E7187" s="136" t="str">
        <f>INDEX([1]道具配置表!$D:$D,MATCH(D7187,[1]道具配置表!$A:$A,0))</f>
        <v>最强帝国金币</v>
      </c>
      <c r="F7187" s="13">
        <v>100</v>
      </c>
      <c r="K7187" s="13">
        <v>1</v>
      </c>
      <c r="M7187" s="109" t="b">
        <v>1</v>
      </c>
    </row>
    <row r="7188" spans="1:13" x14ac:dyDescent="0.25">
      <c r="D7188" s="13">
        <v>6125</v>
      </c>
      <c r="E7188" s="136" t="str">
        <f>INDEX([1]道具配置表!$D:$D,MATCH(D7188,[1]道具配置表!$A:$A,0))</f>
        <v>60分钟建造加速</v>
      </c>
      <c r="F7188" s="13">
        <v>5</v>
      </c>
      <c r="K7188" s="13">
        <v>1</v>
      </c>
      <c r="M7188" s="109" t="b">
        <v>1</v>
      </c>
    </row>
    <row r="7189" spans="1:13" x14ac:dyDescent="0.25">
      <c r="D7189" s="13">
        <v>505</v>
      </c>
      <c r="E7189" s="136" t="str">
        <f>INDEX([1]道具配置表!$D:$D,MATCH(D7189,[1]道具配置表!$A:$A,0))</f>
        <v>20万资源自选宝箱</v>
      </c>
      <c r="F7189" s="13">
        <v>5</v>
      </c>
      <c r="K7189" s="13">
        <v>1</v>
      </c>
      <c r="M7189" s="109" t="b">
        <v>1</v>
      </c>
    </row>
    <row r="7190" spans="1:13" x14ac:dyDescent="0.25">
      <c r="A7190" s="13">
        <v>6680402</v>
      </c>
      <c r="B7190" s="13" t="s">
        <v>1606</v>
      </c>
      <c r="D7190" s="13">
        <v>6801</v>
      </c>
      <c r="E7190" s="136" t="str">
        <f>INDEX([1]道具配置表!$D:$D,MATCH(D7190,[1]道具配置表!$A:$A,0))</f>
        <v>最强帝国金币</v>
      </c>
      <c r="F7190" s="13">
        <v>300</v>
      </c>
      <c r="K7190" s="13">
        <v>1</v>
      </c>
      <c r="M7190" s="109" t="b">
        <v>1</v>
      </c>
    </row>
    <row r="7191" spans="1:13" x14ac:dyDescent="0.25">
      <c r="D7191" s="13">
        <v>6145</v>
      </c>
      <c r="E7191" s="136" t="str">
        <f>INDEX([1]道具配置表!$D:$D,MATCH(D7191,[1]道具配置表!$A:$A,0))</f>
        <v>60分钟科技加速</v>
      </c>
      <c r="F7191" s="13">
        <v>5</v>
      </c>
      <c r="K7191" s="13">
        <v>1</v>
      </c>
      <c r="M7191" s="109" t="b">
        <v>1</v>
      </c>
    </row>
    <row r="7192" spans="1:13" x14ac:dyDescent="0.25">
      <c r="D7192" s="13">
        <v>505</v>
      </c>
      <c r="E7192" s="136" t="str">
        <f>INDEX([1]道具配置表!$D:$D,MATCH(D7192,[1]道具配置表!$A:$A,0))</f>
        <v>20万资源自选宝箱</v>
      </c>
      <c r="F7192" s="13">
        <v>8</v>
      </c>
      <c r="K7192" s="13">
        <v>1</v>
      </c>
      <c r="M7192" s="109" t="b">
        <v>1</v>
      </c>
    </row>
    <row r="7193" spans="1:13" x14ac:dyDescent="0.25">
      <c r="A7193" s="13">
        <v>6680403</v>
      </c>
      <c r="B7193" s="13" t="s">
        <v>1607</v>
      </c>
      <c r="D7193" s="13">
        <v>6801</v>
      </c>
      <c r="E7193" s="136" t="str">
        <f>INDEX([1]道具配置表!$D:$D,MATCH(D7193,[1]道具配置表!$A:$A,0))</f>
        <v>最强帝国金币</v>
      </c>
      <c r="F7193" s="13">
        <v>500</v>
      </c>
      <c r="K7193" s="13">
        <v>1</v>
      </c>
      <c r="M7193" s="109" t="b">
        <v>1</v>
      </c>
    </row>
    <row r="7194" spans="1:13" x14ac:dyDescent="0.25">
      <c r="D7194" s="13">
        <v>6800</v>
      </c>
      <c r="E7194" s="136" t="str">
        <f>INDEX([1]道具配置表!$D:$D,MATCH(D7194,[1]道具配置表!$A:$A,0))</f>
        <v>帝国荣耀勋章</v>
      </c>
      <c r="F7194" s="13">
        <v>1</v>
      </c>
      <c r="K7194" s="13">
        <v>1</v>
      </c>
      <c r="M7194" s="113" t="b">
        <v>1</v>
      </c>
    </row>
    <row r="7195" spans="1:13" x14ac:dyDescent="0.25">
      <c r="D7195" s="13">
        <v>6165</v>
      </c>
      <c r="E7195" s="136" t="str">
        <f>INDEX([1]道具配置表!$D:$D,MATCH(D7195,[1]道具配置表!$A:$A,0))</f>
        <v>60分钟训练加速</v>
      </c>
      <c r="F7195" s="13">
        <v>5</v>
      </c>
      <c r="K7195" s="13">
        <v>1</v>
      </c>
      <c r="M7195" s="109" t="b">
        <v>1</v>
      </c>
    </row>
    <row r="7196" spans="1:13" x14ac:dyDescent="0.25">
      <c r="D7196" s="13">
        <v>505</v>
      </c>
      <c r="E7196" s="136" t="str">
        <f>INDEX([1]道具配置表!$D:$D,MATCH(D7196,[1]道具配置表!$A:$A,0))</f>
        <v>20万资源自选宝箱</v>
      </c>
      <c r="F7196" s="13">
        <v>12</v>
      </c>
      <c r="K7196" s="13">
        <v>1</v>
      </c>
      <c r="M7196" s="109" t="b">
        <v>1</v>
      </c>
    </row>
    <row r="7197" spans="1:13" x14ac:dyDescent="0.25">
      <c r="A7197" s="13">
        <v>6680501</v>
      </c>
      <c r="B7197" s="13" t="s">
        <v>1608</v>
      </c>
      <c r="D7197" s="13">
        <v>6801</v>
      </c>
      <c r="E7197" s="136" t="str">
        <f>INDEX([1]道具配置表!$D:$D,MATCH(D7197,[1]道具配置表!$A:$A,0))</f>
        <v>最强帝国金币</v>
      </c>
      <c r="F7197" s="13">
        <v>100</v>
      </c>
      <c r="K7197" s="13">
        <v>1</v>
      </c>
      <c r="M7197" s="109" t="b">
        <v>1</v>
      </c>
    </row>
    <row r="7198" spans="1:13" x14ac:dyDescent="0.25">
      <c r="D7198" s="13">
        <v>6125</v>
      </c>
      <c r="E7198" s="136" t="str">
        <f>INDEX([1]道具配置表!$D:$D,MATCH(D7198,[1]道具配置表!$A:$A,0))</f>
        <v>60分钟建造加速</v>
      </c>
      <c r="F7198" s="13">
        <v>5</v>
      </c>
      <c r="K7198" s="13">
        <v>1</v>
      </c>
      <c r="M7198" s="109" t="b">
        <v>1</v>
      </c>
    </row>
    <row r="7199" spans="1:13" x14ac:dyDescent="0.25">
      <c r="D7199" s="13">
        <v>505</v>
      </c>
      <c r="E7199" s="136" t="str">
        <f>INDEX([1]道具配置表!$D:$D,MATCH(D7199,[1]道具配置表!$A:$A,0))</f>
        <v>20万资源自选宝箱</v>
      </c>
      <c r="F7199" s="13">
        <v>5</v>
      </c>
      <c r="K7199" s="13">
        <v>1</v>
      </c>
      <c r="M7199" s="109" t="b">
        <v>1</v>
      </c>
    </row>
    <row r="7200" spans="1:13" x14ac:dyDescent="0.25">
      <c r="A7200" s="13">
        <v>6680502</v>
      </c>
      <c r="B7200" s="13" t="s">
        <v>1609</v>
      </c>
      <c r="D7200" s="13">
        <v>6801</v>
      </c>
      <c r="E7200" s="136" t="str">
        <f>INDEX([1]道具配置表!$D:$D,MATCH(D7200,[1]道具配置表!$A:$A,0))</f>
        <v>最强帝国金币</v>
      </c>
      <c r="F7200" s="13">
        <v>300</v>
      </c>
      <c r="K7200" s="13">
        <v>1</v>
      </c>
      <c r="M7200" s="109" t="b">
        <v>1</v>
      </c>
    </row>
    <row r="7201" spans="1:13" x14ac:dyDescent="0.25">
      <c r="D7201" s="13">
        <v>6145</v>
      </c>
      <c r="E7201" s="136" t="str">
        <f>INDEX([1]道具配置表!$D:$D,MATCH(D7201,[1]道具配置表!$A:$A,0))</f>
        <v>60分钟科技加速</v>
      </c>
      <c r="F7201" s="13">
        <v>5</v>
      </c>
      <c r="K7201" s="13">
        <v>1</v>
      </c>
      <c r="M7201" s="109" t="b">
        <v>1</v>
      </c>
    </row>
    <row r="7202" spans="1:13" x14ac:dyDescent="0.25">
      <c r="D7202" s="13">
        <v>505</v>
      </c>
      <c r="E7202" s="136" t="str">
        <f>INDEX([1]道具配置表!$D:$D,MATCH(D7202,[1]道具配置表!$A:$A,0))</f>
        <v>20万资源自选宝箱</v>
      </c>
      <c r="F7202" s="13">
        <v>8</v>
      </c>
      <c r="K7202" s="13">
        <v>1</v>
      </c>
      <c r="M7202" s="109" t="b">
        <v>1</v>
      </c>
    </row>
    <row r="7203" spans="1:13" x14ac:dyDescent="0.25">
      <c r="A7203" s="13">
        <v>6680503</v>
      </c>
      <c r="B7203" s="13" t="s">
        <v>1610</v>
      </c>
      <c r="D7203" s="13">
        <v>6801</v>
      </c>
      <c r="E7203" s="136" t="str">
        <f>INDEX([1]道具配置表!$D:$D,MATCH(D7203,[1]道具配置表!$A:$A,0))</f>
        <v>最强帝国金币</v>
      </c>
      <c r="F7203" s="13">
        <v>500</v>
      </c>
      <c r="K7203" s="13">
        <v>1</v>
      </c>
      <c r="M7203" s="109" t="b">
        <v>1</v>
      </c>
    </row>
    <row r="7204" spans="1:13" x14ac:dyDescent="0.25">
      <c r="D7204" s="13">
        <v>6800</v>
      </c>
      <c r="E7204" s="136" t="str">
        <f>INDEX([1]道具配置表!$D:$D,MATCH(D7204,[1]道具配置表!$A:$A,0))</f>
        <v>帝国荣耀勋章</v>
      </c>
      <c r="F7204" s="13">
        <v>1</v>
      </c>
      <c r="K7204" s="13">
        <v>1</v>
      </c>
      <c r="M7204" s="113" t="b">
        <v>1</v>
      </c>
    </row>
    <row r="7205" spans="1:13" x14ac:dyDescent="0.25">
      <c r="D7205" s="13">
        <v>6165</v>
      </c>
      <c r="E7205" s="136" t="str">
        <f>INDEX([1]道具配置表!$D:$D,MATCH(D7205,[1]道具配置表!$A:$A,0))</f>
        <v>60分钟训练加速</v>
      </c>
      <c r="F7205" s="13">
        <v>5</v>
      </c>
      <c r="K7205" s="13">
        <v>1</v>
      </c>
      <c r="M7205" s="109" t="b">
        <v>1</v>
      </c>
    </row>
    <row r="7206" spans="1:13" x14ac:dyDescent="0.25">
      <c r="D7206" s="13">
        <v>505</v>
      </c>
      <c r="E7206" s="136" t="str">
        <f>INDEX([1]道具配置表!$D:$D,MATCH(D7206,[1]道具配置表!$A:$A,0))</f>
        <v>20万资源自选宝箱</v>
      </c>
      <c r="F7206" s="13">
        <v>12</v>
      </c>
      <c r="K7206" s="13">
        <v>1</v>
      </c>
      <c r="M7206" s="109" t="b">
        <v>1</v>
      </c>
    </row>
    <row r="7207" spans="1:13" x14ac:dyDescent="0.25">
      <c r="A7207" s="13">
        <v>6680601</v>
      </c>
      <c r="B7207" s="13" t="s">
        <v>1611</v>
      </c>
      <c r="D7207" s="13">
        <v>6801</v>
      </c>
      <c r="E7207" s="136" t="str">
        <f>INDEX([1]道具配置表!$D:$D,MATCH(D7207,[1]道具配置表!$A:$A,0))</f>
        <v>最强帝国金币</v>
      </c>
      <c r="F7207" s="13">
        <v>100</v>
      </c>
      <c r="K7207" s="13">
        <v>1</v>
      </c>
      <c r="M7207" s="110" t="b">
        <v>1</v>
      </c>
    </row>
    <row r="7208" spans="1:13" x14ac:dyDescent="0.25">
      <c r="D7208" s="13">
        <v>6125</v>
      </c>
      <c r="E7208" s="136" t="str">
        <f>INDEX([1]道具配置表!$D:$D,MATCH(D7208,[1]道具配置表!$A:$A,0))</f>
        <v>60分钟建造加速</v>
      </c>
      <c r="F7208" s="13">
        <v>5</v>
      </c>
      <c r="K7208" s="13">
        <v>1</v>
      </c>
      <c r="M7208" s="110" t="b">
        <v>1</v>
      </c>
    </row>
    <row r="7209" spans="1:13" x14ac:dyDescent="0.25">
      <c r="D7209" s="13">
        <v>505</v>
      </c>
      <c r="E7209" s="136" t="str">
        <f>INDEX([1]道具配置表!$D:$D,MATCH(D7209,[1]道具配置表!$A:$A,0))</f>
        <v>20万资源自选宝箱</v>
      </c>
      <c r="F7209" s="13">
        <v>5</v>
      </c>
      <c r="K7209" s="13">
        <v>1</v>
      </c>
      <c r="M7209" s="110" t="b">
        <v>1</v>
      </c>
    </row>
    <row r="7210" spans="1:13" x14ac:dyDescent="0.25">
      <c r="A7210" s="13">
        <v>6680602</v>
      </c>
      <c r="B7210" s="13" t="s">
        <v>1612</v>
      </c>
      <c r="D7210" s="13">
        <v>6801</v>
      </c>
      <c r="E7210" s="136" t="str">
        <f>INDEX([1]道具配置表!$D:$D,MATCH(D7210,[1]道具配置表!$A:$A,0))</f>
        <v>最强帝国金币</v>
      </c>
      <c r="F7210" s="13">
        <v>300</v>
      </c>
      <c r="K7210" s="13">
        <v>1</v>
      </c>
      <c r="M7210" s="110" t="b">
        <v>1</v>
      </c>
    </row>
    <row r="7211" spans="1:13" x14ac:dyDescent="0.25">
      <c r="D7211" s="13">
        <v>6145</v>
      </c>
      <c r="E7211" s="136" t="str">
        <f>INDEX([1]道具配置表!$D:$D,MATCH(D7211,[1]道具配置表!$A:$A,0))</f>
        <v>60分钟科技加速</v>
      </c>
      <c r="F7211" s="13">
        <v>5</v>
      </c>
      <c r="K7211" s="13">
        <v>1</v>
      </c>
      <c r="M7211" s="110" t="b">
        <v>1</v>
      </c>
    </row>
    <row r="7212" spans="1:13" x14ac:dyDescent="0.25">
      <c r="D7212" s="13">
        <v>505</v>
      </c>
      <c r="E7212" s="136" t="str">
        <f>INDEX([1]道具配置表!$D:$D,MATCH(D7212,[1]道具配置表!$A:$A,0))</f>
        <v>20万资源自选宝箱</v>
      </c>
      <c r="F7212" s="13">
        <v>8</v>
      </c>
      <c r="K7212" s="13">
        <v>1</v>
      </c>
      <c r="M7212" s="110" t="b">
        <v>1</v>
      </c>
    </row>
    <row r="7213" spans="1:13" x14ac:dyDescent="0.25">
      <c r="A7213" s="13">
        <v>6680603</v>
      </c>
      <c r="B7213" s="13" t="s">
        <v>1613</v>
      </c>
      <c r="D7213" s="13">
        <v>6801</v>
      </c>
      <c r="E7213" s="136" t="str">
        <f>INDEX([1]道具配置表!$D:$D,MATCH(D7213,[1]道具配置表!$A:$A,0))</f>
        <v>最强帝国金币</v>
      </c>
      <c r="F7213" s="13">
        <v>500</v>
      </c>
      <c r="K7213" s="13">
        <v>1</v>
      </c>
      <c r="M7213" s="110" t="b">
        <v>1</v>
      </c>
    </row>
    <row r="7214" spans="1:13" x14ac:dyDescent="0.25">
      <c r="D7214" s="13">
        <v>6800</v>
      </c>
      <c r="E7214" s="136" t="str">
        <f>INDEX([1]道具配置表!$D:$D,MATCH(D7214,[1]道具配置表!$A:$A,0))</f>
        <v>帝国荣耀勋章</v>
      </c>
      <c r="F7214" s="13">
        <v>1</v>
      </c>
      <c r="K7214" s="13">
        <v>1</v>
      </c>
      <c r="M7214" s="113" t="b">
        <v>1</v>
      </c>
    </row>
    <row r="7215" spans="1:13" x14ac:dyDescent="0.25">
      <c r="D7215" s="13">
        <v>6165</v>
      </c>
      <c r="E7215" s="136" t="str">
        <f>INDEX([1]道具配置表!$D:$D,MATCH(D7215,[1]道具配置表!$A:$A,0))</f>
        <v>60分钟训练加速</v>
      </c>
      <c r="F7215" s="13">
        <v>5</v>
      </c>
      <c r="K7215" s="13">
        <v>1</v>
      </c>
      <c r="M7215" s="110" t="b">
        <v>1</v>
      </c>
    </row>
    <row r="7216" spans="1:13" x14ac:dyDescent="0.25">
      <c r="D7216" s="13">
        <v>505</v>
      </c>
      <c r="E7216" s="136" t="str">
        <f>INDEX([1]道具配置表!$D:$D,MATCH(D7216,[1]道具配置表!$A:$A,0))</f>
        <v>20万资源自选宝箱</v>
      </c>
      <c r="F7216" s="13">
        <v>12</v>
      </c>
      <c r="K7216" s="13">
        <v>1</v>
      </c>
      <c r="M7216" s="110" t="b">
        <v>1</v>
      </c>
    </row>
    <row r="7217" spans="1:13" x14ac:dyDescent="0.25">
      <c r="A7217" s="13">
        <v>6681101</v>
      </c>
      <c r="B7217" s="13" t="s">
        <v>1614</v>
      </c>
      <c r="D7217" s="13">
        <v>6801</v>
      </c>
      <c r="E7217" s="136" t="str">
        <f>INDEX([1]道具配置表!$D:$D,MATCH(D7217,[1]道具配置表!$A:$A,0))</f>
        <v>最强帝国金币</v>
      </c>
      <c r="F7217" s="13">
        <v>50</v>
      </c>
      <c r="K7217" s="13">
        <v>1</v>
      </c>
      <c r="M7217" s="109" t="b">
        <v>1</v>
      </c>
    </row>
    <row r="7218" spans="1:13" x14ac:dyDescent="0.25">
      <c r="D7218" s="13">
        <v>6121</v>
      </c>
      <c r="E7218" s="136" t="str">
        <f>INDEX([1]道具配置表!$D:$D,MATCH(D7218,[1]道具配置表!$A:$A,0))</f>
        <v>5分钟建造加速</v>
      </c>
      <c r="F7218" s="13">
        <v>3</v>
      </c>
      <c r="K7218" s="13">
        <v>1</v>
      </c>
      <c r="M7218" s="109" t="b">
        <v>1</v>
      </c>
    </row>
    <row r="7219" spans="1:13" x14ac:dyDescent="0.25">
      <c r="D7219" s="13">
        <v>6161</v>
      </c>
      <c r="E7219" s="136" t="str">
        <f>INDEX([1]道具配置表!$D:$D,MATCH(D7219,[1]道具配置表!$A:$A,0))</f>
        <v>5分钟训练加速</v>
      </c>
      <c r="F7219" s="13">
        <v>3</v>
      </c>
      <c r="K7219" s="13">
        <v>1</v>
      </c>
      <c r="M7219" s="109" t="b">
        <v>1</v>
      </c>
    </row>
    <row r="7220" spans="1:13" x14ac:dyDescent="0.25">
      <c r="D7220" s="13">
        <v>504</v>
      </c>
      <c r="E7220" s="136" t="str">
        <f>INDEX([1]道具配置表!$D:$D,MATCH(D7220,[1]道具配置表!$A:$A,0))</f>
        <v>10万资源自选宝箱</v>
      </c>
      <c r="F7220" s="13">
        <v>1</v>
      </c>
      <c r="K7220" s="13">
        <v>1</v>
      </c>
      <c r="M7220" s="109" t="b">
        <v>1</v>
      </c>
    </row>
    <row r="7221" spans="1:13" x14ac:dyDescent="0.25">
      <c r="A7221" s="13">
        <v>6681102</v>
      </c>
      <c r="B7221" s="13" t="s">
        <v>1615</v>
      </c>
      <c r="D7221" s="13">
        <v>6801</v>
      </c>
      <c r="E7221" s="136" t="str">
        <f>INDEX([1]道具配置表!$D:$D,MATCH(D7221,[1]道具配置表!$A:$A,0))</f>
        <v>最强帝国金币</v>
      </c>
      <c r="F7221" s="13">
        <v>100</v>
      </c>
      <c r="K7221" s="13">
        <v>1</v>
      </c>
      <c r="M7221" s="109" t="b">
        <v>1</v>
      </c>
    </row>
    <row r="7222" spans="1:13" x14ac:dyDescent="0.25">
      <c r="D7222" s="13">
        <v>6121</v>
      </c>
      <c r="E7222" s="136" t="str">
        <f>INDEX([1]道具配置表!$D:$D,MATCH(D7222,[1]道具配置表!$A:$A,0))</f>
        <v>5分钟建造加速</v>
      </c>
      <c r="F7222" s="13">
        <v>6</v>
      </c>
      <c r="K7222" s="13">
        <v>1</v>
      </c>
      <c r="M7222" s="109" t="b">
        <v>1</v>
      </c>
    </row>
    <row r="7223" spans="1:13" x14ac:dyDescent="0.25">
      <c r="D7223" s="13">
        <v>6161</v>
      </c>
      <c r="E7223" s="136" t="str">
        <f>INDEX([1]道具配置表!$D:$D,MATCH(D7223,[1]道具配置表!$A:$A,0))</f>
        <v>5分钟训练加速</v>
      </c>
      <c r="F7223" s="13">
        <v>6</v>
      </c>
      <c r="K7223" s="13">
        <v>1</v>
      </c>
      <c r="M7223" s="109" t="b">
        <v>1</v>
      </c>
    </row>
    <row r="7224" spans="1:13" x14ac:dyDescent="0.25">
      <c r="D7224" s="13">
        <v>504</v>
      </c>
      <c r="E7224" s="136" t="str">
        <f>INDEX([1]道具配置表!$D:$D,MATCH(D7224,[1]道具配置表!$A:$A,0))</f>
        <v>10万资源自选宝箱</v>
      </c>
      <c r="F7224" s="13">
        <v>2</v>
      </c>
      <c r="K7224" s="13">
        <v>1</v>
      </c>
      <c r="M7224" s="109" t="b">
        <v>1</v>
      </c>
    </row>
    <row r="7225" spans="1:13" x14ac:dyDescent="0.25">
      <c r="A7225" s="13">
        <v>6681103</v>
      </c>
      <c r="B7225" s="13" t="s">
        <v>1616</v>
      </c>
      <c r="D7225" s="13">
        <v>6801</v>
      </c>
      <c r="E7225" s="136" t="str">
        <f>INDEX([1]道具配置表!$D:$D,MATCH(D7225,[1]道具配置表!$A:$A,0))</f>
        <v>最强帝国金币</v>
      </c>
      <c r="F7225" s="13">
        <v>200</v>
      </c>
      <c r="K7225" s="13">
        <v>1</v>
      </c>
      <c r="M7225" s="109" t="b">
        <v>1</v>
      </c>
    </row>
    <row r="7226" spans="1:13" x14ac:dyDescent="0.25">
      <c r="D7226" s="13">
        <v>6121</v>
      </c>
      <c r="E7226" s="136" t="str">
        <f>INDEX([1]道具配置表!$D:$D,MATCH(D7226,[1]道具配置表!$A:$A,0))</f>
        <v>5分钟建造加速</v>
      </c>
      <c r="F7226" s="13">
        <v>10</v>
      </c>
      <c r="K7226" s="13">
        <v>1</v>
      </c>
      <c r="M7226" s="109" t="b">
        <v>1</v>
      </c>
    </row>
    <row r="7227" spans="1:13" x14ac:dyDescent="0.25">
      <c r="D7227" s="13">
        <v>6161</v>
      </c>
      <c r="E7227" s="136" t="str">
        <f>INDEX([1]道具配置表!$D:$D,MATCH(D7227,[1]道具配置表!$A:$A,0))</f>
        <v>5分钟训练加速</v>
      </c>
      <c r="F7227" s="13">
        <v>10</v>
      </c>
      <c r="K7227" s="13">
        <v>1</v>
      </c>
      <c r="M7227" s="109" t="b">
        <v>1</v>
      </c>
    </row>
    <row r="7228" spans="1:13" x14ac:dyDescent="0.25">
      <c r="D7228" s="13">
        <v>504</v>
      </c>
      <c r="E7228" s="136" t="str">
        <f>INDEX([1]道具配置表!$D:$D,MATCH(D7228,[1]道具配置表!$A:$A,0))</f>
        <v>10万资源自选宝箱</v>
      </c>
      <c r="F7228" s="13">
        <v>3</v>
      </c>
      <c r="K7228" s="13">
        <v>1</v>
      </c>
      <c r="M7228" s="109" t="b">
        <v>1</v>
      </c>
    </row>
    <row r="7229" spans="1:13" x14ac:dyDescent="0.25">
      <c r="A7229" s="13">
        <v>6681201</v>
      </c>
      <c r="B7229" s="13" t="s">
        <v>1617</v>
      </c>
      <c r="D7229" s="13">
        <v>6801</v>
      </c>
      <c r="E7229" s="136" t="str">
        <f>INDEX([1]道具配置表!$D:$D,MATCH(D7229,[1]道具配置表!$A:$A,0))</f>
        <v>最强帝国金币</v>
      </c>
      <c r="F7229" s="13">
        <v>50</v>
      </c>
      <c r="K7229" s="13">
        <v>1</v>
      </c>
      <c r="M7229" s="109" t="b">
        <v>1</v>
      </c>
    </row>
    <row r="7230" spans="1:13" x14ac:dyDescent="0.25">
      <c r="D7230" s="13">
        <v>6121</v>
      </c>
      <c r="E7230" s="136" t="str">
        <f>INDEX([1]道具配置表!$D:$D,MATCH(D7230,[1]道具配置表!$A:$A,0))</f>
        <v>5分钟建造加速</v>
      </c>
      <c r="F7230" s="13">
        <v>3</v>
      </c>
      <c r="K7230" s="13">
        <v>1</v>
      </c>
      <c r="M7230" s="109" t="b">
        <v>1</v>
      </c>
    </row>
    <row r="7231" spans="1:13" x14ac:dyDescent="0.25">
      <c r="D7231" s="13">
        <v>6161</v>
      </c>
      <c r="E7231" s="136" t="str">
        <f>INDEX([1]道具配置表!$D:$D,MATCH(D7231,[1]道具配置表!$A:$A,0))</f>
        <v>5分钟训练加速</v>
      </c>
      <c r="F7231" s="13">
        <v>3</v>
      </c>
      <c r="K7231" s="13">
        <v>1</v>
      </c>
      <c r="M7231" s="109" t="b">
        <v>1</v>
      </c>
    </row>
    <row r="7232" spans="1:13" x14ac:dyDescent="0.25">
      <c r="D7232" s="13">
        <v>504</v>
      </c>
      <c r="E7232" s="136" t="str">
        <f>INDEX([1]道具配置表!$D:$D,MATCH(D7232,[1]道具配置表!$A:$A,0))</f>
        <v>10万资源自选宝箱</v>
      </c>
      <c r="F7232" s="13">
        <v>1</v>
      </c>
      <c r="K7232" s="13">
        <v>1</v>
      </c>
      <c r="M7232" s="109" t="b">
        <v>1</v>
      </c>
    </row>
    <row r="7233" spans="1:13" x14ac:dyDescent="0.25">
      <c r="A7233" s="13">
        <v>6681202</v>
      </c>
      <c r="B7233" s="13" t="s">
        <v>1618</v>
      </c>
      <c r="D7233" s="13">
        <v>6801</v>
      </c>
      <c r="E7233" s="136" t="str">
        <f>INDEX([1]道具配置表!$D:$D,MATCH(D7233,[1]道具配置表!$A:$A,0))</f>
        <v>最强帝国金币</v>
      </c>
      <c r="F7233" s="13">
        <v>100</v>
      </c>
      <c r="K7233" s="13">
        <v>1</v>
      </c>
      <c r="M7233" s="109" t="b">
        <v>1</v>
      </c>
    </row>
    <row r="7234" spans="1:13" x14ac:dyDescent="0.25">
      <c r="D7234" s="13">
        <v>6121</v>
      </c>
      <c r="E7234" s="136" t="str">
        <f>INDEX([1]道具配置表!$D:$D,MATCH(D7234,[1]道具配置表!$A:$A,0))</f>
        <v>5分钟建造加速</v>
      </c>
      <c r="F7234" s="13">
        <v>6</v>
      </c>
      <c r="K7234" s="13">
        <v>1</v>
      </c>
      <c r="M7234" s="109" t="b">
        <v>1</v>
      </c>
    </row>
    <row r="7235" spans="1:13" x14ac:dyDescent="0.25">
      <c r="D7235" s="13">
        <v>6161</v>
      </c>
      <c r="E7235" s="136" t="str">
        <f>INDEX([1]道具配置表!$D:$D,MATCH(D7235,[1]道具配置表!$A:$A,0))</f>
        <v>5分钟训练加速</v>
      </c>
      <c r="F7235" s="13">
        <v>6</v>
      </c>
      <c r="K7235" s="13">
        <v>1</v>
      </c>
      <c r="M7235" s="109" t="b">
        <v>1</v>
      </c>
    </row>
    <row r="7236" spans="1:13" x14ac:dyDescent="0.25">
      <c r="D7236" s="13">
        <v>504</v>
      </c>
      <c r="E7236" s="136" t="str">
        <f>INDEX([1]道具配置表!$D:$D,MATCH(D7236,[1]道具配置表!$A:$A,0))</f>
        <v>10万资源自选宝箱</v>
      </c>
      <c r="F7236" s="13">
        <v>2</v>
      </c>
      <c r="K7236" s="13">
        <v>1</v>
      </c>
      <c r="M7236" s="109" t="b">
        <v>1</v>
      </c>
    </row>
    <row r="7237" spans="1:13" x14ac:dyDescent="0.25">
      <c r="A7237" s="13">
        <v>6681203</v>
      </c>
      <c r="B7237" s="13" t="s">
        <v>1619</v>
      </c>
      <c r="D7237" s="13">
        <v>6801</v>
      </c>
      <c r="E7237" s="136" t="str">
        <f>INDEX([1]道具配置表!$D:$D,MATCH(D7237,[1]道具配置表!$A:$A,0))</f>
        <v>最强帝国金币</v>
      </c>
      <c r="F7237" s="13">
        <v>200</v>
      </c>
      <c r="K7237" s="13">
        <v>1</v>
      </c>
      <c r="M7237" s="109" t="b">
        <v>1</v>
      </c>
    </row>
    <row r="7238" spans="1:13" x14ac:dyDescent="0.25">
      <c r="D7238" s="13">
        <v>6121</v>
      </c>
      <c r="E7238" s="136" t="str">
        <f>INDEX([1]道具配置表!$D:$D,MATCH(D7238,[1]道具配置表!$A:$A,0))</f>
        <v>5分钟建造加速</v>
      </c>
      <c r="F7238" s="13">
        <v>10</v>
      </c>
      <c r="K7238" s="13">
        <v>1</v>
      </c>
      <c r="M7238" s="109" t="b">
        <v>1</v>
      </c>
    </row>
    <row r="7239" spans="1:13" x14ac:dyDescent="0.25">
      <c r="D7239" s="13">
        <v>6161</v>
      </c>
      <c r="E7239" s="136" t="str">
        <f>INDEX([1]道具配置表!$D:$D,MATCH(D7239,[1]道具配置表!$A:$A,0))</f>
        <v>5分钟训练加速</v>
      </c>
      <c r="F7239" s="13">
        <v>10</v>
      </c>
      <c r="K7239" s="13">
        <v>1</v>
      </c>
      <c r="M7239" s="109" t="b">
        <v>1</v>
      </c>
    </row>
    <row r="7240" spans="1:13" x14ac:dyDescent="0.25">
      <c r="D7240" s="13">
        <v>504</v>
      </c>
      <c r="E7240" s="136" t="str">
        <f>INDEX([1]道具配置表!$D:$D,MATCH(D7240,[1]道具配置表!$A:$A,0))</f>
        <v>10万资源自选宝箱</v>
      </c>
      <c r="F7240" s="13">
        <v>3</v>
      </c>
      <c r="K7240" s="13">
        <v>1</v>
      </c>
      <c r="M7240" s="109" t="b">
        <v>1</v>
      </c>
    </row>
    <row r="7241" spans="1:13" x14ac:dyDescent="0.25">
      <c r="A7241" s="13">
        <v>6681301</v>
      </c>
      <c r="B7241" s="13" t="s">
        <v>1617</v>
      </c>
      <c r="D7241" s="13">
        <v>6801</v>
      </c>
      <c r="E7241" s="136" t="str">
        <f>INDEX([1]道具配置表!$D:$D,MATCH(D7241,[1]道具配置表!$A:$A,0))</f>
        <v>最强帝国金币</v>
      </c>
      <c r="F7241" s="13">
        <v>50</v>
      </c>
      <c r="K7241" s="13">
        <v>1</v>
      </c>
      <c r="M7241" s="109" t="b">
        <v>1</v>
      </c>
    </row>
    <row r="7242" spans="1:13" x14ac:dyDescent="0.25">
      <c r="D7242" s="13">
        <v>6121</v>
      </c>
      <c r="E7242" s="136" t="str">
        <f>INDEX([1]道具配置表!$D:$D,MATCH(D7242,[1]道具配置表!$A:$A,0))</f>
        <v>5分钟建造加速</v>
      </c>
      <c r="F7242" s="13">
        <v>3</v>
      </c>
      <c r="K7242" s="13">
        <v>1</v>
      </c>
      <c r="M7242" s="109" t="b">
        <v>1</v>
      </c>
    </row>
    <row r="7243" spans="1:13" x14ac:dyDescent="0.25">
      <c r="D7243" s="13">
        <v>6161</v>
      </c>
      <c r="E7243" s="136" t="str">
        <f>INDEX([1]道具配置表!$D:$D,MATCH(D7243,[1]道具配置表!$A:$A,0))</f>
        <v>5分钟训练加速</v>
      </c>
      <c r="F7243" s="13">
        <v>3</v>
      </c>
      <c r="K7243" s="13">
        <v>1</v>
      </c>
      <c r="M7243" s="109" t="b">
        <v>1</v>
      </c>
    </row>
    <row r="7244" spans="1:13" x14ac:dyDescent="0.25">
      <c r="D7244" s="13">
        <v>504</v>
      </c>
      <c r="E7244" s="136" t="str">
        <f>INDEX([1]道具配置表!$D:$D,MATCH(D7244,[1]道具配置表!$A:$A,0))</f>
        <v>10万资源自选宝箱</v>
      </c>
      <c r="F7244" s="13">
        <v>1</v>
      </c>
      <c r="K7244" s="13">
        <v>1</v>
      </c>
      <c r="M7244" s="109" t="b">
        <v>1</v>
      </c>
    </row>
    <row r="7245" spans="1:13" x14ac:dyDescent="0.25">
      <c r="A7245" s="13">
        <v>6681302</v>
      </c>
      <c r="B7245" s="13" t="s">
        <v>1618</v>
      </c>
      <c r="D7245" s="13">
        <v>6801</v>
      </c>
      <c r="E7245" s="136" t="str">
        <f>INDEX([1]道具配置表!$D:$D,MATCH(D7245,[1]道具配置表!$A:$A,0))</f>
        <v>最强帝国金币</v>
      </c>
      <c r="F7245" s="13">
        <v>100</v>
      </c>
      <c r="K7245" s="13">
        <v>1</v>
      </c>
      <c r="M7245" s="109" t="b">
        <v>1</v>
      </c>
    </row>
    <row r="7246" spans="1:13" x14ac:dyDescent="0.25">
      <c r="D7246" s="13">
        <v>6121</v>
      </c>
      <c r="E7246" s="136" t="str">
        <f>INDEX([1]道具配置表!$D:$D,MATCH(D7246,[1]道具配置表!$A:$A,0))</f>
        <v>5分钟建造加速</v>
      </c>
      <c r="F7246" s="13">
        <v>6</v>
      </c>
      <c r="K7246" s="13">
        <v>1</v>
      </c>
      <c r="M7246" s="109" t="b">
        <v>1</v>
      </c>
    </row>
    <row r="7247" spans="1:13" x14ac:dyDescent="0.25">
      <c r="D7247" s="13">
        <v>6161</v>
      </c>
      <c r="E7247" s="136" t="str">
        <f>INDEX([1]道具配置表!$D:$D,MATCH(D7247,[1]道具配置表!$A:$A,0))</f>
        <v>5分钟训练加速</v>
      </c>
      <c r="F7247" s="13">
        <v>6</v>
      </c>
      <c r="K7247" s="13">
        <v>1</v>
      </c>
      <c r="M7247" s="109" t="b">
        <v>1</v>
      </c>
    </row>
    <row r="7248" spans="1:13" x14ac:dyDescent="0.25">
      <c r="D7248" s="13">
        <v>504</v>
      </c>
      <c r="E7248" s="136" t="str">
        <f>INDEX([1]道具配置表!$D:$D,MATCH(D7248,[1]道具配置表!$A:$A,0))</f>
        <v>10万资源自选宝箱</v>
      </c>
      <c r="F7248" s="13">
        <v>2</v>
      </c>
      <c r="K7248" s="13">
        <v>1</v>
      </c>
      <c r="M7248" s="109" t="b">
        <v>1</v>
      </c>
    </row>
    <row r="7249" spans="1:13" x14ac:dyDescent="0.25">
      <c r="A7249" s="13">
        <v>6681303</v>
      </c>
      <c r="B7249" s="13" t="s">
        <v>1619</v>
      </c>
      <c r="D7249" s="13">
        <v>6801</v>
      </c>
      <c r="E7249" s="136" t="str">
        <f>INDEX([1]道具配置表!$D:$D,MATCH(D7249,[1]道具配置表!$A:$A,0))</f>
        <v>最强帝国金币</v>
      </c>
      <c r="F7249" s="13">
        <v>200</v>
      </c>
      <c r="K7249" s="13">
        <v>1</v>
      </c>
      <c r="M7249" s="109" t="b">
        <v>1</v>
      </c>
    </row>
    <row r="7250" spans="1:13" x14ac:dyDescent="0.25">
      <c r="D7250" s="13">
        <v>6121</v>
      </c>
      <c r="E7250" s="136" t="str">
        <f>INDEX([1]道具配置表!$D:$D,MATCH(D7250,[1]道具配置表!$A:$A,0))</f>
        <v>5分钟建造加速</v>
      </c>
      <c r="F7250" s="13">
        <v>10</v>
      </c>
      <c r="K7250" s="13">
        <v>1</v>
      </c>
      <c r="M7250" s="109" t="b">
        <v>1</v>
      </c>
    </row>
    <row r="7251" spans="1:13" x14ac:dyDescent="0.25">
      <c r="D7251" s="13">
        <v>6161</v>
      </c>
      <c r="E7251" s="136" t="str">
        <f>INDEX([1]道具配置表!$D:$D,MATCH(D7251,[1]道具配置表!$A:$A,0))</f>
        <v>5分钟训练加速</v>
      </c>
      <c r="F7251" s="13">
        <v>10</v>
      </c>
      <c r="K7251" s="13">
        <v>1</v>
      </c>
      <c r="M7251" s="109" t="b">
        <v>1</v>
      </c>
    </row>
    <row r="7252" spans="1:13" x14ac:dyDescent="0.25">
      <c r="D7252" s="13">
        <v>504</v>
      </c>
      <c r="E7252" s="136" t="str">
        <f>INDEX([1]道具配置表!$D:$D,MATCH(D7252,[1]道具配置表!$A:$A,0))</f>
        <v>10万资源自选宝箱</v>
      </c>
      <c r="F7252" s="13">
        <v>3</v>
      </c>
      <c r="K7252" s="13">
        <v>1</v>
      </c>
      <c r="M7252" s="109" t="b">
        <v>1</v>
      </c>
    </row>
    <row r="7253" spans="1:13" x14ac:dyDescent="0.25">
      <c r="A7253" s="13">
        <v>6681401</v>
      </c>
      <c r="B7253" s="13" t="s">
        <v>1617</v>
      </c>
      <c r="D7253" s="13">
        <v>6801</v>
      </c>
      <c r="E7253" s="136" t="str">
        <f>INDEX([1]道具配置表!$D:$D,MATCH(D7253,[1]道具配置表!$A:$A,0))</f>
        <v>最强帝国金币</v>
      </c>
      <c r="F7253" s="13">
        <v>50</v>
      </c>
      <c r="K7253" s="13">
        <v>1</v>
      </c>
      <c r="M7253" s="109" t="b">
        <v>1</v>
      </c>
    </row>
    <row r="7254" spans="1:13" x14ac:dyDescent="0.25">
      <c r="D7254" s="13">
        <v>6121</v>
      </c>
      <c r="E7254" s="136" t="str">
        <f>INDEX([1]道具配置表!$D:$D,MATCH(D7254,[1]道具配置表!$A:$A,0))</f>
        <v>5分钟建造加速</v>
      </c>
      <c r="F7254" s="13">
        <v>3</v>
      </c>
      <c r="K7254" s="13">
        <v>1</v>
      </c>
      <c r="M7254" s="109" t="b">
        <v>1</v>
      </c>
    </row>
    <row r="7255" spans="1:13" x14ac:dyDescent="0.25">
      <c r="D7255" s="13">
        <v>6161</v>
      </c>
      <c r="E7255" s="136" t="str">
        <f>INDEX([1]道具配置表!$D:$D,MATCH(D7255,[1]道具配置表!$A:$A,0))</f>
        <v>5分钟训练加速</v>
      </c>
      <c r="F7255" s="13">
        <v>3</v>
      </c>
      <c r="K7255" s="13">
        <v>1</v>
      </c>
      <c r="M7255" s="109" t="b">
        <v>1</v>
      </c>
    </row>
    <row r="7256" spans="1:13" x14ac:dyDescent="0.25">
      <c r="D7256" s="13">
        <v>504</v>
      </c>
      <c r="E7256" s="136" t="str">
        <f>INDEX([1]道具配置表!$D:$D,MATCH(D7256,[1]道具配置表!$A:$A,0))</f>
        <v>10万资源自选宝箱</v>
      </c>
      <c r="F7256" s="13">
        <v>1</v>
      </c>
      <c r="K7256" s="13">
        <v>1</v>
      </c>
      <c r="M7256" s="109" t="b">
        <v>1</v>
      </c>
    </row>
    <row r="7257" spans="1:13" x14ac:dyDescent="0.25">
      <c r="A7257" s="13">
        <v>6681402</v>
      </c>
      <c r="B7257" s="13" t="s">
        <v>1618</v>
      </c>
      <c r="D7257" s="13">
        <v>6801</v>
      </c>
      <c r="E7257" s="136" t="str">
        <f>INDEX([1]道具配置表!$D:$D,MATCH(D7257,[1]道具配置表!$A:$A,0))</f>
        <v>最强帝国金币</v>
      </c>
      <c r="F7257" s="13">
        <v>100</v>
      </c>
      <c r="K7257" s="13">
        <v>1</v>
      </c>
      <c r="M7257" s="109" t="b">
        <v>1</v>
      </c>
    </row>
    <row r="7258" spans="1:13" x14ac:dyDescent="0.25">
      <c r="D7258" s="13">
        <v>6121</v>
      </c>
      <c r="E7258" s="136" t="str">
        <f>INDEX([1]道具配置表!$D:$D,MATCH(D7258,[1]道具配置表!$A:$A,0))</f>
        <v>5分钟建造加速</v>
      </c>
      <c r="F7258" s="13">
        <v>6</v>
      </c>
      <c r="K7258" s="13">
        <v>1</v>
      </c>
      <c r="M7258" s="109" t="b">
        <v>1</v>
      </c>
    </row>
    <row r="7259" spans="1:13" x14ac:dyDescent="0.25">
      <c r="D7259" s="13">
        <v>6161</v>
      </c>
      <c r="E7259" s="136" t="str">
        <f>INDEX([1]道具配置表!$D:$D,MATCH(D7259,[1]道具配置表!$A:$A,0))</f>
        <v>5分钟训练加速</v>
      </c>
      <c r="F7259" s="13">
        <v>6</v>
      </c>
      <c r="K7259" s="13">
        <v>1</v>
      </c>
      <c r="M7259" s="109" t="b">
        <v>1</v>
      </c>
    </row>
    <row r="7260" spans="1:13" x14ac:dyDescent="0.25">
      <c r="D7260" s="13">
        <v>504</v>
      </c>
      <c r="E7260" s="136" t="str">
        <f>INDEX([1]道具配置表!$D:$D,MATCH(D7260,[1]道具配置表!$A:$A,0))</f>
        <v>10万资源自选宝箱</v>
      </c>
      <c r="F7260" s="13">
        <v>2</v>
      </c>
      <c r="K7260" s="13">
        <v>1</v>
      </c>
      <c r="M7260" s="109" t="b">
        <v>1</v>
      </c>
    </row>
    <row r="7261" spans="1:13" x14ac:dyDescent="0.25">
      <c r="A7261" s="13">
        <v>6681403</v>
      </c>
      <c r="B7261" s="13" t="s">
        <v>1619</v>
      </c>
      <c r="D7261" s="13">
        <v>6801</v>
      </c>
      <c r="E7261" s="136" t="str">
        <f>INDEX([1]道具配置表!$D:$D,MATCH(D7261,[1]道具配置表!$A:$A,0))</f>
        <v>最强帝国金币</v>
      </c>
      <c r="F7261" s="13">
        <v>200</v>
      </c>
      <c r="K7261" s="13">
        <v>1</v>
      </c>
      <c r="M7261" s="109" t="b">
        <v>1</v>
      </c>
    </row>
    <row r="7262" spans="1:13" x14ac:dyDescent="0.25">
      <c r="D7262" s="13">
        <v>6121</v>
      </c>
      <c r="E7262" s="136" t="str">
        <f>INDEX([1]道具配置表!$D:$D,MATCH(D7262,[1]道具配置表!$A:$A,0))</f>
        <v>5分钟建造加速</v>
      </c>
      <c r="F7262" s="13">
        <v>10</v>
      </c>
      <c r="K7262" s="13">
        <v>1</v>
      </c>
      <c r="M7262" s="109" t="b">
        <v>1</v>
      </c>
    </row>
    <row r="7263" spans="1:13" x14ac:dyDescent="0.25">
      <c r="D7263" s="13">
        <v>6161</v>
      </c>
      <c r="E7263" s="136" t="str">
        <f>INDEX([1]道具配置表!$D:$D,MATCH(D7263,[1]道具配置表!$A:$A,0))</f>
        <v>5分钟训练加速</v>
      </c>
      <c r="F7263" s="13">
        <v>10</v>
      </c>
      <c r="K7263" s="13">
        <v>1</v>
      </c>
      <c r="M7263" s="109" t="b">
        <v>1</v>
      </c>
    </row>
    <row r="7264" spans="1:13" x14ac:dyDescent="0.25">
      <c r="D7264" s="13">
        <v>504</v>
      </c>
      <c r="E7264" s="136" t="str">
        <f>INDEX([1]道具配置表!$D:$D,MATCH(D7264,[1]道具配置表!$A:$A,0))</f>
        <v>10万资源自选宝箱</v>
      </c>
      <c r="F7264" s="13">
        <v>3</v>
      </c>
      <c r="K7264" s="13">
        <v>1</v>
      </c>
      <c r="M7264" s="109" t="b">
        <v>1</v>
      </c>
    </row>
    <row r="7265" spans="1:13" x14ac:dyDescent="0.25">
      <c r="A7265" s="13">
        <v>6681501</v>
      </c>
      <c r="B7265" s="13" t="s">
        <v>1617</v>
      </c>
      <c r="D7265" s="13">
        <v>6801</v>
      </c>
      <c r="E7265" s="136" t="str">
        <f>INDEX([1]道具配置表!$D:$D,MATCH(D7265,[1]道具配置表!$A:$A,0))</f>
        <v>最强帝国金币</v>
      </c>
      <c r="F7265" s="13">
        <v>50</v>
      </c>
      <c r="K7265" s="13">
        <v>1</v>
      </c>
      <c r="M7265" s="109" t="b">
        <v>1</v>
      </c>
    </row>
    <row r="7266" spans="1:13" x14ac:dyDescent="0.25">
      <c r="D7266" s="13">
        <v>6121</v>
      </c>
      <c r="E7266" s="136" t="str">
        <f>INDEX([1]道具配置表!$D:$D,MATCH(D7266,[1]道具配置表!$A:$A,0))</f>
        <v>5分钟建造加速</v>
      </c>
      <c r="F7266" s="13">
        <v>3</v>
      </c>
      <c r="K7266" s="13">
        <v>1</v>
      </c>
      <c r="M7266" s="109" t="b">
        <v>1</v>
      </c>
    </row>
    <row r="7267" spans="1:13" x14ac:dyDescent="0.25">
      <c r="D7267" s="13">
        <v>6161</v>
      </c>
      <c r="E7267" s="136" t="str">
        <f>INDEX([1]道具配置表!$D:$D,MATCH(D7267,[1]道具配置表!$A:$A,0))</f>
        <v>5分钟训练加速</v>
      </c>
      <c r="F7267" s="13">
        <v>3</v>
      </c>
      <c r="K7267" s="13">
        <v>1</v>
      </c>
      <c r="M7267" s="109" t="b">
        <v>1</v>
      </c>
    </row>
    <row r="7268" spans="1:13" x14ac:dyDescent="0.25">
      <c r="D7268" s="13">
        <v>504</v>
      </c>
      <c r="E7268" s="136" t="str">
        <f>INDEX([1]道具配置表!$D:$D,MATCH(D7268,[1]道具配置表!$A:$A,0))</f>
        <v>10万资源自选宝箱</v>
      </c>
      <c r="F7268" s="13">
        <v>1</v>
      </c>
      <c r="K7268" s="13">
        <v>1</v>
      </c>
      <c r="M7268" s="109" t="b">
        <v>1</v>
      </c>
    </row>
    <row r="7269" spans="1:13" x14ac:dyDescent="0.25">
      <c r="A7269" s="13">
        <v>6681502</v>
      </c>
      <c r="B7269" s="13" t="s">
        <v>1618</v>
      </c>
      <c r="D7269" s="13">
        <v>6801</v>
      </c>
      <c r="E7269" s="136" t="str">
        <f>INDEX([1]道具配置表!$D:$D,MATCH(D7269,[1]道具配置表!$A:$A,0))</f>
        <v>最强帝国金币</v>
      </c>
      <c r="F7269" s="13">
        <v>100</v>
      </c>
      <c r="K7269" s="13">
        <v>1</v>
      </c>
      <c r="M7269" s="109" t="b">
        <v>1</v>
      </c>
    </row>
    <row r="7270" spans="1:13" x14ac:dyDescent="0.25">
      <c r="D7270" s="13">
        <v>6121</v>
      </c>
      <c r="E7270" s="136" t="str">
        <f>INDEX([1]道具配置表!$D:$D,MATCH(D7270,[1]道具配置表!$A:$A,0))</f>
        <v>5分钟建造加速</v>
      </c>
      <c r="F7270" s="13">
        <v>6</v>
      </c>
      <c r="K7270" s="13">
        <v>1</v>
      </c>
      <c r="M7270" s="109" t="b">
        <v>1</v>
      </c>
    </row>
    <row r="7271" spans="1:13" x14ac:dyDescent="0.25">
      <c r="D7271" s="13">
        <v>6161</v>
      </c>
      <c r="E7271" s="136" t="str">
        <f>INDEX([1]道具配置表!$D:$D,MATCH(D7271,[1]道具配置表!$A:$A,0))</f>
        <v>5分钟训练加速</v>
      </c>
      <c r="F7271" s="13">
        <v>6</v>
      </c>
      <c r="K7271" s="13">
        <v>1</v>
      </c>
      <c r="M7271" s="109" t="b">
        <v>1</v>
      </c>
    </row>
    <row r="7272" spans="1:13" x14ac:dyDescent="0.25">
      <c r="D7272" s="13">
        <v>504</v>
      </c>
      <c r="E7272" s="136" t="str">
        <f>INDEX([1]道具配置表!$D:$D,MATCH(D7272,[1]道具配置表!$A:$A,0))</f>
        <v>10万资源自选宝箱</v>
      </c>
      <c r="F7272" s="13">
        <v>2</v>
      </c>
      <c r="K7272" s="13">
        <v>1</v>
      </c>
      <c r="M7272" s="109" t="b">
        <v>1</v>
      </c>
    </row>
    <row r="7273" spans="1:13" x14ac:dyDescent="0.25">
      <c r="A7273" s="13">
        <v>6681503</v>
      </c>
      <c r="B7273" s="13" t="s">
        <v>1619</v>
      </c>
      <c r="D7273" s="13">
        <v>6801</v>
      </c>
      <c r="E7273" s="136" t="str">
        <f>INDEX([1]道具配置表!$D:$D,MATCH(D7273,[1]道具配置表!$A:$A,0))</f>
        <v>最强帝国金币</v>
      </c>
      <c r="F7273" s="13">
        <v>200</v>
      </c>
      <c r="K7273" s="13">
        <v>1</v>
      </c>
      <c r="M7273" s="109" t="b">
        <v>1</v>
      </c>
    </row>
    <row r="7274" spans="1:13" x14ac:dyDescent="0.25">
      <c r="D7274" s="13">
        <v>6121</v>
      </c>
      <c r="E7274" s="136" t="str">
        <f>INDEX([1]道具配置表!$D:$D,MATCH(D7274,[1]道具配置表!$A:$A,0))</f>
        <v>5分钟建造加速</v>
      </c>
      <c r="F7274" s="13">
        <v>10</v>
      </c>
      <c r="K7274" s="13">
        <v>1</v>
      </c>
      <c r="M7274" s="109" t="b">
        <v>1</v>
      </c>
    </row>
    <row r="7275" spans="1:13" x14ac:dyDescent="0.25">
      <c r="D7275" s="13">
        <v>6161</v>
      </c>
      <c r="E7275" s="136" t="str">
        <f>INDEX([1]道具配置表!$D:$D,MATCH(D7275,[1]道具配置表!$A:$A,0))</f>
        <v>5分钟训练加速</v>
      </c>
      <c r="F7275" s="13">
        <v>10</v>
      </c>
      <c r="K7275" s="13">
        <v>1</v>
      </c>
      <c r="M7275" s="109" t="b">
        <v>1</v>
      </c>
    </row>
    <row r="7276" spans="1:13" x14ac:dyDescent="0.25">
      <c r="D7276" s="13">
        <v>504</v>
      </c>
      <c r="E7276" s="136" t="str">
        <f>INDEX([1]道具配置表!$D:$D,MATCH(D7276,[1]道具配置表!$A:$A,0))</f>
        <v>10万资源自选宝箱</v>
      </c>
      <c r="F7276" s="13">
        <v>3</v>
      </c>
      <c r="K7276" s="13">
        <v>1</v>
      </c>
      <c r="M7276" s="109" t="b">
        <v>1</v>
      </c>
    </row>
    <row r="7277" spans="1:13" x14ac:dyDescent="0.25">
      <c r="A7277" s="13">
        <v>6682001</v>
      </c>
      <c r="B7277" s="13" t="s">
        <v>1620</v>
      </c>
      <c r="D7277" s="13">
        <v>7003</v>
      </c>
      <c r="E7277" s="136" t="str">
        <f>INDEX([1]道具配置表!$D:$D,MATCH(D7277,[1]道具配置表!$A:$A,0))</f>
        <v>1银币（立即使用，不进背包）</v>
      </c>
      <c r="F7277" s="13">
        <v>20000</v>
      </c>
      <c r="K7277" s="13">
        <v>1</v>
      </c>
      <c r="M7277" s="109" t="b">
        <v>1</v>
      </c>
    </row>
    <row r="7278" spans="1:13" x14ac:dyDescent="0.25">
      <c r="D7278" s="13">
        <v>6802</v>
      </c>
      <c r="E7278" s="136" t="str">
        <f>INDEX([1]道具配置表!$D:$D,MATCH(D7278,[1]道具配置表!$A:$A,0))</f>
        <v>死兵恢复券</v>
      </c>
      <c r="F7278" s="13">
        <v>5</v>
      </c>
      <c r="K7278" s="13">
        <v>1</v>
      </c>
      <c r="M7278" s="109" t="b">
        <v>1</v>
      </c>
    </row>
    <row r="7279" spans="1:13" x14ac:dyDescent="0.25">
      <c r="D7279" s="13">
        <v>6125</v>
      </c>
      <c r="E7279" s="136" t="str">
        <f>INDEX([1]道具配置表!$D:$D,MATCH(D7279,[1]道具配置表!$A:$A,0))</f>
        <v>60分钟建造加速</v>
      </c>
      <c r="F7279" s="13">
        <v>5</v>
      </c>
      <c r="K7279" s="13">
        <v>1</v>
      </c>
      <c r="M7279" s="109" t="b">
        <v>1</v>
      </c>
    </row>
    <row r="7280" spans="1:13" x14ac:dyDescent="0.25">
      <c r="D7280" s="13">
        <v>6145</v>
      </c>
      <c r="E7280" s="136" t="str">
        <f>INDEX([1]道具配置表!$D:$D,MATCH(D7280,[1]道具配置表!$A:$A,0))</f>
        <v>60分钟科技加速</v>
      </c>
      <c r="F7280" s="13">
        <v>5</v>
      </c>
      <c r="K7280" s="13">
        <v>1</v>
      </c>
      <c r="M7280" s="109" t="b">
        <v>1</v>
      </c>
    </row>
    <row r="7281" spans="1:13" x14ac:dyDescent="0.25">
      <c r="D7281" s="13">
        <v>6165</v>
      </c>
      <c r="E7281" s="136" t="str">
        <f>INDEX([1]道具配置表!$D:$D,MATCH(D7281,[1]道具配置表!$A:$A,0))</f>
        <v>60分钟训练加速</v>
      </c>
      <c r="F7281" s="13">
        <v>5</v>
      </c>
      <c r="K7281" s="13">
        <v>1</v>
      </c>
      <c r="M7281" s="109" t="b">
        <v>1</v>
      </c>
    </row>
    <row r="7282" spans="1:13" x14ac:dyDescent="0.25">
      <c r="D7282" s="13">
        <v>503</v>
      </c>
      <c r="E7282" s="136" t="str">
        <f>INDEX([1]道具配置表!$D:$D,MATCH(D7282,[1]道具配置表!$A:$A,0))</f>
        <v>5万资源自选宝箱</v>
      </c>
      <c r="F7282" s="13">
        <v>40</v>
      </c>
      <c r="K7282" s="13">
        <v>1</v>
      </c>
      <c r="M7282" s="109" t="b">
        <v>1</v>
      </c>
    </row>
    <row r="7283" spans="1:13" x14ac:dyDescent="0.25">
      <c r="A7283" s="13">
        <v>6682002</v>
      </c>
      <c r="B7283" s="13" t="s">
        <v>1621</v>
      </c>
      <c r="D7283" s="13">
        <v>7003</v>
      </c>
      <c r="E7283" s="136" t="str">
        <f>INDEX([1]道具配置表!$D:$D,MATCH(D7283,[1]道具配置表!$A:$A,0))</f>
        <v>1银币（立即使用，不进背包）</v>
      </c>
      <c r="F7283" s="13">
        <v>15000</v>
      </c>
      <c r="K7283" s="13">
        <v>1</v>
      </c>
      <c r="M7283" s="109" t="b">
        <v>1</v>
      </c>
    </row>
    <row r="7284" spans="1:13" x14ac:dyDescent="0.25">
      <c r="D7284" s="13">
        <v>6802</v>
      </c>
      <c r="E7284" s="136" t="str">
        <f>INDEX([1]道具配置表!$D:$D,MATCH(D7284,[1]道具配置表!$A:$A,0))</f>
        <v>死兵恢复券</v>
      </c>
      <c r="F7284" s="13">
        <v>4</v>
      </c>
      <c r="K7284" s="13">
        <v>1</v>
      </c>
      <c r="M7284" s="109" t="b">
        <v>1</v>
      </c>
    </row>
    <row r="7285" spans="1:13" x14ac:dyDescent="0.25">
      <c r="D7285" s="13">
        <v>6125</v>
      </c>
      <c r="E7285" s="136" t="str">
        <f>INDEX([1]道具配置表!$D:$D,MATCH(D7285,[1]道具配置表!$A:$A,0))</f>
        <v>60分钟建造加速</v>
      </c>
      <c r="F7285" s="13">
        <v>4</v>
      </c>
      <c r="K7285" s="13">
        <v>1</v>
      </c>
      <c r="M7285" s="109" t="b">
        <v>1</v>
      </c>
    </row>
    <row r="7286" spans="1:13" x14ac:dyDescent="0.25">
      <c r="D7286" s="13">
        <v>6145</v>
      </c>
      <c r="E7286" s="136" t="str">
        <f>INDEX([1]道具配置表!$D:$D,MATCH(D7286,[1]道具配置表!$A:$A,0))</f>
        <v>60分钟科技加速</v>
      </c>
      <c r="F7286" s="13">
        <v>4</v>
      </c>
      <c r="K7286" s="13">
        <v>1</v>
      </c>
      <c r="M7286" s="109" t="b">
        <v>1</v>
      </c>
    </row>
    <row r="7287" spans="1:13" x14ac:dyDescent="0.25">
      <c r="D7287" s="13">
        <v>6165</v>
      </c>
      <c r="E7287" s="136" t="str">
        <f>INDEX([1]道具配置表!$D:$D,MATCH(D7287,[1]道具配置表!$A:$A,0))</f>
        <v>60分钟训练加速</v>
      </c>
      <c r="F7287" s="13">
        <v>4</v>
      </c>
      <c r="K7287" s="13">
        <v>1</v>
      </c>
      <c r="M7287" s="109" t="b">
        <v>1</v>
      </c>
    </row>
    <row r="7288" spans="1:13" x14ac:dyDescent="0.25">
      <c r="D7288" s="13">
        <v>503</v>
      </c>
      <c r="E7288" s="136" t="str">
        <f>INDEX([1]道具配置表!$D:$D,MATCH(D7288,[1]道具配置表!$A:$A,0))</f>
        <v>5万资源自选宝箱</v>
      </c>
      <c r="F7288" s="13">
        <v>35</v>
      </c>
      <c r="K7288" s="13">
        <v>1</v>
      </c>
      <c r="M7288" s="109" t="b">
        <v>1</v>
      </c>
    </row>
    <row r="7289" spans="1:13" x14ac:dyDescent="0.25">
      <c r="A7289" s="13">
        <v>6682003</v>
      </c>
      <c r="B7289" s="13" t="s">
        <v>1622</v>
      </c>
      <c r="D7289" s="13">
        <v>7003</v>
      </c>
      <c r="E7289" s="136" t="str">
        <f>INDEX([1]道具配置表!$D:$D,MATCH(D7289,[1]道具配置表!$A:$A,0))</f>
        <v>1银币（立即使用，不进背包）</v>
      </c>
      <c r="F7289" s="13">
        <v>10000</v>
      </c>
      <c r="K7289" s="13">
        <v>1</v>
      </c>
      <c r="M7289" s="109" t="b">
        <v>1</v>
      </c>
    </row>
    <row r="7290" spans="1:13" x14ac:dyDescent="0.25">
      <c r="D7290" s="13">
        <v>6802</v>
      </c>
      <c r="E7290" s="136" t="str">
        <f>INDEX([1]道具配置表!$D:$D,MATCH(D7290,[1]道具配置表!$A:$A,0))</f>
        <v>死兵恢复券</v>
      </c>
      <c r="F7290" s="13">
        <v>3</v>
      </c>
      <c r="K7290" s="13">
        <v>1</v>
      </c>
      <c r="M7290" s="109" t="b">
        <v>1</v>
      </c>
    </row>
    <row r="7291" spans="1:13" x14ac:dyDescent="0.25">
      <c r="D7291" s="13">
        <v>6125</v>
      </c>
      <c r="E7291" s="136" t="str">
        <f>INDEX([1]道具配置表!$D:$D,MATCH(D7291,[1]道具配置表!$A:$A,0))</f>
        <v>60分钟建造加速</v>
      </c>
      <c r="F7291" s="13">
        <v>3</v>
      </c>
      <c r="K7291" s="13">
        <v>1</v>
      </c>
      <c r="M7291" s="109" t="b">
        <v>1</v>
      </c>
    </row>
    <row r="7292" spans="1:13" x14ac:dyDescent="0.25">
      <c r="D7292" s="13">
        <v>6145</v>
      </c>
      <c r="E7292" s="136" t="str">
        <f>INDEX([1]道具配置表!$D:$D,MATCH(D7292,[1]道具配置表!$A:$A,0))</f>
        <v>60分钟科技加速</v>
      </c>
      <c r="F7292" s="13">
        <v>3</v>
      </c>
      <c r="K7292" s="13">
        <v>1</v>
      </c>
      <c r="M7292" s="109" t="b">
        <v>1</v>
      </c>
    </row>
    <row r="7293" spans="1:13" x14ac:dyDescent="0.25">
      <c r="D7293" s="13">
        <v>6165</v>
      </c>
      <c r="E7293" s="136" t="str">
        <f>INDEX([1]道具配置表!$D:$D,MATCH(D7293,[1]道具配置表!$A:$A,0))</f>
        <v>60分钟训练加速</v>
      </c>
      <c r="F7293" s="13">
        <v>3</v>
      </c>
      <c r="K7293" s="13">
        <v>1</v>
      </c>
      <c r="M7293" s="109" t="b">
        <v>1</v>
      </c>
    </row>
    <row r="7294" spans="1:13" x14ac:dyDescent="0.25">
      <c r="D7294" s="13">
        <v>503</v>
      </c>
      <c r="E7294" s="136" t="str">
        <f>INDEX([1]道具配置表!$D:$D,MATCH(D7294,[1]道具配置表!$A:$A,0))</f>
        <v>5万资源自选宝箱</v>
      </c>
      <c r="F7294" s="13">
        <v>30</v>
      </c>
      <c r="K7294" s="13">
        <v>1</v>
      </c>
      <c r="M7294" s="109" t="b">
        <v>1</v>
      </c>
    </row>
    <row r="7295" spans="1:13" x14ac:dyDescent="0.25">
      <c r="A7295" s="13">
        <v>6682004</v>
      </c>
      <c r="B7295" s="13" t="s">
        <v>1623</v>
      </c>
      <c r="D7295" s="13">
        <v>7003</v>
      </c>
      <c r="E7295" s="136" t="str">
        <f>INDEX([1]道具配置表!$D:$D,MATCH(D7295,[1]道具配置表!$A:$A,0))</f>
        <v>1银币（立即使用，不进背包）</v>
      </c>
      <c r="F7295" s="13">
        <v>8000</v>
      </c>
      <c r="K7295" s="13">
        <v>1</v>
      </c>
      <c r="M7295" s="109" t="b">
        <v>1</v>
      </c>
    </row>
    <row r="7296" spans="1:13" x14ac:dyDescent="0.25">
      <c r="D7296" s="13">
        <v>6802</v>
      </c>
      <c r="E7296" s="136" t="str">
        <f>INDEX([1]道具配置表!$D:$D,MATCH(D7296,[1]道具配置表!$A:$A,0))</f>
        <v>死兵恢复券</v>
      </c>
      <c r="F7296" s="13">
        <v>2</v>
      </c>
      <c r="K7296" s="13">
        <v>1</v>
      </c>
      <c r="M7296" s="109" t="b">
        <v>1</v>
      </c>
    </row>
    <row r="7297" spans="1:13" x14ac:dyDescent="0.25">
      <c r="D7297" s="13">
        <v>6125</v>
      </c>
      <c r="E7297" s="136" t="str">
        <f>INDEX([1]道具配置表!$D:$D,MATCH(D7297,[1]道具配置表!$A:$A,0))</f>
        <v>60分钟建造加速</v>
      </c>
      <c r="F7297" s="13">
        <v>2</v>
      </c>
      <c r="K7297" s="13">
        <v>1</v>
      </c>
      <c r="M7297" s="109" t="b">
        <v>1</v>
      </c>
    </row>
    <row r="7298" spans="1:13" x14ac:dyDescent="0.25">
      <c r="D7298" s="13">
        <v>6145</v>
      </c>
      <c r="E7298" s="136" t="str">
        <f>INDEX([1]道具配置表!$D:$D,MATCH(D7298,[1]道具配置表!$A:$A,0))</f>
        <v>60分钟科技加速</v>
      </c>
      <c r="F7298" s="13">
        <v>2</v>
      </c>
      <c r="K7298" s="13">
        <v>1</v>
      </c>
      <c r="M7298" s="109" t="b">
        <v>1</v>
      </c>
    </row>
    <row r="7299" spans="1:13" x14ac:dyDescent="0.25">
      <c r="D7299" s="13">
        <v>6165</v>
      </c>
      <c r="E7299" s="136" t="str">
        <f>INDEX([1]道具配置表!$D:$D,MATCH(D7299,[1]道具配置表!$A:$A,0))</f>
        <v>60分钟训练加速</v>
      </c>
      <c r="F7299" s="13">
        <v>2</v>
      </c>
      <c r="K7299" s="13">
        <v>1</v>
      </c>
      <c r="M7299" s="109" t="b">
        <v>1</v>
      </c>
    </row>
    <row r="7300" spans="1:13" x14ac:dyDescent="0.25">
      <c r="D7300" s="13">
        <v>503</v>
      </c>
      <c r="E7300" s="136" t="str">
        <f>INDEX([1]道具配置表!$D:$D,MATCH(D7300,[1]道具配置表!$A:$A,0))</f>
        <v>5万资源自选宝箱</v>
      </c>
      <c r="F7300" s="13">
        <v>25</v>
      </c>
      <c r="K7300" s="13">
        <v>1</v>
      </c>
      <c r="M7300" s="109" t="b">
        <v>1</v>
      </c>
    </row>
    <row r="7301" spans="1:13" x14ac:dyDescent="0.25">
      <c r="A7301" s="13">
        <v>6682005</v>
      </c>
      <c r="B7301" s="13" t="s">
        <v>1624</v>
      </c>
      <c r="D7301" s="13">
        <v>7003</v>
      </c>
      <c r="E7301" s="136" t="str">
        <f>INDEX([1]道具配置表!$D:$D,MATCH(D7301,[1]道具配置表!$A:$A,0))</f>
        <v>1银币（立即使用，不进背包）</v>
      </c>
      <c r="F7301" s="13">
        <v>6000</v>
      </c>
      <c r="K7301" s="13">
        <v>1</v>
      </c>
      <c r="M7301" s="109" t="b">
        <v>1</v>
      </c>
    </row>
    <row r="7302" spans="1:13" x14ac:dyDescent="0.25">
      <c r="D7302" s="13">
        <v>6802</v>
      </c>
      <c r="E7302" s="136" t="str">
        <f>INDEX([1]道具配置表!$D:$D,MATCH(D7302,[1]道具配置表!$A:$A,0))</f>
        <v>死兵恢复券</v>
      </c>
      <c r="F7302" s="13">
        <v>1</v>
      </c>
      <c r="K7302" s="13">
        <v>1</v>
      </c>
      <c r="M7302" s="109" t="b">
        <v>1</v>
      </c>
    </row>
    <row r="7303" spans="1:13" x14ac:dyDescent="0.25">
      <c r="D7303" s="13">
        <v>6125</v>
      </c>
      <c r="E7303" s="136" t="str">
        <f>INDEX([1]道具配置表!$D:$D,MATCH(D7303,[1]道具配置表!$A:$A,0))</f>
        <v>60分钟建造加速</v>
      </c>
      <c r="F7303" s="13">
        <v>1</v>
      </c>
      <c r="K7303" s="13">
        <v>1</v>
      </c>
      <c r="M7303" s="109" t="b">
        <v>1</v>
      </c>
    </row>
    <row r="7304" spans="1:13" x14ac:dyDescent="0.25">
      <c r="D7304" s="13">
        <v>6145</v>
      </c>
      <c r="E7304" s="136" t="str">
        <f>INDEX([1]道具配置表!$D:$D,MATCH(D7304,[1]道具配置表!$A:$A,0))</f>
        <v>60分钟科技加速</v>
      </c>
      <c r="F7304" s="13">
        <v>1</v>
      </c>
      <c r="K7304" s="13">
        <v>1</v>
      </c>
      <c r="M7304" s="109" t="b">
        <v>1</v>
      </c>
    </row>
    <row r="7305" spans="1:13" x14ac:dyDescent="0.25">
      <c r="D7305" s="13">
        <v>6165</v>
      </c>
      <c r="E7305" s="136" t="str">
        <f>INDEX([1]道具配置表!$D:$D,MATCH(D7305,[1]道具配置表!$A:$A,0))</f>
        <v>60分钟训练加速</v>
      </c>
      <c r="F7305" s="13">
        <v>1</v>
      </c>
      <c r="K7305" s="13">
        <v>1</v>
      </c>
      <c r="M7305" s="109" t="b">
        <v>1</v>
      </c>
    </row>
    <row r="7306" spans="1:13" x14ac:dyDescent="0.25">
      <c r="D7306" s="13">
        <v>503</v>
      </c>
      <c r="E7306" s="136" t="str">
        <f>INDEX([1]道具配置表!$D:$D,MATCH(D7306,[1]道具配置表!$A:$A,0))</f>
        <v>5万资源自选宝箱</v>
      </c>
      <c r="F7306" s="13">
        <v>20</v>
      </c>
      <c r="K7306" s="13">
        <v>1</v>
      </c>
      <c r="M7306" s="109" t="b">
        <v>1</v>
      </c>
    </row>
    <row r="7307" spans="1:13" x14ac:dyDescent="0.25">
      <c r="A7307" s="13">
        <v>6682006</v>
      </c>
      <c r="B7307" s="13" t="s">
        <v>1625</v>
      </c>
      <c r="D7307" s="13">
        <v>7003</v>
      </c>
      <c r="E7307" s="136" t="str">
        <f>INDEX([1]道具配置表!$D:$D,MATCH(D7307,[1]道具配置表!$A:$A,0))</f>
        <v>1银币（立即使用，不进背包）</v>
      </c>
      <c r="F7307" s="13">
        <v>5000</v>
      </c>
      <c r="K7307" s="13">
        <v>1</v>
      </c>
      <c r="M7307" s="109" t="b">
        <v>1</v>
      </c>
    </row>
    <row r="7308" spans="1:13" x14ac:dyDescent="0.25">
      <c r="D7308" s="13">
        <v>6802</v>
      </c>
      <c r="E7308" s="136" t="str">
        <f>INDEX([1]道具配置表!$D:$D,MATCH(D7308,[1]道具配置表!$A:$A,0))</f>
        <v>死兵恢复券</v>
      </c>
      <c r="F7308" s="13">
        <v>1</v>
      </c>
      <c r="K7308" s="13">
        <v>1</v>
      </c>
      <c r="M7308" s="109" t="b">
        <v>1</v>
      </c>
    </row>
    <row r="7309" spans="1:13" x14ac:dyDescent="0.25">
      <c r="D7309" s="13">
        <v>6122</v>
      </c>
      <c r="E7309" s="136" t="str">
        <f>INDEX([1]道具配置表!$D:$D,MATCH(D7309,[1]道具配置表!$A:$A,0))</f>
        <v>10分钟建造加速</v>
      </c>
      <c r="F7309" s="13">
        <v>5</v>
      </c>
      <c r="K7309" s="13">
        <v>1</v>
      </c>
      <c r="M7309" s="109" t="b">
        <v>1</v>
      </c>
    </row>
    <row r="7310" spans="1:13" x14ac:dyDescent="0.25">
      <c r="D7310" s="13">
        <v>6142</v>
      </c>
      <c r="E7310" s="136" t="str">
        <f>INDEX([1]道具配置表!$D:$D,MATCH(D7310,[1]道具配置表!$A:$A,0))</f>
        <v>10分钟科技加速</v>
      </c>
      <c r="F7310" s="13">
        <v>5</v>
      </c>
      <c r="K7310" s="13">
        <v>1</v>
      </c>
      <c r="M7310" s="109" t="b">
        <v>1</v>
      </c>
    </row>
    <row r="7311" spans="1:13" x14ac:dyDescent="0.25">
      <c r="D7311" s="13">
        <v>6162</v>
      </c>
      <c r="E7311" s="136" t="str">
        <f>INDEX([1]道具配置表!$D:$D,MATCH(D7311,[1]道具配置表!$A:$A,0))</f>
        <v>10分钟训练加速</v>
      </c>
      <c r="F7311" s="13">
        <v>5</v>
      </c>
      <c r="K7311" s="13">
        <v>1</v>
      </c>
      <c r="M7311" s="109" t="b">
        <v>1</v>
      </c>
    </row>
    <row r="7312" spans="1:13" x14ac:dyDescent="0.25">
      <c r="D7312" s="13">
        <v>503</v>
      </c>
      <c r="E7312" s="136" t="str">
        <f>INDEX([1]道具配置表!$D:$D,MATCH(D7312,[1]道具配置表!$A:$A,0))</f>
        <v>5万资源自选宝箱</v>
      </c>
      <c r="F7312" s="13">
        <v>15</v>
      </c>
      <c r="K7312" s="13">
        <v>1</v>
      </c>
      <c r="M7312" s="109" t="b">
        <v>1</v>
      </c>
    </row>
    <row r="7313" spans="1:13" x14ac:dyDescent="0.25">
      <c r="A7313" s="13">
        <v>6682007</v>
      </c>
      <c r="B7313" s="13" t="s">
        <v>1626</v>
      </c>
      <c r="D7313" s="13">
        <v>7003</v>
      </c>
      <c r="E7313" s="136" t="str">
        <f>INDEX([1]道具配置表!$D:$D,MATCH(D7313,[1]道具配置表!$A:$A,0))</f>
        <v>1银币（立即使用，不进背包）</v>
      </c>
      <c r="F7313" s="13">
        <v>4000</v>
      </c>
      <c r="K7313" s="13">
        <v>1</v>
      </c>
      <c r="M7313" s="109" t="b">
        <v>1</v>
      </c>
    </row>
    <row r="7314" spans="1:13" x14ac:dyDescent="0.25">
      <c r="D7314" s="13">
        <v>6802</v>
      </c>
      <c r="E7314" s="136" t="str">
        <f>INDEX([1]道具配置表!$D:$D,MATCH(D7314,[1]道具配置表!$A:$A,0))</f>
        <v>死兵恢复券</v>
      </c>
      <c r="F7314" s="13">
        <v>1</v>
      </c>
      <c r="K7314" s="13">
        <v>1</v>
      </c>
      <c r="M7314" s="109" t="b">
        <v>1</v>
      </c>
    </row>
    <row r="7315" spans="1:13" x14ac:dyDescent="0.25">
      <c r="D7315" s="13">
        <v>6122</v>
      </c>
      <c r="E7315" s="136" t="str">
        <f>INDEX([1]道具配置表!$D:$D,MATCH(D7315,[1]道具配置表!$A:$A,0))</f>
        <v>10分钟建造加速</v>
      </c>
      <c r="F7315" s="13">
        <v>5</v>
      </c>
      <c r="K7315" s="13">
        <v>1</v>
      </c>
      <c r="M7315" s="109" t="b">
        <v>1</v>
      </c>
    </row>
    <row r="7316" spans="1:13" x14ac:dyDescent="0.25">
      <c r="D7316" s="13">
        <v>6142</v>
      </c>
      <c r="E7316" s="136" t="str">
        <f>INDEX([1]道具配置表!$D:$D,MATCH(D7316,[1]道具配置表!$A:$A,0))</f>
        <v>10分钟科技加速</v>
      </c>
      <c r="F7316" s="13">
        <v>5</v>
      </c>
      <c r="K7316" s="13">
        <v>1</v>
      </c>
      <c r="M7316" s="109" t="b">
        <v>1</v>
      </c>
    </row>
    <row r="7317" spans="1:13" x14ac:dyDescent="0.25">
      <c r="D7317" s="13">
        <v>6162</v>
      </c>
      <c r="E7317" s="136" t="str">
        <f>INDEX([1]道具配置表!$D:$D,MATCH(D7317,[1]道具配置表!$A:$A,0))</f>
        <v>10分钟训练加速</v>
      </c>
      <c r="F7317" s="13">
        <v>5</v>
      </c>
      <c r="K7317" s="13">
        <v>1</v>
      </c>
      <c r="M7317" s="109" t="b">
        <v>1</v>
      </c>
    </row>
    <row r="7318" spans="1:13" x14ac:dyDescent="0.25">
      <c r="D7318" s="13">
        <v>503</v>
      </c>
      <c r="E7318" s="136" t="str">
        <f>INDEX([1]道具配置表!$D:$D,MATCH(D7318,[1]道具配置表!$A:$A,0))</f>
        <v>5万资源自选宝箱</v>
      </c>
      <c r="F7318" s="13">
        <v>10</v>
      </c>
      <c r="K7318" s="13">
        <v>1</v>
      </c>
      <c r="M7318" s="109" t="b">
        <v>1</v>
      </c>
    </row>
    <row r="7319" spans="1:13" x14ac:dyDescent="0.25">
      <c r="A7319" s="13">
        <v>6682008</v>
      </c>
      <c r="B7319" s="13" t="s">
        <v>1627</v>
      </c>
      <c r="D7319" s="13">
        <v>7003</v>
      </c>
      <c r="E7319" s="136" t="str">
        <f>INDEX([1]道具配置表!$D:$D,MATCH(D7319,[1]道具配置表!$A:$A,0))</f>
        <v>1银币（立即使用，不进背包）</v>
      </c>
      <c r="F7319" s="13">
        <v>3500</v>
      </c>
      <c r="K7319" s="13">
        <v>1</v>
      </c>
      <c r="M7319" s="109" t="b">
        <v>1</v>
      </c>
    </row>
    <row r="7320" spans="1:13" x14ac:dyDescent="0.25">
      <c r="D7320" s="13">
        <v>6802</v>
      </c>
      <c r="E7320" s="136" t="str">
        <f>INDEX([1]道具配置表!$D:$D,MATCH(D7320,[1]道具配置表!$A:$A,0))</f>
        <v>死兵恢复券</v>
      </c>
      <c r="F7320" s="13">
        <v>1</v>
      </c>
      <c r="K7320" s="13">
        <v>1</v>
      </c>
      <c r="M7320" s="109" t="b">
        <v>1</v>
      </c>
    </row>
    <row r="7321" spans="1:13" x14ac:dyDescent="0.25">
      <c r="D7321" s="13">
        <v>6122</v>
      </c>
      <c r="E7321" s="136" t="str">
        <f>INDEX([1]道具配置表!$D:$D,MATCH(D7321,[1]道具配置表!$A:$A,0))</f>
        <v>10分钟建造加速</v>
      </c>
      <c r="F7321" s="13">
        <v>4</v>
      </c>
      <c r="K7321" s="13">
        <v>1</v>
      </c>
      <c r="M7321" s="109" t="b">
        <v>1</v>
      </c>
    </row>
    <row r="7322" spans="1:13" x14ac:dyDescent="0.25">
      <c r="D7322" s="13">
        <v>6142</v>
      </c>
      <c r="E7322" s="136" t="str">
        <f>INDEX([1]道具配置表!$D:$D,MATCH(D7322,[1]道具配置表!$A:$A,0))</f>
        <v>10分钟科技加速</v>
      </c>
      <c r="F7322" s="13">
        <v>4</v>
      </c>
      <c r="K7322" s="13">
        <v>1</v>
      </c>
      <c r="M7322" s="109" t="b">
        <v>1</v>
      </c>
    </row>
    <row r="7323" spans="1:13" x14ac:dyDescent="0.25">
      <c r="D7323" s="13">
        <v>6162</v>
      </c>
      <c r="E7323" s="136" t="str">
        <f>INDEX([1]道具配置表!$D:$D,MATCH(D7323,[1]道具配置表!$A:$A,0))</f>
        <v>10分钟训练加速</v>
      </c>
      <c r="F7323" s="13">
        <v>4</v>
      </c>
      <c r="K7323" s="13">
        <v>1</v>
      </c>
      <c r="M7323" s="109" t="b">
        <v>1</v>
      </c>
    </row>
    <row r="7324" spans="1:13" x14ac:dyDescent="0.25">
      <c r="D7324" s="13">
        <v>503</v>
      </c>
      <c r="E7324" s="136" t="str">
        <f>INDEX([1]道具配置表!$D:$D,MATCH(D7324,[1]道具配置表!$A:$A,0))</f>
        <v>5万资源自选宝箱</v>
      </c>
      <c r="F7324" s="13">
        <v>8</v>
      </c>
      <c r="K7324" s="13">
        <v>1</v>
      </c>
      <c r="M7324" s="109" t="b">
        <v>1</v>
      </c>
    </row>
    <row r="7325" spans="1:13" x14ac:dyDescent="0.25">
      <c r="A7325" s="13">
        <v>6682009</v>
      </c>
      <c r="B7325" s="13" t="s">
        <v>1628</v>
      </c>
      <c r="D7325" s="13">
        <v>7003</v>
      </c>
      <c r="E7325" s="136" t="str">
        <f>INDEX([1]道具配置表!$D:$D,MATCH(D7325,[1]道具配置表!$A:$A,0))</f>
        <v>1银币（立即使用，不进背包）</v>
      </c>
      <c r="F7325" s="13">
        <v>3000</v>
      </c>
      <c r="K7325" s="13">
        <v>1</v>
      </c>
      <c r="M7325" s="109" t="b">
        <v>1</v>
      </c>
    </row>
    <row r="7326" spans="1:13" x14ac:dyDescent="0.25">
      <c r="D7326" s="13">
        <v>6802</v>
      </c>
      <c r="E7326" s="136" t="str">
        <f>INDEX([1]道具配置表!$D:$D,MATCH(D7326,[1]道具配置表!$A:$A,0))</f>
        <v>死兵恢复券</v>
      </c>
      <c r="F7326" s="13">
        <v>1</v>
      </c>
      <c r="K7326" s="13">
        <v>1</v>
      </c>
      <c r="M7326" s="109" t="b">
        <v>1</v>
      </c>
    </row>
    <row r="7327" spans="1:13" x14ac:dyDescent="0.25">
      <c r="D7327" s="13">
        <v>6122</v>
      </c>
      <c r="E7327" s="136" t="str">
        <f>INDEX([1]道具配置表!$D:$D,MATCH(D7327,[1]道具配置表!$A:$A,0))</f>
        <v>10分钟建造加速</v>
      </c>
      <c r="F7327" s="13">
        <v>4</v>
      </c>
      <c r="K7327" s="13">
        <v>1</v>
      </c>
      <c r="M7327" s="109" t="b">
        <v>1</v>
      </c>
    </row>
    <row r="7328" spans="1:13" x14ac:dyDescent="0.25">
      <c r="D7328" s="13">
        <v>6142</v>
      </c>
      <c r="E7328" s="136" t="str">
        <f>INDEX([1]道具配置表!$D:$D,MATCH(D7328,[1]道具配置表!$A:$A,0))</f>
        <v>10分钟科技加速</v>
      </c>
      <c r="F7328" s="13">
        <v>4</v>
      </c>
      <c r="K7328" s="13">
        <v>1</v>
      </c>
      <c r="M7328" s="109" t="b">
        <v>1</v>
      </c>
    </row>
    <row r="7329" spans="1:13" x14ac:dyDescent="0.25">
      <c r="D7329" s="13">
        <v>6162</v>
      </c>
      <c r="E7329" s="136" t="str">
        <f>INDEX([1]道具配置表!$D:$D,MATCH(D7329,[1]道具配置表!$A:$A,0))</f>
        <v>10分钟训练加速</v>
      </c>
      <c r="F7329" s="13">
        <v>4</v>
      </c>
      <c r="K7329" s="13">
        <v>1</v>
      </c>
      <c r="M7329" s="109" t="b">
        <v>1</v>
      </c>
    </row>
    <row r="7330" spans="1:13" x14ac:dyDescent="0.25">
      <c r="D7330" s="13">
        <v>503</v>
      </c>
      <c r="E7330" s="136" t="str">
        <f>INDEX([1]道具配置表!$D:$D,MATCH(D7330,[1]道具配置表!$A:$A,0))</f>
        <v>5万资源自选宝箱</v>
      </c>
      <c r="F7330" s="13">
        <v>6</v>
      </c>
      <c r="K7330" s="13">
        <v>1</v>
      </c>
      <c r="M7330" s="109" t="b">
        <v>1</v>
      </c>
    </row>
    <row r="7331" spans="1:13" x14ac:dyDescent="0.25">
      <c r="A7331" s="13">
        <v>6682010</v>
      </c>
      <c r="B7331" s="13" t="s">
        <v>1629</v>
      </c>
      <c r="D7331" s="13">
        <v>7003</v>
      </c>
      <c r="E7331" s="136" t="str">
        <f>INDEX([1]道具配置表!$D:$D,MATCH(D7331,[1]道具配置表!$A:$A,0))</f>
        <v>1银币（立即使用，不进背包）</v>
      </c>
      <c r="F7331" s="13">
        <v>2500</v>
      </c>
      <c r="K7331" s="13">
        <v>1</v>
      </c>
      <c r="M7331" s="109" t="b">
        <v>1</v>
      </c>
    </row>
    <row r="7332" spans="1:13" x14ac:dyDescent="0.25">
      <c r="D7332" s="13">
        <v>6802</v>
      </c>
      <c r="E7332" s="136" t="str">
        <f>INDEX([1]道具配置表!$D:$D,MATCH(D7332,[1]道具配置表!$A:$A,0))</f>
        <v>死兵恢复券</v>
      </c>
      <c r="F7332" s="13">
        <v>1</v>
      </c>
      <c r="K7332" s="13">
        <v>1</v>
      </c>
      <c r="M7332" s="109" t="b">
        <v>1</v>
      </c>
    </row>
    <row r="7333" spans="1:13" x14ac:dyDescent="0.25">
      <c r="D7333" s="13">
        <v>6122</v>
      </c>
      <c r="E7333" s="136" t="str">
        <f>INDEX([1]道具配置表!$D:$D,MATCH(D7333,[1]道具配置表!$A:$A,0))</f>
        <v>10分钟建造加速</v>
      </c>
      <c r="F7333" s="13">
        <v>3</v>
      </c>
      <c r="K7333" s="13">
        <v>1</v>
      </c>
      <c r="M7333" s="109" t="b">
        <v>1</v>
      </c>
    </row>
    <row r="7334" spans="1:13" x14ac:dyDescent="0.25">
      <c r="D7334" s="13">
        <v>6142</v>
      </c>
      <c r="E7334" s="136" t="str">
        <f>INDEX([1]道具配置表!$D:$D,MATCH(D7334,[1]道具配置表!$A:$A,0))</f>
        <v>10分钟科技加速</v>
      </c>
      <c r="F7334" s="13">
        <v>3</v>
      </c>
      <c r="K7334" s="13">
        <v>1</v>
      </c>
      <c r="M7334" s="109" t="b">
        <v>1</v>
      </c>
    </row>
    <row r="7335" spans="1:13" x14ac:dyDescent="0.25">
      <c r="D7335" s="13">
        <v>6162</v>
      </c>
      <c r="E7335" s="136" t="str">
        <f>INDEX([1]道具配置表!$D:$D,MATCH(D7335,[1]道具配置表!$A:$A,0))</f>
        <v>10分钟训练加速</v>
      </c>
      <c r="F7335" s="13">
        <v>3</v>
      </c>
      <c r="K7335" s="13">
        <v>1</v>
      </c>
      <c r="M7335" s="109" t="b">
        <v>1</v>
      </c>
    </row>
    <row r="7336" spans="1:13" x14ac:dyDescent="0.25">
      <c r="D7336" s="13">
        <v>503</v>
      </c>
      <c r="E7336" s="136" t="str">
        <f>INDEX([1]道具配置表!$D:$D,MATCH(D7336,[1]道具配置表!$A:$A,0))</f>
        <v>5万资源自选宝箱</v>
      </c>
      <c r="F7336" s="13">
        <v>5</v>
      </c>
      <c r="K7336" s="13">
        <v>1</v>
      </c>
      <c r="M7336" s="109" t="b">
        <v>1</v>
      </c>
    </row>
    <row r="7337" spans="1:13" x14ac:dyDescent="0.25">
      <c r="A7337" s="13">
        <v>6682011</v>
      </c>
      <c r="B7337" s="13" t="s">
        <v>1630</v>
      </c>
      <c r="D7337" s="13">
        <v>7003</v>
      </c>
      <c r="E7337" s="136" t="str">
        <f>INDEX([1]道具配置表!$D:$D,MATCH(D7337,[1]道具配置表!$A:$A,0))</f>
        <v>1银币（立即使用，不进背包）</v>
      </c>
      <c r="F7337" s="13">
        <v>2000</v>
      </c>
      <c r="K7337" s="13">
        <v>1</v>
      </c>
      <c r="M7337" s="109" t="b">
        <v>1</v>
      </c>
    </row>
    <row r="7338" spans="1:13" x14ac:dyDescent="0.25">
      <c r="D7338" s="13">
        <v>6802</v>
      </c>
      <c r="E7338" s="136" t="str">
        <f>INDEX([1]道具配置表!$D:$D,MATCH(D7338,[1]道具配置表!$A:$A,0))</f>
        <v>死兵恢复券</v>
      </c>
      <c r="F7338" s="13">
        <v>1</v>
      </c>
      <c r="K7338" s="13">
        <v>1</v>
      </c>
      <c r="M7338" s="109" t="b">
        <v>1</v>
      </c>
    </row>
    <row r="7339" spans="1:13" x14ac:dyDescent="0.25">
      <c r="D7339" s="13">
        <v>6122</v>
      </c>
      <c r="E7339" s="136" t="str">
        <f>INDEX([1]道具配置表!$D:$D,MATCH(D7339,[1]道具配置表!$A:$A,0))</f>
        <v>10分钟建造加速</v>
      </c>
      <c r="F7339" s="13">
        <v>2</v>
      </c>
      <c r="K7339" s="13">
        <v>1</v>
      </c>
      <c r="M7339" s="109" t="b">
        <v>1</v>
      </c>
    </row>
    <row r="7340" spans="1:13" x14ac:dyDescent="0.25">
      <c r="D7340" s="13">
        <v>6142</v>
      </c>
      <c r="E7340" s="136" t="str">
        <f>INDEX([1]道具配置表!$D:$D,MATCH(D7340,[1]道具配置表!$A:$A,0))</f>
        <v>10分钟科技加速</v>
      </c>
      <c r="F7340" s="13">
        <v>2</v>
      </c>
      <c r="K7340" s="13">
        <v>1</v>
      </c>
      <c r="M7340" s="109" t="b">
        <v>1</v>
      </c>
    </row>
    <row r="7341" spans="1:13" x14ac:dyDescent="0.25">
      <c r="D7341" s="13">
        <v>6162</v>
      </c>
      <c r="E7341" s="136" t="str">
        <f>INDEX([1]道具配置表!$D:$D,MATCH(D7341,[1]道具配置表!$A:$A,0))</f>
        <v>10分钟训练加速</v>
      </c>
      <c r="F7341" s="13">
        <v>2</v>
      </c>
      <c r="K7341" s="13">
        <v>1</v>
      </c>
      <c r="M7341" s="109" t="b">
        <v>1</v>
      </c>
    </row>
    <row r="7342" spans="1:13" x14ac:dyDescent="0.25">
      <c r="D7342" s="13">
        <v>503</v>
      </c>
      <c r="E7342" s="136" t="str">
        <f>INDEX([1]道具配置表!$D:$D,MATCH(D7342,[1]道具配置表!$A:$A,0))</f>
        <v>5万资源自选宝箱</v>
      </c>
      <c r="F7342" s="13">
        <v>4</v>
      </c>
      <c r="K7342" s="13">
        <v>1</v>
      </c>
      <c r="M7342" s="109" t="b">
        <v>1</v>
      </c>
    </row>
    <row r="7343" spans="1:13" x14ac:dyDescent="0.25">
      <c r="A7343" s="13">
        <v>6682012</v>
      </c>
      <c r="B7343" s="13" t="s">
        <v>1631</v>
      </c>
      <c r="D7343" s="13">
        <v>7003</v>
      </c>
      <c r="E7343" s="136" t="str">
        <f>INDEX([1]道具配置表!$D:$D,MATCH(D7343,[1]道具配置表!$A:$A,0))</f>
        <v>1银币（立即使用，不进背包）</v>
      </c>
      <c r="F7343" s="13">
        <v>1500</v>
      </c>
      <c r="K7343" s="13">
        <v>1</v>
      </c>
      <c r="M7343" s="109" t="b">
        <v>1</v>
      </c>
    </row>
    <row r="7344" spans="1:13" x14ac:dyDescent="0.25">
      <c r="D7344" s="13">
        <v>6802</v>
      </c>
      <c r="E7344" s="136" t="str">
        <f>INDEX([1]道具配置表!$D:$D,MATCH(D7344,[1]道具配置表!$A:$A,0))</f>
        <v>死兵恢复券</v>
      </c>
      <c r="F7344" s="13">
        <v>1</v>
      </c>
      <c r="K7344" s="13">
        <v>1</v>
      </c>
      <c r="M7344" s="109" t="b">
        <v>1</v>
      </c>
    </row>
    <row r="7345" spans="1:13" x14ac:dyDescent="0.25">
      <c r="D7345" s="13">
        <v>6122</v>
      </c>
      <c r="E7345" s="136" t="str">
        <f>INDEX([1]道具配置表!$D:$D,MATCH(D7345,[1]道具配置表!$A:$A,0))</f>
        <v>10分钟建造加速</v>
      </c>
      <c r="F7345" s="13">
        <v>2</v>
      </c>
      <c r="K7345" s="13">
        <v>1</v>
      </c>
      <c r="M7345" s="109" t="b">
        <v>1</v>
      </c>
    </row>
    <row r="7346" spans="1:13" x14ac:dyDescent="0.25">
      <c r="D7346" s="13">
        <v>6142</v>
      </c>
      <c r="E7346" s="136" t="str">
        <f>INDEX([1]道具配置表!$D:$D,MATCH(D7346,[1]道具配置表!$A:$A,0))</f>
        <v>10分钟科技加速</v>
      </c>
      <c r="F7346" s="13">
        <v>2</v>
      </c>
      <c r="K7346" s="13">
        <v>1</v>
      </c>
      <c r="M7346" s="109" t="b">
        <v>1</v>
      </c>
    </row>
    <row r="7347" spans="1:13" x14ac:dyDescent="0.25">
      <c r="D7347" s="13">
        <v>6162</v>
      </c>
      <c r="E7347" s="136" t="str">
        <f>INDEX([1]道具配置表!$D:$D,MATCH(D7347,[1]道具配置表!$A:$A,0))</f>
        <v>10分钟训练加速</v>
      </c>
      <c r="F7347" s="13">
        <v>2</v>
      </c>
      <c r="K7347" s="13">
        <v>1</v>
      </c>
      <c r="M7347" s="109" t="b">
        <v>1</v>
      </c>
    </row>
    <row r="7348" spans="1:13" x14ac:dyDescent="0.25">
      <c r="D7348" s="13">
        <v>503</v>
      </c>
      <c r="E7348" s="136" t="str">
        <f>INDEX([1]道具配置表!$D:$D,MATCH(D7348,[1]道具配置表!$A:$A,0))</f>
        <v>5万资源自选宝箱</v>
      </c>
      <c r="F7348" s="13">
        <v>3</v>
      </c>
      <c r="K7348" s="13">
        <v>1</v>
      </c>
      <c r="M7348" s="109" t="b">
        <v>1</v>
      </c>
    </row>
    <row r="7349" spans="1:13" x14ac:dyDescent="0.25">
      <c r="A7349" s="13">
        <v>6682013</v>
      </c>
      <c r="B7349" s="13" t="s">
        <v>1632</v>
      </c>
      <c r="D7349" s="13">
        <v>7003</v>
      </c>
      <c r="E7349" s="136" t="str">
        <f>INDEX([1]道具配置表!$D:$D,MATCH(D7349,[1]道具配置表!$A:$A,0))</f>
        <v>1银币（立即使用，不进背包）</v>
      </c>
      <c r="F7349" s="13">
        <v>1000</v>
      </c>
      <c r="K7349" s="13">
        <v>1</v>
      </c>
      <c r="M7349" s="109" t="b">
        <v>1</v>
      </c>
    </row>
    <row r="7350" spans="1:13" x14ac:dyDescent="0.25">
      <c r="D7350" s="13">
        <v>6802</v>
      </c>
      <c r="E7350" s="136" t="str">
        <f>INDEX([1]道具配置表!$D:$D,MATCH(D7350,[1]道具配置表!$A:$A,0))</f>
        <v>死兵恢复券</v>
      </c>
      <c r="F7350" s="13">
        <v>1</v>
      </c>
      <c r="K7350" s="13">
        <v>1</v>
      </c>
      <c r="M7350" s="109" t="b">
        <v>1</v>
      </c>
    </row>
    <row r="7351" spans="1:13" x14ac:dyDescent="0.25">
      <c r="D7351" s="13">
        <v>6122</v>
      </c>
      <c r="E7351" s="136" t="str">
        <f>INDEX([1]道具配置表!$D:$D,MATCH(D7351,[1]道具配置表!$A:$A,0))</f>
        <v>10分钟建造加速</v>
      </c>
      <c r="F7351" s="13">
        <v>1</v>
      </c>
      <c r="K7351" s="13">
        <v>1</v>
      </c>
      <c r="M7351" s="109" t="b">
        <v>1</v>
      </c>
    </row>
    <row r="7352" spans="1:13" x14ac:dyDescent="0.25">
      <c r="D7352" s="13">
        <v>6142</v>
      </c>
      <c r="E7352" s="136" t="str">
        <f>INDEX([1]道具配置表!$D:$D,MATCH(D7352,[1]道具配置表!$A:$A,0))</f>
        <v>10分钟科技加速</v>
      </c>
      <c r="F7352" s="13">
        <v>1</v>
      </c>
      <c r="K7352" s="13">
        <v>1</v>
      </c>
      <c r="M7352" s="109" t="b">
        <v>1</v>
      </c>
    </row>
    <row r="7353" spans="1:13" x14ac:dyDescent="0.25">
      <c r="D7353" s="13">
        <v>6162</v>
      </c>
      <c r="E7353" s="136" t="str">
        <f>INDEX([1]道具配置表!$D:$D,MATCH(D7353,[1]道具配置表!$A:$A,0))</f>
        <v>10分钟训练加速</v>
      </c>
      <c r="F7353" s="13">
        <v>1</v>
      </c>
      <c r="K7353" s="13">
        <v>1</v>
      </c>
      <c r="M7353" s="109" t="b">
        <v>1</v>
      </c>
    </row>
    <row r="7354" spans="1:13" x14ac:dyDescent="0.25">
      <c r="D7354" s="13">
        <v>503</v>
      </c>
      <c r="E7354" s="136" t="str">
        <f>INDEX([1]道具配置表!$D:$D,MATCH(D7354,[1]道具配置表!$A:$A,0))</f>
        <v>5万资源自选宝箱</v>
      </c>
      <c r="F7354" s="13">
        <v>2</v>
      </c>
      <c r="K7354" s="13">
        <v>1</v>
      </c>
      <c r="M7354" s="109" t="b">
        <v>1</v>
      </c>
    </row>
    <row r="7355" spans="1:13" x14ac:dyDescent="0.25">
      <c r="A7355" s="13">
        <v>6682101</v>
      </c>
      <c r="B7355" s="13" t="s">
        <v>1633</v>
      </c>
      <c r="D7355" s="13">
        <v>7003</v>
      </c>
      <c r="E7355" s="136" t="str">
        <f>INDEX([1]道具配置表!$D:$D,MATCH(D7355,[1]道具配置表!$A:$A,0))</f>
        <v>1银币（立即使用，不进背包）</v>
      </c>
      <c r="F7355" s="13">
        <v>1200</v>
      </c>
      <c r="K7355" s="13">
        <v>1</v>
      </c>
      <c r="M7355" s="109" t="b">
        <v>1</v>
      </c>
    </row>
    <row r="7356" spans="1:13" x14ac:dyDescent="0.25">
      <c r="D7356" s="13">
        <v>6802</v>
      </c>
      <c r="E7356" s="136" t="str">
        <f>INDEX([1]道具配置表!$D:$D,MATCH(D7356,[1]道具配置表!$A:$A,0))</f>
        <v>死兵恢复券</v>
      </c>
      <c r="F7356" s="13">
        <v>5</v>
      </c>
      <c r="K7356" s="13">
        <v>1</v>
      </c>
      <c r="M7356" s="109" t="b">
        <v>1</v>
      </c>
    </row>
    <row r="7357" spans="1:13" x14ac:dyDescent="0.25">
      <c r="D7357" s="13">
        <v>6125</v>
      </c>
      <c r="E7357" s="136" t="str">
        <f>INDEX([1]道具配置表!$D:$D,MATCH(D7357,[1]道具配置表!$A:$A,0))</f>
        <v>60分钟建造加速</v>
      </c>
      <c r="F7357" s="13">
        <v>1</v>
      </c>
      <c r="K7357" s="13">
        <v>1</v>
      </c>
      <c r="M7357" s="109" t="b">
        <v>1</v>
      </c>
    </row>
    <row r="7358" spans="1:13" x14ac:dyDescent="0.25">
      <c r="D7358" s="13">
        <v>6145</v>
      </c>
      <c r="E7358" s="136" t="str">
        <f>INDEX([1]道具配置表!$D:$D,MATCH(D7358,[1]道具配置表!$A:$A,0))</f>
        <v>60分钟科技加速</v>
      </c>
      <c r="F7358" s="13">
        <v>1</v>
      </c>
      <c r="K7358" s="13">
        <v>1</v>
      </c>
      <c r="M7358" s="109" t="b">
        <v>1</v>
      </c>
    </row>
    <row r="7359" spans="1:13" x14ac:dyDescent="0.25">
      <c r="D7359" s="13">
        <v>6165</v>
      </c>
      <c r="E7359" s="136" t="str">
        <f>INDEX([1]道具配置表!$D:$D,MATCH(D7359,[1]道具配置表!$A:$A,0))</f>
        <v>60分钟训练加速</v>
      </c>
      <c r="F7359" s="13">
        <v>1</v>
      </c>
      <c r="K7359" s="13">
        <v>1</v>
      </c>
      <c r="M7359" s="109" t="b">
        <v>1</v>
      </c>
    </row>
    <row r="7360" spans="1:13" x14ac:dyDescent="0.25">
      <c r="D7360" s="13">
        <v>503</v>
      </c>
      <c r="E7360" s="136" t="str">
        <f>INDEX([1]道具配置表!$D:$D,MATCH(D7360,[1]道具配置表!$A:$A,0))</f>
        <v>5万资源自选宝箱</v>
      </c>
      <c r="F7360" s="13">
        <v>12</v>
      </c>
      <c r="K7360" s="13">
        <v>1</v>
      </c>
      <c r="M7360" s="109" t="b">
        <v>1</v>
      </c>
    </row>
    <row r="7361" spans="1:13" x14ac:dyDescent="0.25">
      <c r="A7361" s="13">
        <v>6682102</v>
      </c>
      <c r="B7361" s="13" t="s">
        <v>1634</v>
      </c>
      <c r="D7361" s="13">
        <v>7003</v>
      </c>
      <c r="E7361" s="136" t="str">
        <f>INDEX([1]道具配置表!$D:$D,MATCH(D7361,[1]道具配置表!$A:$A,0))</f>
        <v>1银币（立即使用，不进背包）</v>
      </c>
      <c r="F7361" s="13">
        <v>1000</v>
      </c>
      <c r="K7361" s="13">
        <v>1</v>
      </c>
      <c r="M7361" s="109" t="b">
        <v>1</v>
      </c>
    </row>
    <row r="7362" spans="1:13" x14ac:dyDescent="0.25">
      <c r="D7362" s="13">
        <v>6802</v>
      </c>
      <c r="E7362" s="136" t="str">
        <f>INDEX([1]道具配置表!$D:$D,MATCH(D7362,[1]道具配置表!$A:$A,0))</f>
        <v>死兵恢复券</v>
      </c>
      <c r="F7362" s="13">
        <v>4</v>
      </c>
      <c r="K7362" s="13">
        <v>1</v>
      </c>
      <c r="M7362" s="109" t="b">
        <v>1</v>
      </c>
    </row>
    <row r="7363" spans="1:13" x14ac:dyDescent="0.25">
      <c r="D7363" s="13">
        <v>6122</v>
      </c>
      <c r="E7363" s="136" t="str">
        <f>INDEX([1]道具配置表!$D:$D,MATCH(D7363,[1]道具配置表!$A:$A,0))</f>
        <v>10分钟建造加速</v>
      </c>
      <c r="F7363" s="13">
        <v>5</v>
      </c>
      <c r="K7363" s="13">
        <v>1</v>
      </c>
      <c r="M7363" s="109" t="b">
        <v>1</v>
      </c>
    </row>
    <row r="7364" spans="1:13" x14ac:dyDescent="0.25">
      <c r="D7364" s="13">
        <v>6142</v>
      </c>
      <c r="E7364" s="136" t="str">
        <f>INDEX([1]道具配置表!$D:$D,MATCH(D7364,[1]道具配置表!$A:$A,0))</f>
        <v>10分钟科技加速</v>
      </c>
      <c r="F7364" s="13">
        <v>5</v>
      </c>
      <c r="K7364" s="13">
        <v>1</v>
      </c>
      <c r="M7364" s="109" t="b">
        <v>1</v>
      </c>
    </row>
    <row r="7365" spans="1:13" x14ac:dyDescent="0.25">
      <c r="D7365" s="13">
        <v>6162</v>
      </c>
      <c r="E7365" s="136" t="str">
        <f>INDEX([1]道具配置表!$D:$D,MATCH(D7365,[1]道具配置表!$A:$A,0))</f>
        <v>10分钟训练加速</v>
      </c>
      <c r="F7365" s="13">
        <v>5</v>
      </c>
      <c r="K7365" s="13">
        <v>1</v>
      </c>
      <c r="M7365" s="109" t="b">
        <v>1</v>
      </c>
    </row>
    <row r="7366" spans="1:13" x14ac:dyDescent="0.25">
      <c r="D7366" s="13">
        <v>503</v>
      </c>
      <c r="E7366" s="136" t="str">
        <f>INDEX([1]道具配置表!$D:$D,MATCH(D7366,[1]道具配置表!$A:$A,0))</f>
        <v>5万资源自选宝箱</v>
      </c>
      <c r="F7366" s="13">
        <v>10</v>
      </c>
      <c r="K7366" s="13">
        <v>1</v>
      </c>
      <c r="M7366" s="109" t="b">
        <v>1</v>
      </c>
    </row>
    <row r="7367" spans="1:13" x14ac:dyDescent="0.25">
      <c r="A7367" s="13">
        <v>6682103</v>
      </c>
      <c r="B7367" s="13" t="s">
        <v>1635</v>
      </c>
      <c r="D7367" s="13">
        <v>7003</v>
      </c>
      <c r="E7367" s="136" t="str">
        <f>INDEX([1]道具配置表!$D:$D,MATCH(D7367,[1]道具配置表!$A:$A,0))</f>
        <v>1银币（立即使用，不进背包）</v>
      </c>
      <c r="F7367" s="13">
        <v>800</v>
      </c>
      <c r="K7367" s="13">
        <v>1</v>
      </c>
      <c r="M7367" s="109" t="b">
        <v>1</v>
      </c>
    </row>
    <row r="7368" spans="1:13" x14ac:dyDescent="0.25">
      <c r="D7368" s="13">
        <v>6802</v>
      </c>
      <c r="E7368" s="136" t="str">
        <f>INDEX([1]道具配置表!$D:$D,MATCH(D7368,[1]道具配置表!$A:$A,0))</f>
        <v>死兵恢复券</v>
      </c>
      <c r="F7368" s="13">
        <v>3</v>
      </c>
      <c r="K7368" s="13">
        <v>1</v>
      </c>
      <c r="M7368" s="109" t="b">
        <v>1</v>
      </c>
    </row>
    <row r="7369" spans="1:13" x14ac:dyDescent="0.25">
      <c r="D7369" s="13">
        <v>6122</v>
      </c>
      <c r="E7369" s="136" t="str">
        <f>INDEX([1]道具配置表!$D:$D,MATCH(D7369,[1]道具配置表!$A:$A,0))</f>
        <v>10分钟建造加速</v>
      </c>
      <c r="F7369" s="13">
        <v>4</v>
      </c>
      <c r="K7369" s="13">
        <v>1</v>
      </c>
      <c r="M7369" s="109" t="b">
        <v>1</v>
      </c>
    </row>
    <row r="7370" spans="1:13" x14ac:dyDescent="0.25">
      <c r="D7370" s="13">
        <v>6142</v>
      </c>
      <c r="E7370" s="136" t="str">
        <f>INDEX([1]道具配置表!$D:$D,MATCH(D7370,[1]道具配置表!$A:$A,0))</f>
        <v>10分钟科技加速</v>
      </c>
      <c r="F7370" s="13">
        <v>4</v>
      </c>
      <c r="K7370" s="13">
        <v>1</v>
      </c>
      <c r="M7370" s="109" t="b">
        <v>1</v>
      </c>
    </row>
    <row r="7371" spans="1:13" x14ac:dyDescent="0.25">
      <c r="D7371" s="13">
        <v>6162</v>
      </c>
      <c r="E7371" s="136" t="str">
        <f>INDEX([1]道具配置表!$D:$D,MATCH(D7371,[1]道具配置表!$A:$A,0))</f>
        <v>10分钟训练加速</v>
      </c>
      <c r="F7371" s="13">
        <v>4</v>
      </c>
      <c r="K7371" s="13">
        <v>1</v>
      </c>
      <c r="M7371" s="109" t="b">
        <v>1</v>
      </c>
    </row>
    <row r="7372" spans="1:13" x14ac:dyDescent="0.25">
      <c r="D7372" s="13">
        <v>503</v>
      </c>
      <c r="E7372" s="136" t="str">
        <f>INDEX([1]道具配置表!$D:$D,MATCH(D7372,[1]道具配置表!$A:$A,0))</f>
        <v>5万资源自选宝箱</v>
      </c>
      <c r="F7372" s="13">
        <v>8</v>
      </c>
      <c r="K7372" s="13">
        <v>1</v>
      </c>
      <c r="M7372" s="109" t="b">
        <v>1</v>
      </c>
    </row>
    <row r="7373" spans="1:13" x14ac:dyDescent="0.25">
      <c r="A7373" s="13">
        <v>6682104</v>
      </c>
      <c r="B7373" s="13" t="s">
        <v>1636</v>
      </c>
      <c r="D7373" s="13">
        <v>7003</v>
      </c>
      <c r="E7373" s="136" t="str">
        <f>INDEX([1]道具配置表!$D:$D,MATCH(D7373,[1]道具配置表!$A:$A,0))</f>
        <v>1银币（立即使用，不进背包）</v>
      </c>
      <c r="F7373" s="13">
        <v>600</v>
      </c>
      <c r="K7373" s="13">
        <v>1</v>
      </c>
      <c r="M7373" s="109" t="b">
        <v>1</v>
      </c>
    </row>
    <row r="7374" spans="1:13" x14ac:dyDescent="0.25">
      <c r="D7374" s="13">
        <v>6802</v>
      </c>
      <c r="E7374" s="136" t="str">
        <f>INDEX([1]道具配置表!$D:$D,MATCH(D7374,[1]道具配置表!$A:$A,0))</f>
        <v>死兵恢复券</v>
      </c>
      <c r="F7374" s="13">
        <v>2</v>
      </c>
      <c r="K7374" s="13">
        <v>1</v>
      </c>
      <c r="M7374" s="109" t="b">
        <v>1</v>
      </c>
    </row>
    <row r="7375" spans="1:13" x14ac:dyDescent="0.25">
      <c r="D7375" s="13">
        <v>6122</v>
      </c>
      <c r="E7375" s="136" t="str">
        <f>INDEX([1]道具配置表!$D:$D,MATCH(D7375,[1]道具配置表!$A:$A,0))</f>
        <v>10分钟建造加速</v>
      </c>
      <c r="F7375" s="13">
        <v>3</v>
      </c>
      <c r="K7375" s="13">
        <v>1</v>
      </c>
      <c r="M7375" s="109" t="b">
        <v>1</v>
      </c>
    </row>
    <row r="7376" spans="1:13" x14ac:dyDescent="0.25">
      <c r="D7376" s="13">
        <v>6142</v>
      </c>
      <c r="E7376" s="136" t="str">
        <f>INDEX([1]道具配置表!$D:$D,MATCH(D7376,[1]道具配置表!$A:$A,0))</f>
        <v>10分钟科技加速</v>
      </c>
      <c r="F7376" s="13">
        <v>3</v>
      </c>
      <c r="K7376" s="13">
        <v>1</v>
      </c>
      <c r="M7376" s="109" t="b">
        <v>1</v>
      </c>
    </row>
    <row r="7377" spans="1:13" x14ac:dyDescent="0.25">
      <c r="D7377" s="13">
        <v>6162</v>
      </c>
      <c r="E7377" s="136" t="str">
        <f>INDEX([1]道具配置表!$D:$D,MATCH(D7377,[1]道具配置表!$A:$A,0))</f>
        <v>10分钟训练加速</v>
      </c>
      <c r="F7377" s="13">
        <v>3</v>
      </c>
      <c r="K7377" s="13">
        <v>1</v>
      </c>
      <c r="M7377" s="109" t="b">
        <v>1</v>
      </c>
    </row>
    <row r="7378" spans="1:13" x14ac:dyDescent="0.25">
      <c r="D7378" s="13">
        <v>503</v>
      </c>
      <c r="E7378" s="136" t="str">
        <f>INDEX([1]道具配置表!$D:$D,MATCH(D7378,[1]道具配置表!$A:$A,0))</f>
        <v>5万资源自选宝箱</v>
      </c>
      <c r="F7378" s="13">
        <v>6</v>
      </c>
      <c r="K7378" s="13">
        <v>1</v>
      </c>
      <c r="M7378" s="109" t="b">
        <v>1</v>
      </c>
    </row>
    <row r="7379" spans="1:13" x14ac:dyDescent="0.25">
      <c r="A7379" s="13">
        <v>6682105</v>
      </c>
      <c r="B7379" s="13" t="s">
        <v>1637</v>
      </c>
      <c r="D7379" s="13">
        <v>7003</v>
      </c>
      <c r="E7379" s="136" t="str">
        <f>INDEX([1]道具配置表!$D:$D,MATCH(D7379,[1]道具配置表!$A:$A,0))</f>
        <v>1银币（立即使用，不进背包）</v>
      </c>
      <c r="F7379" s="13">
        <v>500</v>
      </c>
      <c r="K7379" s="13">
        <v>1</v>
      </c>
      <c r="M7379" s="109" t="b">
        <v>1</v>
      </c>
    </row>
    <row r="7380" spans="1:13" x14ac:dyDescent="0.25">
      <c r="D7380" s="13">
        <v>6802</v>
      </c>
      <c r="E7380" s="136" t="str">
        <f>INDEX([1]道具配置表!$D:$D,MATCH(D7380,[1]道具配置表!$A:$A,0))</f>
        <v>死兵恢复券</v>
      </c>
      <c r="F7380" s="13">
        <v>1</v>
      </c>
      <c r="K7380" s="13">
        <v>1</v>
      </c>
      <c r="M7380" s="109" t="b">
        <v>1</v>
      </c>
    </row>
    <row r="7381" spans="1:13" x14ac:dyDescent="0.25">
      <c r="D7381" s="13">
        <v>6121</v>
      </c>
      <c r="E7381" s="136" t="str">
        <f>INDEX([1]道具配置表!$D:$D,MATCH(D7381,[1]道具配置表!$A:$A,0))</f>
        <v>5分钟建造加速</v>
      </c>
      <c r="F7381" s="13">
        <v>5</v>
      </c>
      <c r="K7381" s="13">
        <v>1</v>
      </c>
      <c r="M7381" s="109" t="b">
        <v>1</v>
      </c>
    </row>
    <row r="7382" spans="1:13" x14ac:dyDescent="0.25">
      <c r="D7382" s="13">
        <v>6141</v>
      </c>
      <c r="E7382" s="136" t="str">
        <f>INDEX([1]道具配置表!$D:$D,MATCH(D7382,[1]道具配置表!$A:$A,0))</f>
        <v>5分钟科技加速</v>
      </c>
      <c r="F7382" s="13">
        <v>5</v>
      </c>
      <c r="K7382" s="13">
        <v>1</v>
      </c>
      <c r="M7382" s="109" t="b">
        <v>1</v>
      </c>
    </row>
    <row r="7383" spans="1:13" x14ac:dyDescent="0.25">
      <c r="D7383" s="13">
        <v>6161</v>
      </c>
      <c r="E7383" s="136" t="str">
        <f>INDEX([1]道具配置表!$D:$D,MATCH(D7383,[1]道具配置表!$A:$A,0))</f>
        <v>5分钟训练加速</v>
      </c>
      <c r="F7383" s="13">
        <v>5</v>
      </c>
      <c r="K7383" s="13">
        <v>1</v>
      </c>
      <c r="M7383" s="109" t="b">
        <v>1</v>
      </c>
    </row>
    <row r="7384" spans="1:13" x14ac:dyDescent="0.25">
      <c r="D7384" s="13">
        <v>503</v>
      </c>
      <c r="E7384" s="136" t="str">
        <f>INDEX([1]道具配置表!$D:$D,MATCH(D7384,[1]道具配置表!$A:$A,0))</f>
        <v>5万资源自选宝箱</v>
      </c>
      <c r="F7384" s="13">
        <v>5</v>
      </c>
      <c r="K7384" s="13">
        <v>1</v>
      </c>
      <c r="M7384" s="109" t="b">
        <v>1</v>
      </c>
    </row>
    <row r="7385" spans="1:13" x14ac:dyDescent="0.25">
      <c r="A7385" s="13">
        <v>6682106</v>
      </c>
      <c r="B7385" s="13" t="s">
        <v>1638</v>
      </c>
      <c r="D7385" s="13">
        <v>7003</v>
      </c>
      <c r="E7385" s="136" t="str">
        <f>INDEX([1]道具配置表!$D:$D,MATCH(D7385,[1]道具配置表!$A:$A,0))</f>
        <v>1银币（立即使用，不进背包）</v>
      </c>
      <c r="F7385" s="13">
        <v>400</v>
      </c>
      <c r="K7385" s="13">
        <v>1</v>
      </c>
      <c r="M7385" s="109" t="b">
        <v>1</v>
      </c>
    </row>
    <row r="7386" spans="1:13" x14ac:dyDescent="0.25">
      <c r="D7386" s="13">
        <v>6802</v>
      </c>
      <c r="E7386" s="136" t="str">
        <f>INDEX([1]道具配置表!$D:$D,MATCH(D7386,[1]道具配置表!$A:$A,0))</f>
        <v>死兵恢复券</v>
      </c>
      <c r="F7386" s="13">
        <v>1</v>
      </c>
      <c r="K7386" s="13">
        <v>1</v>
      </c>
      <c r="M7386" s="109" t="b">
        <v>1</v>
      </c>
    </row>
    <row r="7387" spans="1:13" x14ac:dyDescent="0.25">
      <c r="D7387" s="13">
        <v>6121</v>
      </c>
      <c r="E7387" s="136" t="str">
        <f>INDEX([1]道具配置表!$D:$D,MATCH(D7387,[1]道具配置表!$A:$A,0))</f>
        <v>5分钟建造加速</v>
      </c>
      <c r="F7387" s="13">
        <v>4</v>
      </c>
      <c r="K7387" s="13">
        <v>1</v>
      </c>
      <c r="M7387" s="109" t="b">
        <v>1</v>
      </c>
    </row>
    <row r="7388" spans="1:13" x14ac:dyDescent="0.25">
      <c r="D7388" s="13">
        <v>6141</v>
      </c>
      <c r="E7388" s="136" t="str">
        <f>INDEX([1]道具配置表!$D:$D,MATCH(D7388,[1]道具配置表!$A:$A,0))</f>
        <v>5分钟科技加速</v>
      </c>
      <c r="F7388" s="13">
        <v>4</v>
      </c>
      <c r="K7388" s="13">
        <v>1</v>
      </c>
      <c r="M7388" s="109" t="b">
        <v>1</v>
      </c>
    </row>
    <row r="7389" spans="1:13" x14ac:dyDescent="0.25">
      <c r="D7389" s="13">
        <v>6161</v>
      </c>
      <c r="E7389" s="136" t="str">
        <f>INDEX([1]道具配置表!$D:$D,MATCH(D7389,[1]道具配置表!$A:$A,0))</f>
        <v>5分钟训练加速</v>
      </c>
      <c r="F7389" s="13">
        <v>4</v>
      </c>
      <c r="K7389" s="13">
        <v>1</v>
      </c>
      <c r="M7389" s="109" t="b">
        <v>1</v>
      </c>
    </row>
    <row r="7390" spans="1:13" x14ac:dyDescent="0.25">
      <c r="D7390" s="13">
        <v>503</v>
      </c>
      <c r="E7390" s="136" t="str">
        <f>INDEX([1]道具配置表!$D:$D,MATCH(D7390,[1]道具配置表!$A:$A,0))</f>
        <v>5万资源自选宝箱</v>
      </c>
      <c r="F7390" s="13">
        <v>4</v>
      </c>
      <c r="K7390" s="13">
        <v>1</v>
      </c>
      <c r="M7390" s="109" t="b">
        <v>1</v>
      </c>
    </row>
    <row r="7391" spans="1:13" x14ac:dyDescent="0.25">
      <c r="A7391" s="13">
        <v>6682107</v>
      </c>
      <c r="B7391" s="13" t="s">
        <v>1639</v>
      </c>
      <c r="D7391" s="13">
        <v>7003</v>
      </c>
      <c r="E7391" s="136" t="str">
        <f>INDEX([1]道具配置表!$D:$D,MATCH(D7391,[1]道具配置表!$A:$A,0))</f>
        <v>1银币（立即使用，不进背包）</v>
      </c>
      <c r="F7391" s="13">
        <v>300</v>
      </c>
      <c r="K7391" s="13">
        <v>1</v>
      </c>
      <c r="M7391" s="109" t="b">
        <v>1</v>
      </c>
    </row>
    <row r="7392" spans="1:13" x14ac:dyDescent="0.25">
      <c r="D7392" s="13">
        <v>6802</v>
      </c>
      <c r="E7392" s="136" t="str">
        <f>INDEX([1]道具配置表!$D:$D,MATCH(D7392,[1]道具配置表!$A:$A,0))</f>
        <v>死兵恢复券</v>
      </c>
      <c r="F7392" s="13">
        <v>1</v>
      </c>
      <c r="K7392" s="13">
        <v>1</v>
      </c>
      <c r="M7392" s="109" t="b">
        <v>1</v>
      </c>
    </row>
    <row r="7393" spans="1:13" x14ac:dyDescent="0.25">
      <c r="D7393" s="13">
        <v>6121</v>
      </c>
      <c r="E7393" s="136" t="str">
        <f>INDEX([1]道具配置表!$D:$D,MATCH(D7393,[1]道具配置表!$A:$A,0))</f>
        <v>5分钟建造加速</v>
      </c>
      <c r="F7393" s="13">
        <v>3</v>
      </c>
      <c r="K7393" s="13">
        <v>1</v>
      </c>
      <c r="M7393" s="109" t="b">
        <v>1</v>
      </c>
    </row>
    <row r="7394" spans="1:13" x14ac:dyDescent="0.25">
      <c r="D7394" s="13">
        <v>6141</v>
      </c>
      <c r="E7394" s="136" t="str">
        <f>INDEX([1]道具配置表!$D:$D,MATCH(D7394,[1]道具配置表!$A:$A,0))</f>
        <v>5分钟科技加速</v>
      </c>
      <c r="F7394" s="13">
        <v>3</v>
      </c>
      <c r="K7394" s="13">
        <v>1</v>
      </c>
      <c r="M7394" s="109" t="b">
        <v>1</v>
      </c>
    </row>
    <row r="7395" spans="1:13" x14ac:dyDescent="0.25">
      <c r="D7395" s="13">
        <v>6161</v>
      </c>
      <c r="E7395" s="136" t="str">
        <f>INDEX([1]道具配置表!$D:$D,MATCH(D7395,[1]道具配置表!$A:$A,0))</f>
        <v>5分钟训练加速</v>
      </c>
      <c r="F7395" s="13">
        <v>3</v>
      </c>
      <c r="K7395" s="13">
        <v>1</v>
      </c>
      <c r="M7395" s="109" t="b">
        <v>1</v>
      </c>
    </row>
    <row r="7396" spans="1:13" x14ac:dyDescent="0.25">
      <c r="D7396" s="13">
        <v>503</v>
      </c>
      <c r="E7396" s="136" t="str">
        <f>INDEX([1]道具配置表!$D:$D,MATCH(D7396,[1]道具配置表!$A:$A,0))</f>
        <v>5万资源自选宝箱</v>
      </c>
      <c r="F7396" s="13">
        <v>3</v>
      </c>
      <c r="K7396" s="13">
        <v>1</v>
      </c>
      <c r="M7396" s="109" t="b">
        <v>1</v>
      </c>
    </row>
    <row r="7397" spans="1:13" x14ac:dyDescent="0.25">
      <c r="A7397" s="13">
        <v>6682108</v>
      </c>
      <c r="B7397" s="13" t="s">
        <v>1640</v>
      </c>
      <c r="D7397" s="13">
        <v>7003</v>
      </c>
      <c r="E7397" s="136" t="str">
        <f>INDEX([1]道具配置表!$D:$D,MATCH(D7397,[1]道具配置表!$A:$A,0))</f>
        <v>1银币（立即使用，不进背包）</v>
      </c>
      <c r="F7397" s="13">
        <v>200</v>
      </c>
      <c r="K7397" s="13">
        <v>1</v>
      </c>
      <c r="M7397" s="109" t="b">
        <v>1</v>
      </c>
    </row>
    <row r="7398" spans="1:13" x14ac:dyDescent="0.25">
      <c r="D7398" s="13">
        <v>6802</v>
      </c>
      <c r="E7398" s="136" t="str">
        <f>INDEX([1]道具配置表!$D:$D,MATCH(D7398,[1]道具配置表!$A:$A,0))</f>
        <v>死兵恢复券</v>
      </c>
      <c r="F7398" s="13">
        <v>1</v>
      </c>
      <c r="K7398" s="13">
        <v>1</v>
      </c>
      <c r="M7398" s="109" t="b">
        <v>1</v>
      </c>
    </row>
    <row r="7399" spans="1:13" x14ac:dyDescent="0.25">
      <c r="D7399" s="13">
        <v>6121</v>
      </c>
      <c r="E7399" s="136" t="str">
        <f>INDEX([1]道具配置表!$D:$D,MATCH(D7399,[1]道具配置表!$A:$A,0))</f>
        <v>5分钟建造加速</v>
      </c>
      <c r="F7399" s="13">
        <v>2</v>
      </c>
      <c r="K7399" s="13">
        <v>1</v>
      </c>
      <c r="M7399" s="115" t="b">
        <v>1</v>
      </c>
    </row>
    <row r="7400" spans="1:13" x14ac:dyDescent="0.25">
      <c r="D7400" s="13">
        <v>6141</v>
      </c>
      <c r="E7400" s="136" t="str">
        <f>INDEX([1]道具配置表!$D:$D,MATCH(D7400,[1]道具配置表!$A:$A,0))</f>
        <v>5分钟科技加速</v>
      </c>
      <c r="F7400" s="13">
        <v>2</v>
      </c>
      <c r="K7400" s="13">
        <v>1</v>
      </c>
      <c r="M7400" s="115" t="b">
        <v>1</v>
      </c>
    </row>
    <row r="7401" spans="1:13" x14ac:dyDescent="0.25">
      <c r="D7401" s="13">
        <v>6161</v>
      </c>
      <c r="E7401" s="136" t="str">
        <f>INDEX([1]道具配置表!$D:$D,MATCH(D7401,[1]道具配置表!$A:$A,0))</f>
        <v>5分钟训练加速</v>
      </c>
      <c r="F7401" s="13">
        <v>2</v>
      </c>
      <c r="K7401" s="13">
        <v>1</v>
      </c>
      <c r="M7401" s="115" t="b">
        <v>1</v>
      </c>
    </row>
    <row r="7402" spans="1:13" x14ac:dyDescent="0.25">
      <c r="D7402" s="13">
        <v>503</v>
      </c>
      <c r="E7402" s="136" t="str">
        <f>INDEX([1]道具配置表!$D:$D,MATCH(D7402,[1]道具配置表!$A:$A,0))</f>
        <v>5万资源自选宝箱</v>
      </c>
      <c r="F7402" s="13">
        <v>2</v>
      </c>
      <c r="K7402" s="13">
        <v>1</v>
      </c>
      <c r="M7402" s="115" t="b">
        <v>1</v>
      </c>
    </row>
    <row r="7403" spans="1:13" x14ac:dyDescent="0.25">
      <c r="A7403" s="13">
        <v>6682109</v>
      </c>
      <c r="B7403" s="13" t="s">
        <v>1641</v>
      </c>
      <c r="D7403" s="13">
        <v>7003</v>
      </c>
      <c r="E7403" s="136" t="str">
        <f>INDEX([1]道具配置表!$D:$D,MATCH(D7403,[1]道具配置表!$A:$A,0))</f>
        <v>1银币（立即使用，不进背包）</v>
      </c>
      <c r="F7403" s="13">
        <v>100</v>
      </c>
      <c r="K7403" s="13">
        <v>1</v>
      </c>
      <c r="M7403" s="115" t="b">
        <v>1</v>
      </c>
    </row>
    <row r="7404" spans="1:13" x14ac:dyDescent="0.25">
      <c r="D7404" s="13">
        <v>6802</v>
      </c>
      <c r="E7404" s="136" t="str">
        <f>INDEX([1]道具配置表!$D:$D,MATCH(D7404,[1]道具配置表!$A:$A,0))</f>
        <v>死兵恢复券</v>
      </c>
      <c r="F7404" s="13">
        <v>1</v>
      </c>
      <c r="K7404" s="13">
        <v>1</v>
      </c>
      <c r="M7404" s="115" t="b">
        <v>1</v>
      </c>
    </row>
    <row r="7405" spans="1:13" x14ac:dyDescent="0.25">
      <c r="D7405" s="13">
        <v>6121</v>
      </c>
      <c r="E7405" s="136" t="str">
        <f>INDEX([1]道具配置表!$D:$D,MATCH(D7405,[1]道具配置表!$A:$A,0))</f>
        <v>5分钟建造加速</v>
      </c>
      <c r="F7405" s="13">
        <v>1</v>
      </c>
      <c r="K7405" s="13">
        <v>1</v>
      </c>
      <c r="M7405" s="115" t="b">
        <v>1</v>
      </c>
    </row>
    <row r="7406" spans="1:13" x14ac:dyDescent="0.25">
      <c r="D7406" s="13">
        <v>6141</v>
      </c>
      <c r="E7406" s="136" t="str">
        <f>INDEX([1]道具配置表!$D:$D,MATCH(D7406,[1]道具配置表!$A:$A,0))</f>
        <v>5分钟科技加速</v>
      </c>
      <c r="F7406" s="13">
        <v>1</v>
      </c>
      <c r="K7406" s="13">
        <v>1</v>
      </c>
      <c r="M7406" s="115" t="b">
        <v>1</v>
      </c>
    </row>
    <row r="7407" spans="1:13" x14ac:dyDescent="0.25">
      <c r="D7407" s="13">
        <v>6161</v>
      </c>
      <c r="E7407" s="136" t="str">
        <f>INDEX([1]道具配置表!$D:$D,MATCH(D7407,[1]道具配置表!$A:$A,0))</f>
        <v>5分钟训练加速</v>
      </c>
      <c r="F7407" s="13">
        <v>1</v>
      </c>
      <c r="K7407" s="13">
        <v>1</v>
      </c>
      <c r="M7407" s="115" t="b">
        <v>1</v>
      </c>
    </row>
    <row r="7408" spans="1:13" x14ac:dyDescent="0.25">
      <c r="D7408" s="13">
        <v>503</v>
      </c>
      <c r="E7408" s="136" t="str">
        <f>INDEX([1]道具配置表!$D:$D,MATCH(D7408,[1]道具配置表!$A:$A,0))</f>
        <v>5万资源自选宝箱</v>
      </c>
      <c r="F7408" s="13">
        <v>1</v>
      </c>
      <c r="K7408" s="13">
        <v>1</v>
      </c>
      <c r="M7408" s="115" t="b">
        <v>1</v>
      </c>
    </row>
    <row r="7409" spans="1:13" x14ac:dyDescent="0.25">
      <c r="A7409" s="13">
        <v>6682401</v>
      </c>
      <c r="B7409" s="13" t="s">
        <v>1642</v>
      </c>
      <c r="D7409" s="13">
        <v>123002</v>
      </c>
      <c r="E7409" s="136" t="str">
        <f>INDEX([1]道具配置表!$D:$D,MATCH(D7409,[1]道具配置表!$A:$A,0))</f>
        <v>通用橙色碎片</v>
      </c>
      <c r="F7409" s="13">
        <v>20</v>
      </c>
      <c r="K7409" s="13">
        <v>1</v>
      </c>
      <c r="M7409" s="115" t="b">
        <v>1</v>
      </c>
    </row>
    <row r="7410" spans="1:13" x14ac:dyDescent="0.25">
      <c r="D7410" s="13">
        <v>7003</v>
      </c>
      <c r="E7410" s="136" t="str">
        <f>INDEX([1]道具配置表!$D:$D,MATCH(D7410,[1]道具配置表!$A:$A,0))</f>
        <v>1银币（立即使用，不进背包）</v>
      </c>
      <c r="F7410" s="13">
        <v>20000</v>
      </c>
      <c r="K7410" s="13">
        <v>1</v>
      </c>
      <c r="M7410" s="115" t="b">
        <v>1</v>
      </c>
    </row>
    <row r="7411" spans="1:13" x14ac:dyDescent="0.25">
      <c r="D7411" s="13">
        <v>6802</v>
      </c>
      <c r="E7411" s="136" t="str">
        <f>INDEX([1]道具配置表!$D:$D,MATCH(D7411,[1]道具配置表!$A:$A,0))</f>
        <v>死兵恢复券</v>
      </c>
      <c r="F7411" s="13">
        <v>5</v>
      </c>
      <c r="K7411" s="13">
        <v>1</v>
      </c>
      <c r="M7411" s="115" t="b">
        <v>1</v>
      </c>
    </row>
    <row r="7412" spans="1:13" x14ac:dyDescent="0.25">
      <c r="D7412" s="13">
        <v>6125</v>
      </c>
      <c r="E7412" s="136" t="str">
        <f>INDEX([1]道具配置表!$D:$D,MATCH(D7412,[1]道具配置表!$A:$A,0))</f>
        <v>60分钟建造加速</v>
      </c>
      <c r="F7412" s="13">
        <v>5</v>
      </c>
      <c r="K7412" s="13">
        <v>1</v>
      </c>
      <c r="M7412" s="115" t="b">
        <v>1</v>
      </c>
    </row>
    <row r="7413" spans="1:13" x14ac:dyDescent="0.25">
      <c r="D7413" s="13">
        <v>6145</v>
      </c>
      <c r="E7413" s="136" t="str">
        <f>INDEX([1]道具配置表!$D:$D,MATCH(D7413,[1]道具配置表!$A:$A,0))</f>
        <v>60分钟科技加速</v>
      </c>
      <c r="F7413" s="13">
        <v>5</v>
      </c>
      <c r="K7413" s="13">
        <v>1</v>
      </c>
      <c r="M7413" s="115" t="b">
        <v>1</v>
      </c>
    </row>
    <row r="7414" spans="1:13" x14ac:dyDescent="0.25">
      <c r="D7414" s="13">
        <v>6165</v>
      </c>
      <c r="E7414" s="136" t="str">
        <f>INDEX([1]道具配置表!$D:$D,MATCH(D7414,[1]道具配置表!$A:$A,0))</f>
        <v>60分钟训练加速</v>
      </c>
      <c r="F7414" s="13">
        <v>5</v>
      </c>
      <c r="K7414" s="13">
        <v>1</v>
      </c>
      <c r="M7414" s="115" t="b">
        <v>1</v>
      </c>
    </row>
    <row r="7415" spans="1:13" x14ac:dyDescent="0.25">
      <c r="D7415" s="13">
        <v>503</v>
      </c>
      <c r="E7415" s="136" t="str">
        <f>INDEX([1]道具配置表!$D:$D,MATCH(D7415,[1]道具配置表!$A:$A,0))</f>
        <v>5万资源自选宝箱</v>
      </c>
      <c r="F7415" s="13">
        <v>40</v>
      </c>
      <c r="K7415" s="13">
        <v>1</v>
      </c>
      <c r="M7415" s="115" t="b">
        <v>1</v>
      </c>
    </row>
    <row r="7416" spans="1:13" x14ac:dyDescent="0.25">
      <c r="A7416" s="13">
        <v>6682402</v>
      </c>
      <c r="B7416" s="13" t="s">
        <v>1643</v>
      </c>
      <c r="D7416" s="13">
        <v>123002</v>
      </c>
      <c r="E7416" s="136" t="str">
        <f>INDEX([1]道具配置表!$D:$D,MATCH(D7416,[1]道具配置表!$A:$A,0))</f>
        <v>通用橙色碎片</v>
      </c>
      <c r="F7416" s="13">
        <v>15</v>
      </c>
      <c r="K7416" s="13">
        <v>1</v>
      </c>
      <c r="M7416" s="115" t="b">
        <v>1</v>
      </c>
    </row>
    <row r="7417" spans="1:13" x14ac:dyDescent="0.25">
      <c r="D7417" s="13">
        <v>7003</v>
      </c>
      <c r="E7417" s="136" t="str">
        <f>INDEX([1]道具配置表!$D:$D,MATCH(D7417,[1]道具配置表!$A:$A,0))</f>
        <v>1银币（立即使用，不进背包）</v>
      </c>
      <c r="F7417" s="13">
        <v>15000</v>
      </c>
      <c r="K7417" s="13">
        <v>1</v>
      </c>
      <c r="M7417" s="115" t="b">
        <v>1</v>
      </c>
    </row>
    <row r="7418" spans="1:13" x14ac:dyDescent="0.25">
      <c r="D7418" s="13">
        <v>6802</v>
      </c>
      <c r="E7418" s="136" t="str">
        <f>INDEX([1]道具配置表!$D:$D,MATCH(D7418,[1]道具配置表!$A:$A,0))</f>
        <v>死兵恢复券</v>
      </c>
      <c r="F7418" s="13">
        <v>4</v>
      </c>
      <c r="K7418" s="13">
        <v>1</v>
      </c>
      <c r="M7418" s="115" t="b">
        <v>1</v>
      </c>
    </row>
    <row r="7419" spans="1:13" x14ac:dyDescent="0.25">
      <c r="D7419" s="13">
        <v>6125</v>
      </c>
      <c r="E7419" s="136" t="str">
        <f>INDEX([1]道具配置表!$D:$D,MATCH(D7419,[1]道具配置表!$A:$A,0))</f>
        <v>60分钟建造加速</v>
      </c>
      <c r="F7419" s="13">
        <v>4</v>
      </c>
      <c r="K7419" s="13">
        <v>1</v>
      </c>
      <c r="M7419" s="115" t="b">
        <v>1</v>
      </c>
    </row>
    <row r="7420" spans="1:13" x14ac:dyDescent="0.25">
      <c r="D7420" s="13">
        <v>6145</v>
      </c>
      <c r="E7420" s="136" t="str">
        <f>INDEX([1]道具配置表!$D:$D,MATCH(D7420,[1]道具配置表!$A:$A,0))</f>
        <v>60分钟科技加速</v>
      </c>
      <c r="F7420" s="13">
        <v>4</v>
      </c>
      <c r="K7420" s="13">
        <v>1</v>
      </c>
      <c r="M7420" s="109" t="b">
        <v>1</v>
      </c>
    </row>
    <row r="7421" spans="1:13" x14ac:dyDescent="0.25">
      <c r="D7421" s="13">
        <v>6165</v>
      </c>
      <c r="E7421" s="136" t="str">
        <f>INDEX([1]道具配置表!$D:$D,MATCH(D7421,[1]道具配置表!$A:$A,0))</f>
        <v>60分钟训练加速</v>
      </c>
      <c r="F7421" s="13">
        <v>4</v>
      </c>
      <c r="K7421" s="13">
        <v>1</v>
      </c>
      <c r="M7421" s="109" t="b">
        <v>1</v>
      </c>
    </row>
    <row r="7422" spans="1:13" x14ac:dyDescent="0.25">
      <c r="D7422" s="13">
        <v>503</v>
      </c>
      <c r="E7422" s="136" t="str">
        <f>INDEX([1]道具配置表!$D:$D,MATCH(D7422,[1]道具配置表!$A:$A,0))</f>
        <v>5万资源自选宝箱</v>
      </c>
      <c r="F7422" s="13">
        <v>35</v>
      </c>
      <c r="K7422" s="13">
        <v>1</v>
      </c>
      <c r="M7422" s="109" t="b">
        <v>1</v>
      </c>
    </row>
    <row r="7423" spans="1:13" x14ac:dyDescent="0.25">
      <c r="A7423" s="13">
        <v>6682403</v>
      </c>
      <c r="B7423" s="13" t="s">
        <v>1644</v>
      </c>
      <c r="D7423" s="13">
        <v>123002</v>
      </c>
      <c r="E7423" s="136" t="str">
        <f>INDEX([1]道具配置表!$D:$D,MATCH(D7423,[1]道具配置表!$A:$A,0))</f>
        <v>通用橙色碎片</v>
      </c>
      <c r="F7423" s="13">
        <v>10</v>
      </c>
      <c r="K7423" s="13">
        <v>1</v>
      </c>
      <c r="M7423" s="111" t="b">
        <v>1</v>
      </c>
    </row>
    <row r="7424" spans="1:13" x14ac:dyDescent="0.25">
      <c r="D7424" s="13">
        <v>7003</v>
      </c>
      <c r="E7424" s="136" t="str">
        <f>INDEX([1]道具配置表!$D:$D,MATCH(D7424,[1]道具配置表!$A:$A,0))</f>
        <v>1银币（立即使用，不进背包）</v>
      </c>
      <c r="F7424" s="13">
        <v>10000</v>
      </c>
      <c r="K7424" s="13">
        <v>1</v>
      </c>
      <c r="M7424" s="111" t="b">
        <v>1</v>
      </c>
    </row>
    <row r="7425" spans="1:13" x14ac:dyDescent="0.25">
      <c r="D7425" s="13">
        <v>6802</v>
      </c>
      <c r="E7425" s="136" t="str">
        <f>INDEX([1]道具配置表!$D:$D,MATCH(D7425,[1]道具配置表!$A:$A,0))</f>
        <v>死兵恢复券</v>
      </c>
      <c r="F7425" s="13">
        <v>3</v>
      </c>
      <c r="K7425" s="13">
        <v>1</v>
      </c>
      <c r="M7425" s="111" t="b">
        <v>1</v>
      </c>
    </row>
    <row r="7426" spans="1:13" x14ac:dyDescent="0.25">
      <c r="D7426" s="13">
        <v>6125</v>
      </c>
      <c r="E7426" s="136" t="str">
        <f>INDEX([1]道具配置表!$D:$D,MATCH(D7426,[1]道具配置表!$A:$A,0))</f>
        <v>60分钟建造加速</v>
      </c>
      <c r="F7426" s="13">
        <v>3</v>
      </c>
      <c r="K7426" s="13">
        <v>1</v>
      </c>
      <c r="M7426" s="111" t="b">
        <v>1</v>
      </c>
    </row>
    <row r="7427" spans="1:13" x14ac:dyDescent="0.25">
      <c r="D7427" s="13">
        <v>6145</v>
      </c>
      <c r="E7427" s="136" t="str">
        <f>INDEX([1]道具配置表!$D:$D,MATCH(D7427,[1]道具配置表!$A:$A,0))</f>
        <v>60分钟科技加速</v>
      </c>
      <c r="F7427" s="13">
        <v>3</v>
      </c>
      <c r="K7427" s="13">
        <v>1</v>
      </c>
      <c r="M7427" s="111" t="b">
        <v>1</v>
      </c>
    </row>
    <row r="7428" spans="1:13" x14ac:dyDescent="0.25">
      <c r="D7428" s="13">
        <v>6165</v>
      </c>
      <c r="E7428" s="136" t="str">
        <f>INDEX([1]道具配置表!$D:$D,MATCH(D7428,[1]道具配置表!$A:$A,0))</f>
        <v>60分钟训练加速</v>
      </c>
      <c r="F7428" s="13">
        <v>3</v>
      </c>
      <c r="K7428" s="13">
        <v>1</v>
      </c>
      <c r="M7428" s="111" t="b">
        <v>1</v>
      </c>
    </row>
    <row r="7429" spans="1:13" x14ac:dyDescent="0.25">
      <c r="D7429" s="13">
        <v>503</v>
      </c>
      <c r="E7429" s="136" t="str">
        <f>INDEX([1]道具配置表!$D:$D,MATCH(D7429,[1]道具配置表!$A:$A,0))</f>
        <v>5万资源自选宝箱</v>
      </c>
      <c r="F7429" s="13">
        <v>30</v>
      </c>
      <c r="K7429" s="13">
        <v>1</v>
      </c>
      <c r="M7429" s="111" t="b">
        <v>1</v>
      </c>
    </row>
    <row r="7430" spans="1:13" x14ac:dyDescent="0.25">
      <c r="A7430" s="13">
        <v>6682404</v>
      </c>
      <c r="B7430" s="13" t="s">
        <v>1645</v>
      </c>
      <c r="D7430" s="13">
        <v>123002</v>
      </c>
      <c r="E7430" s="136" t="str">
        <f>INDEX([1]道具配置表!$D:$D,MATCH(D7430,[1]道具配置表!$A:$A,0))</f>
        <v>通用橙色碎片</v>
      </c>
      <c r="F7430" s="13">
        <v>8</v>
      </c>
      <c r="K7430" s="13">
        <v>1</v>
      </c>
      <c r="M7430" s="111" t="b">
        <v>1</v>
      </c>
    </row>
    <row r="7431" spans="1:13" x14ac:dyDescent="0.25">
      <c r="D7431" s="13">
        <v>7003</v>
      </c>
      <c r="E7431" s="136" t="str">
        <f>INDEX([1]道具配置表!$D:$D,MATCH(D7431,[1]道具配置表!$A:$A,0))</f>
        <v>1银币（立即使用，不进背包）</v>
      </c>
      <c r="F7431" s="13">
        <v>8000</v>
      </c>
      <c r="K7431" s="13">
        <v>1</v>
      </c>
      <c r="M7431" s="111" t="b">
        <v>1</v>
      </c>
    </row>
    <row r="7432" spans="1:13" x14ac:dyDescent="0.25">
      <c r="D7432" s="13">
        <v>6802</v>
      </c>
      <c r="E7432" s="136" t="str">
        <f>INDEX([1]道具配置表!$D:$D,MATCH(D7432,[1]道具配置表!$A:$A,0))</f>
        <v>死兵恢复券</v>
      </c>
      <c r="F7432" s="13">
        <v>2</v>
      </c>
      <c r="K7432" s="13">
        <v>1</v>
      </c>
      <c r="M7432" s="111" t="b">
        <v>1</v>
      </c>
    </row>
    <row r="7433" spans="1:13" x14ac:dyDescent="0.25">
      <c r="D7433" s="13">
        <v>6125</v>
      </c>
      <c r="E7433" s="136" t="str">
        <f>INDEX([1]道具配置表!$D:$D,MATCH(D7433,[1]道具配置表!$A:$A,0))</f>
        <v>60分钟建造加速</v>
      </c>
      <c r="F7433" s="13">
        <v>2</v>
      </c>
      <c r="K7433" s="13">
        <v>1</v>
      </c>
      <c r="M7433" s="111" t="b">
        <v>1</v>
      </c>
    </row>
    <row r="7434" spans="1:13" x14ac:dyDescent="0.25">
      <c r="D7434" s="13">
        <v>6145</v>
      </c>
      <c r="E7434" s="136" t="str">
        <f>INDEX([1]道具配置表!$D:$D,MATCH(D7434,[1]道具配置表!$A:$A,0))</f>
        <v>60分钟科技加速</v>
      </c>
      <c r="F7434" s="13">
        <v>2</v>
      </c>
      <c r="K7434" s="13">
        <v>1</v>
      </c>
      <c r="M7434" s="111" t="b">
        <v>1</v>
      </c>
    </row>
    <row r="7435" spans="1:13" x14ac:dyDescent="0.25">
      <c r="D7435" s="13">
        <v>6165</v>
      </c>
      <c r="E7435" s="136" t="str">
        <f>INDEX([1]道具配置表!$D:$D,MATCH(D7435,[1]道具配置表!$A:$A,0))</f>
        <v>60分钟训练加速</v>
      </c>
      <c r="F7435" s="13">
        <v>2</v>
      </c>
      <c r="K7435" s="13">
        <v>1</v>
      </c>
      <c r="M7435" s="111" t="b">
        <v>1</v>
      </c>
    </row>
    <row r="7436" spans="1:13" x14ac:dyDescent="0.25">
      <c r="D7436" s="13">
        <v>503</v>
      </c>
      <c r="E7436" s="136" t="str">
        <f>INDEX([1]道具配置表!$D:$D,MATCH(D7436,[1]道具配置表!$A:$A,0))</f>
        <v>5万资源自选宝箱</v>
      </c>
      <c r="F7436" s="13">
        <v>25</v>
      </c>
      <c r="K7436" s="13">
        <v>1</v>
      </c>
      <c r="M7436" s="111" t="b">
        <v>1</v>
      </c>
    </row>
    <row r="7437" spans="1:13" x14ac:dyDescent="0.25">
      <c r="A7437" s="13">
        <v>6682405</v>
      </c>
      <c r="B7437" s="13" t="s">
        <v>1646</v>
      </c>
      <c r="D7437" s="13">
        <v>123002</v>
      </c>
      <c r="E7437" s="136" t="str">
        <f>INDEX([1]道具配置表!$D:$D,MATCH(D7437,[1]道具配置表!$A:$A,0))</f>
        <v>通用橙色碎片</v>
      </c>
      <c r="F7437" s="13">
        <v>6</v>
      </c>
      <c r="K7437" s="13">
        <v>1</v>
      </c>
      <c r="M7437" s="111" t="b">
        <v>1</v>
      </c>
    </row>
    <row r="7438" spans="1:13" x14ac:dyDescent="0.25">
      <c r="D7438" s="13">
        <v>7003</v>
      </c>
      <c r="E7438" s="136" t="str">
        <f>INDEX([1]道具配置表!$D:$D,MATCH(D7438,[1]道具配置表!$A:$A,0))</f>
        <v>1银币（立即使用，不进背包）</v>
      </c>
      <c r="F7438" s="13">
        <v>6000</v>
      </c>
      <c r="K7438" s="13">
        <v>1</v>
      </c>
      <c r="M7438" s="111" t="b">
        <v>1</v>
      </c>
    </row>
    <row r="7439" spans="1:13" x14ac:dyDescent="0.25">
      <c r="D7439" s="13">
        <v>6802</v>
      </c>
      <c r="E7439" s="136" t="str">
        <f>INDEX([1]道具配置表!$D:$D,MATCH(D7439,[1]道具配置表!$A:$A,0))</f>
        <v>死兵恢复券</v>
      </c>
      <c r="F7439" s="13">
        <v>1</v>
      </c>
      <c r="K7439" s="13">
        <v>1</v>
      </c>
      <c r="M7439" s="111" t="b">
        <v>1</v>
      </c>
    </row>
    <row r="7440" spans="1:13" x14ac:dyDescent="0.25">
      <c r="D7440" s="13">
        <v>6125</v>
      </c>
      <c r="E7440" s="136" t="str">
        <f>INDEX([1]道具配置表!$D:$D,MATCH(D7440,[1]道具配置表!$A:$A,0))</f>
        <v>60分钟建造加速</v>
      </c>
      <c r="F7440" s="13">
        <v>1</v>
      </c>
      <c r="K7440" s="13">
        <v>1</v>
      </c>
      <c r="M7440" s="111" t="b">
        <v>1</v>
      </c>
    </row>
    <row r="7441" spans="1:13" x14ac:dyDescent="0.25">
      <c r="D7441" s="13">
        <v>6145</v>
      </c>
      <c r="E7441" s="136" t="str">
        <f>INDEX([1]道具配置表!$D:$D,MATCH(D7441,[1]道具配置表!$A:$A,0))</f>
        <v>60分钟科技加速</v>
      </c>
      <c r="F7441" s="13">
        <v>1</v>
      </c>
      <c r="K7441" s="13">
        <v>1</v>
      </c>
      <c r="M7441" s="111" t="b">
        <v>1</v>
      </c>
    </row>
    <row r="7442" spans="1:13" x14ac:dyDescent="0.25">
      <c r="D7442" s="13">
        <v>6165</v>
      </c>
      <c r="E7442" s="136" t="str">
        <f>INDEX([1]道具配置表!$D:$D,MATCH(D7442,[1]道具配置表!$A:$A,0))</f>
        <v>60分钟训练加速</v>
      </c>
      <c r="F7442" s="13">
        <v>1</v>
      </c>
      <c r="K7442" s="13">
        <v>1</v>
      </c>
      <c r="M7442" s="109" t="b">
        <v>1</v>
      </c>
    </row>
    <row r="7443" spans="1:13" x14ac:dyDescent="0.25">
      <c r="D7443" s="13">
        <v>503</v>
      </c>
      <c r="E7443" s="136" t="str">
        <f>INDEX([1]道具配置表!$D:$D,MATCH(D7443,[1]道具配置表!$A:$A,0))</f>
        <v>5万资源自选宝箱</v>
      </c>
      <c r="F7443" s="13">
        <v>20</v>
      </c>
      <c r="K7443" s="13">
        <v>1</v>
      </c>
      <c r="M7443" s="109" t="b">
        <v>1</v>
      </c>
    </row>
    <row r="7444" spans="1:13" x14ac:dyDescent="0.25">
      <c r="A7444" s="13">
        <v>6682406</v>
      </c>
      <c r="B7444" s="13" t="s">
        <v>1647</v>
      </c>
      <c r="D7444" s="13">
        <v>123002</v>
      </c>
      <c r="E7444" s="136" t="str">
        <f>INDEX([1]道具配置表!$D:$D,MATCH(D7444,[1]道具配置表!$A:$A,0))</f>
        <v>通用橙色碎片</v>
      </c>
      <c r="F7444" s="13">
        <v>4</v>
      </c>
      <c r="K7444" s="13">
        <v>1</v>
      </c>
      <c r="M7444" s="109" t="b">
        <v>1</v>
      </c>
    </row>
    <row r="7445" spans="1:13" x14ac:dyDescent="0.25">
      <c r="D7445" s="13">
        <v>7003</v>
      </c>
      <c r="E7445" s="136" t="str">
        <f>INDEX([1]道具配置表!$D:$D,MATCH(D7445,[1]道具配置表!$A:$A,0))</f>
        <v>1银币（立即使用，不进背包）</v>
      </c>
      <c r="F7445" s="13">
        <v>4000</v>
      </c>
      <c r="K7445" s="13">
        <v>1</v>
      </c>
      <c r="M7445" s="109" t="b">
        <v>1</v>
      </c>
    </row>
    <row r="7446" spans="1:13" x14ac:dyDescent="0.25">
      <c r="D7446" s="13">
        <v>6802</v>
      </c>
      <c r="E7446" s="136" t="str">
        <f>INDEX([1]道具配置表!$D:$D,MATCH(D7446,[1]道具配置表!$A:$A,0))</f>
        <v>死兵恢复券</v>
      </c>
      <c r="F7446" s="13">
        <v>1</v>
      </c>
      <c r="K7446" s="13">
        <v>1</v>
      </c>
      <c r="M7446" s="109" t="b">
        <v>1</v>
      </c>
    </row>
    <row r="7447" spans="1:13" x14ac:dyDescent="0.25">
      <c r="D7447" s="13">
        <v>6122</v>
      </c>
      <c r="E7447" s="136" t="str">
        <f>INDEX([1]道具配置表!$D:$D,MATCH(D7447,[1]道具配置表!$A:$A,0))</f>
        <v>10分钟建造加速</v>
      </c>
      <c r="F7447" s="13">
        <v>5</v>
      </c>
      <c r="K7447" s="13">
        <v>1</v>
      </c>
      <c r="M7447" s="109" t="b">
        <v>1</v>
      </c>
    </row>
    <row r="7448" spans="1:13" x14ac:dyDescent="0.25">
      <c r="D7448" s="13">
        <v>6142</v>
      </c>
      <c r="E7448" s="136" t="str">
        <f>INDEX([1]道具配置表!$D:$D,MATCH(D7448,[1]道具配置表!$A:$A,0))</f>
        <v>10分钟科技加速</v>
      </c>
      <c r="F7448" s="13">
        <v>5</v>
      </c>
      <c r="K7448" s="13">
        <v>1</v>
      </c>
      <c r="M7448" s="109" t="b">
        <v>1</v>
      </c>
    </row>
    <row r="7449" spans="1:13" x14ac:dyDescent="0.25">
      <c r="D7449" s="13">
        <v>6162</v>
      </c>
      <c r="E7449" s="136" t="str">
        <f>INDEX([1]道具配置表!$D:$D,MATCH(D7449,[1]道具配置表!$A:$A,0))</f>
        <v>10分钟训练加速</v>
      </c>
      <c r="F7449" s="13">
        <v>5</v>
      </c>
      <c r="K7449" s="13">
        <v>1</v>
      </c>
      <c r="M7449" s="109" t="b">
        <v>1</v>
      </c>
    </row>
    <row r="7450" spans="1:13" x14ac:dyDescent="0.25">
      <c r="D7450" s="13">
        <v>503</v>
      </c>
      <c r="E7450" s="136" t="str">
        <f>INDEX([1]道具配置表!$D:$D,MATCH(D7450,[1]道具配置表!$A:$A,0))</f>
        <v>5万资源自选宝箱</v>
      </c>
      <c r="F7450" s="13">
        <v>15</v>
      </c>
      <c r="K7450" s="13">
        <v>1</v>
      </c>
      <c r="M7450" s="109" t="b">
        <v>1</v>
      </c>
    </row>
    <row r="7451" spans="1:13" x14ac:dyDescent="0.25">
      <c r="A7451" s="13">
        <v>6682407</v>
      </c>
      <c r="B7451" s="13" t="s">
        <v>1648</v>
      </c>
      <c r="D7451" s="13">
        <v>123002</v>
      </c>
      <c r="E7451" s="136" t="str">
        <f>INDEX([1]道具配置表!$D:$D,MATCH(D7451,[1]道具配置表!$A:$A,0))</f>
        <v>通用橙色碎片</v>
      </c>
      <c r="F7451" s="13">
        <v>3</v>
      </c>
      <c r="K7451" s="13">
        <v>1</v>
      </c>
      <c r="M7451" s="109" t="b">
        <v>1</v>
      </c>
    </row>
    <row r="7452" spans="1:13" x14ac:dyDescent="0.25">
      <c r="D7452" s="13">
        <v>7003</v>
      </c>
      <c r="E7452" s="136" t="str">
        <f>INDEX([1]道具配置表!$D:$D,MATCH(D7452,[1]道具配置表!$A:$A,0))</f>
        <v>1银币（立即使用，不进背包）</v>
      </c>
      <c r="F7452" s="13">
        <v>3500</v>
      </c>
      <c r="K7452" s="13">
        <v>1</v>
      </c>
      <c r="M7452" s="109" t="b">
        <v>1</v>
      </c>
    </row>
    <row r="7453" spans="1:13" x14ac:dyDescent="0.25">
      <c r="D7453" s="13">
        <v>6802</v>
      </c>
      <c r="E7453" s="136" t="str">
        <f>INDEX([1]道具配置表!$D:$D,MATCH(D7453,[1]道具配置表!$A:$A,0))</f>
        <v>死兵恢复券</v>
      </c>
      <c r="F7453" s="13">
        <v>1</v>
      </c>
      <c r="K7453" s="13">
        <v>1</v>
      </c>
      <c r="M7453" s="109" t="b">
        <v>1</v>
      </c>
    </row>
    <row r="7454" spans="1:13" x14ac:dyDescent="0.25">
      <c r="D7454" s="13">
        <v>6122</v>
      </c>
      <c r="E7454" s="136" t="str">
        <f>INDEX([1]道具配置表!$D:$D,MATCH(D7454,[1]道具配置表!$A:$A,0))</f>
        <v>10分钟建造加速</v>
      </c>
      <c r="F7454" s="13">
        <v>5</v>
      </c>
      <c r="K7454" s="13">
        <v>1</v>
      </c>
      <c r="M7454" s="109" t="b">
        <v>1</v>
      </c>
    </row>
    <row r="7455" spans="1:13" x14ac:dyDescent="0.25">
      <c r="D7455" s="13">
        <v>6142</v>
      </c>
      <c r="E7455" s="136" t="str">
        <f>INDEX([1]道具配置表!$D:$D,MATCH(D7455,[1]道具配置表!$A:$A,0))</f>
        <v>10分钟科技加速</v>
      </c>
      <c r="F7455" s="13">
        <v>5</v>
      </c>
      <c r="K7455" s="13">
        <v>1</v>
      </c>
      <c r="M7455" s="109" t="b">
        <v>1</v>
      </c>
    </row>
    <row r="7456" spans="1:13" x14ac:dyDescent="0.25">
      <c r="D7456" s="13">
        <v>6162</v>
      </c>
      <c r="E7456" s="136" t="str">
        <f>INDEX([1]道具配置表!$D:$D,MATCH(D7456,[1]道具配置表!$A:$A,0))</f>
        <v>10分钟训练加速</v>
      </c>
      <c r="F7456" s="13">
        <v>5</v>
      </c>
      <c r="K7456" s="13">
        <v>1</v>
      </c>
      <c r="M7456" s="109" t="b">
        <v>1</v>
      </c>
    </row>
    <row r="7457" spans="1:13" x14ac:dyDescent="0.25">
      <c r="D7457" s="13">
        <v>503</v>
      </c>
      <c r="E7457" s="136" t="str">
        <f>INDEX([1]道具配置表!$D:$D,MATCH(D7457,[1]道具配置表!$A:$A,0))</f>
        <v>5万资源自选宝箱</v>
      </c>
      <c r="F7457" s="13">
        <v>10</v>
      </c>
      <c r="K7457" s="13">
        <v>1</v>
      </c>
      <c r="M7457" s="109" t="b">
        <v>1</v>
      </c>
    </row>
    <row r="7458" spans="1:13" x14ac:dyDescent="0.25">
      <c r="A7458" s="13">
        <v>6682408</v>
      </c>
      <c r="B7458" s="13" t="s">
        <v>1649</v>
      </c>
      <c r="D7458" s="13">
        <v>123002</v>
      </c>
      <c r="E7458" s="136" t="str">
        <f>INDEX([1]道具配置表!$D:$D,MATCH(D7458,[1]道具配置表!$A:$A,0))</f>
        <v>通用橙色碎片</v>
      </c>
      <c r="F7458" s="13">
        <v>2</v>
      </c>
      <c r="K7458" s="13">
        <v>1</v>
      </c>
      <c r="M7458" s="109" t="b">
        <v>1</v>
      </c>
    </row>
    <row r="7459" spans="1:13" x14ac:dyDescent="0.25">
      <c r="D7459" s="13">
        <v>7003</v>
      </c>
      <c r="E7459" s="136" t="str">
        <f>INDEX([1]道具配置表!$D:$D,MATCH(D7459,[1]道具配置表!$A:$A,0))</f>
        <v>1银币（立即使用，不进背包）</v>
      </c>
      <c r="F7459" s="13">
        <v>3000</v>
      </c>
      <c r="K7459" s="13">
        <v>1</v>
      </c>
      <c r="M7459" s="109" t="b">
        <v>1</v>
      </c>
    </row>
    <row r="7460" spans="1:13" x14ac:dyDescent="0.25">
      <c r="D7460" s="13">
        <v>6802</v>
      </c>
      <c r="E7460" s="136" t="str">
        <f>INDEX([1]道具配置表!$D:$D,MATCH(D7460,[1]道具配置表!$A:$A,0))</f>
        <v>死兵恢复券</v>
      </c>
      <c r="F7460" s="13">
        <v>1</v>
      </c>
      <c r="K7460" s="13">
        <v>1</v>
      </c>
      <c r="M7460" s="109" t="b">
        <v>1</v>
      </c>
    </row>
    <row r="7461" spans="1:13" x14ac:dyDescent="0.25">
      <c r="D7461" s="13">
        <v>6122</v>
      </c>
      <c r="E7461" s="136" t="str">
        <f>INDEX([1]道具配置表!$D:$D,MATCH(D7461,[1]道具配置表!$A:$A,0))</f>
        <v>10分钟建造加速</v>
      </c>
      <c r="F7461" s="13">
        <v>4</v>
      </c>
      <c r="K7461" s="13">
        <v>1</v>
      </c>
      <c r="M7461" s="109" t="b">
        <v>1</v>
      </c>
    </row>
    <row r="7462" spans="1:13" x14ac:dyDescent="0.25">
      <c r="D7462" s="13">
        <v>6142</v>
      </c>
      <c r="E7462" s="136" t="str">
        <f>INDEX([1]道具配置表!$D:$D,MATCH(D7462,[1]道具配置表!$A:$A,0))</f>
        <v>10分钟科技加速</v>
      </c>
      <c r="F7462" s="13">
        <v>4</v>
      </c>
      <c r="K7462" s="13">
        <v>1</v>
      </c>
      <c r="M7462" s="109" t="b">
        <v>1</v>
      </c>
    </row>
    <row r="7463" spans="1:13" x14ac:dyDescent="0.25">
      <c r="D7463" s="13">
        <v>6162</v>
      </c>
      <c r="E7463" s="136" t="str">
        <f>INDEX([1]道具配置表!$D:$D,MATCH(D7463,[1]道具配置表!$A:$A,0))</f>
        <v>10分钟训练加速</v>
      </c>
      <c r="F7463" s="13">
        <v>4</v>
      </c>
      <c r="K7463" s="13">
        <v>1</v>
      </c>
      <c r="M7463" s="109" t="b">
        <v>1</v>
      </c>
    </row>
    <row r="7464" spans="1:13" x14ac:dyDescent="0.25">
      <c r="D7464" s="13">
        <v>503</v>
      </c>
      <c r="E7464" s="136" t="str">
        <f>INDEX([1]道具配置表!$D:$D,MATCH(D7464,[1]道具配置表!$A:$A,0))</f>
        <v>5万资源自选宝箱</v>
      </c>
      <c r="F7464" s="13">
        <v>8</v>
      </c>
      <c r="K7464" s="13">
        <v>1</v>
      </c>
      <c r="M7464" s="109" t="b">
        <v>1</v>
      </c>
    </row>
    <row r="7465" spans="1:13" x14ac:dyDescent="0.25">
      <c r="A7465" s="13">
        <v>6682409</v>
      </c>
      <c r="B7465" s="13" t="s">
        <v>1650</v>
      </c>
      <c r="D7465" s="13">
        <v>123002</v>
      </c>
      <c r="E7465" s="136" t="str">
        <f>INDEX([1]道具配置表!$D:$D,MATCH(D7465,[1]道具配置表!$A:$A,0))</f>
        <v>通用橙色碎片</v>
      </c>
      <c r="F7465" s="13">
        <v>1</v>
      </c>
      <c r="K7465" s="13">
        <v>1</v>
      </c>
      <c r="M7465" s="109" t="b">
        <v>1</v>
      </c>
    </row>
    <row r="7466" spans="1:13" x14ac:dyDescent="0.25">
      <c r="D7466" s="13">
        <v>7003</v>
      </c>
      <c r="E7466" s="136" t="str">
        <f>INDEX([1]道具配置表!$D:$D,MATCH(D7466,[1]道具配置表!$A:$A,0))</f>
        <v>1银币（立即使用，不进背包）</v>
      </c>
      <c r="F7466" s="13">
        <v>2500</v>
      </c>
      <c r="K7466" s="13">
        <v>1</v>
      </c>
      <c r="M7466" s="109" t="b">
        <v>1</v>
      </c>
    </row>
    <row r="7467" spans="1:13" x14ac:dyDescent="0.25">
      <c r="D7467" s="13">
        <v>6802</v>
      </c>
      <c r="E7467" s="136" t="str">
        <f>INDEX([1]道具配置表!$D:$D,MATCH(D7467,[1]道具配置表!$A:$A,0))</f>
        <v>死兵恢复券</v>
      </c>
      <c r="F7467" s="13">
        <v>1</v>
      </c>
      <c r="K7467" s="13">
        <v>1</v>
      </c>
      <c r="M7467" s="109" t="b">
        <v>1</v>
      </c>
    </row>
    <row r="7468" spans="1:13" x14ac:dyDescent="0.25">
      <c r="D7468" s="13">
        <v>6122</v>
      </c>
      <c r="E7468" s="136" t="str">
        <f>INDEX([1]道具配置表!$D:$D,MATCH(D7468,[1]道具配置表!$A:$A,0))</f>
        <v>10分钟建造加速</v>
      </c>
      <c r="F7468" s="13">
        <v>4</v>
      </c>
      <c r="K7468" s="13">
        <v>1</v>
      </c>
      <c r="M7468" s="109" t="b">
        <v>1</v>
      </c>
    </row>
    <row r="7469" spans="1:13" x14ac:dyDescent="0.25">
      <c r="D7469" s="13">
        <v>6142</v>
      </c>
      <c r="E7469" s="136" t="str">
        <f>INDEX([1]道具配置表!$D:$D,MATCH(D7469,[1]道具配置表!$A:$A,0))</f>
        <v>10分钟科技加速</v>
      </c>
      <c r="F7469" s="13">
        <v>4</v>
      </c>
      <c r="K7469" s="13">
        <v>1</v>
      </c>
      <c r="M7469" s="109" t="b">
        <v>1</v>
      </c>
    </row>
    <row r="7470" spans="1:13" x14ac:dyDescent="0.25">
      <c r="D7470" s="13">
        <v>6162</v>
      </c>
      <c r="E7470" s="136" t="str">
        <f>INDEX([1]道具配置表!$D:$D,MATCH(D7470,[1]道具配置表!$A:$A,0))</f>
        <v>10分钟训练加速</v>
      </c>
      <c r="F7470" s="13">
        <v>4</v>
      </c>
      <c r="K7470" s="13">
        <v>1</v>
      </c>
      <c r="M7470" s="109" t="b">
        <v>1</v>
      </c>
    </row>
    <row r="7471" spans="1:13" x14ac:dyDescent="0.25">
      <c r="D7471" s="13">
        <v>503</v>
      </c>
      <c r="E7471" s="136" t="str">
        <f>INDEX([1]道具配置表!$D:$D,MATCH(D7471,[1]道具配置表!$A:$A,0))</f>
        <v>5万资源自选宝箱</v>
      </c>
      <c r="F7471" s="13">
        <v>6</v>
      </c>
      <c r="K7471" s="13">
        <v>1</v>
      </c>
      <c r="M7471" s="109" t="b">
        <v>1</v>
      </c>
    </row>
    <row r="7472" spans="1:13" x14ac:dyDescent="0.25">
      <c r="A7472" s="13">
        <v>6682410</v>
      </c>
      <c r="B7472" s="13" t="s">
        <v>1651</v>
      </c>
      <c r="D7472" s="13">
        <v>2007</v>
      </c>
      <c r="E7472" s="136" t="str">
        <f>INDEX([1]道具配置表!$D:$D,MATCH(D7472,[1]道具配置表!$A:$A,0))</f>
        <v>大奖池招募券</v>
      </c>
      <c r="F7472" s="13">
        <v>4</v>
      </c>
      <c r="K7472" s="13">
        <v>1</v>
      </c>
      <c r="M7472" s="109" t="b">
        <v>1</v>
      </c>
    </row>
    <row r="7473" spans="1:13" x14ac:dyDescent="0.25">
      <c r="D7473" s="13">
        <v>7003</v>
      </c>
      <c r="E7473" s="136" t="str">
        <f>INDEX([1]道具配置表!$D:$D,MATCH(D7473,[1]道具配置表!$A:$A,0))</f>
        <v>1银币（立即使用，不进背包）</v>
      </c>
      <c r="F7473" s="13">
        <v>2000</v>
      </c>
      <c r="K7473" s="13">
        <v>1</v>
      </c>
      <c r="M7473" s="109" t="b">
        <v>1</v>
      </c>
    </row>
    <row r="7474" spans="1:13" x14ac:dyDescent="0.25">
      <c r="D7474" s="13">
        <v>6802</v>
      </c>
      <c r="E7474" s="136" t="str">
        <f>INDEX([1]道具配置表!$D:$D,MATCH(D7474,[1]道具配置表!$A:$A,0))</f>
        <v>死兵恢复券</v>
      </c>
      <c r="F7474" s="13">
        <v>1</v>
      </c>
      <c r="K7474" s="13">
        <v>1</v>
      </c>
      <c r="M7474" s="109" t="b">
        <v>1</v>
      </c>
    </row>
    <row r="7475" spans="1:13" x14ac:dyDescent="0.25">
      <c r="D7475" s="13">
        <v>6122</v>
      </c>
      <c r="E7475" s="136" t="str">
        <f>INDEX([1]道具配置表!$D:$D,MATCH(D7475,[1]道具配置表!$A:$A,0))</f>
        <v>10分钟建造加速</v>
      </c>
      <c r="F7475" s="13">
        <v>3</v>
      </c>
      <c r="K7475" s="13">
        <v>1</v>
      </c>
      <c r="M7475" s="109" t="b">
        <v>1</v>
      </c>
    </row>
    <row r="7476" spans="1:13" x14ac:dyDescent="0.25">
      <c r="D7476" s="13">
        <v>6142</v>
      </c>
      <c r="E7476" s="136" t="str">
        <f>INDEX([1]道具配置表!$D:$D,MATCH(D7476,[1]道具配置表!$A:$A,0))</f>
        <v>10分钟科技加速</v>
      </c>
      <c r="F7476" s="13">
        <v>3</v>
      </c>
      <c r="K7476" s="13">
        <v>1</v>
      </c>
      <c r="M7476" s="109" t="b">
        <v>1</v>
      </c>
    </row>
    <row r="7477" spans="1:13" x14ac:dyDescent="0.25">
      <c r="D7477" s="13">
        <v>6162</v>
      </c>
      <c r="E7477" s="136" t="str">
        <f>INDEX([1]道具配置表!$D:$D,MATCH(D7477,[1]道具配置表!$A:$A,0))</f>
        <v>10分钟训练加速</v>
      </c>
      <c r="F7477" s="13">
        <v>3</v>
      </c>
      <c r="K7477" s="13">
        <v>1</v>
      </c>
      <c r="M7477" s="109" t="b">
        <v>1</v>
      </c>
    </row>
    <row r="7478" spans="1:13" x14ac:dyDescent="0.25">
      <c r="D7478" s="13">
        <v>503</v>
      </c>
      <c r="E7478" s="136" t="str">
        <f>INDEX([1]道具配置表!$D:$D,MATCH(D7478,[1]道具配置表!$A:$A,0))</f>
        <v>5万资源自选宝箱</v>
      </c>
      <c r="F7478" s="13">
        <v>5</v>
      </c>
      <c r="K7478" s="13">
        <v>1</v>
      </c>
      <c r="M7478" s="109" t="b">
        <v>1</v>
      </c>
    </row>
    <row r="7479" spans="1:13" x14ac:dyDescent="0.25">
      <c r="A7479" s="13">
        <v>6682411</v>
      </c>
      <c r="B7479" s="13" t="s">
        <v>1652</v>
      </c>
      <c r="D7479" s="13">
        <v>2007</v>
      </c>
      <c r="E7479" s="136" t="str">
        <f>INDEX([1]道具配置表!$D:$D,MATCH(D7479,[1]道具配置表!$A:$A,0))</f>
        <v>大奖池招募券</v>
      </c>
      <c r="F7479" s="13">
        <v>3</v>
      </c>
      <c r="K7479" s="13">
        <v>1</v>
      </c>
      <c r="M7479" s="109" t="b">
        <v>1</v>
      </c>
    </row>
    <row r="7480" spans="1:13" x14ac:dyDescent="0.25">
      <c r="D7480" s="13">
        <v>7003</v>
      </c>
      <c r="E7480" s="136" t="str">
        <f>INDEX([1]道具配置表!$D:$D,MATCH(D7480,[1]道具配置表!$A:$A,0))</f>
        <v>1银币（立即使用，不进背包）</v>
      </c>
      <c r="F7480" s="13">
        <v>1500</v>
      </c>
      <c r="K7480" s="13">
        <v>1</v>
      </c>
      <c r="M7480" s="109" t="b">
        <v>1</v>
      </c>
    </row>
    <row r="7481" spans="1:13" x14ac:dyDescent="0.25">
      <c r="D7481" s="13">
        <v>6802</v>
      </c>
      <c r="E7481" s="136" t="str">
        <f>INDEX([1]道具配置表!$D:$D,MATCH(D7481,[1]道具配置表!$A:$A,0))</f>
        <v>死兵恢复券</v>
      </c>
      <c r="F7481" s="13">
        <v>1</v>
      </c>
      <c r="K7481" s="13">
        <v>1</v>
      </c>
      <c r="M7481" s="109" t="b">
        <v>1</v>
      </c>
    </row>
    <row r="7482" spans="1:13" x14ac:dyDescent="0.25">
      <c r="D7482" s="13">
        <v>6122</v>
      </c>
      <c r="E7482" s="136" t="str">
        <f>INDEX([1]道具配置表!$D:$D,MATCH(D7482,[1]道具配置表!$A:$A,0))</f>
        <v>10分钟建造加速</v>
      </c>
      <c r="F7482" s="13">
        <v>2</v>
      </c>
      <c r="K7482" s="13">
        <v>1</v>
      </c>
      <c r="M7482" s="109" t="b">
        <v>1</v>
      </c>
    </row>
    <row r="7483" spans="1:13" x14ac:dyDescent="0.25">
      <c r="D7483" s="13">
        <v>6142</v>
      </c>
      <c r="E7483" s="136" t="str">
        <f>INDEX([1]道具配置表!$D:$D,MATCH(D7483,[1]道具配置表!$A:$A,0))</f>
        <v>10分钟科技加速</v>
      </c>
      <c r="F7483" s="13">
        <v>2</v>
      </c>
      <c r="K7483" s="13">
        <v>1</v>
      </c>
      <c r="M7483" s="109" t="b">
        <v>1</v>
      </c>
    </row>
    <row r="7484" spans="1:13" x14ac:dyDescent="0.25">
      <c r="D7484" s="13">
        <v>6162</v>
      </c>
      <c r="E7484" s="136" t="str">
        <f>INDEX([1]道具配置表!$D:$D,MATCH(D7484,[1]道具配置表!$A:$A,0))</f>
        <v>10分钟训练加速</v>
      </c>
      <c r="F7484" s="13">
        <v>2</v>
      </c>
      <c r="K7484" s="13">
        <v>1</v>
      </c>
      <c r="M7484" s="109" t="b">
        <v>1</v>
      </c>
    </row>
    <row r="7485" spans="1:13" x14ac:dyDescent="0.25">
      <c r="D7485" s="13">
        <v>503</v>
      </c>
      <c r="E7485" s="136" t="str">
        <f>INDEX([1]道具配置表!$D:$D,MATCH(D7485,[1]道具配置表!$A:$A,0))</f>
        <v>5万资源自选宝箱</v>
      </c>
      <c r="F7485" s="13">
        <v>4</v>
      </c>
      <c r="K7485" s="13">
        <v>1</v>
      </c>
      <c r="M7485" s="109" t="b">
        <v>1</v>
      </c>
    </row>
    <row r="7486" spans="1:13" x14ac:dyDescent="0.25">
      <c r="A7486" s="13">
        <v>6682412</v>
      </c>
      <c r="B7486" s="13" t="s">
        <v>1653</v>
      </c>
      <c r="D7486" s="13">
        <v>2007</v>
      </c>
      <c r="E7486" s="136" t="str">
        <f>INDEX([1]道具配置表!$D:$D,MATCH(D7486,[1]道具配置表!$A:$A,0))</f>
        <v>大奖池招募券</v>
      </c>
      <c r="F7486" s="13">
        <v>2</v>
      </c>
      <c r="K7486" s="13">
        <v>1</v>
      </c>
      <c r="M7486" s="109" t="b">
        <v>1</v>
      </c>
    </row>
    <row r="7487" spans="1:13" x14ac:dyDescent="0.25">
      <c r="D7487" s="13">
        <v>7003</v>
      </c>
      <c r="E7487" s="136" t="str">
        <f>INDEX([1]道具配置表!$D:$D,MATCH(D7487,[1]道具配置表!$A:$A,0))</f>
        <v>1银币（立即使用，不进背包）</v>
      </c>
      <c r="F7487" s="13">
        <v>1000</v>
      </c>
      <c r="K7487" s="13">
        <v>1</v>
      </c>
      <c r="M7487" s="109" t="b">
        <v>1</v>
      </c>
    </row>
    <row r="7488" spans="1:13" x14ac:dyDescent="0.25">
      <c r="D7488" s="13">
        <v>6802</v>
      </c>
      <c r="E7488" s="136" t="str">
        <f>INDEX([1]道具配置表!$D:$D,MATCH(D7488,[1]道具配置表!$A:$A,0))</f>
        <v>死兵恢复券</v>
      </c>
      <c r="F7488" s="13">
        <v>1</v>
      </c>
      <c r="K7488" s="13">
        <v>1</v>
      </c>
      <c r="M7488" s="109" t="b">
        <v>1</v>
      </c>
    </row>
    <row r="7489" spans="1:13" x14ac:dyDescent="0.25">
      <c r="D7489" s="13">
        <v>6122</v>
      </c>
      <c r="E7489" s="136" t="str">
        <f>INDEX([1]道具配置表!$D:$D,MATCH(D7489,[1]道具配置表!$A:$A,0))</f>
        <v>10分钟建造加速</v>
      </c>
      <c r="F7489" s="13">
        <v>2</v>
      </c>
      <c r="K7489" s="13">
        <v>1</v>
      </c>
      <c r="M7489" s="130" t="b">
        <v>1</v>
      </c>
    </row>
    <row r="7490" spans="1:13" x14ac:dyDescent="0.25">
      <c r="D7490" s="13">
        <v>6142</v>
      </c>
      <c r="E7490" s="136" t="str">
        <f>INDEX([1]道具配置表!$D:$D,MATCH(D7490,[1]道具配置表!$A:$A,0))</f>
        <v>10分钟科技加速</v>
      </c>
      <c r="F7490" s="13">
        <v>2</v>
      </c>
      <c r="K7490" s="13">
        <v>1</v>
      </c>
      <c r="M7490" s="130" t="b">
        <v>1</v>
      </c>
    </row>
    <row r="7491" spans="1:13" x14ac:dyDescent="0.25">
      <c r="D7491" s="13">
        <v>6162</v>
      </c>
      <c r="E7491" s="136" t="str">
        <f>INDEX([1]道具配置表!$D:$D,MATCH(D7491,[1]道具配置表!$A:$A,0))</f>
        <v>10分钟训练加速</v>
      </c>
      <c r="F7491" s="13">
        <v>2</v>
      </c>
      <c r="K7491" s="13">
        <v>1</v>
      </c>
      <c r="M7491" s="109" t="b">
        <v>1</v>
      </c>
    </row>
    <row r="7492" spans="1:13" x14ac:dyDescent="0.25">
      <c r="D7492" s="13">
        <v>503</v>
      </c>
      <c r="E7492" s="136" t="str">
        <f>INDEX([1]道具配置表!$D:$D,MATCH(D7492,[1]道具配置表!$A:$A,0))</f>
        <v>5万资源自选宝箱</v>
      </c>
      <c r="F7492" s="13">
        <v>3</v>
      </c>
      <c r="K7492" s="13">
        <v>1</v>
      </c>
      <c r="M7492" s="109" t="b">
        <v>1</v>
      </c>
    </row>
    <row r="7493" spans="1:13" x14ac:dyDescent="0.25">
      <c r="A7493" s="13">
        <v>6682413</v>
      </c>
      <c r="B7493" s="13" t="s">
        <v>1654</v>
      </c>
      <c r="D7493" s="13">
        <v>2007</v>
      </c>
      <c r="E7493" s="136" t="str">
        <f>INDEX([1]道具配置表!$D:$D,MATCH(D7493,[1]道具配置表!$A:$A,0))</f>
        <v>大奖池招募券</v>
      </c>
      <c r="F7493" s="13">
        <v>1</v>
      </c>
      <c r="K7493" s="13">
        <v>1</v>
      </c>
      <c r="M7493" s="109" t="b">
        <v>1</v>
      </c>
    </row>
    <row r="7494" spans="1:13" x14ac:dyDescent="0.25">
      <c r="D7494" s="13">
        <v>7003</v>
      </c>
      <c r="E7494" s="136" t="str">
        <f>INDEX([1]道具配置表!$D:$D,MATCH(D7494,[1]道具配置表!$A:$A,0))</f>
        <v>1银币（立即使用，不进背包）</v>
      </c>
      <c r="F7494" s="13">
        <v>800</v>
      </c>
      <c r="K7494" s="13">
        <v>1</v>
      </c>
      <c r="M7494" s="130" t="b">
        <v>1</v>
      </c>
    </row>
    <row r="7495" spans="1:13" x14ac:dyDescent="0.25">
      <c r="D7495" s="13">
        <v>6802</v>
      </c>
      <c r="E7495" s="136" t="str">
        <f>INDEX([1]道具配置表!$D:$D,MATCH(D7495,[1]道具配置表!$A:$A,0))</f>
        <v>死兵恢复券</v>
      </c>
      <c r="F7495" s="13">
        <v>1</v>
      </c>
      <c r="K7495" s="13">
        <v>1</v>
      </c>
      <c r="M7495" s="130" t="b">
        <v>1</v>
      </c>
    </row>
    <row r="7496" spans="1:13" x14ac:dyDescent="0.25">
      <c r="D7496" s="13">
        <v>6122</v>
      </c>
      <c r="E7496" s="136" t="str">
        <f>INDEX([1]道具配置表!$D:$D,MATCH(D7496,[1]道具配置表!$A:$A,0))</f>
        <v>10分钟建造加速</v>
      </c>
      <c r="F7496" s="13">
        <v>1</v>
      </c>
      <c r="K7496" s="13">
        <v>1</v>
      </c>
      <c r="M7496" s="109" t="b">
        <v>1</v>
      </c>
    </row>
    <row r="7497" spans="1:13" x14ac:dyDescent="0.25">
      <c r="D7497" s="13">
        <v>6142</v>
      </c>
      <c r="E7497" s="136" t="str">
        <f>INDEX([1]道具配置表!$D:$D,MATCH(D7497,[1]道具配置表!$A:$A,0))</f>
        <v>10分钟科技加速</v>
      </c>
      <c r="F7497" s="13">
        <v>1</v>
      </c>
      <c r="K7497" s="13">
        <v>1</v>
      </c>
      <c r="M7497" s="109" t="b">
        <v>1</v>
      </c>
    </row>
    <row r="7498" spans="1:13" x14ac:dyDescent="0.25">
      <c r="D7498" s="13">
        <v>6162</v>
      </c>
      <c r="E7498" s="136" t="str">
        <f>INDEX([1]道具配置表!$D:$D,MATCH(D7498,[1]道具配置表!$A:$A,0))</f>
        <v>10分钟训练加速</v>
      </c>
      <c r="F7498" s="13">
        <v>1</v>
      </c>
      <c r="K7498" s="13">
        <v>1</v>
      </c>
      <c r="M7498" s="109" t="b">
        <v>1</v>
      </c>
    </row>
    <row r="7499" spans="1:13" x14ac:dyDescent="0.25">
      <c r="D7499" s="13">
        <v>503</v>
      </c>
      <c r="E7499" s="136" t="str">
        <f>INDEX([1]道具配置表!$D:$D,MATCH(D7499,[1]道具配置表!$A:$A,0))</f>
        <v>5万资源自选宝箱</v>
      </c>
      <c r="F7499" s="13">
        <v>2</v>
      </c>
      <c r="K7499" s="13">
        <v>1</v>
      </c>
      <c r="M7499" s="109" t="b">
        <v>1</v>
      </c>
    </row>
    <row r="7500" spans="1:13" x14ac:dyDescent="0.25">
      <c r="A7500" s="13">
        <v>6682501</v>
      </c>
      <c r="B7500" s="13" t="s">
        <v>1655</v>
      </c>
      <c r="D7500" s="13">
        <v>43017</v>
      </c>
      <c r="E7500" s="136" t="str">
        <f>INDEX([1]道具配置表!$D:$D,MATCH(D7500,[1]道具配置表!$A:$A,0))</f>
        <v>地上天国称号（限时15天）</v>
      </c>
      <c r="F7500" s="13">
        <v>1</v>
      </c>
      <c r="K7500" s="13">
        <v>1</v>
      </c>
      <c r="M7500" s="109" t="b">
        <v>1</v>
      </c>
    </row>
    <row r="7501" spans="1:13" x14ac:dyDescent="0.25">
      <c r="D7501" s="13">
        <v>7003</v>
      </c>
      <c r="E7501" s="136" t="str">
        <f>INDEX([1]道具配置表!$D:$D,MATCH(D7501,[1]道具配置表!$A:$A,0))</f>
        <v>1银币（立即使用，不进背包）</v>
      </c>
      <c r="F7501" s="13">
        <v>1200</v>
      </c>
      <c r="K7501" s="13">
        <v>1</v>
      </c>
      <c r="M7501" s="109" t="b">
        <v>1</v>
      </c>
    </row>
    <row r="7502" spans="1:13" x14ac:dyDescent="0.25">
      <c r="D7502" s="13">
        <v>6802</v>
      </c>
      <c r="E7502" s="136" t="str">
        <f>INDEX([1]道具配置表!$D:$D,MATCH(D7502,[1]道具配置表!$A:$A,0))</f>
        <v>死兵恢复券</v>
      </c>
      <c r="F7502" s="13">
        <v>5</v>
      </c>
      <c r="K7502" s="13">
        <v>1</v>
      </c>
      <c r="M7502" s="109" t="b">
        <v>1</v>
      </c>
    </row>
    <row r="7503" spans="1:13" x14ac:dyDescent="0.25">
      <c r="D7503" s="13">
        <v>6125</v>
      </c>
      <c r="E7503" s="136" t="str">
        <f>INDEX([1]道具配置表!$D:$D,MATCH(D7503,[1]道具配置表!$A:$A,0))</f>
        <v>60分钟建造加速</v>
      </c>
      <c r="F7503" s="13">
        <v>1</v>
      </c>
      <c r="K7503" s="13">
        <v>1</v>
      </c>
      <c r="M7503" s="109" t="b">
        <v>1</v>
      </c>
    </row>
    <row r="7504" spans="1:13" x14ac:dyDescent="0.25">
      <c r="D7504" s="13">
        <v>6145</v>
      </c>
      <c r="E7504" s="136" t="str">
        <f>INDEX([1]道具配置表!$D:$D,MATCH(D7504,[1]道具配置表!$A:$A,0))</f>
        <v>60分钟科技加速</v>
      </c>
      <c r="F7504" s="13">
        <v>1</v>
      </c>
      <c r="K7504" s="13">
        <v>1</v>
      </c>
      <c r="M7504" s="109" t="b">
        <v>1</v>
      </c>
    </row>
    <row r="7505" spans="1:13" x14ac:dyDescent="0.25">
      <c r="D7505" s="13">
        <v>6165</v>
      </c>
      <c r="E7505" s="136" t="str">
        <f>INDEX([1]道具配置表!$D:$D,MATCH(D7505,[1]道具配置表!$A:$A,0))</f>
        <v>60分钟训练加速</v>
      </c>
      <c r="F7505" s="13">
        <v>1</v>
      </c>
      <c r="K7505" s="13">
        <v>1</v>
      </c>
      <c r="M7505" s="109" t="b">
        <v>1</v>
      </c>
    </row>
    <row r="7506" spans="1:13" x14ac:dyDescent="0.25">
      <c r="D7506" s="13">
        <v>503</v>
      </c>
      <c r="E7506" s="136" t="str">
        <f>INDEX([1]道具配置表!$D:$D,MATCH(D7506,[1]道具配置表!$A:$A,0))</f>
        <v>5万资源自选宝箱</v>
      </c>
      <c r="F7506" s="13">
        <v>12</v>
      </c>
      <c r="K7506" s="13">
        <v>1</v>
      </c>
      <c r="M7506" s="109" t="b">
        <v>1</v>
      </c>
    </row>
    <row r="7507" spans="1:13" x14ac:dyDescent="0.25">
      <c r="A7507" s="13">
        <v>6682502</v>
      </c>
      <c r="B7507" s="13" t="s">
        <v>1656</v>
      </c>
      <c r="D7507" s="13">
        <v>43012</v>
      </c>
      <c r="E7507" s="136" t="str">
        <f>INDEX([1]道具配置表!$D:$D,MATCH(D7507,[1]道具配置表!$A:$A,0))</f>
        <v>黄金雄邦称号（限时15天）</v>
      </c>
      <c r="F7507" s="13">
        <v>1</v>
      </c>
      <c r="K7507" s="13">
        <v>1</v>
      </c>
      <c r="M7507" s="109" t="b">
        <v>1</v>
      </c>
    </row>
    <row r="7508" spans="1:13" x14ac:dyDescent="0.25">
      <c r="D7508" s="13">
        <v>7003</v>
      </c>
      <c r="E7508" s="136" t="str">
        <f>INDEX([1]道具配置表!$D:$D,MATCH(D7508,[1]道具配置表!$A:$A,0))</f>
        <v>1银币（立即使用，不进背包）</v>
      </c>
      <c r="F7508" s="13">
        <v>1000</v>
      </c>
      <c r="K7508" s="13">
        <v>1</v>
      </c>
      <c r="M7508" s="109" t="b">
        <v>1</v>
      </c>
    </row>
    <row r="7509" spans="1:13" x14ac:dyDescent="0.25">
      <c r="D7509" s="13">
        <v>6802</v>
      </c>
      <c r="E7509" s="136" t="str">
        <f>INDEX([1]道具配置表!$D:$D,MATCH(D7509,[1]道具配置表!$A:$A,0))</f>
        <v>死兵恢复券</v>
      </c>
      <c r="F7509" s="13">
        <v>4</v>
      </c>
      <c r="K7509" s="13">
        <v>1</v>
      </c>
      <c r="M7509" s="109" t="b">
        <v>1</v>
      </c>
    </row>
    <row r="7510" spans="1:13" x14ac:dyDescent="0.25">
      <c r="D7510" s="13">
        <v>6122</v>
      </c>
      <c r="E7510" s="136" t="str">
        <f>INDEX([1]道具配置表!$D:$D,MATCH(D7510,[1]道具配置表!$A:$A,0))</f>
        <v>10分钟建造加速</v>
      </c>
      <c r="F7510" s="13">
        <v>5</v>
      </c>
      <c r="K7510" s="13">
        <v>1</v>
      </c>
      <c r="M7510" s="109" t="b">
        <v>1</v>
      </c>
    </row>
    <row r="7511" spans="1:13" x14ac:dyDescent="0.25">
      <c r="D7511" s="13">
        <v>6142</v>
      </c>
      <c r="E7511" s="136" t="str">
        <f>INDEX([1]道具配置表!$D:$D,MATCH(D7511,[1]道具配置表!$A:$A,0))</f>
        <v>10分钟科技加速</v>
      </c>
      <c r="F7511" s="13">
        <v>5</v>
      </c>
      <c r="K7511" s="13">
        <v>1</v>
      </c>
      <c r="M7511" s="109" t="b">
        <v>1</v>
      </c>
    </row>
    <row r="7512" spans="1:13" x14ac:dyDescent="0.25">
      <c r="D7512" s="13">
        <v>6162</v>
      </c>
      <c r="E7512" s="136" t="str">
        <f>INDEX([1]道具配置表!$D:$D,MATCH(D7512,[1]道具配置表!$A:$A,0))</f>
        <v>10分钟训练加速</v>
      </c>
      <c r="F7512" s="13">
        <v>5</v>
      </c>
      <c r="K7512" s="13">
        <v>1</v>
      </c>
      <c r="M7512" s="109" t="b">
        <v>1</v>
      </c>
    </row>
    <row r="7513" spans="1:13" x14ac:dyDescent="0.25">
      <c r="D7513" s="13">
        <v>503</v>
      </c>
      <c r="E7513" s="136" t="str">
        <f>INDEX([1]道具配置表!$D:$D,MATCH(D7513,[1]道具配置表!$A:$A,0))</f>
        <v>5万资源自选宝箱</v>
      </c>
      <c r="F7513" s="13">
        <v>10</v>
      </c>
      <c r="K7513" s="13">
        <v>1</v>
      </c>
      <c r="M7513" s="109" t="b">
        <v>1</v>
      </c>
    </row>
    <row r="7514" spans="1:13" x14ac:dyDescent="0.25">
      <c r="A7514" s="13">
        <v>6682503</v>
      </c>
      <c r="B7514" s="13" t="s">
        <v>1657</v>
      </c>
      <c r="D7514" s="13">
        <v>43007</v>
      </c>
      <c r="E7514" s="136" t="str">
        <f>INDEX([1]道具配置表!$D:$D,MATCH(D7514,[1]道具配置表!$A:$A,0))</f>
        <v>安乐之地称号（限时15天）</v>
      </c>
      <c r="F7514" s="13">
        <v>1</v>
      </c>
      <c r="K7514" s="13">
        <v>1</v>
      </c>
      <c r="M7514" s="109" t="b">
        <v>1</v>
      </c>
    </row>
    <row r="7515" spans="1:13" x14ac:dyDescent="0.25">
      <c r="D7515" s="13">
        <v>7003</v>
      </c>
      <c r="E7515" s="136" t="str">
        <f>INDEX([1]道具配置表!$D:$D,MATCH(D7515,[1]道具配置表!$A:$A,0))</f>
        <v>1银币（立即使用，不进背包）</v>
      </c>
      <c r="F7515" s="13">
        <v>800</v>
      </c>
      <c r="K7515" s="13">
        <v>1</v>
      </c>
      <c r="M7515" s="109" t="b">
        <v>1</v>
      </c>
    </row>
    <row r="7516" spans="1:13" x14ac:dyDescent="0.25">
      <c r="D7516" s="13">
        <v>6802</v>
      </c>
      <c r="E7516" s="136" t="str">
        <f>INDEX([1]道具配置表!$D:$D,MATCH(D7516,[1]道具配置表!$A:$A,0))</f>
        <v>死兵恢复券</v>
      </c>
      <c r="F7516" s="13">
        <v>3</v>
      </c>
      <c r="K7516" s="13">
        <v>1</v>
      </c>
      <c r="M7516" s="109" t="b">
        <v>1</v>
      </c>
    </row>
    <row r="7517" spans="1:13" x14ac:dyDescent="0.25">
      <c r="D7517" s="13">
        <v>6122</v>
      </c>
      <c r="E7517" s="136" t="str">
        <f>INDEX([1]道具配置表!$D:$D,MATCH(D7517,[1]道具配置表!$A:$A,0))</f>
        <v>10分钟建造加速</v>
      </c>
      <c r="F7517" s="13">
        <v>4</v>
      </c>
      <c r="K7517" s="13">
        <v>1</v>
      </c>
      <c r="M7517" s="109" t="b">
        <v>1</v>
      </c>
    </row>
    <row r="7518" spans="1:13" x14ac:dyDescent="0.25">
      <c r="D7518" s="13">
        <v>6142</v>
      </c>
      <c r="E7518" s="136" t="str">
        <f>INDEX([1]道具配置表!$D:$D,MATCH(D7518,[1]道具配置表!$A:$A,0))</f>
        <v>10分钟科技加速</v>
      </c>
      <c r="F7518" s="13">
        <v>4</v>
      </c>
      <c r="K7518" s="13">
        <v>1</v>
      </c>
      <c r="M7518" s="109" t="b">
        <v>1</v>
      </c>
    </row>
    <row r="7519" spans="1:13" x14ac:dyDescent="0.25">
      <c r="D7519" s="13">
        <v>6162</v>
      </c>
      <c r="E7519" s="136" t="str">
        <f>INDEX([1]道具配置表!$D:$D,MATCH(D7519,[1]道具配置表!$A:$A,0))</f>
        <v>10分钟训练加速</v>
      </c>
      <c r="F7519" s="13">
        <v>4</v>
      </c>
      <c r="K7519" s="13">
        <v>1</v>
      </c>
      <c r="M7519" s="109" t="b">
        <v>1</v>
      </c>
    </row>
    <row r="7520" spans="1:13" x14ac:dyDescent="0.25">
      <c r="D7520" s="13">
        <v>503</v>
      </c>
      <c r="E7520" s="136" t="str">
        <f>INDEX([1]道具配置表!$D:$D,MATCH(D7520,[1]道具配置表!$A:$A,0))</f>
        <v>5万资源自选宝箱</v>
      </c>
      <c r="F7520" s="13">
        <v>8</v>
      </c>
      <c r="K7520" s="13">
        <v>1</v>
      </c>
      <c r="M7520" s="109" t="b">
        <v>1</v>
      </c>
    </row>
    <row r="7521" spans="1:13" x14ac:dyDescent="0.25">
      <c r="A7521" s="13">
        <v>6682504</v>
      </c>
      <c r="B7521" s="13" t="s">
        <v>1658</v>
      </c>
      <c r="D7521" s="13">
        <v>7003</v>
      </c>
      <c r="E7521" s="136" t="str">
        <f>INDEX([1]道具配置表!$D:$D,MATCH(D7521,[1]道具配置表!$A:$A,0))</f>
        <v>1银币（立即使用，不进背包）</v>
      </c>
      <c r="F7521" s="13">
        <v>600</v>
      </c>
      <c r="K7521" s="13">
        <v>1</v>
      </c>
      <c r="M7521" s="109" t="b">
        <v>1</v>
      </c>
    </row>
    <row r="7522" spans="1:13" x14ac:dyDescent="0.25">
      <c r="D7522" s="13">
        <v>6802</v>
      </c>
      <c r="E7522" s="136" t="str">
        <f>INDEX([1]道具配置表!$D:$D,MATCH(D7522,[1]道具配置表!$A:$A,0))</f>
        <v>死兵恢复券</v>
      </c>
      <c r="F7522" s="13">
        <v>2</v>
      </c>
      <c r="K7522" s="13">
        <v>1</v>
      </c>
      <c r="M7522" s="109" t="b">
        <v>1</v>
      </c>
    </row>
    <row r="7523" spans="1:13" x14ac:dyDescent="0.25">
      <c r="D7523" s="13">
        <v>6122</v>
      </c>
      <c r="E7523" s="136" t="str">
        <f>INDEX([1]道具配置表!$D:$D,MATCH(D7523,[1]道具配置表!$A:$A,0))</f>
        <v>10分钟建造加速</v>
      </c>
      <c r="F7523" s="13">
        <v>3</v>
      </c>
      <c r="K7523" s="13">
        <v>1</v>
      </c>
      <c r="M7523" s="109" t="b">
        <v>1</v>
      </c>
    </row>
    <row r="7524" spans="1:13" x14ac:dyDescent="0.25">
      <c r="D7524" s="13">
        <v>6142</v>
      </c>
      <c r="E7524" s="136" t="str">
        <f>INDEX([1]道具配置表!$D:$D,MATCH(D7524,[1]道具配置表!$A:$A,0))</f>
        <v>10分钟科技加速</v>
      </c>
      <c r="F7524" s="13">
        <v>3</v>
      </c>
      <c r="K7524" s="13">
        <v>1</v>
      </c>
      <c r="M7524" s="109" t="b">
        <v>1</v>
      </c>
    </row>
    <row r="7525" spans="1:13" x14ac:dyDescent="0.25">
      <c r="D7525" s="13">
        <v>6162</v>
      </c>
      <c r="E7525" s="136" t="str">
        <f>INDEX([1]道具配置表!$D:$D,MATCH(D7525,[1]道具配置表!$A:$A,0))</f>
        <v>10分钟训练加速</v>
      </c>
      <c r="F7525" s="13">
        <v>3</v>
      </c>
      <c r="K7525" s="13">
        <v>1</v>
      </c>
      <c r="M7525" s="109" t="b">
        <v>1</v>
      </c>
    </row>
    <row r="7526" spans="1:13" x14ac:dyDescent="0.25">
      <c r="D7526" s="13">
        <v>503</v>
      </c>
      <c r="E7526" s="136" t="str">
        <f>INDEX([1]道具配置表!$D:$D,MATCH(D7526,[1]道具配置表!$A:$A,0))</f>
        <v>5万资源自选宝箱</v>
      </c>
      <c r="F7526" s="13">
        <v>6</v>
      </c>
      <c r="K7526" s="13">
        <v>1</v>
      </c>
      <c r="M7526" s="109" t="b">
        <v>1</v>
      </c>
    </row>
    <row r="7527" spans="1:13" x14ac:dyDescent="0.25">
      <c r="A7527" s="13">
        <v>6682505</v>
      </c>
      <c r="B7527" s="13" t="s">
        <v>1659</v>
      </c>
      <c r="D7527" s="13">
        <v>7003</v>
      </c>
      <c r="E7527" s="136" t="str">
        <f>INDEX([1]道具配置表!$D:$D,MATCH(D7527,[1]道具配置表!$A:$A,0))</f>
        <v>1银币（立即使用，不进背包）</v>
      </c>
      <c r="F7527" s="13">
        <v>500</v>
      </c>
      <c r="K7527" s="13">
        <v>1</v>
      </c>
      <c r="M7527" s="109" t="b">
        <v>1</v>
      </c>
    </row>
    <row r="7528" spans="1:13" x14ac:dyDescent="0.25">
      <c r="D7528" s="13">
        <v>6802</v>
      </c>
      <c r="E7528" s="136" t="str">
        <f>INDEX([1]道具配置表!$D:$D,MATCH(D7528,[1]道具配置表!$A:$A,0))</f>
        <v>死兵恢复券</v>
      </c>
      <c r="F7528" s="13">
        <v>1</v>
      </c>
      <c r="K7528" s="13">
        <v>1</v>
      </c>
      <c r="M7528" s="109" t="b">
        <v>1</v>
      </c>
    </row>
    <row r="7529" spans="1:13" x14ac:dyDescent="0.25">
      <c r="D7529" s="13">
        <v>6121</v>
      </c>
      <c r="E7529" s="136" t="str">
        <f>INDEX([1]道具配置表!$D:$D,MATCH(D7529,[1]道具配置表!$A:$A,0))</f>
        <v>5分钟建造加速</v>
      </c>
      <c r="F7529" s="13">
        <v>5</v>
      </c>
      <c r="K7529" s="13">
        <v>1</v>
      </c>
      <c r="M7529" s="109" t="b">
        <v>1</v>
      </c>
    </row>
    <row r="7530" spans="1:13" x14ac:dyDescent="0.25">
      <c r="D7530" s="13">
        <v>6141</v>
      </c>
      <c r="E7530" s="136" t="str">
        <f>INDEX([1]道具配置表!$D:$D,MATCH(D7530,[1]道具配置表!$A:$A,0))</f>
        <v>5分钟科技加速</v>
      </c>
      <c r="F7530" s="13">
        <v>5</v>
      </c>
      <c r="K7530" s="13">
        <v>1</v>
      </c>
      <c r="M7530" s="109" t="b">
        <v>1</v>
      </c>
    </row>
    <row r="7531" spans="1:13" x14ac:dyDescent="0.25">
      <c r="D7531" s="13">
        <v>6161</v>
      </c>
      <c r="E7531" s="136" t="str">
        <f>INDEX([1]道具配置表!$D:$D,MATCH(D7531,[1]道具配置表!$A:$A,0))</f>
        <v>5分钟训练加速</v>
      </c>
      <c r="F7531" s="13">
        <v>5</v>
      </c>
      <c r="K7531" s="13">
        <v>1</v>
      </c>
      <c r="M7531" s="109" t="b">
        <v>1</v>
      </c>
    </row>
    <row r="7532" spans="1:13" x14ac:dyDescent="0.25">
      <c r="D7532" s="13">
        <v>503</v>
      </c>
      <c r="E7532" s="136" t="str">
        <f>INDEX([1]道具配置表!$D:$D,MATCH(D7532,[1]道具配置表!$A:$A,0))</f>
        <v>5万资源自选宝箱</v>
      </c>
      <c r="F7532" s="13">
        <v>5</v>
      </c>
      <c r="K7532" s="13">
        <v>1</v>
      </c>
      <c r="M7532" s="109" t="b">
        <v>1</v>
      </c>
    </row>
    <row r="7533" spans="1:13" x14ac:dyDescent="0.25">
      <c r="A7533" s="13">
        <v>6682506</v>
      </c>
      <c r="B7533" s="13" t="s">
        <v>1660</v>
      </c>
      <c r="D7533" s="13">
        <v>7003</v>
      </c>
      <c r="E7533" s="136" t="str">
        <f>INDEX([1]道具配置表!$D:$D,MATCH(D7533,[1]道具配置表!$A:$A,0))</f>
        <v>1银币（立即使用，不进背包）</v>
      </c>
      <c r="F7533" s="13">
        <v>400</v>
      </c>
      <c r="K7533" s="13">
        <v>1</v>
      </c>
      <c r="M7533" s="109" t="b">
        <v>1</v>
      </c>
    </row>
    <row r="7534" spans="1:13" x14ac:dyDescent="0.25">
      <c r="D7534" s="13">
        <v>6802</v>
      </c>
      <c r="E7534" s="136" t="str">
        <f>INDEX([1]道具配置表!$D:$D,MATCH(D7534,[1]道具配置表!$A:$A,0))</f>
        <v>死兵恢复券</v>
      </c>
      <c r="F7534" s="13">
        <v>1</v>
      </c>
      <c r="K7534" s="13">
        <v>1</v>
      </c>
      <c r="M7534" s="109" t="b">
        <v>1</v>
      </c>
    </row>
    <row r="7535" spans="1:13" x14ac:dyDescent="0.25">
      <c r="D7535" s="13">
        <v>6121</v>
      </c>
      <c r="E7535" s="136" t="str">
        <f>INDEX([1]道具配置表!$D:$D,MATCH(D7535,[1]道具配置表!$A:$A,0))</f>
        <v>5分钟建造加速</v>
      </c>
      <c r="F7535" s="13">
        <v>4</v>
      </c>
      <c r="K7535" s="13">
        <v>1</v>
      </c>
      <c r="M7535" s="109" t="b">
        <v>1</v>
      </c>
    </row>
    <row r="7536" spans="1:13" x14ac:dyDescent="0.25">
      <c r="D7536" s="13">
        <v>6141</v>
      </c>
      <c r="E7536" s="136" t="str">
        <f>INDEX([1]道具配置表!$D:$D,MATCH(D7536,[1]道具配置表!$A:$A,0))</f>
        <v>5分钟科技加速</v>
      </c>
      <c r="F7536" s="13">
        <v>4</v>
      </c>
      <c r="K7536" s="13">
        <v>1</v>
      </c>
      <c r="M7536" s="109" t="b">
        <v>1</v>
      </c>
    </row>
    <row r="7537" spans="1:13" x14ac:dyDescent="0.25">
      <c r="D7537" s="13">
        <v>6161</v>
      </c>
      <c r="E7537" s="136" t="str">
        <f>INDEX([1]道具配置表!$D:$D,MATCH(D7537,[1]道具配置表!$A:$A,0))</f>
        <v>5分钟训练加速</v>
      </c>
      <c r="F7537" s="13">
        <v>4</v>
      </c>
      <c r="K7537" s="13">
        <v>1</v>
      </c>
      <c r="M7537" s="109" t="b">
        <v>1</v>
      </c>
    </row>
    <row r="7538" spans="1:13" x14ac:dyDescent="0.25">
      <c r="D7538" s="13">
        <v>503</v>
      </c>
      <c r="E7538" s="136" t="str">
        <f>INDEX([1]道具配置表!$D:$D,MATCH(D7538,[1]道具配置表!$A:$A,0))</f>
        <v>5万资源自选宝箱</v>
      </c>
      <c r="F7538" s="13">
        <v>4</v>
      </c>
      <c r="K7538" s="13">
        <v>1</v>
      </c>
      <c r="M7538" s="109" t="b">
        <v>1</v>
      </c>
    </row>
    <row r="7539" spans="1:13" x14ac:dyDescent="0.25">
      <c r="A7539" s="13">
        <v>6682507</v>
      </c>
      <c r="B7539" s="13" t="s">
        <v>1661</v>
      </c>
      <c r="D7539" s="13">
        <v>7003</v>
      </c>
      <c r="E7539" s="136" t="str">
        <f>INDEX([1]道具配置表!$D:$D,MATCH(D7539,[1]道具配置表!$A:$A,0))</f>
        <v>1银币（立即使用，不进背包）</v>
      </c>
      <c r="F7539" s="13">
        <v>300</v>
      </c>
      <c r="K7539" s="13">
        <v>1</v>
      </c>
      <c r="M7539" s="109" t="b">
        <v>1</v>
      </c>
    </row>
    <row r="7540" spans="1:13" x14ac:dyDescent="0.25">
      <c r="D7540" s="13">
        <v>6802</v>
      </c>
      <c r="E7540" s="136" t="str">
        <f>INDEX([1]道具配置表!$D:$D,MATCH(D7540,[1]道具配置表!$A:$A,0))</f>
        <v>死兵恢复券</v>
      </c>
      <c r="F7540" s="13">
        <v>1</v>
      </c>
      <c r="K7540" s="13">
        <v>1</v>
      </c>
      <c r="M7540" s="109" t="b">
        <v>1</v>
      </c>
    </row>
    <row r="7541" spans="1:13" x14ac:dyDescent="0.25">
      <c r="D7541" s="13">
        <v>6121</v>
      </c>
      <c r="E7541" s="136" t="str">
        <f>INDEX([1]道具配置表!$D:$D,MATCH(D7541,[1]道具配置表!$A:$A,0))</f>
        <v>5分钟建造加速</v>
      </c>
      <c r="F7541" s="13">
        <v>3</v>
      </c>
      <c r="K7541" s="13">
        <v>1</v>
      </c>
      <c r="M7541" s="109" t="b">
        <v>1</v>
      </c>
    </row>
    <row r="7542" spans="1:13" x14ac:dyDescent="0.25">
      <c r="D7542" s="13">
        <v>6141</v>
      </c>
      <c r="E7542" s="136" t="str">
        <f>INDEX([1]道具配置表!$D:$D,MATCH(D7542,[1]道具配置表!$A:$A,0))</f>
        <v>5分钟科技加速</v>
      </c>
      <c r="F7542" s="13">
        <v>3</v>
      </c>
      <c r="K7542" s="13">
        <v>1</v>
      </c>
      <c r="M7542" s="109" t="b">
        <v>1</v>
      </c>
    </row>
    <row r="7543" spans="1:13" x14ac:dyDescent="0.25">
      <c r="D7543" s="13">
        <v>6161</v>
      </c>
      <c r="E7543" s="136" t="str">
        <f>INDEX([1]道具配置表!$D:$D,MATCH(D7543,[1]道具配置表!$A:$A,0))</f>
        <v>5分钟训练加速</v>
      </c>
      <c r="F7543" s="13">
        <v>3</v>
      </c>
      <c r="K7543" s="13">
        <v>1</v>
      </c>
      <c r="M7543" s="109" t="b">
        <v>1</v>
      </c>
    </row>
    <row r="7544" spans="1:13" x14ac:dyDescent="0.25">
      <c r="D7544" s="13">
        <v>503</v>
      </c>
      <c r="E7544" s="136" t="str">
        <f>INDEX([1]道具配置表!$D:$D,MATCH(D7544,[1]道具配置表!$A:$A,0))</f>
        <v>5万资源自选宝箱</v>
      </c>
      <c r="F7544" s="13">
        <v>3</v>
      </c>
      <c r="K7544" s="13">
        <v>1</v>
      </c>
      <c r="M7544" s="109" t="b">
        <v>1</v>
      </c>
    </row>
    <row r="7545" spans="1:13" x14ac:dyDescent="0.25">
      <c r="A7545" s="13">
        <v>6682508</v>
      </c>
      <c r="B7545" s="13" t="s">
        <v>1662</v>
      </c>
      <c r="D7545" s="13">
        <v>7003</v>
      </c>
      <c r="E7545" s="136" t="str">
        <f>INDEX([1]道具配置表!$D:$D,MATCH(D7545,[1]道具配置表!$A:$A,0))</f>
        <v>1银币（立即使用，不进背包）</v>
      </c>
      <c r="F7545" s="13">
        <v>200</v>
      </c>
      <c r="K7545" s="13">
        <v>1</v>
      </c>
      <c r="M7545" s="109" t="b">
        <v>1</v>
      </c>
    </row>
    <row r="7546" spans="1:13" x14ac:dyDescent="0.25">
      <c r="D7546" s="13">
        <v>6802</v>
      </c>
      <c r="E7546" s="136" t="str">
        <f>INDEX([1]道具配置表!$D:$D,MATCH(D7546,[1]道具配置表!$A:$A,0))</f>
        <v>死兵恢复券</v>
      </c>
      <c r="F7546" s="13">
        <v>1</v>
      </c>
      <c r="K7546" s="13">
        <v>1</v>
      </c>
      <c r="M7546" s="109" t="b">
        <v>1</v>
      </c>
    </row>
    <row r="7547" spans="1:13" x14ac:dyDescent="0.25">
      <c r="D7547" s="13">
        <v>6121</v>
      </c>
      <c r="E7547" s="136" t="str">
        <f>INDEX([1]道具配置表!$D:$D,MATCH(D7547,[1]道具配置表!$A:$A,0))</f>
        <v>5分钟建造加速</v>
      </c>
      <c r="F7547" s="13">
        <v>2</v>
      </c>
      <c r="K7547" s="13">
        <v>1</v>
      </c>
      <c r="M7547" s="109" t="b">
        <v>1</v>
      </c>
    </row>
    <row r="7548" spans="1:13" x14ac:dyDescent="0.25">
      <c r="D7548" s="13">
        <v>6141</v>
      </c>
      <c r="E7548" s="136" t="str">
        <f>INDEX([1]道具配置表!$D:$D,MATCH(D7548,[1]道具配置表!$A:$A,0))</f>
        <v>5分钟科技加速</v>
      </c>
      <c r="F7548" s="13">
        <v>2</v>
      </c>
      <c r="K7548" s="13">
        <v>1</v>
      </c>
      <c r="M7548" s="109" t="b">
        <v>1</v>
      </c>
    </row>
    <row r="7549" spans="1:13" x14ac:dyDescent="0.25">
      <c r="D7549" s="13">
        <v>6161</v>
      </c>
      <c r="E7549" s="136" t="str">
        <f>INDEX([1]道具配置表!$D:$D,MATCH(D7549,[1]道具配置表!$A:$A,0))</f>
        <v>5分钟训练加速</v>
      </c>
      <c r="F7549" s="13">
        <v>2</v>
      </c>
      <c r="K7549" s="13">
        <v>1</v>
      </c>
      <c r="M7549" s="109" t="b">
        <v>1</v>
      </c>
    </row>
    <row r="7550" spans="1:13" x14ac:dyDescent="0.25">
      <c r="D7550" s="13">
        <v>503</v>
      </c>
      <c r="E7550" s="136" t="str">
        <f>INDEX([1]道具配置表!$D:$D,MATCH(D7550,[1]道具配置表!$A:$A,0))</f>
        <v>5万资源自选宝箱</v>
      </c>
      <c r="F7550" s="13">
        <v>2</v>
      </c>
      <c r="K7550" s="13">
        <v>1</v>
      </c>
      <c r="M7550" s="109" t="b">
        <v>1</v>
      </c>
    </row>
    <row r="7551" spans="1:13" x14ac:dyDescent="0.25">
      <c r="A7551" s="13">
        <v>6682509</v>
      </c>
      <c r="B7551" s="13" t="s">
        <v>1663</v>
      </c>
      <c r="D7551" s="13">
        <v>7003</v>
      </c>
      <c r="E7551" s="136" t="str">
        <f>INDEX([1]道具配置表!$D:$D,MATCH(D7551,[1]道具配置表!$A:$A,0))</f>
        <v>1银币（立即使用，不进背包）</v>
      </c>
      <c r="F7551" s="13">
        <v>100</v>
      </c>
      <c r="K7551" s="13">
        <v>1</v>
      </c>
      <c r="M7551" s="109" t="b">
        <v>1</v>
      </c>
    </row>
    <row r="7552" spans="1:13" x14ac:dyDescent="0.25">
      <c r="D7552" s="13">
        <v>6802</v>
      </c>
      <c r="E7552" s="136" t="str">
        <f>INDEX([1]道具配置表!$D:$D,MATCH(D7552,[1]道具配置表!$A:$A,0))</f>
        <v>死兵恢复券</v>
      </c>
      <c r="F7552" s="13">
        <v>1</v>
      </c>
      <c r="K7552" s="13">
        <v>1</v>
      </c>
      <c r="M7552" s="109" t="b">
        <v>1</v>
      </c>
    </row>
    <row r="7553" spans="1:13" x14ac:dyDescent="0.25">
      <c r="D7553" s="13">
        <v>6121</v>
      </c>
      <c r="E7553" s="136" t="str">
        <f>INDEX([1]道具配置表!$D:$D,MATCH(D7553,[1]道具配置表!$A:$A,0))</f>
        <v>5分钟建造加速</v>
      </c>
      <c r="F7553" s="13">
        <v>1</v>
      </c>
      <c r="K7553" s="13">
        <v>1</v>
      </c>
      <c r="M7553" s="109" t="b">
        <v>1</v>
      </c>
    </row>
    <row r="7554" spans="1:13" x14ac:dyDescent="0.25">
      <c r="D7554" s="13">
        <v>6141</v>
      </c>
      <c r="E7554" s="136" t="str">
        <f>INDEX([1]道具配置表!$D:$D,MATCH(D7554,[1]道具配置表!$A:$A,0))</f>
        <v>5分钟科技加速</v>
      </c>
      <c r="F7554" s="13">
        <v>1</v>
      </c>
      <c r="K7554" s="13">
        <v>1</v>
      </c>
      <c r="M7554" s="109" t="b">
        <v>1</v>
      </c>
    </row>
    <row r="7555" spans="1:13" x14ac:dyDescent="0.25">
      <c r="D7555" s="13">
        <v>6161</v>
      </c>
      <c r="E7555" s="136" t="str">
        <f>INDEX([1]道具配置表!$D:$D,MATCH(D7555,[1]道具配置表!$A:$A,0))</f>
        <v>5分钟训练加速</v>
      </c>
      <c r="F7555" s="13">
        <v>1</v>
      </c>
      <c r="K7555" s="13">
        <v>1</v>
      </c>
      <c r="M7555" s="109" t="b">
        <v>1</v>
      </c>
    </row>
    <row r="7556" spans="1:13" x14ac:dyDescent="0.25">
      <c r="D7556" s="13">
        <v>503</v>
      </c>
      <c r="E7556" s="136" t="str">
        <f>INDEX([1]道具配置表!$D:$D,MATCH(D7556,[1]道具配置表!$A:$A,0))</f>
        <v>5万资源自选宝箱</v>
      </c>
      <c r="F7556" s="13">
        <v>1</v>
      </c>
      <c r="K7556" s="13">
        <v>1</v>
      </c>
      <c r="M7556" s="109" t="b">
        <v>1</v>
      </c>
    </row>
    <row r="7557" spans="1:13" x14ac:dyDescent="0.25">
      <c r="A7557" s="13">
        <v>6682201</v>
      </c>
      <c r="B7557" s="13" t="s">
        <v>1664</v>
      </c>
      <c r="D7557" s="13">
        <v>56198</v>
      </c>
      <c r="E7557" s="136" t="str">
        <f>INDEX([1]道具配置表!$D:$D,MATCH(D7557,[1]道具配置表!$A:$A,0))</f>
        <v>装备进阶通用碎片-橙</v>
      </c>
      <c r="F7557" s="13">
        <v>3</v>
      </c>
      <c r="K7557" s="13">
        <v>1</v>
      </c>
      <c r="M7557" s="123" t="b">
        <v>1</v>
      </c>
    </row>
    <row r="7558" spans="1:13" x14ac:dyDescent="0.25">
      <c r="D7558" s="13">
        <v>123002</v>
      </c>
      <c r="E7558" s="136" t="str">
        <f>INDEX([1]道具配置表!$D:$D,MATCH(D7558,[1]道具配置表!$A:$A,0))</f>
        <v>通用橙色碎片</v>
      </c>
      <c r="F7558" s="13">
        <v>30</v>
      </c>
      <c r="K7558" s="13">
        <v>1</v>
      </c>
      <c r="M7558" s="123" t="b">
        <v>1</v>
      </c>
    </row>
    <row r="7559" spans="1:13" x14ac:dyDescent="0.25">
      <c r="D7559" s="13">
        <v>7003</v>
      </c>
      <c r="E7559" s="136" t="str">
        <f>INDEX([1]道具配置表!$D:$D,MATCH(D7559,[1]道具配置表!$A:$A,0))</f>
        <v>1银币（立即使用，不进背包）</v>
      </c>
      <c r="F7559" s="13">
        <v>50000</v>
      </c>
      <c r="K7559" s="13">
        <v>1</v>
      </c>
      <c r="M7559" s="123" t="b">
        <v>1</v>
      </c>
    </row>
    <row r="7560" spans="1:13" x14ac:dyDescent="0.25">
      <c r="D7560" s="13">
        <v>6165</v>
      </c>
      <c r="E7560" s="136" t="str">
        <f>INDEX([1]道具配置表!$D:$D,MATCH(D7560,[1]道具配置表!$A:$A,0))</f>
        <v>60分钟训练加速</v>
      </c>
      <c r="F7560" s="13">
        <v>30</v>
      </c>
      <c r="K7560" s="13">
        <v>1</v>
      </c>
      <c r="M7560" s="123" t="b">
        <v>1</v>
      </c>
    </row>
    <row r="7561" spans="1:13" x14ac:dyDescent="0.25">
      <c r="D7561" s="13">
        <v>6145</v>
      </c>
      <c r="E7561" s="136" t="str">
        <f>INDEX([1]道具配置表!$D:$D,MATCH(D7561,[1]道具配置表!$A:$A,0))</f>
        <v>60分钟科技加速</v>
      </c>
      <c r="F7561" s="13">
        <v>30</v>
      </c>
      <c r="K7561" s="13">
        <v>1</v>
      </c>
      <c r="M7561" s="123" t="b">
        <v>1</v>
      </c>
    </row>
    <row r="7562" spans="1:13" x14ac:dyDescent="0.25">
      <c r="A7562" s="13">
        <v>6682202</v>
      </c>
      <c r="B7562" s="13" t="s">
        <v>1665</v>
      </c>
      <c r="D7562" s="13">
        <v>56198</v>
      </c>
      <c r="E7562" s="136" t="str">
        <f>INDEX([1]道具配置表!$D:$D,MATCH(D7562,[1]道具配置表!$A:$A,0))</f>
        <v>装备进阶通用碎片-橙</v>
      </c>
      <c r="F7562" s="13">
        <v>2</v>
      </c>
      <c r="K7562" s="13">
        <v>1</v>
      </c>
      <c r="M7562" s="123" t="b">
        <v>1</v>
      </c>
    </row>
    <row r="7563" spans="1:13" x14ac:dyDescent="0.25">
      <c r="D7563" s="13">
        <v>123002</v>
      </c>
      <c r="E7563" s="136" t="str">
        <f>INDEX([1]道具配置表!$D:$D,MATCH(D7563,[1]道具配置表!$A:$A,0))</f>
        <v>通用橙色碎片</v>
      </c>
      <c r="F7563" s="13">
        <v>20</v>
      </c>
      <c r="K7563" s="13">
        <v>1</v>
      </c>
      <c r="M7563" s="123" t="b">
        <v>1</v>
      </c>
    </row>
    <row r="7564" spans="1:13" x14ac:dyDescent="0.25">
      <c r="D7564" s="13">
        <v>7003</v>
      </c>
      <c r="E7564" s="136" t="str">
        <f>INDEX([1]道具配置表!$D:$D,MATCH(D7564,[1]道具配置表!$A:$A,0))</f>
        <v>1银币（立即使用，不进背包）</v>
      </c>
      <c r="F7564" s="13">
        <v>40000</v>
      </c>
      <c r="K7564" s="13">
        <v>1</v>
      </c>
      <c r="M7564" s="123" t="b">
        <v>1</v>
      </c>
    </row>
    <row r="7565" spans="1:13" x14ac:dyDescent="0.25">
      <c r="D7565" s="13">
        <v>6165</v>
      </c>
      <c r="E7565" s="136" t="str">
        <f>INDEX([1]道具配置表!$D:$D,MATCH(D7565,[1]道具配置表!$A:$A,0))</f>
        <v>60分钟训练加速</v>
      </c>
      <c r="F7565" s="13">
        <v>25</v>
      </c>
      <c r="K7565" s="13">
        <v>1</v>
      </c>
      <c r="M7565" s="123" t="b">
        <v>1</v>
      </c>
    </row>
    <row r="7566" spans="1:13" x14ac:dyDescent="0.25">
      <c r="D7566" s="13">
        <v>6145</v>
      </c>
      <c r="E7566" s="136" t="str">
        <f>INDEX([1]道具配置表!$D:$D,MATCH(D7566,[1]道具配置表!$A:$A,0))</f>
        <v>60分钟科技加速</v>
      </c>
      <c r="F7566" s="13">
        <v>25</v>
      </c>
      <c r="K7566" s="13">
        <v>1</v>
      </c>
      <c r="M7566" s="123" t="b">
        <v>1</v>
      </c>
    </row>
    <row r="7567" spans="1:13" x14ac:dyDescent="0.25">
      <c r="A7567" s="13">
        <v>6682203</v>
      </c>
      <c r="B7567" s="13" t="s">
        <v>1666</v>
      </c>
      <c r="D7567" s="13">
        <v>56198</v>
      </c>
      <c r="E7567" s="136" t="str">
        <f>INDEX([1]道具配置表!$D:$D,MATCH(D7567,[1]道具配置表!$A:$A,0))</f>
        <v>装备进阶通用碎片-橙</v>
      </c>
      <c r="F7567" s="13">
        <v>1</v>
      </c>
      <c r="K7567" s="13">
        <v>1</v>
      </c>
      <c r="M7567" s="123" t="b">
        <v>1</v>
      </c>
    </row>
    <row r="7568" spans="1:13" x14ac:dyDescent="0.25">
      <c r="D7568" s="13">
        <v>123002</v>
      </c>
      <c r="E7568" s="136" t="str">
        <f>INDEX([1]道具配置表!$D:$D,MATCH(D7568,[1]道具配置表!$A:$A,0))</f>
        <v>通用橙色碎片</v>
      </c>
      <c r="F7568" s="13">
        <v>10</v>
      </c>
      <c r="K7568" s="13">
        <v>1</v>
      </c>
      <c r="M7568" s="123" t="b">
        <v>1</v>
      </c>
    </row>
    <row r="7569" spans="1:13" x14ac:dyDescent="0.25">
      <c r="D7569" s="13">
        <v>7003</v>
      </c>
      <c r="E7569" s="136" t="str">
        <f>INDEX([1]道具配置表!$D:$D,MATCH(D7569,[1]道具配置表!$A:$A,0))</f>
        <v>1银币（立即使用，不进背包）</v>
      </c>
      <c r="F7569" s="13">
        <v>30000</v>
      </c>
      <c r="K7569" s="13">
        <v>1</v>
      </c>
      <c r="M7569" s="123" t="b">
        <v>1</v>
      </c>
    </row>
    <row r="7570" spans="1:13" x14ac:dyDescent="0.25">
      <c r="D7570" s="13">
        <v>6165</v>
      </c>
      <c r="E7570" s="136" t="str">
        <f>INDEX([1]道具配置表!$D:$D,MATCH(D7570,[1]道具配置表!$A:$A,0))</f>
        <v>60分钟训练加速</v>
      </c>
      <c r="F7570" s="13">
        <v>20</v>
      </c>
      <c r="K7570" s="13">
        <v>1</v>
      </c>
      <c r="M7570" s="123" t="b">
        <v>1</v>
      </c>
    </row>
    <row r="7571" spans="1:13" x14ac:dyDescent="0.25">
      <c r="D7571" s="13">
        <v>6145</v>
      </c>
      <c r="E7571" s="136" t="str">
        <f>INDEX([1]道具配置表!$D:$D,MATCH(D7571,[1]道具配置表!$A:$A,0))</f>
        <v>60分钟科技加速</v>
      </c>
      <c r="F7571" s="13">
        <v>20</v>
      </c>
      <c r="K7571" s="13">
        <v>1</v>
      </c>
      <c r="M7571" s="123" t="b">
        <v>1</v>
      </c>
    </row>
    <row r="7572" spans="1:13" x14ac:dyDescent="0.25">
      <c r="A7572" s="13">
        <v>6682204</v>
      </c>
      <c r="B7572" s="13" t="s">
        <v>1667</v>
      </c>
      <c r="D7572" s="13">
        <v>123002</v>
      </c>
      <c r="E7572" s="136" t="str">
        <f>INDEX([1]道具配置表!$D:$D,MATCH(D7572,[1]道具配置表!$A:$A,0))</f>
        <v>通用橙色碎片</v>
      </c>
      <c r="F7572" s="13">
        <v>8</v>
      </c>
      <c r="K7572" s="13">
        <v>1</v>
      </c>
      <c r="M7572" s="123" t="b">
        <v>1</v>
      </c>
    </row>
    <row r="7573" spans="1:13" x14ac:dyDescent="0.25">
      <c r="D7573" s="13">
        <v>7003</v>
      </c>
      <c r="E7573" s="136" t="str">
        <f>INDEX([1]道具配置表!$D:$D,MATCH(D7573,[1]道具配置表!$A:$A,0))</f>
        <v>1银币（立即使用，不进背包）</v>
      </c>
      <c r="F7573" s="13">
        <v>25000</v>
      </c>
      <c r="K7573" s="13">
        <v>1</v>
      </c>
      <c r="M7573" s="123" t="b">
        <v>1</v>
      </c>
    </row>
    <row r="7574" spans="1:13" x14ac:dyDescent="0.25">
      <c r="D7574" s="13">
        <v>6165</v>
      </c>
      <c r="E7574" s="136" t="str">
        <f>INDEX([1]道具配置表!$D:$D,MATCH(D7574,[1]道具配置表!$A:$A,0))</f>
        <v>60分钟训练加速</v>
      </c>
      <c r="F7574" s="13">
        <v>15</v>
      </c>
      <c r="K7574" s="13">
        <v>1</v>
      </c>
      <c r="M7574" s="123" t="b">
        <v>1</v>
      </c>
    </row>
    <row r="7575" spans="1:13" x14ac:dyDescent="0.25">
      <c r="D7575" s="13">
        <v>6145</v>
      </c>
      <c r="E7575" s="136" t="str">
        <f>INDEX([1]道具配置表!$D:$D,MATCH(D7575,[1]道具配置表!$A:$A,0))</f>
        <v>60分钟科技加速</v>
      </c>
      <c r="F7575" s="13">
        <v>15</v>
      </c>
      <c r="K7575" s="13">
        <v>1</v>
      </c>
      <c r="M7575" s="123" t="b">
        <v>1</v>
      </c>
    </row>
    <row r="7576" spans="1:13" x14ac:dyDescent="0.25">
      <c r="A7576" s="13">
        <v>6682205</v>
      </c>
      <c r="B7576" s="13" t="s">
        <v>1668</v>
      </c>
      <c r="D7576" s="13">
        <v>123002</v>
      </c>
      <c r="E7576" s="136" t="str">
        <f>INDEX([1]道具配置表!$D:$D,MATCH(D7576,[1]道具配置表!$A:$A,0))</f>
        <v>通用橙色碎片</v>
      </c>
      <c r="F7576" s="13">
        <v>6</v>
      </c>
      <c r="K7576" s="13">
        <v>1</v>
      </c>
      <c r="M7576" s="123" t="b">
        <v>1</v>
      </c>
    </row>
    <row r="7577" spans="1:13" x14ac:dyDescent="0.25">
      <c r="D7577" s="13">
        <v>7003</v>
      </c>
      <c r="E7577" s="136" t="str">
        <f>INDEX([1]道具配置表!$D:$D,MATCH(D7577,[1]道具配置表!$A:$A,0))</f>
        <v>1银币（立即使用，不进背包）</v>
      </c>
      <c r="F7577" s="13">
        <v>20000</v>
      </c>
      <c r="K7577" s="13">
        <v>1</v>
      </c>
      <c r="M7577" s="123" t="b">
        <v>1</v>
      </c>
    </row>
    <row r="7578" spans="1:13" x14ac:dyDescent="0.25">
      <c r="D7578" s="13">
        <v>6165</v>
      </c>
      <c r="E7578" s="136" t="str">
        <f>INDEX([1]道具配置表!$D:$D,MATCH(D7578,[1]道具配置表!$A:$A,0))</f>
        <v>60分钟训练加速</v>
      </c>
      <c r="F7578" s="13">
        <v>10</v>
      </c>
      <c r="K7578" s="13">
        <v>1</v>
      </c>
      <c r="M7578" s="123" t="b">
        <v>1</v>
      </c>
    </row>
    <row r="7579" spans="1:13" x14ac:dyDescent="0.25">
      <c r="D7579" s="13">
        <v>6145</v>
      </c>
      <c r="E7579" s="136" t="str">
        <f>INDEX([1]道具配置表!$D:$D,MATCH(D7579,[1]道具配置表!$A:$A,0))</f>
        <v>60分钟科技加速</v>
      </c>
      <c r="F7579" s="13">
        <v>10</v>
      </c>
      <c r="K7579" s="13">
        <v>1</v>
      </c>
      <c r="M7579" s="123" t="b">
        <v>1</v>
      </c>
    </row>
    <row r="7580" spans="1:13" x14ac:dyDescent="0.25">
      <c r="A7580" s="13">
        <v>6682206</v>
      </c>
      <c r="B7580" s="13" t="s">
        <v>1669</v>
      </c>
      <c r="D7580" s="13">
        <v>123002</v>
      </c>
      <c r="E7580" s="136" t="str">
        <f>INDEX([1]道具配置表!$D:$D,MATCH(D7580,[1]道具配置表!$A:$A,0))</f>
        <v>通用橙色碎片</v>
      </c>
      <c r="F7580" s="13">
        <v>4</v>
      </c>
      <c r="K7580" s="13">
        <v>1</v>
      </c>
      <c r="M7580" s="123" t="b">
        <v>1</v>
      </c>
    </row>
    <row r="7581" spans="1:13" x14ac:dyDescent="0.25">
      <c r="D7581" s="13">
        <v>7003</v>
      </c>
      <c r="E7581" s="136" t="str">
        <f>INDEX([1]道具配置表!$D:$D,MATCH(D7581,[1]道具配置表!$A:$A,0))</f>
        <v>1银币（立即使用，不进背包）</v>
      </c>
      <c r="F7581" s="13">
        <v>15000</v>
      </c>
      <c r="K7581" s="13">
        <v>1</v>
      </c>
      <c r="M7581" s="123" t="b">
        <v>1</v>
      </c>
    </row>
    <row r="7582" spans="1:13" x14ac:dyDescent="0.25">
      <c r="D7582" s="13">
        <v>6165</v>
      </c>
      <c r="E7582" s="136" t="str">
        <f>INDEX([1]道具配置表!$D:$D,MATCH(D7582,[1]道具配置表!$A:$A,0))</f>
        <v>60分钟训练加速</v>
      </c>
      <c r="F7582" s="13">
        <v>8</v>
      </c>
      <c r="K7582" s="13">
        <v>1</v>
      </c>
      <c r="M7582" s="123" t="b">
        <v>1</v>
      </c>
    </row>
    <row r="7583" spans="1:13" x14ac:dyDescent="0.25">
      <c r="D7583" s="13">
        <v>6145</v>
      </c>
      <c r="E7583" s="136" t="str">
        <f>INDEX([1]道具配置表!$D:$D,MATCH(D7583,[1]道具配置表!$A:$A,0))</f>
        <v>60分钟科技加速</v>
      </c>
      <c r="F7583" s="13">
        <v>8</v>
      </c>
      <c r="K7583" s="13">
        <v>1</v>
      </c>
      <c r="M7583" s="123" t="b">
        <v>1</v>
      </c>
    </row>
    <row r="7584" spans="1:13" x14ac:dyDescent="0.25">
      <c r="A7584" s="13">
        <v>6682207</v>
      </c>
      <c r="B7584" s="13" t="s">
        <v>1670</v>
      </c>
      <c r="D7584" s="13">
        <v>123002</v>
      </c>
      <c r="E7584" s="136" t="str">
        <f>INDEX([1]道具配置表!$D:$D,MATCH(D7584,[1]道具配置表!$A:$A,0))</f>
        <v>通用橙色碎片</v>
      </c>
      <c r="F7584" s="13">
        <v>3</v>
      </c>
      <c r="K7584" s="13">
        <v>1</v>
      </c>
      <c r="M7584" s="123" t="b">
        <v>1</v>
      </c>
    </row>
    <row r="7585" spans="1:13" x14ac:dyDescent="0.25">
      <c r="D7585" s="13">
        <v>7003</v>
      </c>
      <c r="E7585" s="136" t="str">
        <f>INDEX([1]道具配置表!$D:$D,MATCH(D7585,[1]道具配置表!$A:$A,0))</f>
        <v>1银币（立即使用，不进背包）</v>
      </c>
      <c r="F7585" s="13">
        <v>10000</v>
      </c>
      <c r="K7585" s="13">
        <v>1</v>
      </c>
      <c r="M7585" s="123" t="b">
        <v>1</v>
      </c>
    </row>
    <row r="7586" spans="1:13" x14ac:dyDescent="0.25">
      <c r="D7586" s="13">
        <v>6165</v>
      </c>
      <c r="E7586" s="136" t="str">
        <f>INDEX([1]道具配置表!$D:$D,MATCH(D7586,[1]道具配置表!$A:$A,0))</f>
        <v>60分钟训练加速</v>
      </c>
      <c r="F7586" s="13">
        <v>7</v>
      </c>
      <c r="K7586" s="13">
        <v>1</v>
      </c>
      <c r="M7586" s="123" t="b">
        <v>1</v>
      </c>
    </row>
    <row r="7587" spans="1:13" x14ac:dyDescent="0.25">
      <c r="D7587" s="13">
        <v>6145</v>
      </c>
      <c r="E7587" s="136" t="str">
        <f>INDEX([1]道具配置表!$D:$D,MATCH(D7587,[1]道具配置表!$A:$A,0))</f>
        <v>60分钟科技加速</v>
      </c>
      <c r="F7587" s="13">
        <v>7</v>
      </c>
      <c r="K7587" s="13">
        <v>1</v>
      </c>
      <c r="M7587" s="123" t="b">
        <v>1</v>
      </c>
    </row>
    <row r="7588" spans="1:13" x14ac:dyDescent="0.25">
      <c r="A7588" s="13">
        <v>6682208</v>
      </c>
      <c r="B7588" s="13" t="s">
        <v>1671</v>
      </c>
      <c r="D7588" s="13">
        <v>123002</v>
      </c>
      <c r="E7588" s="136" t="str">
        <f>INDEX([1]道具配置表!$D:$D,MATCH(D7588,[1]道具配置表!$A:$A,0))</f>
        <v>通用橙色碎片</v>
      </c>
      <c r="F7588" s="13">
        <v>2</v>
      </c>
      <c r="K7588" s="13">
        <v>1</v>
      </c>
      <c r="M7588" s="123" t="b">
        <v>1</v>
      </c>
    </row>
    <row r="7589" spans="1:13" x14ac:dyDescent="0.25">
      <c r="D7589" s="13">
        <v>7003</v>
      </c>
      <c r="E7589" s="136" t="str">
        <f>INDEX([1]道具配置表!$D:$D,MATCH(D7589,[1]道具配置表!$A:$A,0))</f>
        <v>1银币（立即使用，不进背包）</v>
      </c>
      <c r="F7589" s="13">
        <v>8000</v>
      </c>
      <c r="K7589" s="13">
        <v>1</v>
      </c>
      <c r="M7589" s="123" t="b">
        <v>1</v>
      </c>
    </row>
    <row r="7590" spans="1:13" x14ac:dyDescent="0.25">
      <c r="D7590" s="13">
        <v>6165</v>
      </c>
      <c r="E7590" s="136" t="str">
        <f>INDEX([1]道具配置表!$D:$D,MATCH(D7590,[1]道具配置表!$A:$A,0))</f>
        <v>60分钟训练加速</v>
      </c>
      <c r="F7590" s="13">
        <v>6</v>
      </c>
      <c r="K7590" s="13">
        <v>1</v>
      </c>
      <c r="M7590" s="123" t="b">
        <v>1</v>
      </c>
    </row>
    <row r="7591" spans="1:13" x14ac:dyDescent="0.25">
      <c r="D7591" s="13">
        <v>6145</v>
      </c>
      <c r="E7591" s="136" t="str">
        <f>INDEX([1]道具配置表!$D:$D,MATCH(D7591,[1]道具配置表!$A:$A,0))</f>
        <v>60分钟科技加速</v>
      </c>
      <c r="F7591" s="13">
        <v>6</v>
      </c>
      <c r="K7591" s="13">
        <v>1</v>
      </c>
      <c r="M7591" s="123" t="b">
        <v>1</v>
      </c>
    </row>
    <row r="7592" spans="1:13" x14ac:dyDescent="0.25">
      <c r="A7592" s="13">
        <v>6682209</v>
      </c>
      <c r="B7592" s="13" t="s">
        <v>1672</v>
      </c>
      <c r="D7592" s="13">
        <v>123002</v>
      </c>
      <c r="E7592" s="136" t="str">
        <f>INDEX([1]道具配置表!$D:$D,MATCH(D7592,[1]道具配置表!$A:$A,0))</f>
        <v>通用橙色碎片</v>
      </c>
      <c r="F7592" s="13">
        <v>1</v>
      </c>
      <c r="K7592" s="13">
        <v>1</v>
      </c>
      <c r="M7592" s="123" t="b">
        <v>1</v>
      </c>
    </row>
    <row r="7593" spans="1:13" x14ac:dyDescent="0.25">
      <c r="D7593" s="13">
        <v>7003</v>
      </c>
      <c r="E7593" s="136" t="str">
        <f>INDEX([1]道具配置表!$D:$D,MATCH(D7593,[1]道具配置表!$A:$A,0))</f>
        <v>1银币（立即使用，不进背包）</v>
      </c>
      <c r="F7593" s="13">
        <v>6000</v>
      </c>
      <c r="K7593" s="13">
        <v>1</v>
      </c>
      <c r="M7593" s="123" t="b">
        <v>1</v>
      </c>
    </row>
    <row r="7594" spans="1:13" x14ac:dyDescent="0.25">
      <c r="D7594" s="13">
        <v>6165</v>
      </c>
      <c r="E7594" s="136" t="str">
        <f>INDEX([1]道具配置表!$D:$D,MATCH(D7594,[1]道具配置表!$A:$A,0))</f>
        <v>60分钟训练加速</v>
      </c>
      <c r="F7594" s="13">
        <v>5</v>
      </c>
      <c r="K7594" s="13">
        <v>1</v>
      </c>
      <c r="M7594" s="123" t="b">
        <v>1</v>
      </c>
    </row>
    <row r="7595" spans="1:13" x14ac:dyDescent="0.25">
      <c r="D7595" s="13">
        <v>6145</v>
      </c>
      <c r="E7595" s="136" t="str">
        <f>INDEX([1]道具配置表!$D:$D,MATCH(D7595,[1]道具配置表!$A:$A,0))</f>
        <v>60分钟科技加速</v>
      </c>
      <c r="F7595" s="13">
        <v>5</v>
      </c>
      <c r="K7595" s="13">
        <v>1</v>
      </c>
      <c r="M7595" s="123" t="b">
        <v>1</v>
      </c>
    </row>
    <row r="7596" spans="1:13" x14ac:dyDescent="0.25">
      <c r="A7596" s="13">
        <v>6682210</v>
      </c>
      <c r="B7596" s="13" t="s">
        <v>1673</v>
      </c>
      <c r="D7596" s="13">
        <v>2007</v>
      </c>
      <c r="E7596" s="136" t="str">
        <f>INDEX([1]道具配置表!$D:$D,MATCH(D7596,[1]道具配置表!$A:$A,0))</f>
        <v>大奖池招募券</v>
      </c>
      <c r="F7596" s="13">
        <v>4</v>
      </c>
      <c r="K7596" s="13">
        <v>1</v>
      </c>
      <c r="M7596" s="123" t="b">
        <v>1</v>
      </c>
    </row>
    <row r="7597" spans="1:13" x14ac:dyDescent="0.25">
      <c r="D7597" s="13">
        <v>7003</v>
      </c>
      <c r="E7597" s="136" t="str">
        <f>INDEX([1]道具配置表!$D:$D,MATCH(D7597,[1]道具配置表!$A:$A,0))</f>
        <v>1银币（立即使用，不进背包）</v>
      </c>
      <c r="F7597" s="13">
        <v>4000</v>
      </c>
      <c r="K7597" s="13">
        <v>1</v>
      </c>
      <c r="M7597" s="123" t="b">
        <v>1</v>
      </c>
    </row>
    <row r="7598" spans="1:13" x14ac:dyDescent="0.25">
      <c r="D7598" s="13">
        <v>6165</v>
      </c>
      <c r="E7598" s="136" t="str">
        <f>INDEX([1]道具配置表!$D:$D,MATCH(D7598,[1]道具配置表!$A:$A,0))</f>
        <v>60分钟训练加速</v>
      </c>
      <c r="F7598" s="13">
        <v>4</v>
      </c>
      <c r="K7598" s="13">
        <v>1</v>
      </c>
      <c r="M7598" s="123" t="b">
        <v>1</v>
      </c>
    </row>
    <row r="7599" spans="1:13" x14ac:dyDescent="0.25">
      <c r="D7599" s="13">
        <v>6145</v>
      </c>
      <c r="E7599" s="136" t="str">
        <f>INDEX([1]道具配置表!$D:$D,MATCH(D7599,[1]道具配置表!$A:$A,0))</f>
        <v>60分钟科技加速</v>
      </c>
      <c r="F7599" s="13">
        <v>4</v>
      </c>
      <c r="K7599" s="13">
        <v>1</v>
      </c>
      <c r="M7599" s="123" t="b">
        <v>1</v>
      </c>
    </row>
    <row r="7600" spans="1:13" x14ac:dyDescent="0.25">
      <c r="A7600" s="13">
        <v>6682211</v>
      </c>
      <c r="B7600" s="13" t="s">
        <v>1674</v>
      </c>
      <c r="D7600" s="13">
        <v>2007</v>
      </c>
      <c r="E7600" s="136" t="str">
        <f>INDEX([1]道具配置表!$D:$D,MATCH(D7600,[1]道具配置表!$A:$A,0))</f>
        <v>大奖池招募券</v>
      </c>
      <c r="F7600" s="13">
        <v>3</v>
      </c>
      <c r="K7600" s="13">
        <v>1</v>
      </c>
      <c r="M7600" s="123" t="b">
        <v>1</v>
      </c>
    </row>
    <row r="7601" spans="1:13" x14ac:dyDescent="0.25">
      <c r="D7601" s="13">
        <v>7003</v>
      </c>
      <c r="E7601" s="136" t="str">
        <f>INDEX([1]道具配置表!$D:$D,MATCH(D7601,[1]道具配置表!$A:$A,0))</f>
        <v>1银币（立即使用，不进背包）</v>
      </c>
      <c r="F7601" s="13">
        <v>3000</v>
      </c>
      <c r="K7601" s="13">
        <v>1</v>
      </c>
      <c r="M7601" s="123" t="b">
        <v>1</v>
      </c>
    </row>
    <row r="7602" spans="1:13" x14ac:dyDescent="0.25">
      <c r="D7602" s="13">
        <v>6165</v>
      </c>
      <c r="E7602" s="136" t="str">
        <f>INDEX([1]道具配置表!$D:$D,MATCH(D7602,[1]道具配置表!$A:$A,0))</f>
        <v>60分钟训练加速</v>
      </c>
      <c r="F7602" s="13">
        <v>3</v>
      </c>
      <c r="K7602" s="13">
        <v>1</v>
      </c>
      <c r="M7602" s="123" t="b">
        <v>1</v>
      </c>
    </row>
    <row r="7603" spans="1:13" x14ac:dyDescent="0.25">
      <c r="D7603" s="13">
        <v>6145</v>
      </c>
      <c r="E7603" s="136" t="str">
        <f>INDEX([1]道具配置表!$D:$D,MATCH(D7603,[1]道具配置表!$A:$A,0))</f>
        <v>60分钟科技加速</v>
      </c>
      <c r="F7603" s="13">
        <v>3</v>
      </c>
      <c r="K7603" s="13">
        <v>1</v>
      </c>
      <c r="M7603" s="123" t="b">
        <v>1</v>
      </c>
    </row>
    <row r="7604" spans="1:13" x14ac:dyDescent="0.25">
      <c r="A7604" s="13">
        <v>6682212</v>
      </c>
      <c r="B7604" s="13" t="s">
        <v>1675</v>
      </c>
      <c r="D7604" s="13">
        <v>2007</v>
      </c>
      <c r="E7604" s="136" t="str">
        <f>INDEX([1]道具配置表!$D:$D,MATCH(D7604,[1]道具配置表!$A:$A,0))</f>
        <v>大奖池招募券</v>
      </c>
      <c r="F7604" s="13">
        <v>2</v>
      </c>
      <c r="K7604" s="13">
        <v>1</v>
      </c>
      <c r="M7604" s="123" t="b">
        <v>1</v>
      </c>
    </row>
    <row r="7605" spans="1:13" x14ac:dyDescent="0.25">
      <c r="D7605" s="13">
        <v>7003</v>
      </c>
      <c r="E7605" s="136" t="str">
        <f>INDEX([1]道具配置表!$D:$D,MATCH(D7605,[1]道具配置表!$A:$A,0))</f>
        <v>1银币（立即使用，不进背包）</v>
      </c>
      <c r="F7605" s="13">
        <v>2000</v>
      </c>
      <c r="K7605" s="13">
        <v>1</v>
      </c>
      <c r="M7605" s="123" t="b">
        <v>1</v>
      </c>
    </row>
    <row r="7606" spans="1:13" x14ac:dyDescent="0.25">
      <c r="D7606" s="13">
        <v>6165</v>
      </c>
      <c r="E7606" s="136" t="str">
        <f>INDEX([1]道具配置表!$D:$D,MATCH(D7606,[1]道具配置表!$A:$A,0))</f>
        <v>60分钟训练加速</v>
      </c>
      <c r="F7606" s="13">
        <v>2</v>
      </c>
      <c r="K7606" s="13">
        <v>1</v>
      </c>
      <c r="M7606" s="123" t="b">
        <v>1</v>
      </c>
    </row>
    <row r="7607" spans="1:13" x14ac:dyDescent="0.25">
      <c r="D7607" s="13">
        <v>6145</v>
      </c>
      <c r="E7607" s="136" t="str">
        <f>INDEX([1]道具配置表!$D:$D,MATCH(D7607,[1]道具配置表!$A:$A,0))</f>
        <v>60分钟科技加速</v>
      </c>
      <c r="F7607" s="13">
        <v>2</v>
      </c>
      <c r="K7607" s="13">
        <v>1</v>
      </c>
      <c r="M7607" s="123" t="b">
        <v>1</v>
      </c>
    </row>
    <row r="7608" spans="1:13" x14ac:dyDescent="0.25">
      <c r="A7608" s="13">
        <v>6682213</v>
      </c>
      <c r="B7608" s="13" t="s">
        <v>1676</v>
      </c>
      <c r="D7608" s="13">
        <v>2007</v>
      </c>
      <c r="E7608" s="136" t="str">
        <f>INDEX([1]道具配置表!$D:$D,MATCH(D7608,[1]道具配置表!$A:$A,0))</f>
        <v>大奖池招募券</v>
      </c>
      <c r="F7608" s="13">
        <v>1</v>
      </c>
      <c r="K7608" s="13">
        <v>1</v>
      </c>
      <c r="M7608" s="123" t="b">
        <v>1</v>
      </c>
    </row>
    <row r="7609" spans="1:13" x14ac:dyDescent="0.25">
      <c r="D7609" s="13">
        <v>7003</v>
      </c>
      <c r="E7609" s="136" t="str">
        <f>INDEX([1]道具配置表!$D:$D,MATCH(D7609,[1]道具配置表!$A:$A,0))</f>
        <v>1银币（立即使用，不进背包）</v>
      </c>
      <c r="F7609" s="13">
        <v>1000</v>
      </c>
      <c r="K7609" s="13">
        <v>1</v>
      </c>
      <c r="M7609" s="123" t="b">
        <v>1</v>
      </c>
    </row>
    <row r="7610" spans="1:13" x14ac:dyDescent="0.25">
      <c r="D7610" s="13">
        <v>6165</v>
      </c>
      <c r="E7610" s="136" t="str">
        <f>INDEX([1]道具配置表!$D:$D,MATCH(D7610,[1]道具配置表!$A:$A,0))</f>
        <v>60分钟训练加速</v>
      </c>
      <c r="F7610" s="13">
        <v>1</v>
      </c>
      <c r="K7610" s="13">
        <v>1</v>
      </c>
      <c r="M7610" s="123" t="b">
        <v>1</v>
      </c>
    </row>
    <row r="7611" spans="1:13" x14ac:dyDescent="0.25">
      <c r="D7611" s="13">
        <v>6145</v>
      </c>
      <c r="E7611" s="136" t="str">
        <f>INDEX([1]道具配置表!$D:$D,MATCH(D7611,[1]道具配置表!$A:$A,0))</f>
        <v>60分钟科技加速</v>
      </c>
      <c r="F7611" s="13">
        <v>1</v>
      </c>
      <c r="K7611" s="13">
        <v>1</v>
      </c>
      <c r="M7611" s="123" t="b">
        <v>1</v>
      </c>
    </row>
    <row r="7612" spans="1:13" x14ac:dyDescent="0.25">
      <c r="A7612" s="13">
        <v>6682301</v>
      </c>
      <c r="B7612" s="13" t="s">
        <v>1677</v>
      </c>
      <c r="D7612" s="13">
        <v>7003</v>
      </c>
      <c r="E7612" s="136" t="str">
        <f>INDEX([1]道具配置表!$D:$D,MATCH(D7612,[1]道具配置表!$A:$A,0))</f>
        <v>1银币（立即使用，不进背包）</v>
      </c>
      <c r="F7612" s="13">
        <v>5000</v>
      </c>
      <c r="K7612" s="13">
        <v>1</v>
      </c>
      <c r="M7612" s="123" t="b">
        <v>1</v>
      </c>
    </row>
    <row r="7613" spans="1:13" x14ac:dyDescent="0.25">
      <c r="D7613" s="13">
        <v>6125</v>
      </c>
      <c r="E7613" s="136" t="str">
        <f>INDEX([1]道具配置表!$D:$D,MATCH(D7613,[1]道具配置表!$A:$A,0))</f>
        <v>60分钟建造加速</v>
      </c>
      <c r="F7613" s="13">
        <v>10</v>
      </c>
      <c r="K7613" s="13">
        <v>1</v>
      </c>
      <c r="M7613" s="123" t="b">
        <v>1</v>
      </c>
    </row>
    <row r="7614" spans="1:13" x14ac:dyDescent="0.25">
      <c r="D7614" s="13">
        <v>6145</v>
      </c>
      <c r="E7614" s="136" t="str">
        <f>INDEX([1]道具配置表!$D:$D,MATCH(D7614,[1]道具配置表!$A:$A,0))</f>
        <v>60分钟科技加速</v>
      </c>
      <c r="F7614" s="13">
        <v>10</v>
      </c>
      <c r="K7614" s="13">
        <v>1</v>
      </c>
      <c r="M7614" s="123" t="b">
        <v>1</v>
      </c>
    </row>
    <row r="7615" spans="1:13" x14ac:dyDescent="0.25">
      <c r="D7615" s="13">
        <v>6165</v>
      </c>
      <c r="E7615" s="136" t="str">
        <f>INDEX([1]道具配置表!$D:$D,MATCH(D7615,[1]道具配置表!$A:$A,0))</f>
        <v>60分钟训练加速</v>
      </c>
      <c r="F7615" s="13">
        <v>10</v>
      </c>
      <c r="K7615" s="13">
        <v>1</v>
      </c>
      <c r="M7615" s="123" t="b">
        <v>1</v>
      </c>
    </row>
    <row r="7616" spans="1:13" x14ac:dyDescent="0.25">
      <c r="A7616" s="13">
        <v>6682302</v>
      </c>
      <c r="B7616" s="13" t="s">
        <v>1678</v>
      </c>
      <c r="D7616" s="13">
        <v>7003</v>
      </c>
      <c r="E7616" s="136" t="str">
        <f>INDEX([1]道具配置表!$D:$D,MATCH(D7616,[1]道具配置表!$A:$A,0))</f>
        <v>1银币（立即使用，不进背包）</v>
      </c>
      <c r="F7616" s="13">
        <v>4000</v>
      </c>
      <c r="K7616" s="13">
        <v>1</v>
      </c>
      <c r="M7616" s="123" t="b">
        <v>1</v>
      </c>
    </row>
    <row r="7617" spans="1:13" x14ac:dyDescent="0.25">
      <c r="D7617" s="13">
        <v>6125</v>
      </c>
      <c r="E7617" s="136" t="str">
        <f>INDEX([1]道具配置表!$D:$D,MATCH(D7617,[1]道具配置表!$A:$A,0))</f>
        <v>60分钟建造加速</v>
      </c>
      <c r="F7617" s="13">
        <v>8</v>
      </c>
      <c r="K7617" s="13">
        <v>1</v>
      </c>
      <c r="M7617" s="123" t="b">
        <v>1</v>
      </c>
    </row>
    <row r="7618" spans="1:13" x14ac:dyDescent="0.25">
      <c r="D7618" s="13">
        <v>6145</v>
      </c>
      <c r="E7618" s="136" t="str">
        <f>INDEX([1]道具配置表!$D:$D,MATCH(D7618,[1]道具配置表!$A:$A,0))</f>
        <v>60分钟科技加速</v>
      </c>
      <c r="F7618" s="13">
        <v>8</v>
      </c>
      <c r="K7618" s="13">
        <v>1</v>
      </c>
      <c r="M7618" s="123" t="b">
        <v>1</v>
      </c>
    </row>
    <row r="7619" spans="1:13" x14ac:dyDescent="0.25">
      <c r="D7619" s="13">
        <v>6165</v>
      </c>
      <c r="E7619" s="136" t="str">
        <f>INDEX([1]道具配置表!$D:$D,MATCH(D7619,[1]道具配置表!$A:$A,0))</f>
        <v>60分钟训练加速</v>
      </c>
      <c r="F7619" s="13">
        <v>8</v>
      </c>
      <c r="K7619" s="13">
        <v>1</v>
      </c>
      <c r="M7619" s="123" t="b">
        <v>1</v>
      </c>
    </row>
    <row r="7620" spans="1:13" x14ac:dyDescent="0.25">
      <c r="A7620" s="13">
        <v>6682303</v>
      </c>
      <c r="B7620" s="13" t="s">
        <v>1679</v>
      </c>
      <c r="D7620" s="13">
        <v>7003</v>
      </c>
      <c r="E7620" s="136" t="str">
        <f>INDEX([1]道具配置表!$D:$D,MATCH(D7620,[1]道具配置表!$A:$A,0))</f>
        <v>1银币（立即使用，不进背包）</v>
      </c>
      <c r="F7620" s="13">
        <v>3000</v>
      </c>
      <c r="K7620" s="13">
        <v>1</v>
      </c>
      <c r="M7620" s="123" t="b">
        <v>1</v>
      </c>
    </row>
    <row r="7621" spans="1:13" x14ac:dyDescent="0.25">
      <c r="D7621" s="13">
        <v>6125</v>
      </c>
      <c r="E7621" s="136" t="str">
        <f>INDEX([1]道具配置表!$D:$D,MATCH(D7621,[1]道具配置表!$A:$A,0))</f>
        <v>60分钟建造加速</v>
      </c>
      <c r="F7621" s="13">
        <v>6</v>
      </c>
      <c r="K7621" s="13">
        <v>1</v>
      </c>
      <c r="M7621" s="123" t="b">
        <v>1</v>
      </c>
    </row>
    <row r="7622" spans="1:13" x14ac:dyDescent="0.25">
      <c r="D7622" s="13">
        <v>6145</v>
      </c>
      <c r="E7622" s="136" t="str">
        <f>INDEX([1]道具配置表!$D:$D,MATCH(D7622,[1]道具配置表!$A:$A,0))</f>
        <v>60分钟科技加速</v>
      </c>
      <c r="F7622" s="13">
        <v>6</v>
      </c>
      <c r="K7622" s="13">
        <v>1</v>
      </c>
      <c r="M7622" s="123" t="b">
        <v>1</v>
      </c>
    </row>
    <row r="7623" spans="1:13" x14ac:dyDescent="0.25">
      <c r="D7623" s="13">
        <v>6165</v>
      </c>
      <c r="E7623" s="136" t="str">
        <f>INDEX([1]道具配置表!$D:$D,MATCH(D7623,[1]道具配置表!$A:$A,0))</f>
        <v>60分钟训练加速</v>
      </c>
      <c r="F7623" s="13">
        <v>6</v>
      </c>
      <c r="K7623" s="13">
        <v>1</v>
      </c>
      <c r="M7623" s="123" t="b">
        <v>1</v>
      </c>
    </row>
    <row r="7624" spans="1:13" x14ac:dyDescent="0.25">
      <c r="A7624" s="13">
        <v>6682304</v>
      </c>
      <c r="B7624" s="13" t="s">
        <v>1680</v>
      </c>
      <c r="D7624" s="13">
        <v>7003</v>
      </c>
      <c r="E7624" s="136" t="str">
        <f>INDEX([1]道具配置表!$D:$D,MATCH(D7624,[1]道具配置表!$A:$A,0))</f>
        <v>1银币（立即使用，不进背包）</v>
      </c>
      <c r="F7624" s="13">
        <v>2000</v>
      </c>
      <c r="K7624" s="13">
        <v>1</v>
      </c>
      <c r="M7624" s="123" t="b">
        <v>1</v>
      </c>
    </row>
    <row r="7625" spans="1:13" x14ac:dyDescent="0.25">
      <c r="D7625" s="13">
        <v>6125</v>
      </c>
      <c r="E7625" s="136" t="str">
        <f>INDEX([1]道具配置表!$D:$D,MATCH(D7625,[1]道具配置表!$A:$A,0))</f>
        <v>60分钟建造加速</v>
      </c>
      <c r="F7625" s="13">
        <v>4</v>
      </c>
      <c r="K7625" s="13">
        <v>1</v>
      </c>
      <c r="M7625" s="123" t="b">
        <v>1</v>
      </c>
    </row>
    <row r="7626" spans="1:13" x14ac:dyDescent="0.25">
      <c r="D7626" s="13">
        <v>6145</v>
      </c>
      <c r="E7626" s="136" t="str">
        <f>INDEX([1]道具配置表!$D:$D,MATCH(D7626,[1]道具配置表!$A:$A,0))</f>
        <v>60分钟科技加速</v>
      </c>
      <c r="F7626" s="13">
        <v>4</v>
      </c>
      <c r="K7626" s="13">
        <v>1</v>
      </c>
      <c r="M7626" s="123" t="b">
        <v>1</v>
      </c>
    </row>
    <row r="7627" spans="1:13" x14ac:dyDescent="0.25">
      <c r="D7627" s="13">
        <v>6165</v>
      </c>
      <c r="E7627" s="136" t="str">
        <f>INDEX([1]道具配置表!$D:$D,MATCH(D7627,[1]道具配置表!$A:$A,0))</f>
        <v>60分钟训练加速</v>
      </c>
      <c r="F7627" s="13">
        <v>4</v>
      </c>
      <c r="K7627" s="13">
        <v>1</v>
      </c>
      <c r="M7627" s="123" t="b">
        <v>1</v>
      </c>
    </row>
    <row r="7628" spans="1:13" x14ac:dyDescent="0.25">
      <c r="A7628" s="13">
        <v>6682305</v>
      </c>
      <c r="B7628" s="13" t="s">
        <v>1681</v>
      </c>
      <c r="D7628" s="13">
        <v>7003</v>
      </c>
      <c r="E7628" s="136" t="str">
        <f>INDEX([1]道具配置表!$D:$D,MATCH(D7628,[1]道具配置表!$A:$A,0))</f>
        <v>1银币（立即使用，不进背包）</v>
      </c>
      <c r="F7628" s="13">
        <v>1000</v>
      </c>
      <c r="K7628" s="13">
        <v>1</v>
      </c>
      <c r="M7628" s="123" t="b">
        <v>1</v>
      </c>
    </row>
    <row r="7629" spans="1:13" x14ac:dyDescent="0.25">
      <c r="D7629" s="13">
        <v>6125</v>
      </c>
      <c r="E7629" s="136" t="str">
        <f>INDEX([1]道具配置表!$D:$D,MATCH(D7629,[1]道具配置表!$A:$A,0))</f>
        <v>60分钟建造加速</v>
      </c>
      <c r="F7629" s="13">
        <v>3</v>
      </c>
      <c r="K7629" s="13">
        <v>1</v>
      </c>
      <c r="M7629" s="123" t="b">
        <v>1</v>
      </c>
    </row>
    <row r="7630" spans="1:13" x14ac:dyDescent="0.25">
      <c r="D7630" s="13">
        <v>6145</v>
      </c>
      <c r="E7630" s="136" t="str">
        <f>INDEX([1]道具配置表!$D:$D,MATCH(D7630,[1]道具配置表!$A:$A,0))</f>
        <v>60分钟科技加速</v>
      </c>
      <c r="F7630" s="13">
        <v>3</v>
      </c>
      <c r="K7630" s="13">
        <v>1</v>
      </c>
      <c r="M7630" s="123" t="b">
        <v>1</v>
      </c>
    </row>
    <row r="7631" spans="1:13" x14ac:dyDescent="0.25">
      <c r="D7631" s="13">
        <v>6165</v>
      </c>
      <c r="E7631" s="136" t="str">
        <f>INDEX([1]道具配置表!$D:$D,MATCH(D7631,[1]道具配置表!$A:$A,0))</f>
        <v>60分钟训练加速</v>
      </c>
      <c r="F7631" s="13">
        <v>3</v>
      </c>
      <c r="K7631" s="13">
        <v>1</v>
      </c>
      <c r="M7631" s="123" t="b">
        <v>1</v>
      </c>
    </row>
    <row r="7632" spans="1:13" x14ac:dyDescent="0.25">
      <c r="A7632" s="13">
        <v>6682306</v>
      </c>
      <c r="B7632" s="13" t="s">
        <v>1682</v>
      </c>
      <c r="D7632" s="13">
        <v>7003</v>
      </c>
      <c r="E7632" s="136" t="str">
        <f>INDEX([1]道具配置表!$D:$D,MATCH(D7632,[1]道具配置表!$A:$A,0))</f>
        <v>1银币（立即使用，不进背包）</v>
      </c>
      <c r="F7632" s="13">
        <v>800</v>
      </c>
      <c r="K7632" s="13">
        <v>1</v>
      </c>
      <c r="M7632" s="123" t="b">
        <v>1</v>
      </c>
    </row>
    <row r="7633" spans="1:13" x14ac:dyDescent="0.25">
      <c r="D7633" s="13">
        <v>6125</v>
      </c>
      <c r="E7633" s="136" t="str">
        <f>INDEX([1]道具配置表!$D:$D,MATCH(D7633,[1]道具配置表!$A:$A,0))</f>
        <v>60分钟建造加速</v>
      </c>
      <c r="F7633" s="13">
        <v>2</v>
      </c>
      <c r="K7633" s="13">
        <v>1</v>
      </c>
      <c r="M7633" s="123" t="b">
        <v>1</v>
      </c>
    </row>
    <row r="7634" spans="1:13" x14ac:dyDescent="0.25">
      <c r="D7634" s="13">
        <v>6145</v>
      </c>
      <c r="E7634" s="136" t="str">
        <f>INDEX([1]道具配置表!$D:$D,MATCH(D7634,[1]道具配置表!$A:$A,0))</f>
        <v>60分钟科技加速</v>
      </c>
      <c r="F7634" s="13">
        <v>2</v>
      </c>
      <c r="K7634" s="13">
        <v>1</v>
      </c>
      <c r="M7634" s="123" t="b">
        <v>1</v>
      </c>
    </row>
    <row r="7635" spans="1:13" x14ac:dyDescent="0.25">
      <c r="D7635" s="13">
        <v>6165</v>
      </c>
      <c r="E7635" s="136" t="str">
        <f>INDEX([1]道具配置表!$D:$D,MATCH(D7635,[1]道具配置表!$A:$A,0))</f>
        <v>60分钟训练加速</v>
      </c>
      <c r="F7635" s="13">
        <v>2</v>
      </c>
      <c r="K7635" s="13">
        <v>1</v>
      </c>
      <c r="M7635" s="123" t="b">
        <v>1</v>
      </c>
    </row>
    <row r="7636" spans="1:13" x14ac:dyDescent="0.25">
      <c r="A7636" s="13">
        <v>6682307</v>
      </c>
      <c r="B7636" s="13" t="s">
        <v>1683</v>
      </c>
      <c r="D7636" s="13">
        <v>7003</v>
      </c>
      <c r="E7636" s="136" t="str">
        <f>INDEX([1]道具配置表!$D:$D,MATCH(D7636,[1]道具配置表!$A:$A,0))</f>
        <v>1银币（立即使用，不进背包）</v>
      </c>
      <c r="F7636" s="13">
        <v>600</v>
      </c>
      <c r="K7636" s="13">
        <v>1</v>
      </c>
      <c r="M7636" s="123" t="b">
        <v>1</v>
      </c>
    </row>
    <row r="7637" spans="1:13" x14ac:dyDescent="0.25">
      <c r="D7637" s="13">
        <v>6125</v>
      </c>
      <c r="E7637" s="136" t="str">
        <f>INDEX([1]道具配置表!$D:$D,MATCH(D7637,[1]道具配置表!$A:$A,0))</f>
        <v>60分钟建造加速</v>
      </c>
      <c r="F7637" s="13">
        <v>1</v>
      </c>
      <c r="K7637" s="13">
        <v>1</v>
      </c>
      <c r="M7637" s="123" t="b">
        <v>1</v>
      </c>
    </row>
    <row r="7638" spans="1:13" x14ac:dyDescent="0.25">
      <c r="D7638" s="13">
        <v>6145</v>
      </c>
      <c r="E7638" s="136" t="str">
        <f>INDEX([1]道具配置表!$D:$D,MATCH(D7638,[1]道具配置表!$A:$A,0))</f>
        <v>60分钟科技加速</v>
      </c>
      <c r="F7638" s="13">
        <v>1</v>
      </c>
      <c r="K7638" s="13">
        <v>1</v>
      </c>
      <c r="M7638" s="123" t="b">
        <v>1</v>
      </c>
    </row>
    <row r="7639" spans="1:13" x14ac:dyDescent="0.25">
      <c r="D7639" s="13">
        <v>6165</v>
      </c>
      <c r="E7639" s="136" t="str">
        <f>INDEX([1]道具配置表!$D:$D,MATCH(D7639,[1]道具配置表!$A:$A,0))</f>
        <v>60分钟训练加速</v>
      </c>
      <c r="F7639" s="13">
        <v>1</v>
      </c>
      <c r="K7639" s="13">
        <v>1</v>
      </c>
      <c r="M7639" s="123" t="b">
        <v>1</v>
      </c>
    </row>
    <row r="7640" spans="1:13" x14ac:dyDescent="0.25">
      <c r="A7640" s="13">
        <v>6682308</v>
      </c>
      <c r="B7640" s="13" t="s">
        <v>1684</v>
      </c>
      <c r="D7640" s="13">
        <v>7003</v>
      </c>
      <c r="E7640" s="136" t="str">
        <f>INDEX([1]道具配置表!$D:$D,MATCH(D7640,[1]道具配置表!$A:$A,0))</f>
        <v>1银币（立即使用，不进背包）</v>
      </c>
      <c r="F7640" s="13">
        <v>400</v>
      </c>
      <c r="K7640" s="13">
        <v>1</v>
      </c>
      <c r="M7640" s="123" t="b">
        <v>1</v>
      </c>
    </row>
    <row r="7641" spans="1:13" x14ac:dyDescent="0.25">
      <c r="D7641" s="13">
        <v>6122</v>
      </c>
      <c r="E7641" s="136" t="str">
        <f>INDEX([1]道具配置表!$D:$D,MATCH(D7641,[1]道具配置表!$A:$A,0))</f>
        <v>10分钟建造加速</v>
      </c>
      <c r="F7641" s="13">
        <v>4</v>
      </c>
      <c r="K7641" s="13">
        <v>1</v>
      </c>
      <c r="M7641" s="123" t="b">
        <v>1</v>
      </c>
    </row>
    <row r="7642" spans="1:13" x14ac:dyDescent="0.25">
      <c r="D7642" s="13">
        <v>6142</v>
      </c>
      <c r="E7642" s="136" t="str">
        <f>INDEX([1]道具配置表!$D:$D,MATCH(D7642,[1]道具配置表!$A:$A,0))</f>
        <v>10分钟科技加速</v>
      </c>
      <c r="F7642" s="13">
        <v>4</v>
      </c>
      <c r="K7642" s="13">
        <v>1</v>
      </c>
      <c r="M7642" s="123" t="b">
        <v>1</v>
      </c>
    </row>
    <row r="7643" spans="1:13" x14ac:dyDescent="0.25">
      <c r="D7643" s="13">
        <v>6162</v>
      </c>
      <c r="E7643" s="136" t="str">
        <f>INDEX([1]道具配置表!$D:$D,MATCH(D7643,[1]道具配置表!$A:$A,0))</f>
        <v>10分钟训练加速</v>
      </c>
      <c r="F7643" s="13">
        <v>4</v>
      </c>
      <c r="K7643" s="13">
        <v>1</v>
      </c>
      <c r="M7643" s="123" t="b">
        <v>1</v>
      </c>
    </row>
    <row r="7644" spans="1:13" x14ac:dyDescent="0.25">
      <c r="A7644" s="13">
        <v>6682309</v>
      </c>
      <c r="B7644" s="13" t="s">
        <v>1685</v>
      </c>
      <c r="D7644" s="13">
        <v>7003</v>
      </c>
      <c r="E7644" s="136" t="str">
        <f>INDEX([1]道具配置表!$D:$D,MATCH(D7644,[1]道具配置表!$A:$A,0))</f>
        <v>1银币（立即使用，不进背包）</v>
      </c>
      <c r="F7644" s="13">
        <v>200</v>
      </c>
      <c r="K7644" s="13">
        <v>1</v>
      </c>
      <c r="M7644" s="123" t="b">
        <v>1</v>
      </c>
    </row>
    <row r="7645" spans="1:13" x14ac:dyDescent="0.25">
      <c r="D7645" s="13">
        <v>6122</v>
      </c>
      <c r="E7645" s="136" t="str">
        <f>INDEX([1]道具配置表!$D:$D,MATCH(D7645,[1]道具配置表!$A:$A,0))</f>
        <v>10分钟建造加速</v>
      </c>
      <c r="F7645" s="13">
        <v>3</v>
      </c>
      <c r="K7645" s="13">
        <v>1</v>
      </c>
      <c r="M7645" s="123" t="b">
        <v>1</v>
      </c>
    </row>
    <row r="7646" spans="1:13" x14ac:dyDescent="0.25">
      <c r="D7646" s="13">
        <v>6142</v>
      </c>
      <c r="E7646" s="136" t="str">
        <f>INDEX([1]道具配置表!$D:$D,MATCH(D7646,[1]道具配置表!$A:$A,0))</f>
        <v>10分钟科技加速</v>
      </c>
      <c r="F7646" s="13">
        <v>3</v>
      </c>
      <c r="K7646" s="13">
        <v>1</v>
      </c>
      <c r="M7646" s="123" t="b">
        <v>1</v>
      </c>
    </row>
    <row r="7647" spans="1:13" x14ac:dyDescent="0.25">
      <c r="D7647" s="13">
        <v>6162</v>
      </c>
      <c r="E7647" s="136" t="str">
        <f>INDEX([1]道具配置表!$D:$D,MATCH(D7647,[1]道具配置表!$A:$A,0))</f>
        <v>10分钟训练加速</v>
      </c>
      <c r="F7647" s="13">
        <v>3</v>
      </c>
      <c r="K7647" s="13">
        <v>1</v>
      </c>
      <c r="M7647" s="123" t="b">
        <v>1</v>
      </c>
    </row>
    <row r="7648" spans="1:13" x14ac:dyDescent="0.25">
      <c r="A7648" s="13">
        <v>6683001</v>
      </c>
      <c r="B7648" s="13" t="s">
        <v>1686</v>
      </c>
      <c r="D7648" s="13">
        <v>2007</v>
      </c>
      <c r="E7648" s="136" t="str">
        <f>INDEX([1]道具配置表!$D:$D,MATCH(D7648,[1]道具配置表!$A:$A,0))</f>
        <v>大奖池招募券</v>
      </c>
      <c r="F7648" s="13">
        <v>1</v>
      </c>
      <c r="K7648" s="13">
        <v>1</v>
      </c>
      <c r="M7648" s="123" t="b">
        <v>1</v>
      </c>
    </row>
    <row r="7649" spans="1:13" x14ac:dyDescent="0.25">
      <c r="D7649" s="13">
        <v>7003</v>
      </c>
      <c r="E7649" s="136" t="str">
        <f>INDEX([1]道具配置表!$D:$D,MATCH(D7649,[1]道具配置表!$A:$A,0))</f>
        <v>1银币（立即使用，不进背包）</v>
      </c>
      <c r="F7649" s="13">
        <v>1000</v>
      </c>
      <c r="K7649" s="13">
        <v>1</v>
      </c>
      <c r="M7649" s="123" t="b">
        <v>1</v>
      </c>
    </row>
    <row r="7650" spans="1:13" x14ac:dyDescent="0.25">
      <c r="D7650" s="13">
        <v>242</v>
      </c>
      <c r="E7650" s="136" t="str">
        <f>INDEX([1]道具配置表!$D:$D,MATCH(D7650,[1]道具配置表!$A:$A,0))</f>
        <v>5万食物</v>
      </c>
      <c r="F7650" s="13">
        <v>1</v>
      </c>
      <c r="K7650" s="13">
        <v>1</v>
      </c>
      <c r="M7650" s="123" t="b">
        <v>1</v>
      </c>
    </row>
    <row r="7651" spans="1:13" x14ac:dyDescent="0.25">
      <c r="D7651" s="13">
        <v>241</v>
      </c>
      <c r="E7651" s="136" t="str">
        <f>INDEX([1]道具配置表!$D:$D,MATCH(D7651,[1]道具配置表!$A:$A,0))</f>
        <v>5万木材</v>
      </c>
      <c r="F7651" s="13">
        <v>1</v>
      </c>
      <c r="K7651" s="13">
        <v>1</v>
      </c>
      <c r="M7651" s="123" t="b">
        <v>1</v>
      </c>
    </row>
    <row r="7652" spans="1:13" x14ac:dyDescent="0.25">
      <c r="D7652" s="13">
        <v>243</v>
      </c>
      <c r="E7652" s="136" t="str">
        <f>INDEX([1]道具配置表!$D:$D,MATCH(D7652,[1]道具配置表!$A:$A,0))</f>
        <v>5万石头</v>
      </c>
      <c r="F7652" s="13">
        <v>1</v>
      </c>
      <c r="K7652" s="13">
        <v>1</v>
      </c>
      <c r="M7652" s="123" t="b">
        <v>1</v>
      </c>
    </row>
    <row r="7653" spans="1:13" x14ac:dyDescent="0.25">
      <c r="D7653" s="13">
        <v>244</v>
      </c>
      <c r="E7653" s="136" t="str">
        <f>INDEX([1]道具配置表!$D:$D,MATCH(D7653,[1]道具配置表!$A:$A,0))</f>
        <v>5万黄金</v>
      </c>
      <c r="F7653" s="13">
        <v>1</v>
      </c>
      <c r="K7653" s="13">
        <v>1</v>
      </c>
      <c r="M7653" s="123" t="b">
        <v>1</v>
      </c>
    </row>
    <row r="7654" spans="1:13" x14ac:dyDescent="0.25">
      <c r="A7654" s="13">
        <v>6683002</v>
      </c>
      <c r="B7654" s="13" t="s">
        <v>1687</v>
      </c>
      <c r="D7654" s="13">
        <v>2007</v>
      </c>
      <c r="E7654" s="136" t="str">
        <f>INDEX([1]道具配置表!$D:$D,MATCH(D7654,[1]道具配置表!$A:$A,0))</f>
        <v>大奖池招募券</v>
      </c>
      <c r="F7654" s="13">
        <v>1</v>
      </c>
      <c r="K7654" s="13">
        <v>1</v>
      </c>
      <c r="M7654" s="123" t="b">
        <v>1</v>
      </c>
    </row>
    <row r="7655" spans="1:13" x14ac:dyDescent="0.25">
      <c r="D7655" s="13">
        <v>7003</v>
      </c>
      <c r="E7655" s="136" t="str">
        <f>INDEX([1]道具配置表!$D:$D,MATCH(D7655,[1]道具配置表!$A:$A,0))</f>
        <v>1银币（立即使用，不进背包）</v>
      </c>
      <c r="F7655" s="13">
        <v>1500</v>
      </c>
      <c r="K7655" s="13">
        <v>1</v>
      </c>
      <c r="M7655" s="123" t="b">
        <v>1</v>
      </c>
    </row>
    <row r="7656" spans="1:13" x14ac:dyDescent="0.25">
      <c r="D7656" s="13">
        <v>242</v>
      </c>
      <c r="E7656" s="136" t="str">
        <f>INDEX([1]道具配置表!$D:$D,MATCH(D7656,[1]道具配置表!$A:$A,0))</f>
        <v>5万食物</v>
      </c>
      <c r="F7656" s="13">
        <v>1</v>
      </c>
      <c r="K7656" s="13">
        <v>1</v>
      </c>
      <c r="M7656" s="123" t="b">
        <v>1</v>
      </c>
    </row>
    <row r="7657" spans="1:13" x14ac:dyDescent="0.25">
      <c r="D7657" s="13">
        <v>241</v>
      </c>
      <c r="E7657" s="136" t="str">
        <f>INDEX([1]道具配置表!$D:$D,MATCH(D7657,[1]道具配置表!$A:$A,0))</f>
        <v>5万木材</v>
      </c>
      <c r="F7657" s="13">
        <v>1</v>
      </c>
      <c r="K7657" s="13">
        <v>1</v>
      </c>
      <c r="M7657" s="123" t="b">
        <v>1</v>
      </c>
    </row>
    <row r="7658" spans="1:13" x14ac:dyDescent="0.25">
      <c r="D7658" s="13">
        <v>243</v>
      </c>
      <c r="E7658" s="136" t="str">
        <f>INDEX([1]道具配置表!$D:$D,MATCH(D7658,[1]道具配置表!$A:$A,0))</f>
        <v>5万石头</v>
      </c>
      <c r="F7658" s="13">
        <v>1</v>
      </c>
      <c r="K7658" s="13">
        <v>1</v>
      </c>
      <c r="M7658" s="123" t="b">
        <v>1</v>
      </c>
    </row>
    <row r="7659" spans="1:13" x14ac:dyDescent="0.25">
      <c r="D7659" s="13">
        <v>244</v>
      </c>
      <c r="E7659" s="136" t="str">
        <f>INDEX([1]道具配置表!$D:$D,MATCH(D7659,[1]道具配置表!$A:$A,0))</f>
        <v>5万黄金</v>
      </c>
      <c r="F7659" s="13">
        <v>1</v>
      </c>
      <c r="K7659" s="13">
        <v>1</v>
      </c>
      <c r="M7659" s="123" t="b">
        <v>1</v>
      </c>
    </row>
    <row r="7660" spans="1:13" x14ac:dyDescent="0.25">
      <c r="A7660" s="13">
        <v>6683003</v>
      </c>
      <c r="B7660" s="13" t="s">
        <v>1688</v>
      </c>
      <c r="D7660" s="13">
        <v>2007</v>
      </c>
      <c r="E7660" s="136" t="str">
        <f>INDEX([1]道具配置表!$D:$D,MATCH(D7660,[1]道具配置表!$A:$A,0))</f>
        <v>大奖池招募券</v>
      </c>
      <c r="F7660" s="13">
        <v>2</v>
      </c>
      <c r="K7660" s="13">
        <v>1</v>
      </c>
      <c r="M7660" s="123" t="b">
        <v>1</v>
      </c>
    </row>
    <row r="7661" spans="1:13" x14ac:dyDescent="0.25">
      <c r="D7661" s="13">
        <v>7003</v>
      </c>
      <c r="E7661" s="136" t="str">
        <f>INDEX([1]道具配置表!$D:$D,MATCH(D7661,[1]道具配置表!$A:$A,0))</f>
        <v>1银币（立即使用，不进背包）</v>
      </c>
      <c r="F7661" s="13">
        <v>2000</v>
      </c>
      <c r="K7661" s="13">
        <v>1</v>
      </c>
      <c r="M7661" s="123" t="b">
        <v>1</v>
      </c>
    </row>
    <row r="7662" spans="1:13" x14ac:dyDescent="0.25">
      <c r="D7662" s="13">
        <v>5200</v>
      </c>
      <c r="E7662" s="136" t="str">
        <f>INDEX([1]道具配置表!$D:$D,MATCH(D7662,[1]道具配置表!$A:$A,0))</f>
        <v>1小时攻击加成（10%）</v>
      </c>
      <c r="F7662" s="13">
        <v>1</v>
      </c>
      <c r="K7662" s="13">
        <v>1</v>
      </c>
      <c r="M7662" s="123" t="b">
        <v>1</v>
      </c>
    </row>
    <row r="7663" spans="1:13" x14ac:dyDescent="0.25">
      <c r="D7663" s="13">
        <v>242</v>
      </c>
      <c r="E7663" s="136" t="str">
        <f>INDEX([1]道具配置表!$D:$D,MATCH(D7663,[1]道具配置表!$A:$A,0))</f>
        <v>5万食物</v>
      </c>
      <c r="F7663" s="13">
        <v>2</v>
      </c>
      <c r="K7663" s="13">
        <v>1</v>
      </c>
      <c r="M7663" s="123" t="b">
        <v>1</v>
      </c>
    </row>
    <row r="7664" spans="1:13" x14ac:dyDescent="0.25">
      <c r="D7664" s="13">
        <v>241</v>
      </c>
      <c r="E7664" s="136" t="str">
        <f>INDEX([1]道具配置表!$D:$D,MATCH(D7664,[1]道具配置表!$A:$A,0))</f>
        <v>5万木材</v>
      </c>
      <c r="F7664" s="13">
        <v>2</v>
      </c>
      <c r="K7664" s="13">
        <v>1</v>
      </c>
      <c r="M7664" s="123" t="b">
        <v>1</v>
      </c>
    </row>
    <row r="7665" spans="1:13" x14ac:dyDescent="0.25">
      <c r="D7665" s="13">
        <v>243</v>
      </c>
      <c r="E7665" s="136" t="str">
        <f>INDEX([1]道具配置表!$D:$D,MATCH(D7665,[1]道具配置表!$A:$A,0))</f>
        <v>5万石头</v>
      </c>
      <c r="F7665" s="13">
        <v>2</v>
      </c>
      <c r="K7665" s="13">
        <v>1</v>
      </c>
      <c r="M7665" s="123" t="b">
        <v>1</v>
      </c>
    </row>
    <row r="7666" spans="1:13" x14ac:dyDescent="0.25">
      <c r="D7666" s="13">
        <v>244</v>
      </c>
      <c r="E7666" s="136" t="str">
        <f>INDEX([1]道具配置表!$D:$D,MATCH(D7666,[1]道具配置表!$A:$A,0))</f>
        <v>5万黄金</v>
      </c>
      <c r="F7666" s="13">
        <v>2</v>
      </c>
      <c r="K7666" s="13">
        <v>1</v>
      </c>
      <c r="M7666" s="123" t="b">
        <v>1</v>
      </c>
    </row>
    <row r="7667" spans="1:13" x14ac:dyDescent="0.25">
      <c r="A7667" s="13">
        <v>6683004</v>
      </c>
      <c r="B7667" s="13" t="s">
        <v>1689</v>
      </c>
      <c r="D7667" s="13">
        <v>2007</v>
      </c>
      <c r="E7667" s="136" t="str">
        <f>INDEX([1]道具配置表!$D:$D,MATCH(D7667,[1]道具配置表!$A:$A,0))</f>
        <v>大奖池招募券</v>
      </c>
      <c r="F7667" s="13">
        <v>3</v>
      </c>
      <c r="K7667" s="13">
        <v>1</v>
      </c>
      <c r="M7667" s="123" t="b">
        <v>1</v>
      </c>
    </row>
    <row r="7668" spans="1:13" x14ac:dyDescent="0.25">
      <c r="D7668" s="13">
        <v>7003</v>
      </c>
      <c r="E7668" s="136" t="str">
        <f>INDEX([1]道具配置表!$D:$D,MATCH(D7668,[1]道具配置表!$A:$A,0))</f>
        <v>1银币（立即使用，不进背包）</v>
      </c>
      <c r="F7668" s="13">
        <v>2500</v>
      </c>
      <c r="K7668" s="13">
        <v>1</v>
      </c>
      <c r="M7668" s="123" t="b">
        <v>1</v>
      </c>
    </row>
    <row r="7669" spans="1:13" x14ac:dyDescent="0.25">
      <c r="D7669" s="13">
        <v>5300</v>
      </c>
      <c r="E7669" s="136" t="str">
        <f>INDEX([1]道具配置表!$D:$D,MATCH(D7669,[1]道具配置表!$A:$A,0))</f>
        <v>1小时防御加成（10%）</v>
      </c>
      <c r="F7669" s="13">
        <v>1</v>
      </c>
      <c r="K7669" s="13">
        <v>1</v>
      </c>
      <c r="M7669" s="123" t="b">
        <v>1</v>
      </c>
    </row>
    <row r="7670" spans="1:13" x14ac:dyDescent="0.25">
      <c r="D7670" s="13">
        <v>242</v>
      </c>
      <c r="E7670" s="136" t="str">
        <f>INDEX([1]道具配置表!$D:$D,MATCH(D7670,[1]道具配置表!$A:$A,0))</f>
        <v>5万食物</v>
      </c>
      <c r="F7670" s="13">
        <v>2</v>
      </c>
      <c r="K7670" s="13">
        <v>1</v>
      </c>
      <c r="M7670" s="123" t="b">
        <v>1</v>
      </c>
    </row>
    <row r="7671" spans="1:13" x14ac:dyDescent="0.25">
      <c r="D7671" s="13">
        <v>241</v>
      </c>
      <c r="E7671" s="136" t="str">
        <f>INDEX([1]道具配置表!$D:$D,MATCH(D7671,[1]道具配置表!$A:$A,0))</f>
        <v>5万木材</v>
      </c>
      <c r="F7671" s="13">
        <v>2</v>
      </c>
      <c r="K7671" s="13">
        <v>1</v>
      </c>
      <c r="M7671" s="123" t="b">
        <v>1</v>
      </c>
    </row>
    <row r="7672" spans="1:13" x14ac:dyDescent="0.25">
      <c r="D7672" s="13">
        <v>243</v>
      </c>
      <c r="E7672" s="136" t="str">
        <f>INDEX([1]道具配置表!$D:$D,MATCH(D7672,[1]道具配置表!$A:$A,0))</f>
        <v>5万石头</v>
      </c>
      <c r="F7672" s="13">
        <v>2</v>
      </c>
      <c r="K7672" s="13">
        <v>1</v>
      </c>
      <c r="M7672" s="123" t="b">
        <v>1</v>
      </c>
    </row>
    <row r="7673" spans="1:13" x14ac:dyDescent="0.25">
      <c r="D7673" s="13">
        <v>244</v>
      </c>
      <c r="E7673" s="136" t="str">
        <f>INDEX([1]道具配置表!$D:$D,MATCH(D7673,[1]道具配置表!$A:$A,0))</f>
        <v>5万黄金</v>
      </c>
      <c r="F7673" s="13">
        <v>2</v>
      </c>
      <c r="K7673" s="13">
        <v>1</v>
      </c>
      <c r="M7673" s="123" t="b">
        <v>1</v>
      </c>
    </row>
    <row r="7674" spans="1:13" x14ac:dyDescent="0.25">
      <c r="A7674" s="13">
        <v>6683005</v>
      </c>
      <c r="B7674" s="13" t="s">
        <v>1690</v>
      </c>
      <c r="D7674" s="13">
        <v>2007</v>
      </c>
      <c r="E7674" s="136" t="str">
        <f>INDEX([1]道具配置表!$D:$D,MATCH(D7674,[1]道具配置表!$A:$A,0))</f>
        <v>大奖池招募券</v>
      </c>
      <c r="F7674" s="13">
        <v>4</v>
      </c>
      <c r="K7674" s="13">
        <v>1</v>
      </c>
      <c r="M7674" s="123" t="b">
        <v>1</v>
      </c>
    </row>
    <row r="7675" spans="1:13" x14ac:dyDescent="0.25">
      <c r="D7675" s="13">
        <v>7003</v>
      </c>
      <c r="E7675" s="136" t="str">
        <f>INDEX([1]道具配置表!$D:$D,MATCH(D7675,[1]道具配置表!$A:$A,0))</f>
        <v>1银币（立即使用，不进背包）</v>
      </c>
      <c r="F7675" s="13">
        <v>3000</v>
      </c>
      <c r="K7675" s="13">
        <v>1</v>
      </c>
      <c r="M7675" s="123" t="b">
        <v>1</v>
      </c>
    </row>
    <row r="7676" spans="1:13" x14ac:dyDescent="0.25">
      <c r="D7676" s="13">
        <v>5101</v>
      </c>
      <c r="E7676" s="136" t="str">
        <f>INDEX([1]道具配置表!$D:$D,MATCH(D7676,[1]道具配置表!$A:$A,0))</f>
        <v>1小时战争扩编（10%）</v>
      </c>
      <c r="F7676" s="13">
        <v>1</v>
      </c>
      <c r="K7676" s="13">
        <v>1</v>
      </c>
      <c r="M7676" s="123" t="b">
        <v>1</v>
      </c>
    </row>
    <row r="7677" spans="1:13" x14ac:dyDescent="0.25">
      <c r="D7677" s="13">
        <v>242</v>
      </c>
      <c r="E7677" s="136" t="str">
        <f>INDEX([1]道具配置表!$D:$D,MATCH(D7677,[1]道具配置表!$A:$A,0))</f>
        <v>5万食物</v>
      </c>
      <c r="F7677" s="13">
        <v>3</v>
      </c>
      <c r="K7677" s="13">
        <v>1</v>
      </c>
      <c r="M7677" s="123" t="b">
        <v>1</v>
      </c>
    </row>
    <row r="7678" spans="1:13" x14ac:dyDescent="0.25">
      <c r="D7678" s="13">
        <v>241</v>
      </c>
      <c r="E7678" s="136" t="str">
        <f>INDEX([1]道具配置表!$D:$D,MATCH(D7678,[1]道具配置表!$A:$A,0))</f>
        <v>5万木材</v>
      </c>
      <c r="F7678" s="13">
        <v>3</v>
      </c>
      <c r="K7678" s="13">
        <v>1</v>
      </c>
      <c r="M7678" s="123" t="b">
        <v>1</v>
      </c>
    </row>
    <row r="7679" spans="1:13" x14ac:dyDescent="0.25">
      <c r="D7679" s="13">
        <v>243</v>
      </c>
      <c r="E7679" s="136" t="str">
        <f>INDEX([1]道具配置表!$D:$D,MATCH(D7679,[1]道具配置表!$A:$A,0))</f>
        <v>5万石头</v>
      </c>
      <c r="F7679" s="13">
        <v>3</v>
      </c>
      <c r="K7679" s="13">
        <v>1</v>
      </c>
      <c r="M7679" s="123" t="b">
        <v>1</v>
      </c>
    </row>
    <row r="7680" spans="1:13" x14ac:dyDescent="0.25">
      <c r="D7680" s="13">
        <v>244</v>
      </c>
      <c r="E7680" s="136" t="str">
        <f>INDEX([1]道具配置表!$D:$D,MATCH(D7680,[1]道具配置表!$A:$A,0))</f>
        <v>5万黄金</v>
      </c>
      <c r="F7680" s="13">
        <v>3</v>
      </c>
      <c r="K7680" s="13">
        <v>1</v>
      </c>
      <c r="M7680" s="123" t="b">
        <v>1</v>
      </c>
    </row>
    <row r="7681" spans="1:13" x14ac:dyDescent="0.25">
      <c r="A7681" s="13">
        <v>6683006</v>
      </c>
      <c r="B7681" s="13" t="s">
        <v>1691</v>
      </c>
      <c r="D7681" s="13">
        <v>2007</v>
      </c>
      <c r="E7681" s="136" t="str">
        <f>INDEX([1]道具配置表!$D:$D,MATCH(D7681,[1]道具配置表!$A:$A,0))</f>
        <v>大奖池招募券</v>
      </c>
      <c r="F7681" s="13">
        <v>5</v>
      </c>
      <c r="K7681" s="13">
        <v>1</v>
      </c>
      <c r="M7681" s="123" t="b">
        <v>1</v>
      </c>
    </row>
    <row r="7682" spans="1:13" x14ac:dyDescent="0.25">
      <c r="D7682" s="13">
        <v>2000500</v>
      </c>
      <c r="E7682" s="136" t="str">
        <f>INDEX([1]道具配置表!$D:$D,MATCH(D7682,[1]道具配置表!$A:$A,0))</f>
        <v>通用技能解锁道具-橙</v>
      </c>
      <c r="F7682" s="13">
        <v>1</v>
      </c>
      <c r="K7682" s="13">
        <v>1</v>
      </c>
      <c r="M7682" s="123" t="b">
        <v>1</v>
      </c>
    </row>
    <row r="7683" spans="1:13" x14ac:dyDescent="0.25">
      <c r="D7683" s="13">
        <v>7003</v>
      </c>
      <c r="E7683" s="136" t="str">
        <f>INDEX([1]道具配置表!$D:$D,MATCH(D7683,[1]道具配置表!$A:$A,0))</f>
        <v>1银币（立即使用，不进背包）</v>
      </c>
      <c r="F7683" s="13">
        <v>4000</v>
      </c>
      <c r="K7683" s="13">
        <v>1</v>
      </c>
      <c r="M7683" s="123" t="b">
        <v>1</v>
      </c>
    </row>
    <row r="7684" spans="1:13" x14ac:dyDescent="0.25">
      <c r="D7684" s="13">
        <v>242</v>
      </c>
      <c r="E7684" s="136" t="str">
        <f>INDEX([1]道具配置表!$D:$D,MATCH(D7684,[1]道具配置表!$A:$A,0))</f>
        <v>5万食物</v>
      </c>
      <c r="F7684" s="13">
        <v>4</v>
      </c>
      <c r="K7684" s="13">
        <v>1</v>
      </c>
      <c r="M7684" s="123" t="b">
        <v>1</v>
      </c>
    </row>
    <row r="7685" spans="1:13" x14ac:dyDescent="0.25">
      <c r="D7685" s="13">
        <v>241</v>
      </c>
      <c r="E7685" s="136" t="str">
        <f>INDEX([1]道具配置表!$D:$D,MATCH(D7685,[1]道具配置表!$A:$A,0))</f>
        <v>5万木材</v>
      </c>
      <c r="F7685" s="13">
        <v>4</v>
      </c>
      <c r="K7685" s="13">
        <v>1</v>
      </c>
      <c r="M7685" s="123" t="b">
        <v>1</v>
      </c>
    </row>
    <row r="7686" spans="1:13" x14ac:dyDescent="0.25">
      <c r="D7686" s="13">
        <v>243</v>
      </c>
      <c r="E7686" s="136" t="str">
        <f>INDEX([1]道具配置表!$D:$D,MATCH(D7686,[1]道具配置表!$A:$A,0))</f>
        <v>5万石头</v>
      </c>
      <c r="F7686" s="13">
        <v>4</v>
      </c>
      <c r="K7686" s="13">
        <v>1</v>
      </c>
      <c r="M7686" s="123" t="b">
        <v>1</v>
      </c>
    </row>
    <row r="7687" spans="1:13" x14ac:dyDescent="0.25">
      <c r="D7687" s="13">
        <v>244</v>
      </c>
      <c r="E7687" s="136" t="str">
        <f>INDEX([1]道具配置表!$D:$D,MATCH(D7687,[1]道具配置表!$A:$A,0))</f>
        <v>5万黄金</v>
      </c>
      <c r="F7687" s="13">
        <v>4</v>
      </c>
      <c r="K7687" s="13">
        <v>1</v>
      </c>
      <c r="M7687" s="123" t="b">
        <v>1</v>
      </c>
    </row>
    <row r="7688" spans="1:13" x14ac:dyDescent="0.25">
      <c r="A7688" s="13">
        <v>6684001</v>
      </c>
      <c r="B7688" s="13" t="s">
        <v>1692</v>
      </c>
      <c r="D7688" s="13">
        <v>6801</v>
      </c>
      <c r="E7688" s="136" t="str">
        <f>INDEX([1]道具配置表!$D:$D,MATCH(D7688,[1]道具配置表!$A:$A,0))</f>
        <v>最强帝国金币</v>
      </c>
      <c r="F7688" s="13">
        <v>5000</v>
      </c>
      <c r="K7688" s="13">
        <v>1</v>
      </c>
      <c r="M7688" s="123" t="b">
        <v>1</v>
      </c>
    </row>
    <row r="7689" spans="1:13" x14ac:dyDescent="0.25">
      <c r="D7689" s="13">
        <v>7003</v>
      </c>
      <c r="E7689" s="136" t="str">
        <f>INDEX([1]道具配置表!$D:$D,MATCH(D7689,[1]道具配置表!$A:$A,0))</f>
        <v>1银币（立即使用，不进背包）</v>
      </c>
      <c r="F7689" s="13">
        <v>2000</v>
      </c>
      <c r="K7689" s="13">
        <v>1</v>
      </c>
      <c r="M7689" s="123" t="b">
        <v>1</v>
      </c>
    </row>
    <row r="7690" spans="1:13" x14ac:dyDescent="0.25">
      <c r="D7690" s="13">
        <v>600</v>
      </c>
      <c r="E7690" s="136" t="str">
        <f>INDEX([1]道具配置表!$D:$D,MATCH(D7690,[1]道具配置表!$A:$A,0))</f>
        <v>定点迁城</v>
      </c>
      <c r="F7690" s="13">
        <v>2</v>
      </c>
      <c r="K7690" s="13">
        <v>1</v>
      </c>
      <c r="M7690" s="123" t="b">
        <v>1</v>
      </c>
    </row>
    <row r="7691" spans="1:13" x14ac:dyDescent="0.25">
      <c r="D7691" s="13">
        <v>504</v>
      </c>
      <c r="E7691" s="136" t="str">
        <f>INDEX([1]道具配置表!$D:$D,MATCH(D7691,[1]道具配置表!$A:$A,0))</f>
        <v>10万资源自选宝箱</v>
      </c>
      <c r="F7691" s="13">
        <v>50</v>
      </c>
      <c r="K7691" s="13">
        <v>1</v>
      </c>
      <c r="M7691" s="123" t="b">
        <v>1</v>
      </c>
    </row>
    <row r="7692" spans="1:13" x14ac:dyDescent="0.25">
      <c r="A7692" s="13">
        <v>6684002</v>
      </c>
      <c r="B7692" s="13" t="s">
        <v>1693</v>
      </c>
      <c r="D7692" s="13">
        <v>6801</v>
      </c>
      <c r="E7692" s="136" t="str">
        <f>INDEX([1]道具配置表!$D:$D,MATCH(D7692,[1]道具配置表!$A:$A,0))</f>
        <v>最强帝国金币</v>
      </c>
      <c r="F7692" s="13">
        <v>2000</v>
      </c>
      <c r="K7692" s="13">
        <v>1</v>
      </c>
      <c r="M7692" s="123" t="b">
        <v>1</v>
      </c>
    </row>
    <row r="7693" spans="1:13" x14ac:dyDescent="0.25">
      <c r="D7693" s="13">
        <v>7003</v>
      </c>
      <c r="E7693" s="136" t="str">
        <f>INDEX([1]道具配置表!$D:$D,MATCH(D7693,[1]道具配置表!$A:$A,0))</f>
        <v>1银币（立即使用，不进背包）</v>
      </c>
      <c r="F7693" s="13">
        <v>1000</v>
      </c>
      <c r="K7693" s="13">
        <v>1</v>
      </c>
      <c r="M7693" s="123" t="b">
        <v>1</v>
      </c>
    </row>
    <row r="7694" spans="1:13" x14ac:dyDescent="0.25">
      <c r="D7694" s="13">
        <v>600</v>
      </c>
      <c r="E7694" s="136" t="str">
        <f>INDEX([1]道具配置表!$D:$D,MATCH(D7694,[1]道具配置表!$A:$A,0))</f>
        <v>定点迁城</v>
      </c>
      <c r="F7694" s="13">
        <v>1</v>
      </c>
      <c r="K7694" s="13">
        <v>1</v>
      </c>
      <c r="M7694" s="123" t="b">
        <v>1</v>
      </c>
    </row>
    <row r="7695" spans="1:13" x14ac:dyDescent="0.25">
      <c r="D7695" s="13">
        <v>504</v>
      </c>
      <c r="E7695" s="136" t="str">
        <f>INDEX([1]道具配置表!$D:$D,MATCH(D7695,[1]道具配置表!$A:$A,0))</f>
        <v>10万资源自选宝箱</v>
      </c>
      <c r="F7695" s="13">
        <v>20</v>
      </c>
      <c r="K7695" s="13">
        <v>1</v>
      </c>
      <c r="M7695" s="123" t="b">
        <v>1</v>
      </c>
    </row>
    <row r="7696" spans="1:13" x14ac:dyDescent="0.25">
      <c r="A7696" s="13">
        <v>6684003</v>
      </c>
      <c r="B7696" s="13" t="s">
        <v>1694</v>
      </c>
      <c r="D7696" s="13">
        <v>6801</v>
      </c>
      <c r="E7696" s="136" t="str">
        <f>INDEX([1]道具配置表!$D:$D,MATCH(D7696,[1]道具配置表!$A:$A,0))</f>
        <v>最强帝国金币</v>
      </c>
      <c r="F7696" s="13">
        <v>3000</v>
      </c>
      <c r="K7696" s="13">
        <v>1</v>
      </c>
      <c r="M7696" s="123" t="b">
        <v>1</v>
      </c>
    </row>
    <row r="7697" spans="1:13" x14ac:dyDescent="0.25">
      <c r="D7697" s="13">
        <v>7003</v>
      </c>
      <c r="E7697" s="136" t="str">
        <f>INDEX([1]道具配置表!$D:$D,MATCH(D7697,[1]道具配置表!$A:$A,0))</f>
        <v>1银币（立即使用，不进背包）</v>
      </c>
      <c r="F7697" s="13">
        <v>1500</v>
      </c>
      <c r="K7697" s="13">
        <v>1</v>
      </c>
      <c r="M7697" s="123" t="b">
        <v>1</v>
      </c>
    </row>
    <row r="7698" spans="1:13" x14ac:dyDescent="0.25">
      <c r="D7698" s="13">
        <v>600</v>
      </c>
      <c r="E7698" s="136" t="str">
        <f>INDEX([1]道具配置表!$D:$D,MATCH(D7698,[1]道具配置表!$A:$A,0))</f>
        <v>定点迁城</v>
      </c>
      <c r="F7698" s="13">
        <v>1</v>
      </c>
      <c r="K7698" s="13">
        <v>1</v>
      </c>
      <c r="M7698" s="123" t="b">
        <v>1</v>
      </c>
    </row>
    <row r="7699" spans="1:13" x14ac:dyDescent="0.25">
      <c r="D7699" s="13">
        <v>6105</v>
      </c>
      <c r="E7699" s="136" t="str">
        <f>INDEX([1]道具配置表!$D:$D,MATCH(D7699,[1]道具配置表!$A:$A,0))</f>
        <v>60分钟通用加速</v>
      </c>
      <c r="F7699" s="13">
        <v>20</v>
      </c>
      <c r="K7699" s="13">
        <v>1</v>
      </c>
      <c r="M7699" s="123" t="b">
        <v>1</v>
      </c>
    </row>
    <row r="7700" spans="1:13" x14ac:dyDescent="0.25">
      <c r="A7700" s="13">
        <v>6685001</v>
      </c>
      <c r="B7700" s="13" t="s">
        <v>1695</v>
      </c>
      <c r="D7700" s="13">
        <v>119075</v>
      </c>
      <c r="E7700" s="136" t="str">
        <f>INDEX([1]道具配置表!$D:$D,MATCH(D7700,[1]道具配置表!$A:$A,0))</f>
        <v>阿育王</v>
      </c>
      <c r="F7700" s="13">
        <v>1</v>
      </c>
      <c r="K7700" s="13">
        <v>1</v>
      </c>
      <c r="M7700" s="123" t="b">
        <v>1</v>
      </c>
    </row>
    <row r="7701" spans="1:13" x14ac:dyDescent="0.25">
      <c r="D7701" s="13">
        <v>119010</v>
      </c>
      <c r="E7701" s="136" t="str">
        <f>INDEX([1]道具配置表!$D:$D,MATCH(D7701,[1]道具配置表!$A:$A,0))</f>
        <v>查士丁尼一世</v>
      </c>
      <c r="F7701" s="13">
        <v>1</v>
      </c>
      <c r="K7701" s="13">
        <v>1</v>
      </c>
      <c r="M7701" s="123" t="b">
        <v>1</v>
      </c>
    </row>
    <row r="7702" spans="1:13" x14ac:dyDescent="0.25">
      <c r="A7702" s="13">
        <v>6685002</v>
      </c>
      <c r="B7702" s="13" t="s">
        <v>1696</v>
      </c>
      <c r="D7702" s="13">
        <v>119075</v>
      </c>
      <c r="E7702" s="136" t="str">
        <f>INDEX([1]道具配置表!$D:$D,MATCH(D7702,[1]道具配置表!$A:$A,0))</f>
        <v>阿育王</v>
      </c>
      <c r="F7702" s="13">
        <v>1</v>
      </c>
      <c r="K7702" s="13">
        <v>1</v>
      </c>
      <c r="M7702" s="123" t="b">
        <v>1</v>
      </c>
    </row>
    <row r="7703" spans="1:13" x14ac:dyDescent="0.25">
      <c r="D7703" s="13">
        <v>119078</v>
      </c>
      <c r="E7703" s="136" t="str">
        <f>INDEX([1]道具配置表!$D:$D,MATCH(D7703,[1]道具配置表!$A:$A,0))</f>
        <v>兰甘亨</v>
      </c>
      <c r="F7703" s="13">
        <v>1</v>
      </c>
      <c r="K7703" s="13">
        <v>1</v>
      </c>
      <c r="M7703" s="123" t="b">
        <v>1</v>
      </c>
    </row>
    <row r="7704" spans="1:13" x14ac:dyDescent="0.25">
      <c r="D7704" s="13">
        <v>119010</v>
      </c>
      <c r="E7704" s="136" t="str">
        <f>INDEX([1]道具配置表!$D:$D,MATCH(D7704,[1]道具配置表!$A:$A,0))</f>
        <v>查士丁尼一世</v>
      </c>
      <c r="F7704" s="13">
        <v>1</v>
      </c>
      <c r="K7704" s="13">
        <v>1</v>
      </c>
      <c r="M7704" s="123" t="b">
        <v>1</v>
      </c>
    </row>
    <row r="7705" spans="1:13" x14ac:dyDescent="0.25">
      <c r="A7705" s="13">
        <v>6685003</v>
      </c>
      <c r="B7705" s="13" t="s">
        <v>1697</v>
      </c>
      <c r="D7705" s="13">
        <v>119075</v>
      </c>
      <c r="E7705" s="136" t="str">
        <f>INDEX([1]道具配置表!$D:$D,MATCH(D7705,[1]道具配置表!$A:$A,0))</f>
        <v>阿育王</v>
      </c>
      <c r="F7705" s="13">
        <v>1</v>
      </c>
      <c r="K7705" s="13">
        <v>1</v>
      </c>
      <c r="M7705" s="123" t="b">
        <v>1</v>
      </c>
    </row>
    <row r="7706" spans="1:13" x14ac:dyDescent="0.25">
      <c r="D7706" s="13">
        <v>119078</v>
      </c>
      <c r="E7706" s="136" t="str">
        <f>INDEX([1]道具配置表!$D:$D,MATCH(D7706,[1]道具配置表!$A:$A,0))</f>
        <v>兰甘亨</v>
      </c>
      <c r="F7706" s="13">
        <v>1</v>
      </c>
      <c r="K7706" s="13">
        <v>1</v>
      </c>
      <c r="M7706" s="123" t="b">
        <v>1</v>
      </c>
    </row>
    <row r="7707" spans="1:13" x14ac:dyDescent="0.25">
      <c r="D7707" s="13">
        <v>119116</v>
      </c>
      <c r="E7707" s="136" t="str">
        <f>INDEX([1]道具配置表!$D:$D,MATCH(D7707,[1]道具配置表!$A:$A,0))</f>
        <v>拉美西斯二世</v>
      </c>
      <c r="F7707" s="13">
        <v>1</v>
      </c>
      <c r="K7707" s="13">
        <v>1</v>
      </c>
      <c r="M7707" s="123" t="b">
        <v>1</v>
      </c>
    </row>
    <row r="7708" spans="1:13" x14ac:dyDescent="0.25">
      <c r="A7708" s="13">
        <v>6686001</v>
      </c>
      <c r="B7708" s="13" t="s">
        <v>1698</v>
      </c>
      <c r="D7708" s="13">
        <v>605</v>
      </c>
      <c r="E7708" s="136" t="str">
        <f>INDEX([1]道具配置表!$D:$D,MATCH(D7708,[1]道具配置表!$A:$A,0))</f>
        <v>跨国迁城</v>
      </c>
      <c r="F7708" s="13">
        <v>1</v>
      </c>
      <c r="K7708" s="13">
        <v>1</v>
      </c>
      <c r="M7708" s="123" t="b">
        <v>1</v>
      </c>
    </row>
    <row r="7709" spans="1:13" x14ac:dyDescent="0.25">
      <c r="A7709" s="13">
        <v>6686002</v>
      </c>
      <c r="B7709" s="13" t="s">
        <v>1699</v>
      </c>
      <c r="D7709" s="13">
        <v>123002</v>
      </c>
      <c r="E7709" s="136" t="str">
        <f>INDEX([1]道具配置表!$D:$D,MATCH(D7709,[1]道具配置表!$A:$A,0))</f>
        <v>通用橙色碎片</v>
      </c>
      <c r="F7709" s="13">
        <v>20</v>
      </c>
      <c r="K7709" s="13">
        <v>1</v>
      </c>
      <c r="M7709" s="123" t="b">
        <v>1</v>
      </c>
    </row>
    <row r="7710" spans="1:13" x14ac:dyDescent="0.25">
      <c r="D7710" s="13">
        <v>7003</v>
      </c>
      <c r="E7710" s="136" t="str">
        <f>INDEX([1]道具配置表!$D:$D,MATCH(D7710,[1]道具配置表!$A:$A,0))</f>
        <v>1银币（立即使用，不进背包）</v>
      </c>
      <c r="F7710" s="13">
        <v>60000</v>
      </c>
      <c r="K7710" s="13">
        <v>1</v>
      </c>
      <c r="M7710" s="123" t="b">
        <v>1</v>
      </c>
    </row>
    <row r="7711" spans="1:13" x14ac:dyDescent="0.25">
      <c r="D7711" s="13">
        <v>56202</v>
      </c>
      <c r="E7711" s="136" t="str">
        <f>INDEX([1]道具配置表!$D:$D,MATCH(D7711,[1]道具配置表!$A:$A,0))</f>
        <v>传说图纸</v>
      </c>
      <c r="F7711" s="13">
        <v>3</v>
      </c>
      <c r="K7711" s="13">
        <v>1</v>
      </c>
      <c r="M7711" s="123" t="b">
        <v>1</v>
      </c>
    </row>
    <row r="7712" spans="1:13" x14ac:dyDescent="0.25">
      <c r="D7712" s="13">
        <v>6125</v>
      </c>
      <c r="E7712" s="136" t="str">
        <f>INDEX([1]道具配置表!$D:$D,MATCH(D7712,[1]道具配置表!$A:$A,0))</f>
        <v>60分钟建造加速</v>
      </c>
      <c r="F7712" s="13">
        <v>50</v>
      </c>
      <c r="K7712" s="13">
        <v>1</v>
      </c>
      <c r="M7712" s="123" t="b">
        <v>1</v>
      </c>
    </row>
    <row r="7713" spans="1:14" x14ac:dyDescent="0.25">
      <c r="A7713" s="13">
        <v>6686003</v>
      </c>
      <c r="B7713" s="13" t="s">
        <v>1548</v>
      </c>
      <c r="D7713" s="13">
        <v>6803</v>
      </c>
      <c r="E7713" s="136" t="str">
        <f>INDEX([1]道具配置表!$D:$D,MATCH(D7713,[1]道具配置表!$A:$A,0))</f>
        <v>死兵恢复助力</v>
      </c>
      <c r="F7713" s="13">
        <v>10</v>
      </c>
      <c r="K7713" s="13">
        <v>1</v>
      </c>
      <c r="M7713" s="112" t="b">
        <v>1</v>
      </c>
    </row>
    <row r="7714" spans="1:14" x14ac:dyDescent="0.25">
      <c r="A7714" s="13">
        <v>6687001</v>
      </c>
      <c r="B7714" s="13" t="s">
        <v>1549</v>
      </c>
      <c r="D7714" s="13">
        <v>119075</v>
      </c>
      <c r="E7714" s="136" t="str">
        <f>INDEX([1]道具配置表!$D:$D,MATCH(D7714,[1]道具配置表!$A:$A,0))</f>
        <v>阿育王</v>
      </c>
      <c r="F7714" s="13">
        <v>1</v>
      </c>
      <c r="M7714" s="114" t="b">
        <v>1</v>
      </c>
      <c r="N7714" s="13">
        <v>1</v>
      </c>
    </row>
    <row r="7715" spans="1:14" x14ac:dyDescent="0.25">
      <c r="D7715" s="13">
        <v>123002</v>
      </c>
      <c r="E7715" s="136" t="str">
        <f>INDEX([1]道具配置表!$D:$D,MATCH(D7715,[1]道具配置表!$A:$A,0))</f>
        <v>通用橙色碎片</v>
      </c>
      <c r="F7715" s="13">
        <v>1</v>
      </c>
      <c r="M7715" s="114" t="b">
        <v>1</v>
      </c>
    </row>
    <row r="7716" spans="1:14" x14ac:dyDescent="0.25">
      <c r="A7716" s="13">
        <v>6687002</v>
      </c>
      <c r="B7716" s="13" t="s">
        <v>1550</v>
      </c>
      <c r="D7716" s="13">
        <v>119078</v>
      </c>
      <c r="E7716" s="136" t="str">
        <f>INDEX([1]道具配置表!$D:$D,MATCH(D7716,[1]道具配置表!$A:$A,0))</f>
        <v>兰甘亨</v>
      </c>
      <c r="F7716" s="13">
        <v>1</v>
      </c>
      <c r="M7716" s="114" t="b">
        <v>1</v>
      </c>
      <c r="N7716" s="13">
        <v>1</v>
      </c>
    </row>
    <row r="7717" spans="1:14" x14ac:dyDescent="0.25">
      <c r="D7717" s="13">
        <v>123002</v>
      </c>
      <c r="E7717" s="136" t="str">
        <f>INDEX([1]道具配置表!$D:$D,MATCH(D7717,[1]道具配置表!$A:$A,0))</f>
        <v>通用橙色碎片</v>
      </c>
      <c r="F7717" s="13">
        <v>1</v>
      </c>
      <c r="M7717" s="114" t="b">
        <v>1</v>
      </c>
    </row>
    <row r="7718" spans="1:14" x14ac:dyDescent="0.25">
      <c r="A7718" s="13">
        <v>6688001</v>
      </c>
      <c r="B7718" s="13" t="s">
        <v>1554</v>
      </c>
      <c r="D7718" s="13">
        <v>1005</v>
      </c>
      <c r="E7718" s="136" t="str">
        <f>INDEX([1]道具配置表!$D:$D,MATCH(D7718,[1]道具配置表!$A:$A,0))</f>
        <v>关羽（完整英雄）</v>
      </c>
      <c r="F7718" s="13">
        <v>1</v>
      </c>
      <c r="G7718" s="13">
        <v>1</v>
      </c>
      <c r="H7718" s="13">
        <v>1</v>
      </c>
      <c r="I7718" s="13" t="s">
        <v>368</v>
      </c>
      <c r="J7718" s="13">
        <v>100</v>
      </c>
      <c r="M7718" s="117" t="b">
        <v>1</v>
      </c>
    </row>
    <row r="7719" spans="1:14" x14ac:dyDescent="0.25">
      <c r="D7719" s="13">
        <v>1056</v>
      </c>
      <c r="E7719" s="136" t="str">
        <f>INDEX([1]道具配置表!$D:$D,MATCH(D7719,[1]道具配置表!$A:$A,0))</f>
        <v>哈拉尔（完整英雄）</v>
      </c>
      <c r="F7719" s="13">
        <v>1</v>
      </c>
      <c r="J7719" s="13">
        <v>100</v>
      </c>
      <c r="M7719" s="117" t="b">
        <v>1</v>
      </c>
    </row>
    <row r="7720" spans="1:14" x14ac:dyDescent="0.25">
      <c r="D7720" s="13">
        <v>1061</v>
      </c>
      <c r="E7720" s="136" t="str">
        <f>INDEX([1]道具配置表!$D:$D,MATCH(D7720,[1]道具配置表!$A:$A,0))</f>
        <v>汉谟拉比（完整英雄）</v>
      </c>
      <c r="F7720" s="13">
        <v>1</v>
      </c>
      <c r="J7720" s="13">
        <v>100</v>
      </c>
      <c r="M7720" s="117" t="b">
        <v>1</v>
      </c>
    </row>
    <row r="7721" spans="1:14" x14ac:dyDescent="0.25">
      <c r="D7721" s="13">
        <v>1002</v>
      </c>
      <c r="E7721" s="136" t="str">
        <f>INDEX([1]道具配置表!$D:$D,MATCH(D7721,[1]道具配置表!$A:$A,0))</f>
        <v>织田信长（完整英雄）</v>
      </c>
      <c r="F7721" s="13">
        <v>1</v>
      </c>
      <c r="J7721" s="13">
        <v>100</v>
      </c>
      <c r="M7721" s="117" t="b">
        <v>1</v>
      </c>
    </row>
    <row r="7722" spans="1:14" x14ac:dyDescent="0.25">
      <c r="D7722" s="13">
        <v>1102</v>
      </c>
      <c r="E7722" s="136" t="str">
        <f>INDEX([1]道具配置表!$D:$D,MATCH(D7722,[1]道具配置表!$A:$A,0))</f>
        <v>德川家康（完整英雄）</v>
      </c>
      <c r="F7722" s="13">
        <v>1</v>
      </c>
      <c r="J7722" s="13">
        <v>100</v>
      </c>
      <c r="M7722" s="117" t="b">
        <v>1</v>
      </c>
    </row>
    <row r="7723" spans="1:14" x14ac:dyDescent="0.25">
      <c r="D7723" s="13">
        <v>1104</v>
      </c>
      <c r="E7723" s="136" t="str">
        <f>INDEX([1]道具配置表!$D:$D,MATCH(D7723,[1]道具配置表!$A:$A,0))</f>
        <v>丰臣秀吉（完整英雄）</v>
      </c>
      <c r="F7723" s="13">
        <v>1</v>
      </c>
      <c r="J7723" s="13">
        <v>100</v>
      </c>
      <c r="M7723" s="117" t="b">
        <v>1</v>
      </c>
    </row>
    <row r="7724" spans="1:14" x14ac:dyDescent="0.25">
      <c r="D7724" s="13">
        <v>1105</v>
      </c>
      <c r="E7724" s="136" t="str">
        <f>INDEX([1]道具配置表!$D:$D,MATCH(D7724,[1]道具配置表!$A:$A,0))</f>
        <v>李成桂（完整英雄）</v>
      </c>
      <c r="F7724" s="13">
        <v>1</v>
      </c>
      <c r="J7724" s="13">
        <v>100</v>
      </c>
      <c r="M7724" s="117" t="b">
        <v>1</v>
      </c>
    </row>
    <row r="7725" spans="1:14" x14ac:dyDescent="0.25">
      <c r="D7725" s="13">
        <v>1103</v>
      </c>
      <c r="E7725" s="136" t="str">
        <f>INDEX([1]道具配置表!$D:$D,MATCH(D7725,[1]道具配置表!$A:$A,0))</f>
        <v>李陶（完整英雄）</v>
      </c>
      <c r="F7725" s="13">
        <v>1</v>
      </c>
      <c r="J7725" s="13">
        <v>100</v>
      </c>
      <c r="M7725" s="117" t="b">
        <v>1</v>
      </c>
    </row>
    <row r="7726" spans="1:14" x14ac:dyDescent="0.25">
      <c r="D7726" s="13">
        <v>1064</v>
      </c>
      <c r="E7726" s="136" t="str">
        <f>INDEX([1]道具配置表!$D:$D,MATCH(D7726,[1]道具配置表!$A:$A,0))</f>
        <v>示巴女王（完整英雄）</v>
      </c>
      <c r="F7726" s="13">
        <v>1</v>
      </c>
      <c r="J7726" s="13">
        <v>100</v>
      </c>
      <c r="M7726" s="117" t="b">
        <v>1</v>
      </c>
    </row>
    <row r="7727" spans="1:14" x14ac:dyDescent="0.25">
      <c r="A7727" s="13">
        <v>6688002</v>
      </c>
      <c r="B7727" s="13" t="s">
        <v>1735</v>
      </c>
      <c r="D7727" s="13">
        <v>56412</v>
      </c>
      <c r="E7727" s="136" t="str">
        <f>INDEX([1]道具配置表!$D:$D,MATCH(D7727,[1]道具配置表!$A:$A,0))</f>
        <v>佣兵合同</v>
      </c>
      <c r="F7727" s="13">
        <v>1</v>
      </c>
      <c r="G7727" s="13">
        <v>1</v>
      </c>
      <c r="H7727" s="13">
        <v>1</v>
      </c>
      <c r="J7727" s="13">
        <v>100</v>
      </c>
      <c r="M7727" s="121" t="b">
        <v>1</v>
      </c>
    </row>
    <row r="7728" spans="1:14" x14ac:dyDescent="0.25">
      <c r="A7728" s="13">
        <v>6667001</v>
      </c>
      <c r="B7728" s="13" t="s">
        <v>1740</v>
      </c>
      <c r="D7728" s="13">
        <v>56214</v>
      </c>
      <c r="E7728" s="136" t="str">
        <f>INDEX([1]道具配置表!$D:$D,MATCH(D7728,[1]道具配置表!$A:$A,0))</f>
        <v>绿色宝石宝箱-随机</v>
      </c>
      <c r="F7728" s="13">
        <v>2</v>
      </c>
      <c r="K7728" s="13">
        <v>1</v>
      </c>
      <c r="M7728" s="123" t="b">
        <v>1</v>
      </c>
    </row>
    <row r="7729" spans="1:13" x14ac:dyDescent="0.25">
      <c r="D7729" s="13">
        <v>6122</v>
      </c>
      <c r="E7729" s="136" t="str">
        <f>INDEX([1]道具配置表!$D:$D,MATCH(D7729,[1]道具配置表!$A:$A,0))</f>
        <v>10分钟建造加速</v>
      </c>
      <c r="F7729" s="13">
        <v>5</v>
      </c>
      <c r="K7729" s="13">
        <v>1</v>
      </c>
      <c r="M7729" s="123" t="b">
        <v>1</v>
      </c>
    </row>
    <row r="7730" spans="1:13" x14ac:dyDescent="0.25">
      <c r="D7730" s="13">
        <v>6142</v>
      </c>
      <c r="E7730" s="136" t="str">
        <f>INDEX([1]道具配置表!$D:$D,MATCH(D7730,[1]道具配置表!$A:$A,0))</f>
        <v>10分钟科技加速</v>
      </c>
      <c r="F7730" s="13">
        <v>5</v>
      </c>
      <c r="K7730" s="13">
        <v>1</v>
      </c>
      <c r="M7730" s="123" t="b">
        <v>1</v>
      </c>
    </row>
    <row r="7731" spans="1:13" x14ac:dyDescent="0.25">
      <c r="D7731" s="13">
        <v>503</v>
      </c>
      <c r="E7731" s="136" t="str">
        <f>INDEX([1]道具配置表!$D:$D,MATCH(D7731,[1]道具配置表!$A:$A,0))</f>
        <v>5万资源自选宝箱</v>
      </c>
      <c r="F7731" s="13">
        <v>1</v>
      </c>
      <c r="K7731" s="13">
        <v>1</v>
      </c>
      <c r="M7731" s="123" t="b">
        <v>1</v>
      </c>
    </row>
    <row r="7732" spans="1:13" x14ac:dyDescent="0.25">
      <c r="A7732" s="13">
        <v>6667002</v>
      </c>
      <c r="B7732" s="13" t="s">
        <v>1741</v>
      </c>
      <c r="D7732" s="13">
        <v>56214</v>
      </c>
      <c r="E7732" s="136" t="str">
        <f>INDEX([1]道具配置表!$D:$D,MATCH(D7732,[1]道具配置表!$A:$A,0))</f>
        <v>绿色宝石宝箱-随机</v>
      </c>
      <c r="F7732" s="13">
        <v>3</v>
      </c>
      <c r="K7732" s="13">
        <v>1</v>
      </c>
      <c r="M7732" s="123" t="b">
        <v>1</v>
      </c>
    </row>
    <row r="7733" spans="1:13" x14ac:dyDescent="0.25">
      <c r="D7733" s="13">
        <v>6122</v>
      </c>
      <c r="E7733" s="136" t="str">
        <f>INDEX([1]道具配置表!$D:$D,MATCH(D7733,[1]道具配置表!$A:$A,0))</f>
        <v>10分钟建造加速</v>
      </c>
      <c r="F7733" s="13">
        <v>5</v>
      </c>
      <c r="K7733" s="13">
        <v>1</v>
      </c>
      <c r="M7733" s="123" t="b">
        <v>1</v>
      </c>
    </row>
    <row r="7734" spans="1:13" x14ac:dyDescent="0.25">
      <c r="D7734" s="13">
        <v>6142</v>
      </c>
      <c r="E7734" s="136" t="str">
        <f>INDEX([1]道具配置表!$D:$D,MATCH(D7734,[1]道具配置表!$A:$A,0))</f>
        <v>10分钟科技加速</v>
      </c>
      <c r="F7734" s="13">
        <v>5</v>
      </c>
      <c r="K7734" s="13">
        <v>1</v>
      </c>
      <c r="M7734" s="123" t="b">
        <v>1</v>
      </c>
    </row>
    <row r="7735" spans="1:13" x14ac:dyDescent="0.25">
      <c r="D7735" s="13">
        <v>503</v>
      </c>
      <c r="E7735" s="136" t="str">
        <f>INDEX([1]道具配置表!$D:$D,MATCH(D7735,[1]道具配置表!$A:$A,0))</f>
        <v>5万资源自选宝箱</v>
      </c>
      <c r="F7735" s="13">
        <v>2</v>
      </c>
      <c r="K7735" s="13">
        <v>1</v>
      </c>
      <c r="M7735" s="123" t="b">
        <v>1</v>
      </c>
    </row>
    <row r="7736" spans="1:13" x14ac:dyDescent="0.25">
      <c r="A7736" s="13">
        <v>6667003</v>
      </c>
      <c r="B7736" s="13" t="s">
        <v>1742</v>
      </c>
      <c r="D7736" s="13">
        <v>56215</v>
      </c>
      <c r="E7736" s="136" t="str">
        <f>INDEX([1]道具配置表!$D:$D,MATCH(D7736,[1]道具配置表!$A:$A,0))</f>
        <v>蓝色宝石宝箱-随机</v>
      </c>
      <c r="F7736" s="13">
        <v>1</v>
      </c>
      <c r="K7736" s="13">
        <v>1</v>
      </c>
      <c r="M7736" s="123" t="b">
        <v>1</v>
      </c>
    </row>
    <row r="7737" spans="1:13" x14ac:dyDescent="0.25">
      <c r="D7737" s="13">
        <v>6122</v>
      </c>
      <c r="E7737" s="136" t="str">
        <f>INDEX([1]道具配置表!$D:$D,MATCH(D7737,[1]道具配置表!$A:$A,0))</f>
        <v>10分钟建造加速</v>
      </c>
      <c r="F7737" s="13">
        <v>5</v>
      </c>
      <c r="K7737" s="13">
        <v>1</v>
      </c>
      <c r="M7737" s="123" t="b">
        <v>1</v>
      </c>
    </row>
    <row r="7738" spans="1:13" x14ac:dyDescent="0.25">
      <c r="D7738" s="13">
        <v>6142</v>
      </c>
      <c r="E7738" s="136" t="str">
        <f>INDEX([1]道具配置表!$D:$D,MATCH(D7738,[1]道具配置表!$A:$A,0))</f>
        <v>10分钟科技加速</v>
      </c>
      <c r="F7738" s="13">
        <v>5</v>
      </c>
      <c r="K7738" s="13">
        <v>1</v>
      </c>
      <c r="M7738" s="123" t="b">
        <v>1</v>
      </c>
    </row>
    <row r="7739" spans="1:13" x14ac:dyDescent="0.25">
      <c r="D7739" s="13">
        <v>503</v>
      </c>
      <c r="E7739" s="136" t="str">
        <f>INDEX([1]道具配置表!$D:$D,MATCH(D7739,[1]道具配置表!$A:$A,0))</f>
        <v>5万资源自选宝箱</v>
      </c>
      <c r="F7739" s="13">
        <v>4</v>
      </c>
      <c r="K7739" s="13">
        <v>1</v>
      </c>
      <c r="M7739" s="123" t="b">
        <v>1</v>
      </c>
    </row>
    <row r="7740" spans="1:13" x14ac:dyDescent="0.25">
      <c r="A7740" s="13">
        <v>6667004</v>
      </c>
      <c r="B7740" s="13" t="s">
        <v>1743</v>
      </c>
      <c r="D7740" s="13">
        <v>56215</v>
      </c>
      <c r="E7740" s="136" t="str">
        <f>INDEX([1]道具配置表!$D:$D,MATCH(D7740,[1]道具配置表!$A:$A,0))</f>
        <v>蓝色宝石宝箱-随机</v>
      </c>
      <c r="F7740" s="13">
        <v>2</v>
      </c>
      <c r="K7740" s="13">
        <v>1</v>
      </c>
      <c r="M7740" s="123" t="b">
        <v>1</v>
      </c>
    </row>
    <row r="7741" spans="1:13" x14ac:dyDescent="0.25">
      <c r="D7741" s="13">
        <v>6122</v>
      </c>
      <c r="E7741" s="136" t="str">
        <f>INDEX([1]道具配置表!$D:$D,MATCH(D7741,[1]道具配置表!$A:$A,0))</f>
        <v>10分钟建造加速</v>
      </c>
      <c r="F7741" s="13">
        <v>6</v>
      </c>
      <c r="K7741" s="13">
        <v>1</v>
      </c>
      <c r="M7741" s="123" t="b">
        <v>1</v>
      </c>
    </row>
    <row r="7742" spans="1:13" x14ac:dyDescent="0.25">
      <c r="D7742" s="13">
        <v>6142</v>
      </c>
      <c r="E7742" s="136" t="str">
        <f>INDEX([1]道具配置表!$D:$D,MATCH(D7742,[1]道具配置表!$A:$A,0))</f>
        <v>10分钟科技加速</v>
      </c>
      <c r="F7742" s="13">
        <v>6</v>
      </c>
      <c r="K7742" s="13">
        <v>1</v>
      </c>
      <c r="M7742" s="123" t="b">
        <v>1</v>
      </c>
    </row>
    <row r="7743" spans="1:13" x14ac:dyDescent="0.25">
      <c r="D7743" s="13">
        <v>503</v>
      </c>
      <c r="E7743" s="136" t="str">
        <f>INDEX([1]道具配置表!$D:$D,MATCH(D7743,[1]道具配置表!$A:$A,0))</f>
        <v>5万资源自选宝箱</v>
      </c>
      <c r="F7743" s="13">
        <v>6</v>
      </c>
      <c r="K7743" s="13">
        <v>1</v>
      </c>
      <c r="M7743" s="123" t="b">
        <v>1</v>
      </c>
    </row>
    <row r="7744" spans="1:13" x14ac:dyDescent="0.25">
      <c r="A7744" s="13">
        <v>6667005</v>
      </c>
      <c r="B7744" s="13" t="s">
        <v>1744</v>
      </c>
      <c r="D7744" s="13">
        <v>56215</v>
      </c>
      <c r="E7744" s="136" t="str">
        <f>INDEX([1]道具配置表!$D:$D,MATCH(D7744,[1]道具配置表!$A:$A,0))</f>
        <v>蓝色宝石宝箱-随机</v>
      </c>
      <c r="F7744" s="13">
        <v>3</v>
      </c>
      <c r="K7744" s="13">
        <v>1</v>
      </c>
      <c r="M7744" s="123" t="b">
        <v>1</v>
      </c>
    </row>
    <row r="7745" spans="1:13" x14ac:dyDescent="0.25">
      <c r="D7745" s="13">
        <v>6122</v>
      </c>
      <c r="E7745" s="136" t="str">
        <f>INDEX([1]道具配置表!$D:$D,MATCH(D7745,[1]道具配置表!$A:$A,0))</f>
        <v>10分钟建造加速</v>
      </c>
      <c r="F7745" s="13">
        <v>6</v>
      </c>
      <c r="K7745" s="13">
        <v>1</v>
      </c>
      <c r="M7745" s="123" t="b">
        <v>1</v>
      </c>
    </row>
    <row r="7746" spans="1:13" x14ac:dyDescent="0.25">
      <c r="D7746" s="13">
        <v>6142</v>
      </c>
      <c r="E7746" s="136" t="str">
        <f>INDEX([1]道具配置表!$D:$D,MATCH(D7746,[1]道具配置表!$A:$A,0))</f>
        <v>10分钟科技加速</v>
      </c>
      <c r="F7746" s="13">
        <v>6</v>
      </c>
      <c r="K7746" s="13">
        <v>1</v>
      </c>
      <c r="M7746" s="123" t="b">
        <v>1</v>
      </c>
    </row>
    <row r="7747" spans="1:13" x14ac:dyDescent="0.25">
      <c r="D7747" s="13">
        <v>503</v>
      </c>
      <c r="E7747" s="136" t="str">
        <f>INDEX([1]道具配置表!$D:$D,MATCH(D7747,[1]道具配置表!$A:$A,0))</f>
        <v>5万资源自选宝箱</v>
      </c>
      <c r="F7747" s="13">
        <v>8</v>
      </c>
      <c r="K7747" s="13">
        <v>1</v>
      </c>
      <c r="M7747" s="123" t="b">
        <v>1</v>
      </c>
    </row>
    <row r="7748" spans="1:13" x14ac:dyDescent="0.25">
      <c r="A7748" s="13">
        <v>6667006</v>
      </c>
      <c r="B7748" s="13" t="s">
        <v>1745</v>
      </c>
      <c r="D7748" s="13">
        <v>56216</v>
      </c>
      <c r="E7748" s="136" t="str">
        <f>INDEX([1]道具配置表!$D:$D,MATCH(D7748,[1]道具配置表!$A:$A,0))</f>
        <v>紫色宝石宝箱-随机</v>
      </c>
      <c r="F7748" s="13">
        <v>1</v>
      </c>
      <c r="K7748" s="13">
        <v>1</v>
      </c>
      <c r="M7748" s="123" t="b">
        <v>1</v>
      </c>
    </row>
    <row r="7749" spans="1:13" x14ac:dyDescent="0.25">
      <c r="D7749" s="13">
        <v>6122</v>
      </c>
      <c r="E7749" s="136" t="str">
        <f>INDEX([1]道具配置表!$D:$D,MATCH(D7749,[1]道具配置表!$A:$A,0))</f>
        <v>10分钟建造加速</v>
      </c>
      <c r="F7749" s="13">
        <v>6</v>
      </c>
      <c r="K7749" s="13">
        <v>1</v>
      </c>
      <c r="M7749" s="123" t="b">
        <v>1</v>
      </c>
    </row>
    <row r="7750" spans="1:13" x14ac:dyDescent="0.25">
      <c r="D7750" s="13">
        <v>6142</v>
      </c>
      <c r="E7750" s="136" t="str">
        <f>INDEX([1]道具配置表!$D:$D,MATCH(D7750,[1]道具配置表!$A:$A,0))</f>
        <v>10分钟科技加速</v>
      </c>
      <c r="F7750" s="13">
        <v>6</v>
      </c>
      <c r="K7750" s="13">
        <v>1</v>
      </c>
      <c r="M7750" s="123" t="b">
        <v>1</v>
      </c>
    </row>
    <row r="7751" spans="1:13" x14ac:dyDescent="0.25">
      <c r="D7751" s="13">
        <v>503</v>
      </c>
      <c r="E7751" s="136" t="str">
        <f>INDEX([1]道具配置表!$D:$D,MATCH(D7751,[1]道具配置表!$A:$A,0))</f>
        <v>5万资源自选宝箱</v>
      </c>
      <c r="F7751" s="13">
        <v>10</v>
      </c>
      <c r="K7751" s="13">
        <v>1</v>
      </c>
      <c r="M7751" s="123" t="b">
        <v>1</v>
      </c>
    </row>
    <row r="7752" spans="1:13" x14ac:dyDescent="0.25">
      <c r="A7752" s="13">
        <v>6667101</v>
      </c>
      <c r="B7752" s="13" t="s">
        <v>1746</v>
      </c>
      <c r="D7752" s="13">
        <v>56214</v>
      </c>
      <c r="E7752" s="136" t="str">
        <f>INDEX([1]道具配置表!$D:$D,MATCH(D7752,[1]道具配置表!$A:$A,0))</f>
        <v>绿色宝石宝箱-随机</v>
      </c>
      <c r="F7752" s="13">
        <v>2</v>
      </c>
      <c r="K7752" s="13">
        <v>1</v>
      </c>
      <c r="M7752" s="123" t="b">
        <v>1</v>
      </c>
    </row>
    <row r="7753" spans="1:13" x14ac:dyDescent="0.25">
      <c r="D7753" s="13">
        <v>6165</v>
      </c>
      <c r="E7753" s="136" t="str">
        <f>INDEX([1]道具配置表!$D:$D,MATCH(D7753,[1]道具配置表!$A:$A,0))</f>
        <v>60分钟训练加速</v>
      </c>
      <c r="F7753" s="13">
        <v>2</v>
      </c>
      <c r="K7753" s="13">
        <v>1</v>
      </c>
      <c r="M7753" s="123" t="b">
        <v>1</v>
      </c>
    </row>
    <row r="7754" spans="1:13" x14ac:dyDescent="0.25">
      <c r="D7754" s="13">
        <v>6201</v>
      </c>
      <c r="E7754" s="136" t="str">
        <f>INDEX([1]道具配置表!$D:$D,MATCH(D7754,[1]道具配置表!$A:$A,0))</f>
        <v>60分钟锻造加速</v>
      </c>
      <c r="F7754" s="13">
        <v>2</v>
      </c>
      <c r="K7754" s="13">
        <v>1</v>
      </c>
      <c r="M7754" s="123" t="b">
        <v>1</v>
      </c>
    </row>
    <row r="7755" spans="1:13" x14ac:dyDescent="0.25">
      <c r="D7755" s="13">
        <v>56001</v>
      </c>
      <c r="E7755" s="136" t="str">
        <f>INDEX([1]道具配置表!$D:$D,MATCH(D7755,[1]道具配置表!$A:$A,0))</f>
        <v>锻造装备消耗材料</v>
      </c>
      <c r="F7755" s="13">
        <v>3000</v>
      </c>
      <c r="K7755" s="13">
        <v>1</v>
      </c>
      <c r="M7755" s="123" t="b">
        <v>1</v>
      </c>
    </row>
    <row r="7756" spans="1:13" x14ac:dyDescent="0.25">
      <c r="A7756" s="13">
        <v>6667102</v>
      </c>
      <c r="B7756" s="13" t="s">
        <v>1747</v>
      </c>
      <c r="D7756" s="13">
        <v>56213</v>
      </c>
      <c r="E7756" s="136" t="str">
        <f>INDEX([1]道具配置表!$D:$D,MATCH(D7756,[1]道具配置表!$A:$A,0))</f>
        <v>白色宝石宝箱-随机</v>
      </c>
      <c r="F7756" s="13">
        <v>2</v>
      </c>
      <c r="K7756" s="13">
        <v>1</v>
      </c>
      <c r="M7756" s="123" t="b">
        <v>1</v>
      </c>
    </row>
    <row r="7757" spans="1:13" x14ac:dyDescent="0.25">
      <c r="D7757" s="13">
        <v>6165</v>
      </c>
      <c r="E7757" s="136" t="str">
        <f>INDEX([1]道具配置表!$D:$D,MATCH(D7757,[1]道具配置表!$A:$A,0))</f>
        <v>60分钟训练加速</v>
      </c>
      <c r="F7757" s="13">
        <v>1</v>
      </c>
      <c r="K7757" s="13">
        <v>1</v>
      </c>
      <c r="M7757" s="123" t="b">
        <v>1</v>
      </c>
    </row>
    <row r="7758" spans="1:13" x14ac:dyDescent="0.25">
      <c r="D7758" s="13">
        <v>6201</v>
      </c>
      <c r="E7758" s="136" t="str">
        <f>INDEX([1]道具配置表!$D:$D,MATCH(D7758,[1]道具配置表!$A:$A,0))</f>
        <v>60分钟锻造加速</v>
      </c>
      <c r="F7758" s="13">
        <v>1</v>
      </c>
      <c r="K7758" s="13">
        <v>1</v>
      </c>
      <c r="M7758" s="123" t="b">
        <v>1</v>
      </c>
    </row>
    <row r="7759" spans="1:13" x14ac:dyDescent="0.25">
      <c r="D7759" s="13">
        <v>56001</v>
      </c>
      <c r="E7759" s="136" t="str">
        <f>INDEX([1]道具配置表!$D:$D,MATCH(D7759,[1]道具配置表!$A:$A,0))</f>
        <v>锻造装备消耗材料</v>
      </c>
      <c r="F7759" s="13">
        <v>2000</v>
      </c>
      <c r="K7759" s="13">
        <v>1</v>
      </c>
      <c r="M7759" s="123" t="b">
        <v>1</v>
      </c>
    </row>
    <row r="7760" spans="1:13" x14ac:dyDescent="0.25">
      <c r="A7760" s="13">
        <v>6667201</v>
      </c>
      <c r="B7760" s="13" t="s">
        <v>1794</v>
      </c>
      <c r="D7760" s="13">
        <v>2007</v>
      </c>
      <c r="E7760" s="136" t="str">
        <f>INDEX([1]道具配置表!$D:$D,MATCH(D7760,[1]道具配置表!$A:$A,0))</f>
        <v>大奖池招募券</v>
      </c>
      <c r="F7760" s="13">
        <v>1</v>
      </c>
      <c r="K7760" s="13">
        <v>1</v>
      </c>
      <c r="M7760" s="123" t="b">
        <v>1</v>
      </c>
    </row>
    <row r="7761" spans="1:13" x14ac:dyDescent="0.25">
      <c r="B7761" s="13" t="s">
        <v>119</v>
      </c>
      <c r="D7761" s="13">
        <v>7003</v>
      </c>
      <c r="E7761" s="136" t="str">
        <f>INDEX([1]道具配置表!$D:$D,MATCH(D7761,[1]道具配置表!$A:$A,0))</f>
        <v>1银币（立即使用，不进背包）</v>
      </c>
      <c r="F7761" s="13">
        <v>200</v>
      </c>
      <c r="K7761" s="13">
        <v>1</v>
      </c>
      <c r="M7761" s="123" t="b">
        <v>1</v>
      </c>
    </row>
    <row r="7762" spans="1:13" x14ac:dyDescent="0.25">
      <c r="B7762" s="13" t="s">
        <v>119</v>
      </c>
      <c r="D7762" s="13">
        <v>7229</v>
      </c>
      <c r="E7762" s="136" t="str">
        <f>INDEX([1]道具配置表!$D:$D,MATCH(D7762,[1]道具配置表!$A:$A,0))</f>
        <v>经验书*50000</v>
      </c>
      <c r="F7762" s="13">
        <v>1</v>
      </c>
      <c r="K7762" s="13">
        <v>1</v>
      </c>
      <c r="M7762" s="123" t="b">
        <v>1</v>
      </c>
    </row>
    <row r="7763" spans="1:13" x14ac:dyDescent="0.25">
      <c r="B7763" s="13" t="s">
        <v>119</v>
      </c>
      <c r="D7763" s="13">
        <v>20000</v>
      </c>
      <c r="E7763" s="136" t="str">
        <f>INDEX([1]道具配置表!$D:$D,MATCH(D7763,[1]道具配置表!$A:$A,0))</f>
        <v>技能点1</v>
      </c>
      <c r="F7763" s="13">
        <v>200</v>
      </c>
      <c r="K7763" s="13">
        <v>1</v>
      </c>
      <c r="M7763" s="123" t="b">
        <v>1</v>
      </c>
    </row>
    <row r="7764" spans="1:13" x14ac:dyDescent="0.25">
      <c r="A7764" s="13">
        <v>6667202</v>
      </c>
      <c r="B7764" s="13" t="s">
        <v>1795</v>
      </c>
      <c r="D7764" s="13">
        <v>2007</v>
      </c>
      <c r="E7764" s="136" t="str">
        <f>INDEX([1]道具配置表!$D:$D,MATCH(D7764,[1]道具配置表!$A:$A,0))</f>
        <v>大奖池招募券</v>
      </c>
      <c r="F7764" s="13">
        <v>1</v>
      </c>
      <c r="K7764" s="13">
        <v>1</v>
      </c>
      <c r="M7764" s="123" t="b">
        <v>1</v>
      </c>
    </row>
    <row r="7765" spans="1:13" x14ac:dyDescent="0.25">
      <c r="B7765" s="13" t="s">
        <v>119</v>
      </c>
      <c r="D7765" s="13">
        <v>7003</v>
      </c>
      <c r="E7765" s="136" t="str">
        <f>INDEX([1]道具配置表!$D:$D,MATCH(D7765,[1]道具配置表!$A:$A,0))</f>
        <v>1银币（立即使用，不进背包）</v>
      </c>
      <c r="F7765" s="13">
        <v>250</v>
      </c>
      <c r="K7765" s="13">
        <v>1</v>
      </c>
      <c r="M7765" s="123" t="b">
        <v>1</v>
      </c>
    </row>
    <row r="7766" spans="1:13" x14ac:dyDescent="0.25">
      <c r="B7766" s="13" t="s">
        <v>119</v>
      </c>
      <c r="D7766" s="13">
        <v>7229</v>
      </c>
      <c r="E7766" s="136" t="str">
        <f>INDEX([1]道具配置表!$D:$D,MATCH(D7766,[1]道具配置表!$A:$A,0))</f>
        <v>经验书*50000</v>
      </c>
      <c r="F7766" s="13">
        <v>2</v>
      </c>
      <c r="K7766" s="13">
        <v>1</v>
      </c>
      <c r="M7766" s="123" t="b">
        <v>1</v>
      </c>
    </row>
    <row r="7767" spans="1:13" x14ac:dyDescent="0.25">
      <c r="B7767" s="13" t="s">
        <v>119</v>
      </c>
      <c r="D7767" s="13">
        <v>20000</v>
      </c>
      <c r="E7767" s="136" t="str">
        <f>INDEX([1]道具配置表!$D:$D,MATCH(D7767,[1]道具配置表!$A:$A,0))</f>
        <v>技能点1</v>
      </c>
      <c r="F7767" s="13">
        <v>400</v>
      </c>
      <c r="K7767" s="13">
        <v>1</v>
      </c>
      <c r="M7767" s="123" t="b">
        <v>1</v>
      </c>
    </row>
    <row r="7768" spans="1:13" x14ac:dyDescent="0.25">
      <c r="A7768" s="13">
        <v>6667203</v>
      </c>
      <c r="B7768" s="13" t="s">
        <v>1796</v>
      </c>
      <c r="D7768" s="13">
        <v>2007</v>
      </c>
      <c r="E7768" s="136" t="str">
        <f>INDEX([1]道具配置表!$D:$D,MATCH(D7768,[1]道具配置表!$A:$A,0))</f>
        <v>大奖池招募券</v>
      </c>
      <c r="F7768" s="13">
        <v>1</v>
      </c>
      <c r="K7768" s="13">
        <v>1</v>
      </c>
      <c r="M7768" s="123" t="b">
        <v>1</v>
      </c>
    </row>
    <row r="7769" spans="1:13" x14ac:dyDescent="0.25">
      <c r="B7769" s="13" t="s">
        <v>119</v>
      </c>
      <c r="D7769" s="13">
        <v>7003</v>
      </c>
      <c r="E7769" s="136" t="str">
        <f>INDEX([1]道具配置表!$D:$D,MATCH(D7769,[1]道具配置表!$A:$A,0))</f>
        <v>1银币（立即使用，不进背包）</v>
      </c>
      <c r="F7769" s="13">
        <v>300</v>
      </c>
      <c r="K7769" s="13">
        <v>1</v>
      </c>
      <c r="M7769" s="123" t="b">
        <v>1</v>
      </c>
    </row>
    <row r="7770" spans="1:13" x14ac:dyDescent="0.25">
      <c r="B7770" s="13" t="s">
        <v>119</v>
      </c>
      <c r="D7770" s="13">
        <v>7229</v>
      </c>
      <c r="E7770" s="136" t="str">
        <f>INDEX([1]道具配置表!$D:$D,MATCH(D7770,[1]道具配置表!$A:$A,0))</f>
        <v>经验书*50000</v>
      </c>
      <c r="F7770" s="13">
        <v>3</v>
      </c>
      <c r="K7770" s="13">
        <v>1</v>
      </c>
      <c r="M7770" s="123" t="b">
        <v>1</v>
      </c>
    </row>
    <row r="7771" spans="1:13" x14ac:dyDescent="0.25">
      <c r="B7771" s="13" t="s">
        <v>119</v>
      </c>
      <c r="D7771" s="13">
        <v>20000</v>
      </c>
      <c r="E7771" s="136" t="str">
        <f>INDEX([1]道具配置表!$D:$D,MATCH(D7771,[1]道具配置表!$A:$A,0))</f>
        <v>技能点1</v>
      </c>
      <c r="F7771" s="13">
        <v>600</v>
      </c>
      <c r="K7771" s="13">
        <v>1</v>
      </c>
      <c r="M7771" s="123" t="b">
        <v>1</v>
      </c>
    </row>
    <row r="7772" spans="1:13" x14ac:dyDescent="0.25">
      <c r="A7772" s="13">
        <v>6667204</v>
      </c>
      <c r="B7772" s="13" t="s">
        <v>1797</v>
      </c>
      <c r="D7772" s="13">
        <v>2007</v>
      </c>
      <c r="E7772" s="136" t="str">
        <f>INDEX([1]道具配置表!$D:$D,MATCH(D7772,[1]道具配置表!$A:$A,0))</f>
        <v>大奖池招募券</v>
      </c>
      <c r="F7772" s="13">
        <v>1</v>
      </c>
      <c r="K7772" s="13">
        <v>1</v>
      </c>
      <c r="M7772" s="123" t="b">
        <v>1</v>
      </c>
    </row>
    <row r="7773" spans="1:13" x14ac:dyDescent="0.25">
      <c r="B7773" s="13" t="s">
        <v>119</v>
      </c>
      <c r="D7773" s="13">
        <v>7003</v>
      </c>
      <c r="E7773" s="136" t="str">
        <f>INDEX([1]道具配置表!$D:$D,MATCH(D7773,[1]道具配置表!$A:$A,0))</f>
        <v>1银币（立即使用，不进背包）</v>
      </c>
      <c r="F7773" s="13">
        <v>350</v>
      </c>
      <c r="K7773" s="13">
        <v>1</v>
      </c>
      <c r="M7773" s="123" t="b">
        <v>1</v>
      </c>
    </row>
    <row r="7774" spans="1:13" x14ac:dyDescent="0.25">
      <c r="B7774" s="13" t="s">
        <v>119</v>
      </c>
      <c r="D7774" s="13">
        <v>7229</v>
      </c>
      <c r="E7774" s="136" t="str">
        <f>INDEX([1]道具配置表!$D:$D,MATCH(D7774,[1]道具配置表!$A:$A,0))</f>
        <v>经验书*50000</v>
      </c>
      <c r="F7774" s="13">
        <v>4</v>
      </c>
      <c r="K7774" s="13">
        <v>1</v>
      </c>
      <c r="M7774" s="123" t="b">
        <v>1</v>
      </c>
    </row>
    <row r="7775" spans="1:13" x14ac:dyDescent="0.25">
      <c r="B7775" s="13" t="s">
        <v>119</v>
      </c>
      <c r="D7775" s="13">
        <v>20000</v>
      </c>
      <c r="E7775" s="136" t="str">
        <f>INDEX([1]道具配置表!$D:$D,MATCH(D7775,[1]道具配置表!$A:$A,0))</f>
        <v>技能点1</v>
      </c>
      <c r="F7775" s="13">
        <v>800</v>
      </c>
      <c r="K7775" s="13">
        <v>1</v>
      </c>
      <c r="M7775" s="123" t="b">
        <v>1</v>
      </c>
    </row>
    <row r="7776" spans="1:13" x14ac:dyDescent="0.25">
      <c r="A7776" s="13">
        <v>6667205</v>
      </c>
      <c r="B7776" s="13" t="s">
        <v>1798</v>
      </c>
      <c r="D7776" s="13">
        <v>2007</v>
      </c>
      <c r="E7776" s="136" t="str">
        <f>INDEX([1]道具配置表!$D:$D,MATCH(D7776,[1]道具配置表!$A:$A,0))</f>
        <v>大奖池招募券</v>
      </c>
      <c r="F7776" s="13">
        <v>1</v>
      </c>
      <c r="K7776" s="13">
        <v>1</v>
      </c>
      <c r="M7776" s="123" t="b">
        <v>1</v>
      </c>
    </row>
    <row r="7777" spans="1:13" x14ac:dyDescent="0.25">
      <c r="B7777" s="13" t="s">
        <v>119</v>
      </c>
      <c r="D7777" s="13">
        <v>7003</v>
      </c>
      <c r="E7777" s="136" t="str">
        <f>INDEX([1]道具配置表!$D:$D,MATCH(D7777,[1]道具配置表!$A:$A,0))</f>
        <v>1银币（立即使用，不进背包）</v>
      </c>
      <c r="F7777" s="13">
        <v>400</v>
      </c>
      <c r="K7777" s="13">
        <v>1</v>
      </c>
      <c r="M7777" s="123" t="b">
        <v>1</v>
      </c>
    </row>
    <row r="7778" spans="1:13" x14ac:dyDescent="0.25">
      <c r="B7778" s="13" t="s">
        <v>119</v>
      </c>
      <c r="D7778" s="13">
        <v>7229</v>
      </c>
      <c r="E7778" s="136" t="str">
        <f>INDEX([1]道具配置表!$D:$D,MATCH(D7778,[1]道具配置表!$A:$A,0))</f>
        <v>经验书*50000</v>
      </c>
      <c r="F7778" s="13">
        <v>5</v>
      </c>
      <c r="K7778" s="13">
        <v>1</v>
      </c>
      <c r="M7778" s="123" t="b">
        <v>1</v>
      </c>
    </row>
    <row r="7779" spans="1:13" x14ac:dyDescent="0.25">
      <c r="B7779" s="13" t="s">
        <v>119</v>
      </c>
      <c r="D7779" s="13">
        <v>20000</v>
      </c>
      <c r="E7779" s="136" t="str">
        <f>INDEX([1]道具配置表!$D:$D,MATCH(D7779,[1]道具配置表!$A:$A,0))</f>
        <v>技能点1</v>
      </c>
      <c r="F7779" s="13">
        <v>1000</v>
      </c>
      <c r="K7779" s="13">
        <v>1</v>
      </c>
      <c r="M7779" s="123" t="b">
        <v>1</v>
      </c>
    </row>
    <row r="7780" spans="1:13" x14ac:dyDescent="0.25">
      <c r="A7780" s="13">
        <v>6667206</v>
      </c>
      <c r="B7780" s="13" t="s">
        <v>1799</v>
      </c>
      <c r="D7780" s="13">
        <v>2007</v>
      </c>
      <c r="E7780" s="136" t="str">
        <f>INDEX([1]道具配置表!$D:$D,MATCH(D7780,[1]道具配置表!$A:$A,0))</f>
        <v>大奖池招募券</v>
      </c>
      <c r="F7780" s="13">
        <v>1</v>
      </c>
      <c r="K7780" s="13">
        <v>1</v>
      </c>
      <c r="M7780" s="123" t="b">
        <v>1</v>
      </c>
    </row>
    <row r="7781" spans="1:13" x14ac:dyDescent="0.25">
      <c r="B7781" s="13" t="s">
        <v>119</v>
      </c>
      <c r="D7781" s="13">
        <v>7003</v>
      </c>
      <c r="E7781" s="136" t="str">
        <f>INDEX([1]道具配置表!$D:$D,MATCH(D7781,[1]道具配置表!$A:$A,0))</f>
        <v>1银币（立即使用，不进背包）</v>
      </c>
      <c r="F7781" s="13">
        <v>450</v>
      </c>
      <c r="K7781" s="13">
        <v>1</v>
      </c>
      <c r="M7781" s="123" t="b">
        <v>1</v>
      </c>
    </row>
    <row r="7782" spans="1:13" x14ac:dyDescent="0.25">
      <c r="B7782" s="13" t="s">
        <v>119</v>
      </c>
      <c r="D7782" s="13">
        <v>7229</v>
      </c>
      <c r="E7782" s="136" t="str">
        <f>INDEX([1]道具配置表!$D:$D,MATCH(D7782,[1]道具配置表!$A:$A,0))</f>
        <v>经验书*50000</v>
      </c>
      <c r="F7782" s="13">
        <v>6</v>
      </c>
      <c r="K7782" s="13">
        <v>1</v>
      </c>
      <c r="M7782" s="123" t="b">
        <v>1</v>
      </c>
    </row>
    <row r="7783" spans="1:13" x14ac:dyDescent="0.25">
      <c r="B7783" s="13" t="s">
        <v>119</v>
      </c>
      <c r="D7783" s="13">
        <v>20000</v>
      </c>
      <c r="E7783" s="136" t="str">
        <f>INDEX([1]道具配置表!$D:$D,MATCH(D7783,[1]道具配置表!$A:$A,0))</f>
        <v>技能点1</v>
      </c>
      <c r="F7783" s="13">
        <v>1200</v>
      </c>
      <c r="K7783" s="13">
        <v>1</v>
      </c>
      <c r="M7783" s="123" t="b">
        <v>1</v>
      </c>
    </row>
    <row r="7784" spans="1:13" x14ac:dyDescent="0.25">
      <c r="A7784" s="13">
        <v>6667207</v>
      </c>
      <c r="B7784" s="13" t="s">
        <v>1800</v>
      </c>
      <c r="D7784" s="13">
        <v>2007</v>
      </c>
      <c r="E7784" s="136" t="str">
        <f>INDEX([1]道具配置表!$D:$D,MATCH(D7784,[1]道具配置表!$A:$A,0))</f>
        <v>大奖池招募券</v>
      </c>
      <c r="F7784" s="13">
        <v>1</v>
      </c>
      <c r="K7784" s="13">
        <v>1</v>
      </c>
      <c r="M7784" s="123" t="b">
        <v>1</v>
      </c>
    </row>
    <row r="7785" spans="1:13" x14ac:dyDescent="0.25">
      <c r="B7785" s="13" t="s">
        <v>119</v>
      </c>
      <c r="D7785" s="13">
        <v>7003</v>
      </c>
      <c r="E7785" s="136" t="str">
        <f>INDEX([1]道具配置表!$D:$D,MATCH(D7785,[1]道具配置表!$A:$A,0))</f>
        <v>1银币（立即使用，不进背包）</v>
      </c>
      <c r="F7785" s="13">
        <v>500</v>
      </c>
      <c r="K7785" s="13">
        <v>1</v>
      </c>
      <c r="M7785" s="123" t="b">
        <v>1</v>
      </c>
    </row>
    <row r="7786" spans="1:13" x14ac:dyDescent="0.25">
      <c r="B7786" s="13" t="s">
        <v>119</v>
      </c>
      <c r="D7786" s="13">
        <v>7229</v>
      </c>
      <c r="E7786" s="136" t="str">
        <f>INDEX([1]道具配置表!$D:$D,MATCH(D7786,[1]道具配置表!$A:$A,0))</f>
        <v>经验书*50000</v>
      </c>
      <c r="F7786" s="13">
        <v>7</v>
      </c>
      <c r="K7786" s="13">
        <v>1</v>
      </c>
      <c r="M7786" s="123" t="b">
        <v>1</v>
      </c>
    </row>
    <row r="7787" spans="1:13" x14ac:dyDescent="0.25">
      <c r="B7787" s="13" t="s">
        <v>119</v>
      </c>
      <c r="D7787" s="13">
        <v>20000</v>
      </c>
      <c r="E7787" s="136" t="str">
        <f>INDEX([1]道具配置表!$D:$D,MATCH(D7787,[1]道具配置表!$A:$A,0))</f>
        <v>技能点1</v>
      </c>
      <c r="F7787" s="13">
        <v>1400</v>
      </c>
      <c r="K7787" s="13">
        <v>1</v>
      </c>
      <c r="M7787" s="123" t="b">
        <v>1</v>
      </c>
    </row>
    <row r="7788" spans="1:13" x14ac:dyDescent="0.25">
      <c r="A7788" s="13">
        <v>6667208</v>
      </c>
      <c r="B7788" s="13" t="s">
        <v>1801</v>
      </c>
      <c r="D7788" s="13">
        <v>2007</v>
      </c>
      <c r="E7788" s="136" t="str">
        <f>INDEX([1]道具配置表!$D:$D,MATCH(D7788,[1]道具配置表!$A:$A,0))</f>
        <v>大奖池招募券</v>
      </c>
      <c r="F7788" s="13">
        <v>1</v>
      </c>
      <c r="K7788" s="13">
        <v>1</v>
      </c>
      <c r="M7788" s="123" t="b">
        <v>1</v>
      </c>
    </row>
    <row r="7789" spans="1:13" x14ac:dyDescent="0.25">
      <c r="B7789" s="13" t="s">
        <v>119</v>
      </c>
      <c r="D7789" s="13">
        <v>7003</v>
      </c>
      <c r="E7789" s="136" t="str">
        <f>INDEX([1]道具配置表!$D:$D,MATCH(D7789,[1]道具配置表!$A:$A,0))</f>
        <v>1银币（立即使用，不进背包）</v>
      </c>
      <c r="F7789" s="13">
        <v>550</v>
      </c>
      <c r="K7789" s="13">
        <v>1</v>
      </c>
      <c r="M7789" s="123" t="b">
        <v>1</v>
      </c>
    </row>
    <row r="7790" spans="1:13" x14ac:dyDescent="0.25">
      <c r="B7790" s="13" t="s">
        <v>119</v>
      </c>
      <c r="D7790" s="13">
        <v>7229</v>
      </c>
      <c r="E7790" s="136" t="str">
        <f>INDEX([1]道具配置表!$D:$D,MATCH(D7790,[1]道具配置表!$A:$A,0))</f>
        <v>经验书*50000</v>
      </c>
      <c r="F7790" s="13">
        <v>8</v>
      </c>
      <c r="K7790" s="13">
        <v>1</v>
      </c>
      <c r="M7790" s="123" t="b">
        <v>1</v>
      </c>
    </row>
    <row r="7791" spans="1:13" x14ac:dyDescent="0.25">
      <c r="B7791" s="13" t="s">
        <v>119</v>
      </c>
      <c r="D7791" s="13">
        <v>20000</v>
      </c>
      <c r="E7791" s="136" t="str">
        <f>INDEX([1]道具配置表!$D:$D,MATCH(D7791,[1]道具配置表!$A:$A,0))</f>
        <v>技能点1</v>
      </c>
      <c r="F7791" s="13">
        <v>1600</v>
      </c>
      <c r="K7791" s="13">
        <v>1</v>
      </c>
      <c r="M7791" s="123" t="b">
        <v>1</v>
      </c>
    </row>
    <row r="7792" spans="1:13" x14ac:dyDescent="0.25">
      <c r="A7792" s="13">
        <v>6667209</v>
      </c>
      <c r="B7792" s="13" t="s">
        <v>1802</v>
      </c>
      <c r="D7792" s="13">
        <v>2007</v>
      </c>
      <c r="E7792" s="136" t="str">
        <f>INDEX([1]道具配置表!$D:$D,MATCH(D7792,[1]道具配置表!$A:$A,0))</f>
        <v>大奖池招募券</v>
      </c>
      <c r="F7792" s="13">
        <v>1</v>
      </c>
      <c r="K7792" s="13">
        <v>1</v>
      </c>
      <c r="M7792" s="123" t="b">
        <v>1</v>
      </c>
    </row>
    <row r="7793" spans="1:13" x14ac:dyDescent="0.25">
      <c r="B7793" s="13" t="s">
        <v>119</v>
      </c>
      <c r="D7793" s="13">
        <v>7003</v>
      </c>
      <c r="E7793" s="136" t="str">
        <f>INDEX([1]道具配置表!$D:$D,MATCH(D7793,[1]道具配置表!$A:$A,0))</f>
        <v>1银币（立即使用，不进背包）</v>
      </c>
      <c r="F7793" s="13">
        <v>600</v>
      </c>
      <c r="K7793" s="13">
        <v>1</v>
      </c>
      <c r="M7793" s="123" t="b">
        <v>1</v>
      </c>
    </row>
    <row r="7794" spans="1:13" x14ac:dyDescent="0.25">
      <c r="B7794" s="13" t="s">
        <v>119</v>
      </c>
      <c r="D7794" s="13">
        <v>7229</v>
      </c>
      <c r="E7794" s="136" t="str">
        <f>INDEX([1]道具配置表!$D:$D,MATCH(D7794,[1]道具配置表!$A:$A,0))</f>
        <v>经验书*50000</v>
      </c>
      <c r="F7794" s="13">
        <v>9</v>
      </c>
      <c r="K7794" s="13">
        <v>1</v>
      </c>
      <c r="M7794" s="123" t="b">
        <v>1</v>
      </c>
    </row>
    <row r="7795" spans="1:13" x14ac:dyDescent="0.25">
      <c r="B7795" s="13" t="s">
        <v>119</v>
      </c>
      <c r="D7795" s="13">
        <v>20000</v>
      </c>
      <c r="E7795" s="136" t="str">
        <f>INDEX([1]道具配置表!$D:$D,MATCH(D7795,[1]道具配置表!$A:$A,0))</f>
        <v>技能点1</v>
      </c>
      <c r="F7795" s="13">
        <v>1800</v>
      </c>
      <c r="K7795" s="13">
        <v>1</v>
      </c>
      <c r="M7795" s="123" t="b">
        <v>1</v>
      </c>
    </row>
    <row r="7796" spans="1:13" x14ac:dyDescent="0.25">
      <c r="A7796" s="13">
        <v>6667210</v>
      </c>
      <c r="B7796" s="13" t="s">
        <v>1803</v>
      </c>
      <c r="D7796" s="13">
        <v>2007</v>
      </c>
      <c r="E7796" s="136" t="str">
        <f>INDEX([1]道具配置表!$D:$D,MATCH(D7796,[1]道具配置表!$A:$A,0))</f>
        <v>大奖池招募券</v>
      </c>
      <c r="F7796" s="13">
        <v>1</v>
      </c>
      <c r="K7796" s="13">
        <v>1</v>
      </c>
      <c r="M7796" s="123" t="b">
        <v>1</v>
      </c>
    </row>
    <row r="7797" spans="1:13" x14ac:dyDescent="0.25">
      <c r="B7797" s="13" t="s">
        <v>119</v>
      </c>
      <c r="D7797" s="13">
        <v>7003</v>
      </c>
      <c r="E7797" s="136" t="str">
        <f>INDEX([1]道具配置表!$D:$D,MATCH(D7797,[1]道具配置表!$A:$A,0))</f>
        <v>1银币（立即使用，不进背包）</v>
      </c>
      <c r="F7797" s="13">
        <v>650</v>
      </c>
      <c r="K7797" s="13">
        <v>1</v>
      </c>
      <c r="M7797" s="123" t="b">
        <v>1</v>
      </c>
    </row>
    <row r="7798" spans="1:13" x14ac:dyDescent="0.25">
      <c r="B7798" s="13" t="s">
        <v>119</v>
      </c>
      <c r="D7798" s="13">
        <v>7229</v>
      </c>
      <c r="E7798" s="136" t="str">
        <f>INDEX([1]道具配置表!$D:$D,MATCH(D7798,[1]道具配置表!$A:$A,0))</f>
        <v>经验书*50000</v>
      </c>
      <c r="F7798" s="13">
        <v>10</v>
      </c>
      <c r="K7798" s="13">
        <v>1</v>
      </c>
      <c r="M7798" s="123" t="b">
        <v>1</v>
      </c>
    </row>
    <row r="7799" spans="1:13" x14ac:dyDescent="0.25">
      <c r="B7799" s="13" t="s">
        <v>119</v>
      </c>
      <c r="D7799" s="13">
        <v>20000</v>
      </c>
      <c r="E7799" s="136" t="str">
        <f>INDEX([1]道具配置表!$D:$D,MATCH(D7799,[1]道具配置表!$A:$A,0))</f>
        <v>技能点1</v>
      </c>
      <c r="F7799" s="13">
        <v>2000</v>
      </c>
      <c r="K7799" s="13">
        <v>1</v>
      </c>
      <c r="M7799" s="123" t="b">
        <v>1</v>
      </c>
    </row>
    <row r="7800" spans="1:13" x14ac:dyDescent="0.25">
      <c r="A7800" s="13">
        <v>6667211</v>
      </c>
      <c r="B7800" s="13" t="s">
        <v>1804</v>
      </c>
      <c r="D7800" s="13">
        <v>2007</v>
      </c>
      <c r="E7800" s="136" t="str">
        <f>INDEX([1]道具配置表!$D:$D,MATCH(D7800,[1]道具配置表!$A:$A,0))</f>
        <v>大奖池招募券</v>
      </c>
      <c r="F7800" s="13">
        <v>1</v>
      </c>
      <c r="K7800" s="13">
        <v>1</v>
      </c>
      <c r="M7800" s="123" t="b">
        <v>1</v>
      </c>
    </row>
    <row r="7801" spans="1:13" x14ac:dyDescent="0.25">
      <c r="B7801" s="13" t="s">
        <v>119</v>
      </c>
      <c r="D7801" s="13">
        <v>7003</v>
      </c>
      <c r="E7801" s="136" t="str">
        <f>INDEX([1]道具配置表!$D:$D,MATCH(D7801,[1]道具配置表!$A:$A,0))</f>
        <v>1银币（立即使用，不进背包）</v>
      </c>
      <c r="F7801" s="13">
        <v>700</v>
      </c>
      <c r="K7801" s="13">
        <v>1</v>
      </c>
      <c r="M7801" s="123" t="b">
        <v>1</v>
      </c>
    </row>
    <row r="7802" spans="1:13" x14ac:dyDescent="0.25">
      <c r="B7802" s="13" t="s">
        <v>119</v>
      </c>
      <c r="D7802" s="13">
        <v>7229</v>
      </c>
      <c r="E7802" s="136" t="str">
        <f>INDEX([1]道具配置表!$D:$D,MATCH(D7802,[1]道具配置表!$A:$A,0))</f>
        <v>经验书*50000</v>
      </c>
      <c r="F7802" s="13">
        <v>11</v>
      </c>
      <c r="K7802" s="13">
        <v>1</v>
      </c>
      <c r="M7802" s="123" t="b">
        <v>1</v>
      </c>
    </row>
    <row r="7803" spans="1:13" x14ac:dyDescent="0.25">
      <c r="B7803" s="13" t="s">
        <v>119</v>
      </c>
      <c r="D7803" s="13">
        <v>20000</v>
      </c>
      <c r="E7803" s="136" t="str">
        <f>INDEX([1]道具配置表!$D:$D,MATCH(D7803,[1]道具配置表!$A:$A,0))</f>
        <v>技能点1</v>
      </c>
      <c r="F7803" s="13">
        <v>2200</v>
      </c>
      <c r="K7803" s="13">
        <v>1</v>
      </c>
      <c r="M7803" s="123" t="b">
        <v>1</v>
      </c>
    </row>
    <row r="7804" spans="1:13" x14ac:dyDescent="0.25">
      <c r="A7804" s="13">
        <v>6667212</v>
      </c>
      <c r="B7804" s="13" t="s">
        <v>1805</v>
      </c>
      <c r="D7804" s="13">
        <v>2007</v>
      </c>
      <c r="E7804" s="136" t="str">
        <f>INDEX([1]道具配置表!$D:$D,MATCH(D7804,[1]道具配置表!$A:$A,0))</f>
        <v>大奖池招募券</v>
      </c>
      <c r="F7804" s="13">
        <v>2</v>
      </c>
      <c r="K7804" s="13">
        <v>1</v>
      </c>
      <c r="M7804" s="123" t="b">
        <v>1</v>
      </c>
    </row>
    <row r="7805" spans="1:13" x14ac:dyDescent="0.25">
      <c r="B7805" s="13" t="s">
        <v>119</v>
      </c>
      <c r="D7805" s="13">
        <v>7003</v>
      </c>
      <c r="E7805" s="136" t="str">
        <f>INDEX([1]道具配置表!$D:$D,MATCH(D7805,[1]道具配置表!$A:$A,0))</f>
        <v>1银币（立即使用，不进背包）</v>
      </c>
      <c r="F7805" s="13">
        <v>750</v>
      </c>
      <c r="K7805" s="13">
        <v>1</v>
      </c>
      <c r="M7805" s="123" t="b">
        <v>1</v>
      </c>
    </row>
    <row r="7806" spans="1:13" x14ac:dyDescent="0.25">
      <c r="B7806" s="13" t="s">
        <v>119</v>
      </c>
      <c r="D7806" s="13">
        <v>7229</v>
      </c>
      <c r="E7806" s="136" t="str">
        <f>INDEX([1]道具配置表!$D:$D,MATCH(D7806,[1]道具配置表!$A:$A,0))</f>
        <v>经验书*50000</v>
      </c>
      <c r="F7806" s="13">
        <v>12</v>
      </c>
      <c r="K7806" s="13">
        <v>1</v>
      </c>
      <c r="M7806" s="123" t="b">
        <v>1</v>
      </c>
    </row>
    <row r="7807" spans="1:13" x14ac:dyDescent="0.25">
      <c r="B7807" s="13" t="s">
        <v>119</v>
      </c>
      <c r="D7807" s="13">
        <v>20000</v>
      </c>
      <c r="E7807" s="136" t="str">
        <f>INDEX([1]道具配置表!$D:$D,MATCH(D7807,[1]道具配置表!$A:$A,0))</f>
        <v>技能点1</v>
      </c>
      <c r="F7807" s="13">
        <v>2400</v>
      </c>
      <c r="K7807" s="13">
        <v>1</v>
      </c>
      <c r="M7807" s="123" t="b">
        <v>1</v>
      </c>
    </row>
    <row r="7808" spans="1:13" x14ac:dyDescent="0.25">
      <c r="A7808" s="13">
        <v>6667213</v>
      </c>
      <c r="B7808" s="13" t="s">
        <v>1806</v>
      </c>
      <c r="D7808" s="13">
        <v>2007</v>
      </c>
      <c r="E7808" s="136" t="str">
        <f>INDEX([1]道具配置表!$D:$D,MATCH(D7808,[1]道具配置表!$A:$A,0))</f>
        <v>大奖池招募券</v>
      </c>
      <c r="F7808" s="13">
        <v>2</v>
      </c>
      <c r="K7808" s="13">
        <v>1</v>
      </c>
      <c r="M7808" s="123" t="b">
        <v>1</v>
      </c>
    </row>
    <row r="7809" spans="1:13" x14ac:dyDescent="0.25">
      <c r="B7809" s="13" t="s">
        <v>119</v>
      </c>
      <c r="D7809" s="13">
        <v>7003</v>
      </c>
      <c r="E7809" s="136" t="str">
        <f>INDEX([1]道具配置表!$D:$D,MATCH(D7809,[1]道具配置表!$A:$A,0))</f>
        <v>1银币（立即使用，不进背包）</v>
      </c>
      <c r="F7809" s="13">
        <v>800</v>
      </c>
      <c r="K7809" s="13">
        <v>1</v>
      </c>
      <c r="M7809" s="123" t="b">
        <v>1</v>
      </c>
    </row>
    <row r="7810" spans="1:13" x14ac:dyDescent="0.25">
      <c r="B7810" s="13" t="s">
        <v>119</v>
      </c>
      <c r="D7810" s="13">
        <v>7229</v>
      </c>
      <c r="E7810" s="136" t="str">
        <f>INDEX([1]道具配置表!$D:$D,MATCH(D7810,[1]道具配置表!$A:$A,0))</f>
        <v>经验书*50000</v>
      </c>
      <c r="F7810" s="13">
        <v>13</v>
      </c>
      <c r="K7810" s="13">
        <v>1</v>
      </c>
      <c r="M7810" s="123" t="b">
        <v>1</v>
      </c>
    </row>
    <row r="7811" spans="1:13" x14ac:dyDescent="0.25">
      <c r="B7811" s="13" t="s">
        <v>119</v>
      </c>
      <c r="D7811" s="13">
        <v>20000</v>
      </c>
      <c r="E7811" s="136" t="str">
        <f>INDEX([1]道具配置表!$D:$D,MATCH(D7811,[1]道具配置表!$A:$A,0))</f>
        <v>技能点1</v>
      </c>
      <c r="F7811" s="13">
        <v>2600</v>
      </c>
      <c r="K7811" s="13">
        <v>1</v>
      </c>
      <c r="M7811" s="123" t="b">
        <v>1</v>
      </c>
    </row>
    <row r="7812" spans="1:13" x14ac:dyDescent="0.25">
      <c r="A7812" s="13">
        <v>6667214</v>
      </c>
      <c r="B7812" s="13" t="s">
        <v>1807</v>
      </c>
      <c r="D7812" s="13">
        <v>2007</v>
      </c>
      <c r="E7812" s="136" t="str">
        <f>INDEX([1]道具配置表!$D:$D,MATCH(D7812,[1]道具配置表!$A:$A,0))</f>
        <v>大奖池招募券</v>
      </c>
      <c r="F7812" s="13">
        <v>2</v>
      </c>
      <c r="K7812" s="13">
        <v>1</v>
      </c>
      <c r="M7812" s="123" t="b">
        <v>1</v>
      </c>
    </row>
    <row r="7813" spans="1:13" x14ac:dyDescent="0.25">
      <c r="B7813" s="13" t="s">
        <v>119</v>
      </c>
      <c r="D7813" s="13">
        <v>7003</v>
      </c>
      <c r="E7813" s="136" t="str">
        <f>INDEX([1]道具配置表!$D:$D,MATCH(D7813,[1]道具配置表!$A:$A,0))</f>
        <v>1银币（立即使用，不进背包）</v>
      </c>
      <c r="F7813" s="13">
        <v>850</v>
      </c>
      <c r="K7813" s="13">
        <v>1</v>
      </c>
      <c r="M7813" s="123" t="b">
        <v>1</v>
      </c>
    </row>
    <row r="7814" spans="1:13" x14ac:dyDescent="0.25">
      <c r="B7814" s="13" t="s">
        <v>119</v>
      </c>
      <c r="D7814" s="13">
        <v>7229</v>
      </c>
      <c r="E7814" s="136" t="str">
        <f>INDEX([1]道具配置表!$D:$D,MATCH(D7814,[1]道具配置表!$A:$A,0))</f>
        <v>经验书*50000</v>
      </c>
      <c r="F7814" s="13">
        <v>14</v>
      </c>
      <c r="K7814" s="13">
        <v>1</v>
      </c>
      <c r="M7814" s="123" t="b">
        <v>1</v>
      </c>
    </row>
    <row r="7815" spans="1:13" x14ac:dyDescent="0.25">
      <c r="B7815" s="13" t="s">
        <v>119</v>
      </c>
      <c r="D7815" s="13">
        <v>20000</v>
      </c>
      <c r="E7815" s="136" t="str">
        <f>INDEX([1]道具配置表!$D:$D,MATCH(D7815,[1]道具配置表!$A:$A,0))</f>
        <v>技能点1</v>
      </c>
      <c r="F7815" s="13">
        <v>2800</v>
      </c>
      <c r="K7815" s="13">
        <v>1</v>
      </c>
      <c r="M7815" s="123" t="b">
        <v>1</v>
      </c>
    </row>
    <row r="7816" spans="1:13" x14ac:dyDescent="0.25">
      <c r="A7816" s="13">
        <v>6667215</v>
      </c>
      <c r="B7816" s="13" t="s">
        <v>1808</v>
      </c>
      <c r="D7816" s="13">
        <v>2007</v>
      </c>
      <c r="E7816" s="136" t="str">
        <f>INDEX([1]道具配置表!$D:$D,MATCH(D7816,[1]道具配置表!$A:$A,0))</f>
        <v>大奖池招募券</v>
      </c>
      <c r="F7816" s="13">
        <v>2</v>
      </c>
      <c r="K7816" s="13">
        <v>1</v>
      </c>
      <c r="M7816" s="123" t="b">
        <v>1</v>
      </c>
    </row>
    <row r="7817" spans="1:13" x14ac:dyDescent="0.25">
      <c r="B7817" s="13" t="s">
        <v>119</v>
      </c>
      <c r="D7817" s="13">
        <v>7003</v>
      </c>
      <c r="E7817" s="136" t="str">
        <f>INDEX([1]道具配置表!$D:$D,MATCH(D7817,[1]道具配置表!$A:$A,0))</f>
        <v>1银币（立即使用，不进背包）</v>
      </c>
      <c r="F7817" s="13">
        <v>900</v>
      </c>
      <c r="K7817" s="13">
        <v>1</v>
      </c>
      <c r="M7817" s="123" t="b">
        <v>1</v>
      </c>
    </row>
    <row r="7818" spans="1:13" x14ac:dyDescent="0.25">
      <c r="B7818" s="13" t="s">
        <v>119</v>
      </c>
      <c r="D7818" s="13">
        <v>7229</v>
      </c>
      <c r="E7818" s="136" t="str">
        <f>INDEX([1]道具配置表!$D:$D,MATCH(D7818,[1]道具配置表!$A:$A,0))</f>
        <v>经验书*50000</v>
      </c>
      <c r="F7818" s="13">
        <v>15</v>
      </c>
      <c r="K7818" s="13">
        <v>1</v>
      </c>
      <c r="M7818" s="123" t="b">
        <v>1</v>
      </c>
    </row>
    <row r="7819" spans="1:13" x14ac:dyDescent="0.25">
      <c r="B7819" s="13" t="s">
        <v>119</v>
      </c>
      <c r="D7819" s="13">
        <v>20000</v>
      </c>
      <c r="E7819" s="136" t="str">
        <f>INDEX([1]道具配置表!$D:$D,MATCH(D7819,[1]道具配置表!$A:$A,0))</f>
        <v>技能点1</v>
      </c>
      <c r="F7819" s="13">
        <v>3000</v>
      </c>
      <c r="K7819" s="13">
        <v>1</v>
      </c>
      <c r="M7819" s="123" t="b">
        <v>1</v>
      </c>
    </row>
    <row r="7820" spans="1:13" x14ac:dyDescent="0.25">
      <c r="A7820" s="13">
        <v>6667216</v>
      </c>
      <c r="B7820" s="13" t="s">
        <v>1809</v>
      </c>
      <c r="D7820" s="13">
        <v>2007</v>
      </c>
      <c r="E7820" s="136" t="str">
        <f>INDEX([1]道具配置表!$D:$D,MATCH(D7820,[1]道具配置表!$A:$A,0))</f>
        <v>大奖池招募券</v>
      </c>
      <c r="F7820" s="13">
        <v>2</v>
      </c>
      <c r="K7820" s="13">
        <v>1</v>
      </c>
      <c r="M7820" s="123" t="b">
        <v>1</v>
      </c>
    </row>
    <row r="7821" spans="1:13" x14ac:dyDescent="0.25">
      <c r="B7821" s="13" t="s">
        <v>119</v>
      </c>
      <c r="D7821" s="13">
        <v>7003</v>
      </c>
      <c r="E7821" s="136" t="str">
        <f>INDEX([1]道具配置表!$D:$D,MATCH(D7821,[1]道具配置表!$A:$A,0))</f>
        <v>1银币（立即使用，不进背包）</v>
      </c>
      <c r="F7821" s="13">
        <v>950</v>
      </c>
      <c r="K7821" s="13">
        <v>1</v>
      </c>
      <c r="M7821" s="123" t="b">
        <v>1</v>
      </c>
    </row>
    <row r="7822" spans="1:13" x14ac:dyDescent="0.25">
      <c r="B7822" s="13" t="s">
        <v>119</v>
      </c>
      <c r="D7822" s="13">
        <v>7229</v>
      </c>
      <c r="E7822" s="136" t="str">
        <f>INDEX([1]道具配置表!$D:$D,MATCH(D7822,[1]道具配置表!$A:$A,0))</f>
        <v>经验书*50000</v>
      </c>
      <c r="F7822" s="13">
        <v>16</v>
      </c>
      <c r="K7822" s="13">
        <v>1</v>
      </c>
      <c r="M7822" s="123" t="b">
        <v>1</v>
      </c>
    </row>
    <row r="7823" spans="1:13" x14ac:dyDescent="0.25">
      <c r="B7823" s="13" t="s">
        <v>119</v>
      </c>
      <c r="D7823" s="13">
        <v>20000</v>
      </c>
      <c r="E7823" s="136" t="str">
        <f>INDEX([1]道具配置表!$D:$D,MATCH(D7823,[1]道具配置表!$A:$A,0))</f>
        <v>技能点1</v>
      </c>
      <c r="F7823" s="13">
        <v>3200</v>
      </c>
      <c r="K7823" s="13">
        <v>1</v>
      </c>
      <c r="M7823" s="123" t="b">
        <v>1</v>
      </c>
    </row>
    <row r="7824" spans="1:13" x14ac:dyDescent="0.25">
      <c r="A7824" s="13">
        <v>6667217</v>
      </c>
      <c r="B7824" s="13" t="s">
        <v>1810</v>
      </c>
      <c r="D7824" s="13">
        <v>2007</v>
      </c>
      <c r="E7824" s="136" t="str">
        <f>INDEX([1]道具配置表!$D:$D,MATCH(D7824,[1]道具配置表!$A:$A,0))</f>
        <v>大奖池招募券</v>
      </c>
      <c r="F7824" s="13">
        <v>2</v>
      </c>
      <c r="K7824" s="13">
        <v>1</v>
      </c>
      <c r="M7824" s="123" t="b">
        <v>1</v>
      </c>
    </row>
    <row r="7825" spans="1:13" x14ac:dyDescent="0.25">
      <c r="B7825" s="13" t="s">
        <v>119</v>
      </c>
      <c r="D7825" s="13">
        <v>7003</v>
      </c>
      <c r="E7825" s="136" t="str">
        <f>INDEX([1]道具配置表!$D:$D,MATCH(D7825,[1]道具配置表!$A:$A,0))</f>
        <v>1银币（立即使用，不进背包）</v>
      </c>
      <c r="F7825" s="13">
        <v>1000</v>
      </c>
      <c r="K7825" s="13">
        <v>1</v>
      </c>
      <c r="M7825" s="123" t="b">
        <v>1</v>
      </c>
    </row>
    <row r="7826" spans="1:13" x14ac:dyDescent="0.25">
      <c r="B7826" s="13" t="s">
        <v>119</v>
      </c>
      <c r="D7826" s="13">
        <v>7229</v>
      </c>
      <c r="E7826" s="136" t="str">
        <f>INDEX([1]道具配置表!$D:$D,MATCH(D7826,[1]道具配置表!$A:$A,0))</f>
        <v>经验书*50000</v>
      </c>
      <c r="F7826" s="13">
        <v>17</v>
      </c>
      <c r="K7826" s="13">
        <v>1</v>
      </c>
      <c r="M7826" s="123" t="b">
        <v>1</v>
      </c>
    </row>
    <row r="7827" spans="1:13" x14ac:dyDescent="0.25">
      <c r="B7827" s="13" t="s">
        <v>119</v>
      </c>
      <c r="D7827" s="13">
        <v>20000</v>
      </c>
      <c r="E7827" s="136" t="str">
        <f>INDEX([1]道具配置表!$D:$D,MATCH(D7827,[1]道具配置表!$A:$A,0))</f>
        <v>技能点1</v>
      </c>
      <c r="F7827" s="13">
        <v>3400</v>
      </c>
      <c r="K7827" s="13">
        <v>1</v>
      </c>
      <c r="M7827" s="123" t="b">
        <v>1</v>
      </c>
    </row>
    <row r="7828" spans="1:13" x14ac:dyDescent="0.25">
      <c r="A7828" s="13">
        <v>6667218</v>
      </c>
      <c r="B7828" s="13" t="s">
        <v>1811</v>
      </c>
      <c r="D7828" s="13">
        <v>2007</v>
      </c>
      <c r="E7828" s="136" t="str">
        <f>INDEX([1]道具配置表!$D:$D,MATCH(D7828,[1]道具配置表!$A:$A,0))</f>
        <v>大奖池招募券</v>
      </c>
      <c r="F7828" s="13">
        <v>3</v>
      </c>
      <c r="K7828" s="13">
        <v>1</v>
      </c>
      <c r="M7828" s="123" t="b">
        <v>1</v>
      </c>
    </row>
    <row r="7829" spans="1:13" x14ac:dyDescent="0.25">
      <c r="B7829" s="13" t="s">
        <v>119</v>
      </c>
      <c r="D7829" s="13">
        <v>7003</v>
      </c>
      <c r="E7829" s="136" t="str">
        <f>INDEX([1]道具配置表!$D:$D,MATCH(D7829,[1]道具配置表!$A:$A,0))</f>
        <v>1银币（立即使用，不进背包）</v>
      </c>
      <c r="F7829" s="13">
        <v>1100</v>
      </c>
      <c r="K7829" s="13">
        <v>1</v>
      </c>
      <c r="M7829" s="123" t="b">
        <v>1</v>
      </c>
    </row>
    <row r="7830" spans="1:13" x14ac:dyDescent="0.25">
      <c r="B7830" s="13" t="s">
        <v>119</v>
      </c>
      <c r="D7830" s="13">
        <v>7229</v>
      </c>
      <c r="E7830" s="136" t="str">
        <f>INDEX([1]道具配置表!$D:$D,MATCH(D7830,[1]道具配置表!$A:$A,0))</f>
        <v>经验书*50000</v>
      </c>
      <c r="F7830" s="13">
        <v>18</v>
      </c>
      <c r="K7830" s="13">
        <v>1</v>
      </c>
      <c r="M7830" s="123" t="b">
        <v>1</v>
      </c>
    </row>
    <row r="7831" spans="1:13" x14ac:dyDescent="0.25">
      <c r="B7831" s="13" t="s">
        <v>119</v>
      </c>
      <c r="D7831" s="13">
        <v>20000</v>
      </c>
      <c r="E7831" s="136" t="str">
        <f>INDEX([1]道具配置表!$D:$D,MATCH(D7831,[1]道具配置表!$A:$A,0))</f>
        <v>技能点1</v>
      </c>
      <c r="F7831" s="13">
        <v>3600</v>
      </c>
      <c r="K7831" s="13">
        <v>1</v>
      </c>
      <c r="M7831" s="123" t="b">
        <v>1</v>
      </c>
    </row>
    <row r="7832" spans="1:13" x14ac:dyDescent="0.25">
      <c r="A7832" s="13">
        <v>6667219</v>
      </c>
      <c r="B7832" s="13" t="s">
        <v>1812</v>
      </c>
      <c r="D7832" s="13">
        <v>2007</v>
      </c>
      <c r="E7832" s="136" t="str">
        <f>INDEX([1]道具配置表!$D:$D,MATCH(D7832,[1]道具配置表!$A:$A,0))</f>
        <v>大奖池招募券</v>
      </c>
      <c r="F7832" s="13">
        <v>3</v>
      </c>
      <c r="K7832" s="13">
        <v>1</v>
      </c>
      <c r="M7832" s="123" t="b">
        <v>1</v>
      </c>
    </row>
    <row r="7833" spans="1:13" x14ac:dyDescent="0.25">
      <c r="B7833" s="13" t="s">
        <v>119</v>
      </c>
      <c r="D7833" s="13">
        <v>7003</v>
      </c>
      <c r="E7833" s="136" t="str">
        <f>INDEX([1]道具配置表!$D:$D,MATCH(D7833,[1]道具配置表!$A:$A,0))</f>
        <v>1银币（立即使用，不进背包）</v>
      </c>
      <c r="F7833" s="13">
        <v>1200</v>
      </c>
      <c r="K7833" s="13">
        <v>1</v>
      </c>
      <c r="M7833" s="123" t="b">
        <v>1</v>
      </c>
    </row>
    <row r="7834" spans="1:13" x14ac:dyDescent="0.25">
      <c r="B7834" s="13" t="s">
        <v>119</v>
      </c>
      <c r="D7834" s="13">
        <v>7229</v>
      </c>
      <c r="E7834" s="136" t="str">
        <f>INDEX([1]道具配置表!$D:$D,MATCH(D7834,[1]道具配置表!$A:$A,0))</f>
        <v>经验书*50000</v>
      </c>
      <c r="F7834" s="13">
        <v>19</v>
      </c>
      <c r="K7834" s="13">
        <v>1</v>
      </c>
      <c r="M7834" s="123" t="b">
        <v>1</v>
      </c>
    </row>
    <row r="7835" spans="1:13" x14ac:dyDescent="0.25">
      <c r="B7835" s="13" t="s">
        <v>119</v>
      </c>
      <c r="D7835" s="13">
        <v>20000</v>
      </c>
      <c r="E7835" s="136" t="str">
        <f>INDEX([1]道具配置表!$D:$D,MATCH(D7835,[1]道具配置表!$A:$A,0))</f>
        <v>技能点1</v>
      </c>
      <c r="F7835" s="13">
        <v>3800</v>
      </c>
      <c r="K7835" s="13">
        <v>1</v>
      </c>
      <c r="M7835" s="123" t="b">
        <v>1</v>
      </c>
    </row>
    <row r="7836" spans="1:13" x14ac:dyDescent="0.25">
      <c r="A7836" s="13">
        <v>6667220</v>
      </c>
      <c r="B7836" s="13" t="s">
        <v>1813</v>
      </c>
      <c r="D7836" s="13">
        <v>2007</v>
      </c>
      <c r="E7836" s="136" t="str">
        <f>INDEX([1]道具配置表!$D:$D,MATCH(D7836,[1]道具配置表!$A:$A,0))</f>
        <v>大奖池招募券</v>
      </c>
      <c r="F7836" s="13">
        <v>3</v>
      </c>
      <c r="K7836" s="13">
        <v>1</v>
      </c>
      <c r="M7836" s="123" t="b">
        <v>1</v>
      </c>
    </row>
    <row r="7837" spans="1:13" x14ac:dyDescent="0.25">
      <c r="B7837" s="13" t="s">
        <v>119</v>
      </c>
      <c r="D7837" s="13">
        <v>7003</v>
      </c>
      <c r="E7837" s="136" t="str">
        <f>INDEX([1]道具配置表!$D:$D,MATCH(D7837,[1]道具配置表!$A:$A,0))</f>
        <v>1银币（立即使用，不进背包）</v>
      </c>
      <c r="F7837" s="13">
        <v>1300</v>
      </c>
      <c r="K7837" s="13">
        <v>1</v>
      </c>
      <c r="M7837" s="123" t="b">
        <v>1</v>
      </c>
    </row>
    <row r="7838" spans="1:13" x14ac:dyDescent="0.25">
      <c r="B7838" s="13" t="s">
        <v>119</v>
      </c>
      <c r="D7838" s="13">
        <v>7229</v>
      </c>
      <c r="E7838" s="136" t="str">
        <f>INDEX([1]道具配置表!$D:$D,MATCH(D7838,[1]道具配置表!$A:$A,0))</f>
        <v>经验书*50000</v>
      </c>
      <c r="F7838" s="13">
        <v>20</v>
      </c>
      <c r="K7838" s="13">
        <v>1</v>
      </c>
      <c r="M7838" s="123" t="b">
        <v>1</v>
      </c>
    </row>
    <row r="7839" spans="1:13" x14ac:dyDescent="0.25">
      <c r="B7839" s="13" t="s">
        <v>119</v>
      </c>
      <c r="D7839" s="13">
        <v>20000</v>
      </c>
      <c r="E7839" s="136" t="str">
        <f>INDEX([1]道具配置表!$D:$D,MATCH(D7839,[1]道具配置表!$A:$A,0))</f>
        <v>技能点1</v>
      </c>
      <c r="F7839" s="13">
        <v>4000</v>
      </c>
      <c r="K7839" s="13">
        <v>1</v>
      </c>
      <c r="M7839" s="123" t="b">
        <v>1</v>
      </c>
    </row>
    <row r="7840" spans="1:13" x14ac:dyDescent="0.25">
      <c r="A7840" s="13">
        <v>6667221</v>
      </c>
      <c r="B7840" s="13" t="s">
        <v>1814</v>
      </c>
      <c r="D7840" s="13">
        <v>2007</v>
      </c>
      <c r="E7840" s="136" t="str">
        <f>INDEX([1]道具配置表!$D:$D,MATCH(D7840,[1]道具配置表!$A:$A,0))</f>
        <v>大奖池招募券</v>
      </c>
      <c r="F7840" s="13">
        <v>3</v>
      </c>
      <c r="K7840" s="13">
        <v>1</v>
      </c>
      <c r="M7840" s="123" t="b">
        <v>1</v>
      </c>
    </row>
    <row r="7841" spans="1:13" x14ac:dyDescent="0.25">
      <c r="B7841" s="13" t="s">
        <v>119</v>
      </c>
      <c r="D7841" s="13">
        <v>7003</v>
      </c>
      <c r="E7841" s="136" t="str">
        <f>INDEX([1]道具配置表!$D:$D,MATCH(D7841,[1]道具配置表!$A:$A,0))</f>
        <v>1银币（立即使用，不进背包）</v>
      </c>
      <c r="F7841" s="13">
        <v>1400</v>
      </c>
      <c r="K7841" s="13">
        <v>1</v>
      </c>
      <c r="M7841" s="123" t="b">
        <v>1</v>
      </c>
    </row>
    <row r="7842" spans="1:13" x14ac:dyDescent="0.25">
      <c r="B7842" s="13" t="s">
        <v>119</v>
      </c>
      <c r="D7842" s="13">
        <v>7229</v>
      </c>
      <c r="E7842" s="136" t="str">
        <f>INDEX([1]道具配置表!$D:$D,MATCH(D7842,[1]道具配置表!$A:$A,0))</f>
        <v>经验书*50000</v>
      </c>
      <c r="F7842" s="13">
        <v>21</v>
      </c>
      <c r="K7842" s="13">
        <v>1</v>
      </c>
      <c r="M7842" s="123" t="b">
        <v>1</v>
      </c>
    </row>
    <row r="7843" spans="1:13" x14ac:dyDescent="0.25">
      <c r="B7843" s="13" t="s">
        <v>119</v>
      </c>
      <c r="D7843" s="13">
        <v>20000</v>
      </c>
      <c r="E7843" s="136" t="str">
        <f>INDEX([1]道具配置表!$D:$D,MATCH(D7843,[1]道具配置表!$A:$A,0))</f>
        <v>技能点1</v>
      </c>
      <c r="F7843" s="13">
        <v>4200</v>
      </c>
      <c r="K7843" s="13">
        <v>1</v>
      </c>
      <c r="M7843" s="123" t="b">
        <v>1</v>
      </c>
    </row>
    <row r="7844" spans="1:13" x14ac:dyDescent="0.25">
      <c r="A7844" s="13">
        <v>6667222</v>
      </c>
      <c r="B7844" s="13" t="s">
        <v>1815</v>
      </c>
      <c r="D7844" s="13">
        <v>2007</v>
      </c>
      <c r="E7844" s="136" t="str">
        <f>INDEX([1]道具配置表!$D:$D,MATCH(D7844,[1]道具配置表!$A:$A,0))</f>
        <v>大奖池招募券</v>
      </c>
      <c r="F7844" s="13">
        <v>3</v>
      </c>
      <c r="K7844" s="13">
        <v>1</v>
      </c>
      <c r="M7844" s="123" t="b">
        <v>1</v>
      </c>
    </row>
    <row r="7845" spans="1:13" x14ac:dyDescent="0.25">
      <c r="B7845" s="13" t="s">
        <v>119</v>
      </c>
      <c r="D7845" s="13">
        <v>7003</v>
      </c>
      <c r="E7845" s="136" t="str">
        <f>INDEX([1]道具配置表!$D:$D,MATCH(D7845,[1]道具配置表!$A:$A,0))</f>
        <v>1银币（立即使用，不进背包）</v>
      </c>
      <c r="F7845" s="13">
        <v>1500</v>
      </c>
      <c r="K7845" s="13">
        <v>1</v>
      </c>
      <c r="M7845" s="123" t="b">
        <v>1</v>
      </c>
    </row>
    <row r="7846" spans="1:13" x14ac:dyDescent="0.25">
      <c r="B7846" s="13" t="s">
        <v>119</v>
      </c>
      <c r="D7846" s="13">
        <v>7229</v>
      </c>
      <c r="E7846" s="136" t="str">
        <f>INDEX([1]道具配置表!$D:$D,MATCH(D7846,[1]道具配置表!$A:$A,0))</f>
        <v>经验书*50000</v>
      </c>
      <c r="F7846" s="13">
        <v>22</v>
      </c>
      <c r="K7846" s="13">
        <v>1</v>
      </c>
      <c r="M7846" s="123" t="b">
        <v>1</v>
      </c>
    </row>
    <row r="7847" spans="1:13" x14ac:dyDescent="0.25">
      <c r="B7847" s="13" t="s">
        <v>119</v>
      </c>
      <c r="D7847" s="13">
        <v>20000</v>
      </c>
      <c r="E7847" s="136" t="str">
        <f>INDEX([1]道具配置表!$D:$D,MATCH(D7847,[1]道具配置表!$A:$A,0))</f>
        <v>技能点1</v>
      </c>
      <c r="F7847" s="13">
        <v>4400</v>
      </c>
      <c r="K7847" s="13">
        <v>1</v>
      </c>
      <c r="M7847" s="123" t="b">
        <v>1</v>
      </c>
    </row>
    <row r="7848" spans="1:13" x14ac:dyDescent="0.25">
      <c r="A7848" s="13">
        <v>6667223</v>
      </c>
      <c r="B7848" s="13" t="s">
        <v>1816</v>
      </c>
      <c r="D7848" s="13">
        <v>2007</v>
      </c>
      <c r="E7848" s="136" t="str">
        <f>INDEX([1]道具配置表!$D:$D,MATCH(D7848,[1]道具配置表!$A:$A,0))</f>
        <v>大奖池招募券</v>
      </c>
      <c r="F7848" s="13">
        <v>3</v>
      </c>
      <c r="K7848" s="13">
        <v>1</v>
      </c>
      <c r="M7848" s="123" t="b">
        <v>1</v>
      </c>
    </row>
    <row r="7849" spans="1:13" x14ac:dyDescent="0.25">
      <c r="B7849" s="13" t="s">
        <v>119</v>
      </c>
      <c r="D7849" s="13">
        <v>7003</v>
      </c>
      <c r="E7849" s="136" t="str">
        <f>INDEX([1]道具配置表!$D:$D,MATCH(D7849,[1]道具配置表!$A:$A,0))</f>
        <v>1银币（立即使用，不进背包）</v>
      </c>
      <c r="F7849" s="13">
        <v>1600</v>
      </c>
      <c r="K7849" s="13">
        <v>1</v>
      </c>
      <c r="M7849" s="123" t="b">
        <v>1</v>
      </c>
    </row>
    <row r="7850" spans="1:13" x14ac:dyDescent="0.25">
      <c r="B7850" s="13" t="s">
        <v>119</v>
      </c>
      <c r="D7850" s="13">
        <v>7229</v>
      </c>
      <c r="E7850" s="136" t="str">
        <f>INDEX([1]道具配置表!$D:$D,MATCH(D7850,[1]道具配置表!$A:$A,0))</f>
        <v>经验书*50000</v>
      </c>
      <c r="F7850" s="13">
        <v>23</v>
      </c>
      <c r="K7850" s="13">
        <v>1</v>
      </c>
      <c r="M7850" s="123" t="b">
        <v>1</v>
      </c>
    </row>
    <row r="7851" spans="1:13" x14ac:dyDescent="0.25">
      <c r="B7851" s="13" t="s">
        <v>119</v>
      </c>
      <c r="D7851" s="13">
        <v>20000</v>
      </c>
      <c r="E7851" s="136" t="str">
        <f>INDEX([1]道具配置表!$D:$D,MATCH(D7851,[1]道具配置表!$A:$A,0))</f>
        <v>技能点1</v>
      </c>
      <c r="F7851" s="13">
        <v>4600</v>
      </c>
      <c r="K7851" s="13">
        <v>1</v>
      </c>
      <c r="M7851" s="123" t="b">
        <v>1</v>
      </c>
    </row>
    <row r="7852" spans="1:13" x14ac:dyDescent="0.25">
      <c r="A7852" s="13">
        <v>6667224</v>
      </c>
      <c r="B7852" s="13" t="s">
        <v>1817</v>
      </c>
      <c r="D7852" s="13">
        <v>2007</v>
      </c>
      <c r="E7852" s="136" t="str">
        <f>INDEX([1]道具配置表!$D:$D,MATCH(D7852,[1]道具配置表!$A:$A,0))</f>
        <v>大奖池招募券</v>
      </c>
      <c r="F7852" s="13">
        <v>3</v>
      </c>
      <c r="K7852" s="13">
        <v>1</v>
      </c>
      <c r="M7852" s="123" t="b">
        <v>1</v>
      </c>
    </row>
    <row r="7853" spans="1:13" x14ac:dyDescent="0.25">
      <c r="B7853" s="13" t="s">
        <v>119</v>
      </c>
      <c r="D7853" s="13">
        <v>7003</v>
      </c>
      <c r="E7853" s="136" t="str">
        <f>INDEX([1]道具配置表!$D:$D,MATCH(D7853,[1]道具配置表!$A:$A,0))</f>
        <v>1银币（立即使用，不进背包）</v>
      </c>
      <c r="F7853" s="13">
        <v>1700</v>
      </c>
      <c r="K7853" s="13">
        <v>1</v>
      </c>
      <c r="M7853" s="123" t="b">
        <v>1</v>
      </c>
    </row>
    <row r="7854" spans="1:13" x14ac:dyDescent="0.25">
      <c r="B7854" s="13" t="s">
        <v>119</v>
      </c>
      <c r="D7854" s="13">
        <v>7229</v>
      </c>
      <c r="E7854" s="136" t="str">
        <f>INDEX([1]道具配置表!$D:$D,MATCH(D7854,[1]道具配置表!$A:$A,0))</f>
        <v>经验书*50000</v>
      </c>
      <c r="F7854" s="13">
        <v>24</v>
      </c>
      <c r="K7854" s="13">
        <v>1</v>
      </c>
      <c r="M7854" s="123" t="b">
        <v>1</v>
      </c>
    </row>
    <row r="7855" spans="1:13" x14ac:dyDescent="0.25">
      <c r="B7855" s="13" t="s">
        <v>119</v>
      </c>
      <c r="D7855" s="13">
        <v>20000</v>
      </c>
      <c r="E7855" s="136" t="str">
        <f>INDEX([1]道具配置表!$D:$D,MATCH(D7855,[1]道具配置表!$A:$A,0))</f>
        <v>技能点1</v>
      </c>
      <c r="F7855" s="13">
        <v>4800</v>
      </c>
      <c r="K7855" s="13">
        <v>1</v>
      </c>
      <c r="M7855" s="123" t="b">
        <v>1</v>
      </c>
    </row>
    <row r="7856" spans="1:13" x14ac:dyDescent="0.25">
      <c r="A7856" s="13">
        <v>6667225</v>
      </c>
      <c r="B7856" s="13" t="s">
        <v>1818</v>
      </c>
      <c r="D7856" s="13">
        <v>2007</v>
      </c>
      <c r="E7856" s="136" t="str">
        <f>INDEX([1]道具配置表!$D:$D,MATCH(D7856,[1]道具配置表!$A:$A,0))</f>
        <v>大奖池招募券</v>
      </c>
      <c r="F7856" s="13">
        <v>3</v>
      </c>
      <c r="K7856" s="13">
        <v>1</v>
      </c>
      <c r="M7856" s="123" t="b">
        <v>1</v>
      </c>
    </row>
    <row r="7857" spans="1:13" x14ac:dyDescent="0.25">
      <c r="B7857" s="13" t="s">
        <v>119</v>
      </c>
      <c r="D7857" s="13">
        <v>7003</v>
      </c>
      <c r="E7857" s="136" t="str">
        <f>INDEX([1]道具配置表!$D:$D,MATCH(D7857,[1]道具配置表!$A:$A,0))</f>
        <v>1银币（立即使用，不进背包）</v>
      </c>
      <c r="F7857" s="13">
        <v>1800</v>
      </c>
      <c r="K7857" s="13">
        <v>1</v>
      </c>
      <c r="M7857" s="123" t="b">
        <v>1</v>
      </c>
    </row>
    <row r="7858" spans="1:13" x14ac:dyDescent="0.25">
      <c r="B7858" s="13" t="s">
        <v>119</v>
      </c>
      <c r="D7858" s="13">
        <v>7229</v>
      </c>
      <c r="E7858" s="136" t="str">
        <f>INDEX([1]道具配置表!$D:$D,MATCH(D7858,[1]道具配置表!$A:$A,0))</f>
        <v>经验书*50000</v>
      </c>
      <c r="F7858" s="13">
        <v>21</v>
      </c>
      <c r="K7858" s="13">
        <v>1</v>
      </c>
      <c r="M7858" s="123" t="b">
        <v>1</v>
      </c>
    </row>
    <row r="7859" spans="1:13" x14ac:dyDescent="0.25">
      <c r="B7859" s="13" t="s">
        <v>119</v>
      </c>
      <c r="D7859" s="13">
        <v>20000</v>
      </c>
      <c r="E7859" s="136" t="str">
        <f>INDEX([1]道具配置表!$D:$D,MATCH(D7859,[1]道具配置表!$A:$A,0))</f>
        <v>技能点1</v>
      </c>
      <c r="F7859" s="13">
        <v>5000</v>
      </c>
      <c r="K7859" s="13">
        <v>1</v>
      </c>
      <c r="M7859" s="123" t="b">
        <v>1</v>
      </c>
    </row>
    <row r="7860" spans="1:13" x14ac:dyDescent="0.25">
      <c r="A7860" s="13">
        <v>6667226</v>
      </c>
      <c r="B7860" s="13" t="s">
        <v>1819</v>
      </c>
      <c r="D7860" s="13">
        <v>2007</v>
      </c>
      <c r="E7860" s="136" t="str">
        <f>INDEX([1]道具配置表!$D:$D,MATCH(D7860,[1]道具配置表!$A:$A,0))</f>
        <v>大奖池招募券</v>
      </c>
      <c r="F7860" s="13">
        <v>3</v>
      </c>
      <c r="K7860" s="13">
        <v>1</v>
      </c>
      <c r="M7860" s="123" t="b">
        <v>1</v>
      </c>
    </row>
    <row r="7861" spans="1:13" x14ac:dyDescent="0.25">
      <c r="B7861" s="13" t="s">
        <v>119</v>
      </c>
      <c r="D7861" s="13">
        <v>7003</v>
      </c>
      <c r="E7861" s="136" t="str">
        <f>INDEX([1]道具配置表!$D:$D,MATCH(D7861,[1]道具配置表!$A:$A,0))</f>
        <v>1银币（立即使用，不进背包）</v>
      </c>
      <c r="F7861" s="13">
        <v>1900</v>
      </c>
      <c r="K7861" s="13">
        <v>1</v>
      </c>
      <c r="M7861" s="123" t="b">
        <v>1</v>
      </c>
    </row>
    <row r="7862" spans="1:13" x14ac:dyDescent="0.25">
      <c r="B7862" s="13" t="s">
        <v>119</v>
      </c>
      <c r="D7862" s="13">
        <v>7229</v>
      </c>
      <c r="E7862" s="136" t="str">
        <f>INDEX([1]道具配置表!$D:$D,MATCH(D7862,[1]道具配置表!$A:$A,0))</f>
        <v>经验书*50000</v>
      </c>
      <c r="F7862" s="13">
        <v>22</v>
      </c>
      <c r="K7862" s="13">
        <v>1</v>
      </c>
      <c r="M7862" s="123" t="b">
        <v>1</v>
      </c>
    </row>
    <row r="7863" spans="1:13" x14ac:dyDescent="0.25">
      <c r="B7863" s="13" t="s">
        <v>119</v>
      </c>
      <c r="D7863" s="13">
        <v>20000</v>
      </c>
      <c r="E7863" s="136" t="str">
        <f>INDEX([1]道具配置表!$D:$D,MATCH(D7863,[1]道具配置表!$A:$A,0))</f>
        <v>技能点1</v>
      </c>
      <c r="F7863" s="13">
        <v>5200</v>
      </c>
      <c r="K7863" s="13">
        <v>1</v>
      </c>
      <c r="M7863" s="123" t="b">
        <v>1</v>
      </c>
    </row>
    <row r="7864" spans="1:13" x14ac:dyDescent="0.25">
      <c r="A7864" s="13">
        <v>6667227</v>
      </c>
      <c r="B7864" s="13" t="s">
        <v>1820</v>
      </c>
      <c r="D7864" s="13">
        <v>2007</v>
      </c>
      <c r="E7864" s="136" t="str">
        <f>INDEX([1]道具配置表!$D:$D,MATCH(D7864,[1]道具配置表!$A:$A,0))</f>
        <v>大奖池招募券</v>
      </c>
      <c r="F7864" s="13">
        <v>3</v>
      </c>
      <c r="K7864" s="13">
        <v>1</v>
      </c>
      <c r="M7864" s="123" t="b">
        <v>1</v>
      </c>
    </row>
    <row r="7865" spans="1:13" x14ac:dyDescent="0.25">
      <c r="B7865" s="13" t="s">
        <v>119</v>
      </c>
      <c r="D7865" s="13">
        <v>7003</v>
      </c>
      <c r="E7865" s="136" t="str">
        <f>INDEX([1]道具配置表!$D:$D,MATCH(D7865,[1]道具配置表!$A:$A,0))</f>
        <v>1银币（立即使用，不进背包）</v>
      </c>
      <c r="F7865" s="13">
        <v>2000</v>
      </c>
      <c r="K7865" s="13">
        <v>1</v>
      </c>
      <c r="M7865" s="123" t="b">
        <v>1</v>
      </c>
    </row>
    <row r="7866" spans="1:13" x14ac:dyDescent="0.25">
      <c r="B7866" s="13" t="s">
        <v>119</v>
      </c>
      <c r="D7866" s="13">
        <v>7229</v>
      </c>
      <c r="E7866" s="136" t="str">
        <f>INDEX([1]道具配置表!$D:$D,MATCH(D7866,[1]道具配置表!$A:$A,0))</f>
        <v>经验书*50000</v>
      </c>
      <c r="F7866" s="13">
        <v>23</v>
      </c>
      <c r="K7866" s="13">
        <v>1</v>
      </c>
      <c r="M7866" s="123" t="b">
        <v>1</v>
      </c>
    </row>
    <row r="7867" spans="1:13" x14ac:dyDescent="0.25">
      <c r="B7867" s="13" t="s">
        <v>119</v>
      </c>
      <c r="D7867" s="13">
        <v>20000</v>
      </c>
      <c r="E7867" s="136" t="str">
        <f>INDEX([1]道具配置表!$D:$D,MATCH(D7867,[1]道具配置表!$A:$A,0))</f>
        <v>技能点1</v>
      </c>
      <c r="F7867" s="13">
        <v>5400</v>
      </c>
      <c r="K7867" s="13">
        <v>1</v>
      </c>
      <c r="M7867" s="123" t="b">
        <v>1</v>
      </c>
    </row>
    <row r="7868" spans="1:13" x14ac:dyDescent="0.25">
      <c r="A7868" s="13">
        <v>6667228</v>
      </c>
      <c r="B7868" s="13" t="s">
        <v>1821</v>
      </c>
      <c r="D7868" s="13">
        <v>2007</v>
      </c>
      <c r="E7868" s="136" t="str">
        <f>INDEX([1]道具配置表!$D:$D,MATCH(D7868,[1]道具配置表!$A:$A,0))</f>
        <v>大奖池招募券</v>
      </c>
      <c r="F7868" s="13">
        <v>3</v>
      </c>
      <c r="K7868" s="13">
        <v>1</v>
      </c>
      <c r="M7868" s="123" t="b">
        <v>1</v>
      </c>
    </row>
    <row r="7869" spans="1:13" x14ac:dyDescent="0.25">
      <c r="B7869" s="13" t="s">
        <v>119</v>
      </c>
      <c r="D7869" s="13">
        <v>7003</v>
      </c>
      <c r="E7869" s="136" t="str">
        <f>INDEX([1]道具配置表!$D:$D,MATCH(D7869,[1]道具配置表!$A:$A,0))</f>
        <v>1银币（立即使用，不进背包）</v>
      </c>
      <c r="F7869" s="13">
        <v>2100</v>
      </c>
      <c r="K7869" s="13">
        <v>1</v>
      </c>
      <c r="M7869" s="123" t="b">
        <v>1</v>
      </c>
    </row>
    <row r="7870" spans="1:13" x14ac:dyDescent="0.25">
      <c r="B7870" s="13" t="s">
        <v>119</v>
      </c>
      <c r="D7870" s="13">
        <v>7229</v>
      </c>
      <c r="E7870" s="136" t="str">
        <f>INDEX([1]道具配置表!$D:$D,MATCH(D7870,[1]道具配置表!$A:$A,0))</f>
        <v>经验书*50000</v>
      </c>
      <c r="F7870" s="13">
        <v>24</v>
      </c>
      <c r="K7870" s="13">
        <v>1</v>
      </c>
      <c r="M7870" s="123" t="b">
        <v>1</v>
      </c>
    </row>
    <row r="7871" spans="1:13" x14ac:dyDescent="0.25">
      <c r="B7871" s="13" t="s">
        <v>119</v>
      </c>
      <c r="D7871" s="13">
        <v>20000</v>
      </c>
      <c r="E7871" s="136" t="str">
        <f>INDEX([1]道具配置表!$D:$D,MATCH(D7871,[1]道具配置表!$A:$A,0))</f>
        <v>技能点1</v>
      </c>
      <c r="F7871" s="13">
        <v>5600</v>
      </c>
      <c r="K7871" s="13">
        <v>1</v>
      </c>
      <c r="M7871" s="123" t="b">
        <v>1</v>
      </c>
    </row>
    <row r="7872" spans="1:13" x14ac:dyDescent="0.25">
      <c r="A7872" s="13">
        <v>6667229</v>
      </c>
      <c r="B7872" s="13" t="s">
        <v>1822</v>
      </c>
      <c r="D7872" s="13">
        <v>2007</v>
      </c>
      <c r="E7872" s="136" t="str">
        <f>INDEX([1]道具配置表!$D:$D,MATCH(D7872,[1]道具配置表!$A:$A,0))</f>
        <v>大奖池招募券</v>
      </c>
      <c r="F7872" s="13">
        <v>3</v>
      </c>
      <c r="K7872" s="13">
        <v>1</v>
      </c>
      <c r="M7872" s="123" t="b">
        <v>1</v>
      </c>
    </row>
    <row r="7873" spans="1:13" x14ac:dyDescent="0.25">
      <c r="B7873" s="13" t="s">
        <v>119</v>
      </c>
      <c r="D7873" s="13">
        <v>7003</v>
      </c>
      <c r="E7873" s="136" t="str">
        <f>INDEX([1]道具配置表!$D:$D,MATCH(D7873,[1]道具配置表!$A:$A,0))</f>
        <v>1银币（立即使用，不进背包）</v>
      </c>
      <c r="F7873" s="13">
        <v>2200</v>
      </c>
      <c r="K7873" s="13">
        <v>1</v>
      </c>
      <c r="M7873" s="123" t="b">
        <v>1</v>
      </c>
    </row>
    <row r="7874" spans="1:13" x14ac:dyDescent="0.25">
      <c r="B7874" s="13" t="s">
        <v>119</v>
      </c>
      <c r="D7874" s="13">
        <v>7229</v>
      </c>
      <c r="E7874" s="136" t="str">
        <f>INDEX([1]道具配置表!$D:$D,MATCH(D7874,[1]道具配置表!$A:$A,0))</f>
        <v>经验书*50000</v>
      </c>
      <c r="F7874" s="13">
        <v>25</v>
      </c>
      <c r="K7874" s="13">
        <v>1</v>
      </c>
      <c r="M7874" s="123" t="b">
        <v>1</v>
      </c>
    </row>
    <row r="7875" spans="1:13" x14ac:dyDescent="0.25">
      <c r="B7875" s="13" t="s">
        <v>119</v>
      </c>
      <c r="D7875" s="13">
        <v>20000</v>
      </c>
      <c r="E7875" s="136" t="str">
        <f>INDEX([1]道具配置表!$D:$D,MATCH(D7875,[1]道具配置表!$A:$A,0))</f>
        <v>技能点1</v>
      </c>
      <c r="F7875" s="13">
        <v>5800</v>
      </c>
      <c r="K7875" s="13">
        <v>1</v>
      </c>
      <c r="M7875" s="123" t="b">
        <v>1</v>
      </c>
    </row>
    <row r="7876" spans="1:13" x14ac:dyDescent="0.25">
      <c r="A7876" s="13">
        <v>6667230</v>
      </c>
      <c r="B7876" s="13" t="s">
        <v>1823</v>
      </c>
      <c r="D7876" s="13">
        <v>2007</v>
      </c>
      <c r="E7876" s="136" t="str">
        <f>INDEX([1]道具配置表!$D:$D,MATCH(D7876,[1]道具配置表!$A:$A,0))</f>
        <v>大奖池招募券</v>
      </c>
      <c r="F7876" s="13">
        <v>4</v>
      </c>
      <c r="K7876" s="13">
        <v>1</v>
      </c>
      <c r="M7876" s="123" t="b">
        <v>1</v>
      </c>
    </row>
    <row r="7877" spans="1:13" x14ac:dyDescent="0.25">
      <c r="B7877" s="13" t="s">
        <v>119</v>
      </c>
      <c r="D7877" s="13">
        <v>7003</v>
      </c>
      <c r="E7877" s="136" t="str">
        <f>INDEX([1]道具配置表!$D:$D,MATCH(D7877,[1]道具配置表!$A:$A,0))</f>
        <v>1银币（立即使用，不进背包）</v>
      </c>
      <c r="F7877" s="13">
        <v>2300</v>
      </c>
      <c r="K7877" s="13">
        <v>1</v>
      </c>
      <c r="M7877" s="123" t="b">
        <v>1</v>
      </c>
    </row>
    <row r="7878" spans="1:13" x14ac:dyDescent="0.25">
      <c r="B7878" s="13" t="s">
        <v>119</v>
      </c>
      <c r="D7878" s="13">
        <v>7229</v>
      </c>
      <c r="E7878" s="136" t="str">
        <f>INDEX([1]道具配置表!$D:$D,MATCH(D7878,[1]道具配置表!$A:$A,0))</f>
        <v>经验书*50000</v>
      </c>
      <c r="F7878" s="13">
        <v>26</v>
      </c>
      <c r="K7878" s="13">
        <v>1</v>
      </c>
      <c r="M7878" s="123" t="b">
        <v>1</v>
      </c>
    </row>
    <row r="7879" spans="1:13" x14ac:dyDescent="0.25">
      <c r="B7879" s="13" t="s">
        <v>119</v>
      </c>
      <c r="D7879" s="13">
        <v>20000</v>
      </c>
      <c r="E7879" s="136" t="str">
        <f>INDEX([1]道具配置表!$D:$D,MATCH(D7879,[1]道具配置表!$A:$A,0))</f>
        <v>技能点1</v>
      </c>
      <c r="F7879" s="13">
        <v>6000</v>
      </c>
      <c r="K7879" s="13">
        <v>1</v>
      </c>
      <c r="M7879" s="123" t="b">
        <v>1</v>
      </c>
    </row>
    <row r="7880" spans="1:13" x14ac:dyDescent="0.25">
      <c r="A7880" s="13">
        <v>6667231</v>
      </c>
      <c r="B7880" s="13" t="s">
        <v>1824</v>
      </c>
      <c r="D7880" s="13">
        <v>2007</v>
      </c>
      <c r="E7880" s="136" t="str">
        <f>INDEX([1]道具配置表!$D:$D,MATCH(D7880,[1]道具配置表!$A:$A,0))</f>
        <v>大奖池招募券</v>
      </c>
      <c r="F7880" s="13">
        <v>4</v>
      </c>
      <c r="K7880" s="13">
        <v>1</v>
      </c>
      <c r="M7880" s="123" t="b">
        <v>1</v>
      </c>
    </row>
    <row r="7881" spans="1:13" x14ac:dyDescent="0.25">
      <c r="B7881" s="13" t="s">
        <v>119</v>
      </c>
      <c r="D7881" s="13">
        <v>7003</v>
      </c>
      <c r="E7881" s="136" t="str">
        <f>INDEX([1]道具配置表!$D:$D,MATCH(D7881,[1]道具配置表!$A:$A,0))</f>
        <v>1银币（立即使用，不进背包）</v>
      </c>
      <c r="F7881" s="13">
        <v>2400</v>
      </c>
      <c r="K7881" s="13">
        <v>1</v>
      </c>
      <c r="M7881" s="123" t="b">
        <v>1</v>
      </c>
    </row>
    <row r="7882" spans="1:13" x14ac:dyDescent="0.25">
      <c r="B7882" s="13" t="s">
        <v>119</v>
      </c>
      <c r="D7882" s="13">
        <v>7229</v>
      </c>
      <c r="E7882" s="136" t="str">
        <f>INDEX([1]道具配置表!$D:$D,MATCH(D7882,[1]道具配置表!$A:$A,0))</f>
        <v>经验书*50000</v>
      </c>
      <c r="F7882" s="13">
        <v>27</v>
      </c>
      <c r="K7882" s="13">
        <v>1</v>
      </c>
      <c r="M7882" s="123" t="b">
        <v>1</v>
      </c>
    </row>
    <row r="7883" spans="1:13" x14ac:dyDescent="0.25">
      <c r="B7883" s="13" t="s">
        <v>119</v>
      </c>
      <c r="D7883" s="13">
        <v>20000</v>
      </c>
      <c r="E7883" s="136" t="str">
        <f>INDEX([1]道具配置表!$D:$D,MATCH(D7883,[1]道具配置表!$A:$A,0))</f>
        <v>技能点1</v>
      </c>
      <c r="F7883" s="13">
        <v>6200</v>
      </c>
      <c r="K7883" s="13">
        <v>1</v>
      </c>
      <c r="M7883" s="123" t="b">
        <v>1</v>
      </c>
    </row>
    <row r="7884" spans="1:13" x14ac:dyDescent="0.25">
      <c r="A7884" s="13">
        <v>6667232</v>
      </c>
      <c r="B7884" s="13" t="s">
        <v>1825</v>
      </c>
      <c r="D7884" s="13">
        <v>2007</v>
      </c>
      <c r="E7884" s="136" t="str">
        <f>INDEX([1]道具配置表!$D:$D,MATCH(D7884,[1]道具配置表!$A:$A,0))</f>
        <v>大奖池招募券</v>
      </c>
      <c r="F7884" s="13">
        <v>4</v>
      </c>
      <c r="K7884" s="13">
        <v>1</v>
      </c>
      <c r="M7884" s="123" t="b">
        <v>1</v>
      </c>
    </row>
    <row r="7885" spans="1:13" x14ac:dyDescent="0.25">
      <c r="B7885" s="13" t="s">
        <v>119</v>
      </c>
      <c r="D7885" s="13">
        <v>7003</v>
      </c>
      <c r="E7885" s="136" t="str">
        <f>INDEX([1]道具配置表!$D:$D,MATCH(D7885,[1]道具配置表!$A:$A,0))</f>
        <v>1银币（立即使用，不进背包）</v>
      </c>
      <c r="F7885" s="13">
        <v>2500</v>
      </c>
      <c r="K7885" s="13">
        <v>1</v>
      </c>
      <c r="M7885" s="123" t="b">
        <v>1</v>
      </c>
    </row>
    <row r="7886" spans="1:13" x14ac:dyDescent="0.25">
      <c r="B7886" s="13" t="s">
        <v>119</v>
      </c>
      <c r="D7886" s="13">
        <v>7229</v>
      </c>
      <c r="E7886" s="136" t="str">
        <f>INDEX([1]道具配置表!$D:$D,MATCH(D7886,[1]道具配置表!$A:$A,0))</f>
        <v>经验书*50000</v>
      </c>
      <c r="F7886" s="13">
        <v>28</v>
      </c>
      <c r="K7886" s="13">
        <v>1</v>
      </c>
      <c r="M7886" s="123" t="b">
        <v>1</v>
      </c>
    </row>
    <row r="7887" spans="1:13" x14ac:dyDescent="0.25">
      <c r="B7887" s="13" t="s">
        <v>119</v>
      </c>
      <c r="D7887" s="13">
        <v>20000</v>
      </c>
      <c r="E7887" s="136" t="str">
        <f>INDEX([1]道具配置表!$D:$D,MATCH(D7887,[1]道具配置表!$A:$A,0))</f>
        <v>技能点1</v>
      </c>
      <c r="F7887" s="13">
        <v>6400</v>
      </c>
      <c r="K7887" s="13">
        <v>1</v>
      </c>
      <c r="M7887" s="123" t="b">
        <v>1</v>
      </c>
    </row>
    <row r="7888" spans="1:13" x14ac:dyDescent="0.25">
      <c r="A7888" s="13">
        <v>6667233</v>
      </c>
      <c r="B7888" s="13" t="s">
        <v>1826</v>
      </c>
      <c r="D7888" s="13">
        <v>2007</v>
      </c>
      <c r="E7888" s="136" t="str">
        <f>INDEX([1]道具配置表!$D:$D,MATCH(D7888,[1]道具配置表!$A:$A,0))</f>
        <v>大奖池招募券</v>
      </c>
      <c r="F7888" s="13">
        <v>4</v>
      </c>
      <c r="K7888" s="13">
        <v>1</v>
      </c>
      <c r="M7888" s="123" t="b">
        <v>1</v>
      </c>
    </row>
    <row r="7889" spans="1:13" x14ac:dyDescent="0.25">
      <c r="B7889" s="13" t="s">
        <v>119</v>
      </c>
      <c r="D7889" s="13">
        <v>7003</v>
      </c>
      <c r="E7889" s="136" t="str">
        <f>INDEX([1]道具配置表!$D:$D,MATCH(D7889,[1]道具配置表!$A:$A,0))</f>
        <v>1银币（立即使用，不进背包）</v>
      </c>
      <c r="F7889" s="13">
        <v>2600</v>
      </c>
      <c r="K7889" s="13">
        <v>1</v>
      </c>
      <c r="M7889" s="123" t="b">
        <v>1</v>
      </c>
    </row>
    <row r="7890" spans="1:13" x14ac:dyDescent="0.25">
      <c r="B7890" s="13" t="s">
        <v>119</v>
      </c>
      <c r="D7890" s="13">
        <v>7229</v>
      </c>
      <c r="E7890" s="136" t="str">
        <f>INDEX([1]道具配置表!$D:$D,MATCH(D7890,[1]道具配置表!$A:$A,0))</f>
        <v>经验书*50000</v>
      </c>
      <c r="F7890" s="13">
        <v>29</v>
      </c>
      <c r="K7890" s="13">
        <v>1</v>
      </c>
      <c r="M7890" s="123" t="b">
        <v>1</v>
      </c>
    </row>
    <row r="7891" spans="1:13" x14ac:dyDescent="0.25">
      <c r="B7891" s="13" t="s">
        <v>119</v>
      </c>
      <c r="D7891" s="13">
        <v>20000</v>
      </c>
      <c r="E7891" s="136" t="str">
        <f>INDEX([1]道具配置表!$D:$D,MATCH(D7891,[1]道具配置表!$A:$A,0))</f>
        <v>技能点1</v>
      </c>
      <c r="F7891" s="13">
        <v>6600</v>
      </c>
      <c r="K7891" s="13">
        <v>1</v>
      </c>
      <c r="M7891" s="123" t="b">
        <v>1</v>
      </c>
    </row>
    <row r="7892" spans="1:13" x14ac:dyDescent="0.25">
      <c r="A7892" s="13">
        <v>6667234</v>
      </c>
      <c r="B7892" s="13" t="s">
        <v>1827</v>
      </c>
      <c r="D7892" s="13">
        <v>2007</v>
      </c>
      <c r="E7892" s="136" t="str">
        <f>INDEX([1]道具配置表!$D:$D,MATCH(D7892,[1]道具配置表!$A:$A,0))</f>
        <v>大奖池招募券</v>
      </c>
      <c r="F7892" s="13">
        <v>4</v>
      </c>
      <c r="K7892" s="13">
        <v>1</v>
      </c>
      <c r="M7892" s="123" t="b">
        <v>1</v>
      </c>
    </row>
    <row r="7893" spans="1:13" x14ac:dyDescent="0.25">
      <c r="B7893" s="13" t="s">
        <v>119</v>
      </c>
      <c r="D7893" s="13">
        <v>7003</v>
      </c>
      <c r="E7893" s="136" t="str">
        <f>INDEX([1]道具配置表!$D:$D,MATCH(D7893,[1]道具配置表!$A:$A,0))</f>
        <v>1银币（立即使用，不进背包）</v>
      </c>
      <c r="F7893" s="13">
        <v>2700</v>
      </c>
      <c r="K7893" s="13">
        <v>1</v>
      </c>
      <c r="M7893" s="123" t="b">
        <v>1</v>
      </c>
    </row>
    <row r="7894" spans="1:13" x14ac:dyDescent="0.25">
      <c r="B7894" s="13" t="s">
        <v>119</v>
      </c>
      <c r="D7894" s="13">
        <v>7229</v>
      </c>
      <c r="E7894" s="136" t="str">
        <f>INDEX([1]道具配置表!$D:$D,MATCH(D7894,[1]道具配置表!$A:$A,0))</f>
        <v>经验书*50000</v>
      </c>
      <c r="F7894" s="13">
        <v>30</v>
      </c>
      <c r="K7894" s="13">
        <v>1</v>
      </c>
      <c r="M7894" s="123" t="b">
        <v>1</v>
      </c>
    </row>
    <row r="7895" spans="1:13" x14ac:dyDescent="0.25">
      <c r="B7895" s="13" t="s">
        <v>119</v>
      </c>
      <c r="D7895" s="13">
        <v>20000</v>
      </c>
      <c r="E7895" s="136" t="str">
        <f>INDEX([1]道具配置表!$D:$D,MATCH(D7895,[1]道具配置表!$A:$A,0))</f>
        <v>技能点1</v>
      </c>
      <c r="F7895" s="13">
        <v>6800</v>
      </c>
      <c r="K7895" s="13">
        <v>1</v>
      </c>
      <c r="M7895" s="123" t="b">
        <v>1</v>
      </c>
    </row>
    <row r="7896" spans="1:13" x14ac:dyDescent="0.25">
      <c r="A7896" s="13">
        <v>6667235</v>
      </c>
      <c r="B7896" s="13" t="s">
        <v>1828</v>
      </c>
      <c r="D7896" s="13">
        <v>2007</v>
      </c>
      <c r="E7896" s="136" t="str">
        <f>INDEX([1]道具配置表!$D:$D,MATCH(D7896,[1]道具配置表!$A:$A,0))</f>
        <v>大奖池招募券</v>
      </c>
      <c r="F7896" s="13">
        <v>4</v>
      </c>
      <c r="K7896" s="13">
        <v>1</v>
      </c>
      <c r="M7896" s="123" t="b">
        <v>1</v>
      </c>
    </row>
    <row r="7897" spans="1:13" x14ac:dyDescent="0.25">
      <c r="B7897" s="13" t="s">
        <v>119</v>
      </c>
      <c r="D7897" s="13">
        <v>7003</v>
      </c>
      <c r="E7897" s="136" t="str">
        <f>INDEX([1]道具配置表!$D:$D,MATCH(D7897,[1]道具配置表!$A:$A,0))</f>
        <v>1银币（立即使用，不进背包）</v>
      </c>
      <c r="F7897" s="13">
        <v>2800</v>
      </c>
      <c r="K7897" s="13">
        <v>1</v>
      </c>
      <c r="M7897" s="123" t="b">
        <v>1</v>
      </c>
    </row>
    <row r="7898" spans="1:13" x14ac:dyDescent="0.25">
      <c r="B7898" s="13" t="s">
        <v>119</v>
      </c>
      <c r="D7898" s="13">
        <v>7229</v>
      </c>
      <c r="E7898" s="136" t="str">
        <f>INDEX([1]道具配置表!$D:$D,MATCH(D7898,[1]道具配置表!$A:$A,0))</f>
        <v>经验书*50000</v>
      </c>
      <c r="F7898" s="13">
        <v>31</v>
      </c>
      <c r="K7898" s="13">
        <v>1</v>
      </c>
      <c r="M7898" s="123" t="b">
        <v>1</v>
      </c>
    </row>
    <row r="7899" spans="1:13" x14ac:dyDescent="0.25">
      <c r="B7899" s="13" t="s">
        <v>119</v>
      </c>
      <c r="D7899" s="13">
        <v>20000</v>
      </c>
      <c r="E7899" s="136" t="str">
        <f>INDEX([1]道具配置表!$D:$D,MATCH(D7899,[1]道具配置表!$A:$A,0))</f>
        <v>技能点1</v>
      </c>
      <c r="F7899" s="13">
        <v>7000</v>
      </c>
      <c r="K7899" s="13">
        <v>1</v>
      </c>
      <c r="M7899" s="123" t="b">
        <v>1</v>
      </c>
    </row>
    <row r="7900" spans="1:13" x14ac:dyDescent="0.25">
      <c r="A7900" s="13">
        <v>6667236</v>
      </c>
      <c r="B7900" s="13" t="s">
        <v>1829</v>
      </c>
      <c r="D7900" s="13">
        <v>2007</v>
      </c>
      <c r="E7900" s="136" t="str">
        <f>INDEX([1]道具配置表!$D:$D,MATCH(D7900,[1]道具配置表!$A:$A,0))</f>
        <v>大奖池招募券</v>
      </c>
      <c r="F7900" s="13">
        <v>5</v>
      </c>
      <c r="K7900" s="13">
        <v>1</v>
      </c>
      <c r="M7900" s="128" t="b">
        <v>1</v>
      </c>
    </row>
    <row r="7901" spans="1:13" x14ac:dyDescent="0.25">
      <c r="B7901" s="13" t="s">
        <v>119</v>
      </c>
      <c r="D7901" s="13">
        <v>7003</v>
      </c>
      <c r="E7901" s="136" t="str">
        <f>INDEX([1]道具配置表!$D:$D,MATCH(D7901,[1]道具配置表!$A:$A,0))</f>
        <v>1银币（立即使用，不进背包）</v>
      </c>
      <c r="F7901" s="13">
        <v>2900</v>
      </c>
      <c r="K7901" s="13">
        <v>1</v>
      </c>
      <c r="M7901" s="128" t="b">
        <v>1</v>
      </c>
    </row>
    <row r="7902" spans="1:13" x14ac:dyDescent="0.25">
      <c r="B7902" s="13" t="s">
        <v>119</v>
      </c>
      <c r="D7902" s="13">
        <v>7229</v>
      </c>
      <c r="E7902" s="136" t="str">
        <f>INDEX([1]道具配置表!$D:$D,MATCH(D7902,[1]道具配置表!$A:$A,0))</f>
        <v>经验书*50000</v>
      </c>
      <c r="F7902" s="13">
        <v>32</v>
      </c>
      <c r="K7902" s="13">
        <v>1</v>
      </c>
      <c r="M7902" s="128" t="b">
        <v>1</v>
      </c>
    </row>
    <row r="7903" spans="1:13" x14ac:dyDescent="0.25">
      <c r="B7903" s="13" t="s">
        <v>119</v>
      </c>
      <c r="D7903" s="13">
        <v>20000</v>
      </c>
      <c r="E7903" s="136" t="str">
        <f>INDEX([1]道具配置表!$D:$D,MATCH(D7903,[1]道具配置表!$A:$A,0))</f>
        <v>技能点1</v>
      </c>
      <c r="F7903" s="13">
        <v>7200</v>
      </c>
      <c r="K7903" s="13">
        <v>1</v>
      </c>
      <c r="M7903" s="128" t="b">
        <v>1</v>
      </c>
    </row>
    <row r="7904" spans="1:13" x14ac:dyDescent="0.25">
      <c r="A7904" s="13">
        <v>6667237</v>
      </c>
      <c r="B7904" s="13" t="s">
        <v>1830</v>
      </c>
      <c r="D7904" s="13">
        <v>2007</v>
      </c>
      <c r="E7904" s="136" t="str">
        <f>INDEX([1]道具配置表!$D:$D,MATCH(D7904,[1]道具配置表!$A:$A,0))</f>
        <v>大奖池招募券</v>
      </c>
      <c r="F7904" s="13">
        <v>5</v>
      </c>
      <c r="K7904" s="13">
        <v>1</v>
      </c>
      <c r="M7904" s="128" t="b">
        <v>1</v>
      </c>
    </row>
    <row r="7905" spans="1:13" x14ac:dyDescent="0.25">
      <c r="B7905" s="13" t="s">
        <v>119</v>
      </c>
      <c r="D7905" s="13">
        <v>7003</v>
      </c>
      <c r="E7905" s="136" t="str">
        <f>INDEX([1]道具配置表!$D:$D,MATCH(D7905,[1]道具配置表!$A:$A,0))</f>
        <v>1银币（立即使用，不进背包）</v>
      </c>
      <c r="F7905" s="13">
        <v>3000</v>
      </c>
      <c r="K7905" s="13">
        <v>1</v>
      </c>
      <c r="M7905" s="128" t="b">
        <v>1</v>
      </c>
    </row>
    <row r="7906" spans="1:13" x14ac:dyDescent="0.25">
      <c r="B7906" s="13" t="s">
        <v>119</v>
      </c>
      <c r="D7906" s="13">
        <v>7229</v>
      </c>
      <c r="E7906" s="136" t="str">
        <f>INDEX([1]道具配置表!$D:$D,MATCH(D7906,[1]道具配置表!$A:$A,0))</f>
        <v>经验书*50000</v>
      </c>
      <c r="F7906" s="13">
        <v>33</v>
      </c>
      <c r="K7906" s="13">
        <v>1</v>
      </c>
      <c r="M7906" s="128" t="b">
        <v>1</v>
      </c>
    </row>
    <row r="7907" spans="1:13" x14ac:dyDescent="0.25">
      <c r="B7907" s="13" t="s">
        <v>119</v>
      </c>
      <c r="D7907" s="13">
        <v>20000</v>
      </c>
      <c r="E7907" s="136" t="str">
        <f>INDEX([1]道具配置表!$D:$D,MATCH(D7907,[1]道具配置表!$A:$A,0))</f>
        <v>技能点1</v>
      </c>
      <c r="F7907" s="13">
        <v>7400</v>
      </c>
      <c r="K7907" s="13">
        <v>1</v>
      </c>
      <c r="M7907" s="128" t="b">
        <v>1</v>
      </c>
    </row>
    <row r="7908" spans="1:13" x14ac:dyDescent="0.25">
      <c r="A7908" s="13">
        <v>6667238</v>
      </c>
      <c r="B7908" s="13" t="s">
        <v>1831</v>
      </c>
      <c r="D7908" s="13">
        <v>2007</v>
      </c>
      <c r="E7908" s="136" t="str">
        <f>INDEX([1]道具配置表!$D:$D,MATCH(D7908,[1]道具配置表!$A:$A,0))</f>
        <v>大奖池招募券</v>
      </c>
      <c r="F7908" s="13">
        <v>5</v>
      </c>
      <c r="K7908" s="13">
        <v>1</v>
      </c>
      <c r="M7908" s="128" t="b">
        <v>1</v>
      </c>
    </row>
    <row r="7909" spans="1:13" x14ac:dyDescent="0.25">
      <c r="B7909" s="13" t="s">
        <v>119</v>
      </c>
      <c r="D7909" s="13">
        <v>7003</v>
      </c>
      <c r="E7909" s="136" t="str">
        <f>INDEX([1]道具配置表!$D:$D,MATCH(D7909,[1]道具配置表!$A:$A,0))</f>
        <v>1银币（立即使用，不进背包）</v>
      </c>
      <c r="F7909" s="13">
        <v>3100</v>
      </c>
      <c r="K7909" s="13">
        <v>1</v>
      </c>
      <c r="M7909" s="128" t="b">
        <v>1</v>
      </c>
    </row>
    <row r="7910" spans="1:13" x14ac:dyDescent="0.25">
      <c r="B7910" s="13" t="s">
        <v>119</v>
      </c>
      <c r="D7910" s="13">
        <v>7229</v>
      </c>
      <c r="E7910" s="136" t="str">
        <f>INDEX([1]道具配置表!$D:$D,MATCH(D7910,[1]道具配置表!$A:$A,0))</f>
        <v>经验书*50000</v>
      </c>
      <c r="F7910" s="13">
        <v>34</v>
      </c>
      <c r="K7910" s="13">
        <v>1</v>
      </c>
      <c r="M7910" s="128" t="b">
        <v>1</v>
      </c>
    </row>
    <row r="7911" spans="1:13" x14ac:dyDescent="0.25">
      <c r="B7911" s="13" t="s">
        <v>119</v>
      </c>
      <c r="D7911" s="13">
        <v>20000</v>
      </c>
      <c r="E7911" s="136" t="str">
        <f>INDEX([1]道具配置表!$D:$D,MATCH(D7911,[1]道具配置表!$A:$A,0))</f>
        <v>技能点1</v>
      </c>
      <c r="F7911" s="13">
        <v>7600</v>
      </c>
      <c r="K7911" s="13">
        <v>1</v>
      </c>
      <c r="M7911" s="128" t="b">
        <v>1</v>
      </c>
    </row>
    <row r="7912" spans="1:13" x14ac:dyDescent="0.25">
      <c r="A7912" s="13">
        <v>6667239</v>
      </c>
      <c r="B7912" s="13" t="s">
        <v>1832</v>
      </c>
      <c r="D7912" s="13">
        <v>2007</v>
      </c>
      <c r="E7912" s="136" t="str">
        <f>INDEX([1]道具配置表!$D:$D,MATCH(D7912,[1]道具配置表!$A:$A,0))</f>
        <v>大奖池招募券</v>
      </c>
      <c r="F7912" s="13">
        <v>5</v>
      </c>
      <c r="K7912" s="13">
        <v>1</v>
      </c>
      <c r="M7912" s="128" t="b">
        <v>1</v>
      </c>
    </row>
    <row r="7913" spans="1:13" x14ac:dyDescent="0.25">
      <c r="B7913" s="13" t="s">
        <v>119</v>
      </c>
      <c r="D7913" s="13">
        <v>7003</v>
      </c>
      <c r="E7913" s="136" t="str">
        <f>INDEX([1]道具配置表!$D:$D,MATCH(D7913,[1]道具配置表!$A:$A,0))</f>
        <v>1银币（立即使用，不进背包）</v>
      </c>
      <c r="F7913" s="13">
        <v>3200</v>
      </c>
      <c r="K7913" s="13">
        <v>1</v>
      </c>
      <c r="M7913" s="128" t="b">
        <v>1</v>
      </c>
    </row>
    <row r="7914" spans="1:13" x14ac:dyDescent="0.25">
      <c r="B7914" s="13" t="s">
        <v>119</v>
      </c>
      <c r="D7914" s="13">
        <v>7229</v>
      </c>
      <c r="E7914" s="136" t="str">
        <f>INDEX([1]道具配置表!$D:$D,MATCH(D7914,[1]道具配置表!$A:$A,0))</f>
        <v>经验书*50000</v>
      </c>
      <c r="F7914" s="13">
        <v>35</v>
      </c>
      <c r="K7914" s="13">
        <v>1</v>
      </c>
      <c r="M7914" s="128" t="b">
        <v>1</v>
      </c>
    </row>
    <row r="7915" spans="1:13" x14ac:dyDescent="0.25">
      <c r="B7915" s="13" t="s">
        <v>119</v>
      </c>
      <c r="D7915" s="13">
        <v>20000</v>
      </c>
      <c r="E7915" s="136" t="str">
        <f>INDEX([1]道具配置表!$D:$D,MATCH(D7915,[1]道具配置表!$A:$A,0))</f>
        <v>技能点1</v>
      </c>
      <c r="F7915" s="13">
        <v>7800</v>
      </c>
      <c r="K7915" s="13">
        <v>1</v>
      </c>
      <c r="M7915" s="128" t="b">
        <v>1</v>
      </c>
    </row>
    <row r="7916" spans="1:13" x14ac:dyDescent="0.25">
      <c r="A7916" s="13">
        <v>6667240</v>
      </c>
      <c r="B7916" s="13" t="s">
        <v>1833</v>
      </c>
      <c r="D7916" s="13">
        <v>2007</v>
      </c>
      <c r="E7916" s="136" t="str">
        <f>INDEX([1]道具配置表!$D:$D,MATCH(D7916,[1]道具配置表!$A:$A,0))</f>
        <v>大奖池招募券</v>
      </c>
      <c r="F7916" s="13">
        <v>5</v>
      </c>
      <c r="K7916" s="13">
        <v>1</v>
      </c>
      <c r="M7916" s="128" t="b">
        <v>1</v>
      </c>
    </row>
    <row r="7917" spans="1:13" x14ac:dyDescent="0.25">
      <c r="B7917" s="13" t="s">
        <v>119</v>
      </c>
      <c r="D7917" s="13">
        <v>7003</v>
      </c>
      <c r="E7917" s="136" t="str">
        <f>INDEX([1]道具配置表!$D:$D,MATCH(D7917,[1]道具配置表!$A:$A,0))</f>
        <v>1银币（立即使用，不进背包）</v>
      </c>
      <c r="F7917" s="13">
        <v>3300</v>
      </c>
      <c r="K7917" s="13">
        <v>1</v>
      </c>
      <c r="M7917" s="128" t="b">
        <v>1</v>
      </c>
    </row>
    <row r="7918" spans="1:13" x14ac:dyDescent="0.25">
      <c r="B7918" s="13" t="s">
        <v>119</v>
      </c>
      <c r="D7918" s="13">
        <v>7229</v>
      </c>
      <c r="E7918" s="136" t="str">
        <f>INDEX([1]道具配置表!$D:$D,MATCH(D7918,[1]道具配置表!$A:$A,0))</f>
        <v>经验书*50000</v>
      </c>
      <c r="F7918" s="13">
        <v>36</v>
      </c>
      <c r="K7918" s="13">
        <v>1</v>
      </c>
      <c r="M7918" s="128" t="b">
        <v>1</v>
      </c>
    </row>
    <row r="7919" spans="1:13" x14ac:dyDescent="0.25">
      <c r="B7919" s="13" t="s">
        <v>119</v>
      </c>
      <c r="D7919" s="13">
        <v>20000</v>
      </c>
      <c r="E7919" s="136" t="str">
        <f>INDEX([1]道具配置表!$D:$D,MATCH(D7919,[1]道具配置表!$A:$A,0))</f>
        <v>技能点1</v>
      </c>
      <c r="F7919" s="13">
        <v>8000</v>
      </c>
      <c r="K7919" s="13">
        <v>1</v>
      </c>
      <c r="M7919" s="128" t="b">
        <v>1</v>
      </c>
    </row>
    <row r="7920" spans="1:13" x14ac:dyDescent="0.25">
      <c r="A7920" s="13">
        <v>6667241</v>
      </c>
      <c r="B7920" s="13" t="s">
        <v>1834</v>
      </c>
      <c r="D7920" s="13">
        <v>2007</v>
      </c>
      <c r="E7920" s="136" t="str">
        <f>INDEX([1]道具配置表!$D:$D,MATCH(D7920,[1]道具配置表!$A:$A,0))</f>
        <v>大奖池招募券</v>
      </c>
      <c r="F7920" s="13">
        <v>5</v>
      </c>
      <c r="K7920" s="13">
        <v>1</v>
      </c>
      <c r="M7920" s="128" t="b">
        <v>1</v>
      </c>
    </row>
    <row r="7921" spans="2:13" x14ac:dyDescent="0.25">
      <c r="B7921" s="13" t="s">
        <v>119</v>
      </c>
      <c r="D7921" s="13">
        <v>7003</v>
      </c>
      <c r="E7921" s="136" t="str">
        <f>INDEX([1]道具配置表!$D:$D,MATCH(D7921,[1]道具配置表!$A:$A,0))</f>
        <v>1银币（立即使用，不进背包）</v>
      </c>
      <c r="F7921" s="13">
        <v>3400</v>
      </c>
      <c r="K7921" s="13">
        <v>1</v>
      </c>
      <c r="M7921" s="128" t="b">
        <v>1</v>
      </c>
    </row>
    <row r="7922" spans="2:13" x14ac:dyDescent="0.25">
      <c r="B7922" s="13" t="s">
        <v>119</v>
      </c>
      <c r="D7922" s="13">
        <v>7229</v>
      </c>
      <c r="E7922" s="136" t="str">
        <f>INDEX([1]道具配置表!$D:$D,MATCH(D7922,[1]道具配置表!$A:$A,0))</f>
        <v>经验书*50000</v>
      </c>
      <c r="F7922" s="13">
        <v>37</v>
      </c>
      <c r="K7922" s="13">
        <v>1</v>
      </c>
      <c r="M7922" s="128" t="b">
        <v>1</v>
      </c>
    </row>
    <row r="7923" spans="2:13" x14ac:dyDescent="0.25">
      <c r="B7923" s="13" t="s">
        <v>119</v>
      </c>
      <c r="D7923" s="13">
        <v>20000</v>
      </c>
      <c r="E7923" s="136" t="str">
        <f>INDEX([1]道具配置表!$D:$D,MATCH(D7923,[1]道具配置表!$A:$A,0))</f>
        <v>技能点1</v>
      </c>
      <c r="F7923" s="13">
        <v>8200</v>
      </c>
      <c r="K7923" s="13">
        <v>1</v>
      </c>
      <c r="M7923" s="128" t="b">
        <v>1</v>
      </c>
    </row>
  </sheetData>
  <autoFilter ref="A2:AD4527" xr:uid="{00000000-0009-0000-0000-000000000000}"/>
  <mergeCells count="1">
    <mergeCell ref="G1:J1"/>
  </mergeCells>
  <phoneticPr fontId="1" type="noConversion"/>
  <conditionalFormatting sqref="A7064">
    <cfRule type="duplicateValues" dxfId="212" priority="10"/>
    <cfRule type="duplicateValues" dxfId="211" priority="11"/>
  </conditionalFormatting>
  <conditionalFormatting sqref="A7068:A7069">
    <cfRule type="duplicateValues" dxfId="210" priority="18"/>
    <cfRule type="duplicateValues" dxfId="209" priority="19"/>
  </conditionalFormatting>
  <conditionalFormatting sqref="A7073:A7074">
    <cfRule type="duplicateValues" dxfId="208" priority="14"/>
    <cfRule type="duplicateValues" dxfId="207" priority="15"/>
  </conditionalFormatting>
  <conditionalFormatting sqref="A7075:A7149 A7070:A7072 A7065:A7067 A7153:A1048576 A6292:A7063 A1:A5251">
    <cfRule type="duplicateValues" dxfId="206" priority="90"/>
    <cfRule type="duplicateValues" dxfId="205" priority="91"/>
  </conditionalFormatting>
  <conditionalFormatting sqref="A7150:A7152">
    <cfRule type="duplicateValues" dxfId="204" priority="22"/>
    <cfRule type="duplicateValues" dxfId="203" priority="23"/>
  </conditionalFormatting>
  <conditionalFormatting sqref="A7065:D7149 F6776:M7717 A3577:D6648 E1754:E7923 A7924:M1048576 F3358:M6649">
    <cfRule type="expression" dxfId="202" priority="92">
      <formula>$A1754&lt;&gt;""</formula>
    </cfRule>
  </conditionalFormatting>
  <conditionalFormatting sqref="A7064:D7064">
    <cfRule type="expression" dxfId="201" priority="12">
      <formula>$A7064&lt;&gt;""</formula>
    </cfRule>
  </conditionalFormatting>
  <conditionalFormatting sqref="A7150:D7152">
    <cfRule type="expression" dxfId="200" priority="24">
      <formula>$A7150&lt;&gt;""</formula>
    </cfRule>
  </conditionalFormatting>
  <conditionalFormatting sqref="A1:N505 A506:L510 A511:I517 A518:F812 A2381:B2607 A2608:A2627 A2631:A2635 A2958:D3390 A3504:C3576 A6649:C6669 A6670:D6746 A6747:C6775 A6776:D6777 A6778:C6778 A6780:C7063 A7153:D7154 A7155:C7156 A7157:D7419 A7420:A7421 A7422:D7717 A7719 A7720:D7720 A7721:C7721 A7722:D7723 A7724:C7724 A7725:D7726 M506:N812 K511:L517 G518:K521 L518:L582 G522:I528 K522:K528 G529:K532 G533:I539 K533:K539 G540:K543 G544:I550 K544:K550 G551:K554 G555:I561 K555:K561 G562:K565 G566:I572 K566:K572 G573:K573 K574:K582 G574:I584 J583:L584 G585:K585 L585:L812 G586:I596 K586:K596 J595:J596 G597:K597 G598:I608 K598:K608 J607:J608 G609:K609 G610:I620 K610:K620 J619:J620 G621:K624 G625:I630 K625:K630 G631:K633 G634:I644 K634:K644 J643:J644 G645:K645 G646:I656 K646:K656 J655:J656 G657:K657 G658:I668 K658:K668 J667:J668 G669:K669 G670:I680 K670:K680 J679:J680 G681:K681 G682:I692 K682:K692 J691:J692 G693:K693 G694:I704 K694:K704 J703:J704 G705:K705 G706:I716 K706:K716 J715:J716 G717:K717 G718:I728 K718:K728 J727:J728 G729:K729 G730:I740 K730:K740 J739:J740 G741:K741 G742:I752 K742:K752 J751:J752 G753:K753 G754:I764 K754:K764 J763:J764 G765:K765 G766:I776 K766:K776 J775:J776 G777:K777 G778:I788 K778:K788 J787:J788 G789:K789 G790:I800 K790:K800 J799:J800 G801:K801 G802:I812 K802:K812 J811:J812 D2381:D2540 C2381:C2635 F2381:F2635 D2542:D2546 D2548:D2552 D2554:D2558 D2560:D2564 D2566:D2570 D2572:D2627 B2608:B2635 D2631:D2639 F3316:F3336 G3336:L3336 F3337:L3357 D3504:D3505 D3507:D3576 D6650 G6650:M6665 F6650:F6669 D6652 D6654 D6656 D6658 D6660 D6662 D6664:D6669 G6666:J6669 K6666:M6775 F6670:J6775 D6747 C7420:D7421 K7718:M7726 G7720:J7722 F7723:J7726 D7724:D7725">
    <cfRule type="expression" dxfId="199" priority="232">
      <formula>$A1&lt;&gt;""</formula>
    </cfRule>
  </conditionalFormatting>
  <conditionalFormatting sqref="A813:N1753 A1754:D2380 F1754:M2380 G2381:M2540 G2542:M2546 G2548:M2552 G2554:M2558 G2560:M2564 G2566:M2570 G2572:M2627 G2631:M2635 A2636:D2957 F2636:M3315 G3316:M3335 M3336:M3357 A3391:D3503 A6779:D6779 A7718:D7718 F7718:J7718 A7727:D7923 F7727:M7923">
    <cfRule type="expression" dxfId="198" priority="29">
      <formula>$A813&lt;&gt;""</formula>
    </cfRule>
  </conditionalFormatting>
  <conditionalFormatting sqref="B7719:D7719 G7719:J7719">
    <cfRule type="expression" dxfId="197" priority="1978">
      <formula>#REF!&lt;&gt;""</formula>
    </cfRule>
  </conditionalFormatting>
  <conditionalFormatting sqref="D6749:D6750 D6752:D6753 D6755:D6756 D6758:D6759 D6761:D6762 D6764:D6765 D6767:D6768 D6770:D6771 D6773:D6774">
    <cfRule type="expression" dxfId="196" priority="57">
      <formula>$A6749&lt;&gt;""</formula>
    </cfRule>
  </conditionalFormatting>
  <conditionalFormatting sqref="D6780:D7063">
    <cfRule type="expression" dxfId="195" priority="32">
      <formula>$A6780&lt;&gt;""</formula>
    </cfRule>
  </conditionalFormatting>
  <conditionalFormatting sqref="D7155:D7156">
    <cfRule type="expression" dxfId="194" priority="1">
      <formula>$A7155&lt;&gt;""</formula>
    </cfRule>
  </conditionalFormatting>
  <conditionalFormatting sqref="D7718">
    <cfRule type="expression" dxfId="193" priority="27">
      <formula>#REF!&lt;&gt;""</formula>
    </cfRule>
  </conditionalFormatting>
  <conditionalFormatting sqref="D7723 F7723">
    <cfRule type="expression" dxfId="192" priority="238">
      <formula>$A7724&lt;&gt;""</formula>
    </cfRule>
  </conditionalFormatting>
  <conditionalFormatting sqref="F7718:F7722 D7719:D7721">
    <cfRule type="expression" dxfId="191" priority="26">
      <formula>$A7718&lt;&gt;""</formula>
    </cfRule>
  </conditionalFormatting>
  <conditionalFormatting sqref="J512:J517 B7421">
    <cfRule type="expression" dxfId="190" priority="235">
      <formula>$A511&lt;&gt;""</formula>
    </cfRule>
  </conditionalFormatting>
  <conditionalFormatting sqref="J523:J528">
    <cfRule type="expression" dxfId="189" priority="231">
      <formula>$A522&lt;&gt;""</formula>
    </cfRule>
  </conditionalFormatting>
  <conditionalFormatting sqref="J534:J539">
    <cfRule type="expression" dxfId="188" priority="230">
      <formula>$A533&lt;&gt;""</formula>
    </cfRule>
  </conditionalFormatting>
  <conditionalFormatting sqref="J545:J550">
    <cfRule type="expression" dxfId="187" priority="229">
      <formula>$A544&lt;&gt;""</formula>
    </cfRule>
  </conditionalFormatting>
  <conditionalFormatting sqref="J556:J561">
    <cfRule type="expression" dxfId="186" priority="228">
      <formula>$A555&lt;&gt;""</formula>
    </cfRule>
  </conditionalFormatting>
  <conditionalFormatting sqref="J567:J572">
    <cfRule type="expression" dxfId="185" priority="227">
      <formula>$A566&lt;&gt;""</formula>
    </cfRule>
  </conditionalFormatting>
  <conditionalFormatting sqref="J574:J578">
    <cfRule type="expression" dxfId="184" priority="198">
      <formula>$A574&lt;&gt;""</formula>
    </cfRule>
  </conditionalFormatting>
  <conditionalFormatting sqref="J579:J584">
    <cfRule type="expression" dxfId="183" priority="199">
      <formula>$A577&lt;&gt;""</formula>
    </cfRule>
  </conditionalFormatting>
  <conditionalFormatting sqref="J586:J590">
    <cfRule type="expression" dxfId="182" priority="200">
      <formula>$A586&lt;&gt;""</formula>
    </cfRule>
  </conditionalFormatting>
  <conditionalFormatting sqref="J591:J596">
    <cfRule type="expression" dxfId="181" priority="201">
      <formula>$A589&lt;&gt;""</formula>
    </cfRule>
  </conditionalFormatting>
  <conditionalFormatting sqref="J598:J602">
    <cfRule type="expression" dxfId="180" priority="202">
      <formula>$A598&lt;&gt;""</formula>
    </cfRule>
  </conditionalFormatting>
  <conditionalFormatting sqref="J603:J608">
    <cfRule type="expression" dxfId="179" priority="203">
      <formula>$A601&lt;&gt;""</formula>
    </cfRule>
  </conditionalFormatting>
  <conditionalFormatting sqref="J610:J614">
    <cfRule type="expression" dxfId="178" priority="204">
      <formula>$A610&lt;&gt;""</formula>
    </cfRule>
  </conditionalFormatting>
  <conditionalFormatting sqref="J615:J620">
    <cfRule type="expression" dxfId="177" priority="205">
      <formula>$A613&lt;&gt;""</formula>
    </cfRule>
  </conditionalFormatting>
  <conditionalFormatting sqref="J625:J626">
    <cfRule type="expression" dxfId="176" priority="206">
      <formula>$A625&lt;&gt;""</formula>
    </cfRule>
  </conditionalFormatting>
  <conditionalFormatting sqref="J627:J632">
    <cfRule type="expression" dxfId="175" priority="222">
      <formula>$A625&lt;&gt;""</formula>
    </cfRule>
  </conditionalFormatting>
  <conditionalFormatting sqref="J634:J638">
    <cfRule type="expression" dxfId="174" priority="196">
      <formula>$A634&lt;&gt;""</formula>
    </cfRule>
  </conditionalFormatting>
  <conditionalFormatting sqref="J639:J644">
    <cfRule type="expression" dxfId="173" priority="197">
      <formula>$A637&lt;&gt;""</formula>
    </cfRule>
  </conditionalFormatting>
  <conditionalFormatting sqref="J646:J650">
    <cfRule type="expression" dxfId="172" priority="194">
      <formula>$A646&lt;&gt;""</formula>
    </cfRule>
  </conditionalFormatting>
  <conditionalFormatting sqref="J651:J656">
    <cfRule type="expression" dxfId="171" priority="195">
      <formula>$A649&lt;&gt;""</formula>
    </cfRule>
  </conditionalFormatting>
  <conditionalFormatting sqref="J658:J662">
    <cfRule type="expression" dxfId="170" priority="192">
      <formula>$A658&lt;&gt;""</formula>
    </cfRule>
  </conditionalFormatting>
  <conditionalFormatting sqref="J663:J668">
    <cfRule type="expression" dxfId="169" priority="193">
      <formula>$A661&lt;&gt;""</formula>
    </cfRule>
  </conditionalFormatting>
  <conditionalFormatting sqref="J670:J674">
    <cfRule type="expression" dxfId="168" priority="190">
      <formula>$A670&lt;&gt;""</formula>
    </cfRule>
  </conditionalFormatting>
  <conditionalFormatting sqref="J675:J680">
    <cfRule type="expression" dxfId="167" priority="191">
      <formula>$A673&lt;&gt;""</formula>
    </cfRule>
  </conditionalFormatting>
  <conditionalFormatting sqref="J682:J686">
    <cfRule type="expression" dxfId="166" priority="188">
      <formula>$A682&lt;&gt;""</formula>
    </cfRule>
  </conditionalFormatting>
  <conditionalFormatting sqref="J687:J692">
    <cfRule type="expression" dxfId="165" priority="189">
      <formula>$A685&lt;&gt;""</formula>
    </cfRule>
  </conditionalFormatting>
  <conditionalFormatting sqref="J694:J698">
    <cfRule type="expression" dxfId="164" priority="184">
      <formula>$A694&lt;&gt;""</formula>
    </cfRule>
  </conditionalFormatting>
  <conditionalFormatting sqref="J699:J704">
    <cfRule type="expression" dxfId="163" priority="185">
      <formula>$A697&lt;&gt;""</formula>
    </cfRule>
  </conditionalFormatting>
  <conditionalFormatting sqref="J706:J710">
    <cfRule type="expression" dxfId="162" priority="186">
      <formula>$A706&lt;&gt;""</formula>
    </cfRule>
  </conditionalFormatting>
  <conditionalFormatting sqref="J711:J716">
    <cfRule type="expression" dxfId="161" priority="187">
      <formula>$A709&lt;&gt;""</formula>
    </cfRule>
  </conditionalFormatting>
  <conditionalFormatting sqref="J718:J722">
    <cfRule type="expression" dxfId="160" priority="182">
      <formula>$A718&lt;&gt;""</formula>
    </cfRule>
  </conditionalFormatting>
  <conditionalFormatting sqref="J723:J728">
    <cfRule type="expression" dxfId="159" priority="183">
      <formula>$A721&lt;&gt;""</formula>
    </cfRule>
  </conditionalFormatting>
  <conditionalFormatting sqref="J730:J734">
    <cfRule type="expression" dxfId="158" priority="180">
      <formula>$A730&lt;&gt;""</formula>
    </cfRule>
  </conditionalFormatting>
  <conditionalFormatting sqref="J735:J740">
    <cfRule type="expression" dxfId="157" priority="181">
      <formula>$A733&lt;&gt;""</formula>
    </cfRule>
  </conditionalFormatting>
  <conditionalFormatting sqref="J742:J746">
    <cfRule type="expression" dxfId="156" priority="178">
      <formula>$A742&lt;&gt;""</formula>
    </cfRule>
  </conditionalFormatting>
  <conditionalFormatting sqref="J747:J752">
    <cfRule type="expression" dxfId="155" priority="179">
      <formula>$A745&lt;&gt;""</formula>
    </cfRule>
  </conditionalFormatting>
  <conditionalFormatting sqref="J754:J758">
    <cfRule type="expression" dxfId="154" priority="176">
      <formula>$A754&lt;&gt;""</formula>
    </cfRule>
  </conditionalFormatting>
  <conditionalFormatting sqref="J759:J764">
    <cfRule type="expression" dxfId="153" priority="177">
      <formula>$A757&lt;&gt;""</formula>
    </cfRule>
  </conditionalFormatting>
  <conditionalFormatting sqref="J766:J770">
    <cfRule type="expression" dxfId="152" priority="174">
      <formula>$A766&lt;&gt;""</formula>
    </cfRule>
  </conditionalFormatting>
  <conditionalFormatting sqref="J771:J776">
    <cfRule type="expression" dxfId="151" priority="175">
      <formula>$A769&lt;&gt;""</formula>
    </cfRule>
  </conditionalFormatting>
  <conditionalFormatting sqref="J778:J782">
    <cfRule type="expression" dxfId="150" priority="172">
      <formula>$A778&lt;&gt;""</formula>
    </cfRule>
  </conditionalFormatting>
  <conditionalFormatting sqref="J783:J788">
    <cfRule type="expression" dxfId="149" priority="173">
      <formula>$A781&lt;&gt;""</formula>
    </cfRule>
  </conditionalFormatting>
  <conditionalFormatting sqref="J790:J794">
    <cfRule type="expression" dxfId="148" priority="170">
      <formula>$A790&lt;&gt;""</formula>
    </cfRule>
  </conditionalFormatting>
  <conditionalFormatting sqref="J795:J800">
    <cfRule type="expression" dxfId="147" priority="171">
      <formula>$A793&lt;&gt;""</formula>
    </cfRule>
  </conditionalFormatting>
  <conditionalFormatting sqref="J802:J806">
    <cfRule type="expression" dxfId="146" priority="168">
      <formula>$A802&lt;&gt;""</formula>
    </cfRule>
  </conditionalFormatting>
  <conditionalFormatting sqref="J807:J812">
    <cfRule type="expression" dxfId="145" priority="169">
      <formula>$A805&lt;&gt;""</formula>
    </cfRule>
  </conditionalFormatting>
  <conditionalFormatting sqref="N1754:N2420 N2422:N2426 N2428:N2432 N2434:N2438 N2440:N2444 N2446:N2450 N2452:N2507 N2511:N4121">
    <cfRule type="expression" dxfId="144" priority="2492">
      <formula>$A1874&lt;&gt;""</formula>
    </cfRule>
  </conditionalFormatting>
  <conditionalFormatting sqref="N4398:N5051 N4122:N4144">
    <cfRule type="expression" dxfId="143" priority="2549">
      <formula>$A4322&lt;&gt;""</formula>
    </cfRule>
  </conditionalFormatting>
  <conditionalFormatting sqref="N4240 N4322:N4359">
    <cfRule type="expression" dxfId="142" priority="2528">
      <formula>$A4471&lt;&gt;""</formula>
    </cfRule>
  </conditionalFormatting>
  <conditionalFormatting sqref="N4376:N4397">
    <cfRule type="expression" dxfId="141" priority="2">
      <formula>$A4591&lt;&gt;""</formula>
    </cfRule>
  </conditionalFormatting>
  <conditionalFormatting sqref="N5052:N5867">
    <cfRule type="expression" dxfId="140" priority="256">
      <formula>#REF!&lt;&gt;""</formula>
    </cfRule>
  </conditionalFormatting>
  <conditionalFormatting sqref="N5868:N5906">
    <cfRule type="expression" dxfId="139" priority="271">
      <formula>$A6611&lt;&gt;""</formula>
    </cfRule>
  </conditionalFormatting>
  <conditionalFormatting sqref="N5907:N5910">
    <cfRule type="expression" dxfId="138" priority="292">
      <formula>#REF!&lt;&gt;""</formula>
    </cfRule>
  </conditionalFormatting>
  <conditionalFormatting sqref="N5911:N5912">
    <cfRule type="expression" dxfId="137" priority="291">
      <formula>$A6650&lt;&gt;""</formula>
    </cfRule>
  </conditionalFormatting>
  <conditionalFormatting sqref="N5913:N5916">
    <cfRule type="expression" dxfId="136" priority="313">
      <formula>#REF!&lt;&gt;""</formula>
    </cfRule>
  </conditionalFormatting>
  <conditionalFormatting sqref="N5917:N5918">
    <cfRule type="expression" dxfId="135" priority="312">
      <formula>$A6652&lt;&gt;""</formula>
    </cfRule>
  </conditionalFormatting>
  <conditionalFormatting sqref="N5919:N5922">
    <cfRule type="expression" dxfId="134" priority="331">
      <formula>#REF!&lt;&gt;""</formula>
    </cfRule>
  </conditionalFormatting>
  <conditionalFormatting sqref="N5923:N5924">
    <cfRule type="expression" dxfId="133" priority="330">
      <formula>$A6654&lt;&gt;""</formula>
    </cfRule>
  </conditionalFormatting>
  <conditionalFormatting sqref="N5925:N5928">
    <cfRule type="expression" dxfId="132" priority="349">
      <formula>#REF!&lt;&gt;""</formula>
    </cfRule>
  </conditionalFormatting>
  <conditionalFormatting sqref="N5929:N5930">
    <cfRule type="expression" dxfId="131" priority="348">
      <formula>$A6656&lt;&gt;""</formula>
    </cfRule>
  </conditionalFormatting>
  <conditionalFormatting sqref="N5931:N5934">
    <cfRule type="expression" dxfId="130" priority="367">
      <formula>#REF!&lt;&gt;""</formula>
    </cfRule>
  </conditionalFormatting>
  <conditionalFormatting sqref="N5935:N5936">
    <cfRule type="expression" dxfId="129" priority="366">
      <formula>$A6658&lt;&gt;""</formula>
    </cfRule>
  </conditionalFormatting>
  <conditionalFormatting sqref="N5937:N5940">
    <cfRule type="expression" dxfId="128" priority="385">
      <formula>#REF!&lt;&gt;""</formula>
    </cfRule>
  </conditionalFormatting>
  <conditionalFormatting sqref="N5941:N5942">
    <cfRule type="expression" dxfId="127" priority="384">
      <formula>$A6660&lt;&gt;""</formula>
    </cfRule>
  </conditionalFormatting>
  <conditionalFormatting sqref="N5943:N5944">
    <cfRule type="expression" dxfId="126" priority="402">
      <formula>#REF!&lt;&gt;""</formula>
    </cfRule>
  </conditionalFormatting>
  <conditionalFormatting sqref="N5945:N5953">
    <cfRule type="expression" dxfId="125" priority="2325">
      <formula>$A7390&lt;&gt;""</formula>
    </cfRule>
  </conditionalFormatting>
  <conditionalFormatting sqref="N5954:N5958">
    <cfRule type="expression" dxfId="124" priority="739">
      <formula>$A7400&lt;&gt;""</formula>
    </cfRule>
  </conditionalFormatting>
  <conditionalFormatting sqref="N5959:N5963">
    <cfRule type="expression" dxfId="123" priority="1668">
      <formula>$A7406&lt;&gt;""</formula>
    </cfRule>
  </conditionalFormatting>
  <conditionalFormatting sqref="N5964:N5968">
    <cfRule type="expression" dxfId="122" priority="1746">
      <formula>$A7412&lt;&gt;""</formula>
    </cfRule>
  </conditionalFormatting>
  <conditionalFormatting sqref="N5969:N5973 N5980 N5987 N5994:N6040">
    <cfRule type="expression" dxfId="121" priority="449">
      <formula>$A7418&lt;&gt;""</formula>
    </cfRule>
  </conditionalFormatting>
  <conditionalFormatting sqref="N5974:N5978 N5981:N5985 N5988:N5992 N6041:N6043">
    <cfRule type="expression" dxfId="120" priority="327">
      <formula>$A7424&lt;&gt;""</formula>
    </cfRule>
  </conditionalFormatting>
  <conditionalFormatting sqref="N5979">
    <cfRule type="expression" dxfId="119" priority="1398">
      <formula>#REF!&lt;&gt;""</formula>
    </cfRule>
  </conditionalFormatting>
  <conditionalFormatting sqref="N5986">
    <cfRule type="expression" dxfId="118" priority="1425">
      <formula>#REF!&lt;&gt;""</formula>
    </cfRule>
  </conditionalFormatting>
  <conditionalFormatting sqref="N5993">
    <cfRule type="expression" dxfId="117" priority="1451">
      <formula>#REF!&lt;&gt;""</formula>
    </cfRule>
  </conditionalFormatting>
  <conditionalFormatting sqref="N6044:N6105">
    <cfRule type="expression" dxfId="116" priority="2170">
      <formula>$A7495&lt;&gt;""</formula>
    </cfRule>
  </conditionalFormatting>
  <conditionalFormatting sqref="N6106:N6130">
    <cfRule type="expression" dxfId="115" priority="2206">
      <formula>#REF!&lt;&gt;""</formula>
    </cfRule>
  </conditionalFormatting>
  <conditionalFormatting sqref="N6131:N6135 N6138:N6321">
    <cfRule type="expression" dxfId="114" priority="1724">
      <formula>$A7713&lt;&gt;""</formula>
    </cfRule>
  </conditionalFormatting>
  <conditionalFormatting sqref="N6136">
    <cfRule type="expression" dxfId="113" priority="1986">
      <formula>$A7719&lt;&gt;""</formula>
    </cfRule>
  </conditionalFormatting>
  <conditionalFormatting sqref="N6137">
    <cfRule type="expression" dxfId="112" priority="1987">
      <formula>#REF!&lt;&gt;""</formula>
    </cfRule>
  </conditionalFormatting>
  <conditionalFormatting sqref="N6322:N6323">
    <cfRule type="expression" dxfId="111" priority="2230">
      <formula>$A7903&lt;&gt;""</formula>
    </cfRule>
  </conditionalFormatting>
  <conditionalFormatting sqref="N6324:N6326">
    <cfRule type="expression" dxfId="110" priority="1767">
      <formula>$A7909&lt;&gt;""</formula>
    </cfRule>
  </conditionalFormatting>
  <conditionalFormatting sqref="N6327:N6328 N6338">
    <cfRule type="expression" dxfId="109" priority="1722">
      <formula>$A7911&lt;&gt;""</formula>
    </cfRule>
  </conditionalFormatting>
  <conditionalFormatting sqref="N6329:N6331">
    <cfRule type="expression" dxfId="108" priority="1737">
      <formula>$A7917&lt;&gt;""</formula>
    </cfRule>
  </conditionalFormatting>
  <conditionalFormatting sqref="N6332">
    <cfRule type="expression" dxfId="107" priority="1766">
      <formula>$A7919&lt;&gt;""</formula>
    </cfRule>
  </conditionalFormatting>
  <conditionalFormatting sqref="N6333">
    <cfRule type="expression" dxfId="106" priority="3">
      <formula>$A7917&lt;&gt;""</formula>
    </cfRule>
  </conditionalFormatting>
  <conditionalFormatting sqref="N6334:N6336">
    <cfRule type="expression" dxfId="105" priority="4">
      <formula>$A7922&lt;&gt;""</formula>
    </cfRule>
  </conditionalFormatting>
  <conditionalFormatting sqref="N6337">
    <cfRule type="expression" dxfId="104" priority="5">
      <formula>$A7924&lt;&gt;""</formula>
    </cfRule>
  </conditionalFormatting>
  <conditionalFormatting sqref="N6339:N6340">
    <cfRule type="expression" dxfId="103" priority="732">
      <formula>$A7932&lt;&gt;""</formula>
    </cfRule>
  </conditionalFormatting>
  <conditionalFormatting sqref="N6341:N6343">
    <cfRule type="expression" dxfId="102" priority="277">
      <formula>$A7933&lt;&gt;""</formula>
    </cfRule>
  </conditionalFormatting>
  <conditionalFormatting sqref="N6344:N6347">
    <cfRule type="expression" dxfId="101" priority="1806">
      <formula>$A7939&lt;&gt;""</formula>
    </cfRule>
  </conditionalFormatting>
  <conditionalFormatting sqref="N6348:N6351">
    <cfRule type="expression" dxfId="100" priority="1820">
      <formula>$A7944&lt;&gt;""</formula>
    </cfRule>
  </conditionalFormatting>
  <conditionalFormatting sqref="N6352:N6355">
    <cfRule type="expression" dxfId="99" priority="1834">
      <formula>$A7949&lt;&gt;""</formula>
    </cfRule>
  </conditionalFormatting>
  <conditionalFormatting sqref="N6356:N6359 N6641:N6676">
    <cfRule type="expression" dxfId="98" priority="2270">
      <formula>$A7954&lt;&gt;""</formula>
    </cfRule>
  </conditionalFormatting>
  <conditionalFormatting sqref="N6360:N6364">
    <cfRule type="expression" dxfId="97" priority="1862">
      <formula>$A7959&lt;&gt;""</formula>
    </cfRule>
  </conditionalFormatting>
  <conditionalFormatting sqref="N6365:N6369">
    <cfRule type="expression" dxfId="96" priority="1876">
      <formula>$A7965&lt;&gt;""</formula>
    </cfRule>
  </conditionalFormatting>
  <conditionalFormatting sqref="N6370:N6374">
    <cfRule type="expression" dxfId="95" priority="1890">
      <formula>$A7971&lt;&gt;""</formula>
    </cfRule>
  </conditionalFormatting>
  <conditionalFormatting sqref="N6375:N6379">
    <cfRule type="expression" dxfId="94" priority="1904">
      <formula>$A7977&lt;&gt;""</formula>
    </cfRule>
  </conditionalFormatting>
  <conditionalFormatting sqref="N6380:N6384">
    <cfRule type="expression" dxfId="93" priority="1918">
      <formula>$A7983&lt;&gt;""</formula>
    </cfRule>
  </conditionalFormatting>
  <conditionalFormatting sqref="N6385:N6388">
    <cfRule type="expression" dxfId="92" priority="1932">
      <formula>$A7989&lt;&gt;""</formula>
    </cfRule>
  </conditionalFormatting>
  <conditionalFormatting sqref="N6389:N6392">
    <cfRule type="expression" dxfId="91" priority="1946">
      <formula>$A7994&lt;&gt;""</formula>
    </cfRule>
  </conditionalFormatting>
  <conditionalFormatting sqref="N6393:N6396">
    <cfRule type="expression" dxfId="90" priority="1960">
      <formula>$A7999&lt;&gt;""</formula>
    </cfRule>
  </conditionalFormatting>
  <conditionalFormatting sqref="N6397:N6400">
    <cfRule type="expression" dxfId="89" priority="1974">
      <formula>$A8004&lt;&gt;""</formula>
    </cfRule>
  </conditionalFormatting>
  <conditionalFormatting sqref="N6401:N6439 N6516:N6520">
    <cfRule type="expression" dxfId="88" priority="294">
      <formula>$A8009&lt;&gt;""</formula>
    </cfRule>
  </conditionalFormatting>
  <conditionalFormatting sqref="N6440:N6441 N6506:N6510 N6536:N6538">
    <cfRule type="expression" dxfId="87" priority="309">
      <formula>$A8052&lt;&gt;""</formula>
    </cfRule>
  </conditionalFormatting>
  <conditionalFormatting sqref="N6442:N6443 N6496:N6500 N6548:N6550">
    <cfRule type="expression" dxfId="86" priority="1465">
      <formula>$A8058&lt;&gt;""</formula>
    </cfRule>
  </conditionalFormatting>
  <conditionalFormatting sqref="N6444:N6445 N6486:N6490 N6560:N6562">
    <cfRule type="expression" dxfId="85" priority="2035">
      <formula>$A8064&lt;&gt;""</formula>
    </cfRule>
  </conditionalFormatting>
  <conditionalFormatting sqref="N6446:N6447">
    <cfRule type="expression" dxfId="84" priority="363">
      <formula>$A8070&lt;&gt;""</formula>
    </cfRule>
  </conditionalFormatting>
  <conditionalFormatting sqref="N6448:N6449">
    <cfRule type="expression" dxfId="83" priority="2221">
      <formula>$A8076&lt;&gt;""</formula>
    </cfRule>
  </conditionalFormatting>
  <conditionalFormatting sqref="N6450:N6451">
    <cfRule type="expression" dxfId="82" priority="2222">
      <formula>$A8082&lt;&gt;""</formula>
    </cfRule>
  </conditionalFormatting>
  <conditionalFormatting sqref="N6452:N6453">
    <cfRule type="expression" dxfId="81" priority="416">
      <formula>$A8088&lt;&gt;""</formula>
    </cfRule>
  </conditionalFormatting>
  <conditionalFormatting sqref="N6454:N6485">
    <cfRule type="expression" dxfId="80" priority="433">
      <formula>$A8094&lt;&gt;""</formula>
    </cfRule>
  </conditionalFormatting>
  <conditionalFormatting sqref="N6491:N6495 N6554:N6556">
    <cfRule type="expression" dxfId="79" priority="441">
      <formula>$A8109&lt;&gt;""</formula>
    </cfRule>
  </conditionalFormatting>
  <conditionalFormatting sqref="N6501:N6505 N6542:N6544">
    <cfRule type="expression" dxfId="78" priority="1610">
      <formula>$A8115&lt;&gt;""</formula>
    </cfRule>
  </conditionalFormatting>
  <conditionalFormatting sqref="N6511:N6515">
    <cfRule type="expression" dxfId="77" priority="1694">
      <formula>$A8121&lt;&gt;""</formula>
    </cfRule>
  </conditionalFormatting>
  <conditionalFormatting sqref="N6521:N6525">
    <cfRule type="expression" dxfId="76" priority="465">
      <formula>$A8127&lt;&gt;""</formula>
    </cfRule>
  </conditionalFormatting>
  <conditionalFormatting sqref="N6526:N6530">
    <cfRule type="expression" dxfId="75" priority="474">
      <formula>$A8130&lt;&gt;""</formula>
    </cfRule>
  </conditionalFormatting>
  <conditionalFormatting sqref="N6531:N6535">
    <cfRule type="expression" dxfId="74" priority="483">
      <formula>$A8133&lt;&gt;""</formula>
    </cfRule>
  </conditionalFormatting>
  <conditionalFormatting sqref="N6539:N6541">
    <cfRule type="expression" dxfId="73" priority="2227">
      <formula>$A8152&lt;&gt;""</formula>
    </cfRule>
  </conditionalFormatting>
  <conditionalFormatting sqref="N6545:N6547">
    <cfRule type="expression" dxfId="72" priority="565">
      <formula>$A8160&lt;&gt;""</formula>
    </cfRule>
  </conditionalFormatting>
  <conditionalFormatting sqref="N6551:N6553">
    <cfRule type="expression" dxfId="71" priority="609">
      <formula>$A8168&lt;&gt;""</formula>
    </cfRule>
  </conditionalFormatting>
  <conditionalFormatting sqref="N6557:N6559">
    <cfRule type="expression" dxfId="70" priority="677">
      <formula>$A8176&lt;&gt;""</formula>
    </cfRule>
  </conditionalFormatting>
  <conditionalFormatting sqref="N6563:N6565">
    <cfRule type="expression" dxfId="69" priority="700">
      <formula>$A8184&lt;&gt;""</formula>
    </cfRule>
  </conditionalFormatting>
  <conditionalFormatting sqref="N6566:N6568 N6570:N6640">
    <cfRule type="expression" dxfId="68" priority="632">
      <formula>$A8200&lt;&gt;""</formula>
    </cfRule>
  </conditionalFormatting>
  <conditionalFormatting sqref="N6569">
    <cfRule type="expression" dxfId="67" priority="2512">
      <formula>$A6779&lt;&gt;""</formula>
    </cfRule>
  </conditionalFormatting>
  <conditionalFormatting sqref="N6677:N6712 N6898:N6939">
    <cfRule type="expression" dxfId="66" priority="2250">
      <formula>$A8239&lt;&gt;""</formula>
    </cfRule>
  </conditionalFormatting>
  <conditionalFormatting sqref="N6713:N6726">
    <cfRule type="expression" dxfId="65" priority="1848">
      <formula>$A8239&lt;&gt;""</formula>
    </cfRule>
  </conditionalFormatting>
  <conditionalFormatting sqref="N6727:N6744">
    <cfRule type="expression" dxfId="64" priority="2060">
      <formula>$A8252&lt;&gt;""</formula>
    </cfRule>
  </conditionalFormatting>
  <conditionalFormatting sqref="N6745:N6754">
    <cfRule type="expression" dxfId="63" priority="521">
      <formula>$A8344&lt;&gt;""</formula>
    </cfRule>
  </conditionalFormatting>
  <conditionalFormatting sqref="N6755:N6757">
    <cfRule type="expression" dxfId="62" priority="2010">
      <formula>$A8239&lt;&gt;""</formula>
    </cfRule>
  </conditionalFormatting>
  <conditionalFormatting sqref="N6758:N6760">
    <cfRule type="expression" dxfId="61" priority="791">
      <formula>$A8246&lt;&gt;""</formula>
    </cfRule>
  </conditionalFormatting>
  <conditionalFormatting sqref="N6761:N6762">
    <cfRule type="expression" dxfId="60" priority="1487">
      <formula>$A8253&lt;&gt;""</formula>
    </cfRule>
  </conditionalFormatting>
  <conditionalFormatting sqref="N6763:N6764">
    <cfRule type="expression" dxfId="59" priority="816">
      <formula>$A8254&lt;&gt;""</formula>
    </cfRule>
  </conditionalFormatting>
  <conditionalFormatting sqref="N6765:N6767">
    <cfRule type="expression" dxfId="58" priority="841">
      <formula>$A8261&lt;&gt;""</formula>
    </cfRule>
  </conditionalFormatting>
  <conditionalFormatting sqref="N6768:N6770">
    <cfRule type="expression" dxfId="57" priority="866">
      <formula>$A8268&lt;&gt;""</formula>
    </cfRule>
  </conditionalFormatting>
  <conditionalFormatting sqref="N6771:N6772">
    <cfRule type="expression" dxfId="56" priority="1509">
      <formula>$A8275&lt;&gt;""</formula>
    </cfRule>
  </conditionalFormatting>
  <conditionalFormatting sqref="N6773:N6774">
    <cfRule type="expression" dxfId="55" priority="887">
      <formula>$A8276&lt;&gt;""</formula>
    </cfRule>
  </conditionalFormatting>
  <conditionalFormatting sqref="N6775:N6777 N7095:N7099 N7102:N7106 N7155:N7158">
    <cfRule type="expression" dxfId="54" priority="890">
      <formula>$A8283&lt;&gt;""</formula>
    </cfRule>
  </conditionalFormatting>
  <conditionalFormatting sqref="N6778:N6780 N7064:N7068 N7073">
    <cfRule type="expression" dxfId="53" priority="903">
      <formula>$A8290&lt;&gt;""</formula>
    </cfRule>
  </conditionalFormatting>
  <conditionalFormatting sqref="N6781:N6782">
    <cfRule type="expression" dxfId="52" priority="1531">
      <formula>$A8297&lt;&gt;""</formula>
    </cfRule>
  </conditionalFormatting>
  <conditionalFormatting sqref="N6783:N6784">
    <cfRule type="expression" dxfId="51" priority="914">
      <formula>$A8298&lt;&gt;""</formula>
    </cfRule>
  </conditionalFormatting>
  <conditionalFormatting sqref="N6785:N6787">
    <cfRule type="expression" dxfId="50" priority="937">
      <formula>$A8305&lt;&gt;""</formula>
    </cfRule>
  </conditionalFormatting>
  <conditionalFormatting sqref="N6788:N6790">
    <cfRule type="expression" dxfId="49" priority="960">
      <formula>$A8312&lt;&gt;""</formula>
    </cfRule>
  </conditionalFormatting>
  <conditionalFormatting sqref="N6791:N6792">
    <cfRule type="expression" dxfId="48" priority="1553">
      <formula>$A8319&lt;&gt;""</formula>
    </cfRule>
  </conditionalFormatting>
  <conditionalFormatting sqref="N6793:N6794">
    <cfRule type="expression" dxfId="47" priority="983">
      <formula>$A8320&lt;&gt;""</formula>
    </cfRule>
  </conditionalFormatting>
  <conditionalFormatting sqref="N6795:N6797">
    <cfRule type="expression" dxfId="46" priority="1577">
      <formula>$A8327&lt;&gt;""</formula>
    </cfRule>
  </conditionalFormatting>
  <conditionalFormatting sqref="N6798:N6800">
    <cfRule type="expression" dxfId="45" priority="1029">
      <formula>$A8334&lt;&gt;""</formula>
    </cfRule>
  </conditionalFormatting>
  <conditionalFormatting sqref="N6801:N6802">
    <cfRule type="expression" dxfId="44" priority="1575">
      <formula>$A8341&lt;&gt;""</formula>
    </cfRule>
  </conditionalFormatting>
  <conditionalFormatting sqref="N6803:N6804">
    <cfRule type="expression" dxfId="43" priority="1052">
      <formula>$A8342&lt;&gt;""</formula>
    </cfRule>
  </conditionalFormatting>
  <conditionalFormatting sqref="N6805:N6807">
    <cfRule type="expression" dxfId="42" priority="2345">
      <formula>$A8336&lt;&gt;""</formula>
    </cfRule>
  </conditionalFormatting>
  <conditionalFormatting sqref="N6808:N6810">
    <cfRule type="expression" dxfId="41" priority="31">
      <formula>$A8343&lt;&gt;""</formula>
    </cfRule>
  </conditionalFormatting>
  <conditionalFormatting sqref="N6811:N6812">
    <cfRule type="expression" dxfId="40" priority="457">
      <formula>$A8350&lt;&gt;""</formula>
    </cfRule>
  </conditionalFormatting>
  <conditionalFormatting sqref="N6813:N6814">
    <cfRule type="expression" dxfId="39" priority="1600">
      <formula>$A8351&lt;&gt;""</formula>
    </cfRule>
  </conditionalFormatting>
  <conditionalFormatting sqref="N6815:N6818">
    <cfRule type="expression" dxfId="38" priority="1006">
      <formula>$A8349&lt;&gt;""</formula>
    </cfRule>
  </conditionalFormatting>
  <conditionalFormatting sqref="N6819:N6822">
    <cfRule type="expression" dxfId="37" priority="1075">
      <formula>$A8356&lt;&gt;""</formula>
    </cfRule>
  </conditionalFormatting>
  <conditionalFormatting sqref="N6823:N6826">
    <cfRule type="expression" dxfId="36" priority="1098">
      <formula>$A8363&lt;&gt;""</formula>
    </cfRule>
  </conditionalFormatting>
  <conditionalFormatting sqref="N6827:N6830">
    <cfRule type="expression" dxfId="35" priority="1121">
      <formula>$A8370&lt;&gt;""</formula>
    </cfRule>
  </conditionalFormatting>
  <conditionalFormatting sqref="N6831:N6834">
    <cfRule type="expression" dxfId="34" priority="1144">
      <formula>$A8377&lt;&gt;""</formula>
    </cfRule>
  </conditionalFormatting>
  <conditionalFormatting sqref="N6835:N6838 N6851:N6852">
    <cfRule type="expression" dxfId="33" priority="1167">
      <formula>$A8384&lt;&gt;""</formula>
    </cfRule>
  </conditionalFormatting>
  <conditionalFormatting sqref="N6839:N6842 N6853">
    <cfRule type="expression" dxfId="32" priority="1190">
      <formula>$A8391&lt;&gt;""</formula>
    </cfRule>
  </conditionalFormatting>
  <conditionalFormatting sqref="N6843:N6850">
    <cfRule type="expression" dxfId="31" priority="2453">
      <formula>$A8398&lt;&gt;""</formula>
    </cfRule>
  </conditionalFormatting>
  <conditionalFormatting sqref="N6854:N6859">
    <cfRule type="expression" dxfId="30" priority="13">
      <formula>$A8405&lt;&gt;""</formula>
    </cfRule>
  </conditionalFormatting>
  <conditionalFormatting sqref="N6860:N6862">
    <cfRule type="expression" dxfId="29" priority="2476">
      <formula>$A8412&lt;&gt;""</formula>
    </cfRule>
  </conditionalFormatting>
  <conditionalFormatting sqref="N6863:N6865">
    <cfRule type="expression" dxfId="28" priority="17">
      <formula>$A8413&lt;&gt;""</formula>
    </cfRule>
  </conditionalFormatting>
  <conditionalFormatting sqref="N6866:N6869">
    <cfRule type="expression" dxfId="27" priority="1282">
      <formula>$A8419&lt;&gt;""</formula>
    </cfRule>
  </conditionalFormatting>
  <conditionalFormatting sqref="N6870:N6873">
    <cfRule type="expression" dxfId="26" priority="1305">
      <formula>$A8426&lt;&gt;""</formula>
    </cfRule>
  </conditionalFormatting>
  <conditionalFormatting sqref="N6874:N6877 N6943:N6946">
    <cfRule type="expression" dxfId="25" priority="1328">
      <formula>$A8433&lt;&gt;""</formula>
    </cfRule>
  </conditionalFormatting>
  <conditionalFormatting sqref="N6878:N6881">
    <cfRule type="expression" dxfId="24" priority="2346">
      <formula>$A8440&lt;&gt;""</formula>
    </cfRule>
  </conditionalFormatting>
  <conditionalFormatting sqref="N6882:N6885">
    <cfRule type="expression" dxfId="23" priority="2405">
      <formula>$A8447&lt;&gt;""</formula>
    </cfRule>
  </conditionalFormatting>
  <conditionalFormatting sqref="N6886:N6897">
    <cfRule type="expression" dxfId="22" priority="2432">
      <formula>$A8454&lt;&gt;""</formula>
    </cfRule>
  </conditionalFormatting>
  <conditionalFormatting sqref="N6940:N6942">
    <cfRule type="expression" dxfId="21" priority="25">
      <formula>$A8500&lt;&gt;""</formula>
    </cfRule>
  </conditionalFormatting>
  <conditionalFormatting sqref="N6947:N7063 N7068">
    <cfRule type="expression" dxfId="20" priority="1634">
      <formula>$A8460&lt;&gt;""</formula>
    </cfRule>
  </conditionalFormatting>
  <conditionalFormatting sqref="N7069:N7073">
    <cfRule type="expression" dxfId="19" priority="1659">
      <formula>$A8580&lt;&gt;""</formula>
    </cfRule>
  </conditionalFormatting>
  <conditionalFormatting sqref="N7074 N7076:N7081">
    <cfRule type="expression" dxfId="18" priority="1374">
      <formula>$A8584&lt;&gt;""</formula>
    </cfRule>
  </conditionalFormatting>
  <conditionalFormatting sqref="N7075">
    <cfRule type="expression" dxfId="17" priority="1685">
      <formula>$A8586&lt;&gt;""</formula>
    </cfRule>
  </conditionalFormatting>
  <conditionalFormatting sqref="N7082:N7087 N7093:N7094 N7100:N7101 N7107:N7154">
    <cfRule type="expression" dxfId="16" priority="1429">
      <formula>$A8591&lt;&gt;""</formula>
    </cfRule>
  </conditionalFormatting>
  <conditionalFormatting sqref="N7088:N7092">
    <cfRule type="expression" dxfId="15" priority="1401">
      <formula>$A8596&lt;&gt;""</formula>
    </cfRule>
  </conditionalFormatting>
  <conditionalFormatting sqref="N7159:N7262">
    <cfRule type="expression" dxfId="14" priority="1351">
      <formula>$A8666&lt;&gt;""</formula>
    </cfRule>
  </conditionalFormatting>
  <conditionalFormatting sqref="N7263:N7376">
    <cfRule type="expression" dxfId="13" priority="30">
      <formula>$A8728&lt;&gt;""</formula>
    </cfRule>
  </conditionalFormatting>
  <conditionalFormatting sqref="N7377:N7386">
    <cfRule type="expression" dxfId="12" priority="2297">
      <formula>$A8753&lt;&gt;""</formula>
    </cfRule>
  </conditionalFormatting>
  <conditionalFormatting sqref="N7388:N1047929">
    <cfRule type="expression" dxfId="11" priority="766">
      <formula>$A8428&lt;&gt;""</formula>
    </cfRule>
  </conditionalFormatting>
  <conditionalFormatting sqref="N1047930:N1047958">
    <cfRule type="expression" dxfId="10" priority="765">
      <formula>$A1&lt;&gt;""</formula>
    </cfRule>
  </conditionalFormatting>
  <conditionalFormatting sqref="N1047959:N1047960">
    <cfRule type="expression" dxfId="9" priority="500">
      <formula>$A1&lt;&gt;""</formula>
    </cfRule>
  </conditionalFormatting>
  <conditionalFormatting sqref="N1047961:N1047962">
    <cfRule type="expression" dxfId="8" priority="484">
      <formula>$A1&lt;&gt;""</formula>
    </cfRule>
  </conditionalFormatting>
  <conditionalFormatting sqref="N1047963:N1047964">
    <cfRule type="expression" dxfId="7" priority="475">
      <formula>$A1&lt;&gt;""</formula>
    </cfRule>
  </conditionalFormatting>
  <conditionalFormatting sqref="N1047965:N1047966">
    <cfRule type="expression" dxfId="6" priority="466">
      <formula>$A1&lt;&gt;""</formula>
    </cfRule>
  </conditionalFormatting>
  <conditionalFormatting sqref="N1047967">
    <cfRule type="expression" dxfId="5" priority="295">
      <formula>$A1&lt;&gt;""</formula>
    </cfRule>
  </conditionalFormatting>
  <conditionalFormatting sqref="N1047968:N1048576">
    <cfRule type="expression" dxfId="4" priority="1700">
      <formula>$A1&lt;&gt;""</formula>
    </cfRule>
  </conditionalFormatting>
  <conditionalFormatting sqref="N7387:O7387">
    <cfRule type="expression" dxfId="3" priority="2278">
      <formula>$A7723&lt;&gt;""</formula>
    </cfRule>
  </conditionalFormatting>
  <conditionalFormatting sqref="N4145:N4167">
    <cfRule type="expression" dxfId="2" priority="2564">
      <formula>$A4360&lt;&gt;""</formula>
    </cfRule>
  </conditionalFormatting>
  <conditionalFormatting sqref="N4360:N4375">
    <cfRule type="expression" dxfId="1" priority="2566">
      <formula>$A4576&lt;&gt;""</formula>
    </cfRule>
  </conditionalFormatting>
  <conditionalFormatting sqref="N4168:N4239 N4241:N4321">
    <cfRule type="expression" dxfId="0" priority="2567">
      <formula>$A4398&lt;&gt;""</formula>
    </cfRule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7"/>
  <sheetViews>
    <sheetView workbookViewId="0">
      <selection activeCell="E12" sqref="E12"/>
    </sheetView>
  </sheetViews>
  <sheetFormatPr defaultColWidth="9" defaultRowHeight="14" x14ac:dyDescent="0.25"/>
  <cols>
    <col min="1" max="9" width="9" style="1" customWidth="1"/>
    <col min="10" max="10" width="24.90625" style="5" bestFit="1" customWidth="1"/>
    <col min="11" max="11" width="23.90625" style="5" customWidth="1"/>
    <col min="12" max="12" width="20.453125" style="5" bestFit="1" customWidth="1"/>
    <col min="13" max="13" width="25.08984375" style="2" customWidth="1"/>
    <col min="14" max="14" width="9" style="2" customWidth="1"/>
    <col min="15" max="16" width="9" style="1" customWidth="1"/>
    <col min="17" max="17" width="11.08984375" style="1" bestFit="1" customWidth="1"/>
    <col min="18" max="18" width="9" style="1" customWidth="1"/>
    <col min="19" max="16384" width="9" style="1"/>
  </cols>
  <sheetData>
    <row r="1" spans="1:17" x14ac:dyDescent="0.25">
      <c r="A1" s="1" t="s">
        <v>25</v>
      </c>
    </row>
    <row r="2" spans="1:17" x14ac:dyDescent="0.25">
      <c r="B2" s="1" t="s">
        <v>26</v>
      </c>
      <c r="P2" s="3"/>
      <c r="Q2" s="6"/>
    </row>
    <row r="3" spans="1:17" x14ac:dyDescent="0.25">
      <c r="B3" s="1" t="s">
        <v>27</v>
      </c>
      <c r="P3" s="3"/>
      <c r="Q3" s="6"/>
    </row>
    <row r="4" spans="1:17" x14ac:dyDescent="0.25">
      <c r="B4" s="1" t="s">
        <v>28</v>
      </c>
      <c r="P4" s="3"/>
      <c r="Q4" s="6"/>
    </row>
    <row r="5" spans="1:17" x14ac:dyDescent="0.25">
      <c r="B5" s="1" t="s">
        <v>29</v>
      </c>
      <c r="P5" s="3"/>
      <c r="Q5" s="6"/>
    </row>
    <row r="6" spans="1:17" x14ac:dyDescent="0.25">
      <c r="P6" s="3"/>
      <c r="Q6" s="6"/>
    </row>
    <row r="7" spans="1:17" x14ac:dyDescent="0.25">
      <c r="P7" s="3"/>
      <c r="Q7" s="6"/>
    </row>
    <row r="8" spans="1:17" x14ac:dyDescent="0.25">
      <c r="P8" s="3"/>
      <c r="Q8" s="6"/>
    </row>
    <row r="9" spans="1:17" x14ac:dyDescent="0.25">
      <c r="P9" s="3"/>
      <c r="Q9" s="6"/>
    </row>
    <row r="10" spans="1:17" x14ac:dyDescent="0.25">
      <c r="K10" s="5" t="s">
        <v>30</v>
      </c>
      <c r="P10" s="3"/>
      <c r="Q10" s="6"/>
    </row>
    <row r="11" spans="1:17" x14ac:dyDescent="0.25">
      <c r="P11" s="3"/>
      <c r="Q11" s="6"/>
    </row>
    <row r="12" spans="1:17" ht="28" customHeight="1" x14ac:dyDescent="0.25">
      <c r="J12" s="7" t="s">
        <v>31</v>
      </c>
      <c r="K12" s="8" t="s">
        <v>32</v>
      </c>
      <c r="L12" s="9" t="s">
        <v>33</v>
      </c>
      <c r="P12" s="3"/>
      <c r="Q12" s="6"/>
    </row>
    <row r="13" spans="1:17" x14ac:dyDescent="0.25">
      <c r="J13" s="7"/>
      <c r="K13" s="8"/>
      <c r="P13" s="3"/>
      <c r="Q13" s="6"/>
    </row>
    <row r="14" spans="1:17" ht="42" customHeight="1" x14ac:dyDescent="0.25">
      <c r="J14" s="7" t="s">
        <v>34</v>
      </c>
      <c r="K14" s="8" t="s">
        <v>35</v>
      </c>
      <c r="P14" s="3"/>
      <c r="Q14" s="6"/>
    </row>
    <row r="15" spans="1:17" x14ac:dyDescent="0.25">
      <c r="J15" s="7"/>
      <c r="K15" s="8"/>
      <c r="P15" s="3"/>
      <c r="Q15" s="6"/>
    </row>
    <row r="16" spans="1:17" ht="42" customHeight="1" x14ac:dyDescent="0.25">
      <c r="J16" s="7" t="s">
        <v>36</v>
      </c>
      <c r="K16" s="8" t="s">
        <v>37</v>
      </c>
      <c r="P16" s="3"/>
      <c r="Q16" s="6"/>
    </row>
    <row r="17" spans="11:17" x14ac:dyDescent="0.25">
      <c r="K17" s="8"/>
      <c r="P17" s="3"/>
      <c r="Q17" s="6"/>
    </row>
    <row r="18" spans="11:17" ht="42" customHeight="1" x14ac:dyDescent="0.25">
      <c r="K18" s="8" t="s">
        <v>38</v>
      </c>
      <c r="P18" s="3"/>
      <c r="Q18" s="6"/>
    </row>
    <row r="19" spans="11:17" x14ac:dyDescent="0.25">
      <c r="K19" s="8"/>
      <c r="P19" s="3"/>
      <c r="Q19" s="6"/>
    </row>
    <row r="20" spans="11:17" ht="42" customHeight="1" x14ac:dyDescent="0.25">
      <c r="K20" s="8" t="s">
        <v>39</v>
      </c>
      <c r="P20" s="3"/>
      <c r="Q20" s="6"/>
    </row>
    <row r="21" spans="11:17" x14ac:dyDescent="0.25">
      <c r="P21" s="3"/>
      <c r="Q21" s="6"/>
    </row>
    <row r="22" spans="11:17" x14ac:dyDescent="0.25">
      <c r="P22" s="3"/>
      <c r="Q22" s="6"/>
    </row>
    <row r="23" spans="11:17" x14ac:dyDescent="0.25">
      <c r="P23" s="3"/>
      <c r="Q23" s="6"/>
    </row>
    <row r="24" spans="11:17" x14ac:dyDescent="0.25">
      <c r="P24" s="3"/>
      <c r="Q24" s="6"/>
    </row>
    <row r="25" spans="11:17" x14ac:dyDescent="0.25">
      <c r="P25" s="3"/>
      <c r="Q25" s="6"/>
    </row>
    <row r="26" spans="11:17" x14ac:dyDescent="0.25">
      <c r="P26" s="3"/>
      <c r="Q26" s="6"/>
    </row>
    <row r="27" spans="11:17" x14ac:dyDescent="0.25">
      <c r="P27" s="3"/>
      <c r="Q27" s="6"/>
    </row>
    <row r="28" spans="11:17" x14ac:dyDescent="0.25">
      <c r="P28" s="3"/>
      <c r="Q28" s="6"/>
    </row>
    <row r="29" spans="11:17" x14ac:dyDescent="0.25">
      <c r="P29" s="3"/>
      <c r="Q29" s="6"/>
    </row>
    <row r="30" spans="11:17" x14ac:dyDescent="0.25">
      <c r="P30" s="3"/>
      <c r="Q30" s="6"/>
    </row>
    <row r="31" spans="11:17" x14ac:dyDescent="0.25">
      <c r="P31" s="3"/>
      <c r="Q31" s="6"/>
    </row>
    <row r="32" spans="11:17" x14ac:dyDescent="0.25">
      <c r="P32" s="3"/>
      <c r="Q32" s="6"/>
    </row>
    <row r="33" spans="16:17" x14ac:dyDescent="0.25">
      <c r="P33" s="3"/>
      <c r="Q33" s="6"/>
    </row>
    <row r="34" spans="16:17" x14ac:dyDescent="0.25">
      <c r="P34" s="3"/>
      <c r="Q34" s="6"/>
    </row>
    <row r="35" spans="16:17" x14ac:dyDescent="0.25">
      <c r="P35" s="3"/>
      <c r="Q35" s="6"/>
    </row>
    <row r="36" spans="16:17" x14ac:dyDescent="0.25">
      <c r="P36" s="3"/>
      <c r="Q36" s="6"/>
    </row>
    <row r="37" spans="16:17" x14ac:dyDescent="0.25">
      <c r="P37" s="3"/>
      <c r="Q37" s="6"/>
    </row>
    <row r="38" spans="16:17" x14ac:dyDescent="0.25">
      <c r="P38" s="3"/>
      <c r="Q38" s="6"/>
    </row>
    <row r="39" spans="16:17" x14ac:dyDescent="0.25">
      <c r="P39" s="3"/>
      <c r="Q39" s="6"/>
    </row>
    <row r="40" spans="16:17" x14ac:dyDescent="0.25">
      <c r="P40" s="3"/>
      <c r="Q40" s="6"/>
    </row>
    <row r="41" spans="16:17" x14ac:dyDescent="0.25">
      <c r="P41" s="3"/>
      <c r="Q41" s="6"/>
    </row>
    <row r="42" spans="16:17" x14ac:dyDescent="0.25">
      <c r="P42" s="3"/>
      <c r="Q42" s="6"/>
    </row>
    <row r="43" spans="16:17" x14ac:dyDescent="0.25">
      <c r="P43" s="3"/>
      <c r="Q43" s="6"/>
    </row>
    <row r="44" spans="16:17" x14ac:dyDescent="0.25">
      <c r="P44" s="3"/>
      <c r="Q44" s="6"/>
    </row>
    <row r="45" spans="16:17" x14ac:dyDescent="0.25">
      <c r="P45" s="3"/>
      <c r="Q45" s="6"/>
    </row>
    <row r="46" spans="16:17" x14ac:dyDescent="0.25">
      <c r="P46" s="3"/>
      <c r="Q46" s="6"/>
    </row>
    <row r="47" spans="16:17" x14ac:dyDescent="0.25">
      <c r="P47" s="3"/>
      <c r="Q47" s="6"/>
    </row>
    <row r="48" spans="16:17" x14ac:dyDescent="0.25">
      <c r="P48" s="3"/>
      <c r="Q48" s="6"/>
    </row>
    <row r="49" spans="16:17" x14ac:dyDescent="0.25">
      <c r="P49" s="3"/>
      <c r="Q49" s="6"/>
    </row>
    <row r="50" spans="16:17" x14ac:dyDescent="0.25">
      <c r="P50" s="3"/>
      <c r="Q50" s="6"/>
    </row>
    <row r="51" spans="16:17" x14ac:dyDescent="0.25">
      <c r="P51" s="3"/>
      <c r="Q51" s="6"/>
    </row>
    <row r="52" spans="16:17" x14ac:dyDescent="0.25">
      <c r="P52" s="3"/>
      <c r="Q52" s="6"/>
    </row>
    <row r="53" spans="16:17" x14ac:dyDescent="0.25">
      <c r="P53" s="3"/>
      <c r="Q53" s="6"/>
    </row>
    <row r="54" spans="16:17" x14ac:dyDescent="0.25">
      <c r="P54" s="3"/>
      <c r="Q54" s="6"/>
    </row>
    <row r="55" spans="16:17" x14ac:dyDescent="0.25">
      <c r="P55" s="3"/>
      <c r="Q55" s="6"/>
    </row>
    <row r="56" spans="16:17" x14ac:dyDescent="0.25">
      <c r="P56" s="3"/>
      <c r="Q56" s="6"/>
    </row>
    <row r="57" spans="16:17" x14ac:dyDescent="0.25">
      <c r="P57" s="3"/>
      <c r="Q57" s="6"/>
    </row>
    <row r="58" spans="16:17" x14ac:dyDescent="0.25">
      <c r="P58" s="3"/>
      <c r="Q58" s="6"/>
    </row>
    <row r="59" spans="16:17" x14ac:dyDescent="0.25">
      <c r="P59" s="3"/>
      <c r="Q59" s="6"/>
    </row>
    <row r="60" spans="16:17" x14ac:dyDescent="0.25">
      <c r="P60" s="3"/>
      <c r="Q60" s="6"/>
    </row>
    <row r="61" spans="16:17" x14ac:dyDescent="0.25">
      <c r="P61" s="3"/>
      <c r="Q61" s="6"/>
    </row>
    <row r="62" spans="16:17" x14ac:dyDescent="0.25">
      <c r="P62" s="3"/>
      <c r="Q62" s="6"/>
    </row>
    <row r="63" spans="16:17" x14ac:dyDescent="0.25">
      <c r="P63" s="3"/>
      <c r="Q63" s="6"/>
    </row>
    <row r="64" spans="16:17" x14ac:dyDescent="0.25">
      <c r="P64" s="3"/>
      <c r="Q64" s="6"/>
    </row>
    <row r="65" spans="16:17" x14ac:dyDescent="0.25">
      <c r="P65" s="3"/>
      <c r="Q65" s="6"/>
    </row>
    <row r="66" spans="16:17" x14ac:dyDescent="0.25">
      <c r="P66" s="3"/>
      <c r="Q66" s="6"/>
    </row>
    <row r="67" spans="16:17" x14ac:dyDescent="0.25">
      <c r="P67" s="3"/>
      <c r="Q67" s="6"/>
    </row>
    <row r="68" spans="16:17" x14ac:dyDescent="0.25">
      <c r="P68" s="3"/>
      <c r="Q68" s="6"/>
    </row>
    <row r="69" spans="16:17" x14ac:dyDescent="0.25">
      <c r="P69" s="3"/>
      <c r="Q69" s="6"/>
    </row>
    <row r="70" spans="16:17" x14ac:dyDescent="0.25">
      <c r="P70" s="3"/>
      <c r="Q70" s="6"/>
    </row>
    <row r="71" spans="16:17" x14ac:dyDescent="0.25">
      <c r="P71" s="3"/>
      <c r="Q71" s="6"/>
    </row>
    <row r="72" spans="16:17" x14ac:dyDescent="0.25">
      <c r="P72" s="3"/>
      <c r="Q72" s="6"/>
    </row>
    <row r="73" spans="16:17" x14ac:dyDescent="0.25">
      <c r="P73" s="3"/>
      <c r="Q73" s="6"/>
    </row>
    <row r="74" spans="16:17" x14ac:dyDescent="0.25">
      <c r="P74" s="3"/>
      <c r="Q74" s="6"/>
    </row>
    <row r="75" spans="16:17" x14ac:dyDescent="0.25">
      <c r="P75" s="3"/>
      <c r="Q75" s="6"/>
    </row>
    <row r="76" spans="16:17" x14ac:dyDescent="0.25">
      <c r="P76" s="3"/>
      <c r="Q76" s="6"/>
    </row>
    <row r="77" spans="16:17" x14ac:dyDescent="0.25">
      <c r="P77" s="3"/>
      <c r="Q77" s="6"/>
    </row>
    <row r="78" spans="16:17" x14ac:dyDescent="0.25">
      <c r="P78" s="3"/>
      <c r="Q78" s="6"/>
    </row>
    <row r="79" spans="16:17" x14ac:dyDescent="0.25">
      <c r="P79" s="3"/>
      <c r="Q79" s="6"/>
    </row>
    <row r="80" spans="16:17" x14ac:dyDescent="0.25">
      <c r="P80" s="3"/>
      <c r="Q80" s="6"/>
    </row>
    <row r="81" spans="16:17" x14ac:dyDescent="0.25">
      <c r="P81" s="3"/>
      <c r="Q81" s="6"/>
    </row>
    <row r="82" spans="16:17" x14ac:dyDescent="0.25">
      <c r="P82" s="3"/>
      <c r="Q82" s="6"/>
    </row>
    <row r="83" spans="16:17" x14ac:dyDescent="0.25">
      <c r="P83" s="3"/>
      <c r="Q83" s="6"/>
    </row>
    <row r="84" spans="16:17" x14ac:dyDescent="0.25">
      <c r="P84" s="3"/>
      <c r="Q84" s="6"/>
    </row>
    <row r="85" spans="16:17" x14ac:dyDescent="0.25">
      <c r="P85" s="3"/>
      <c r="Q85" s="6"/>
    </row>
    <row r="86" spans="16:17" x14ac:dyDescent="0.25">
      <c r="P86" s="3"/>
      <c r="Q86" s="6"/>
    </row>
    <row r="87" spans="16:17" x14ac:dyDescent="0.25">
      <c r="P87" s="3"/>
      <c r="Q87" s="6"/>
    </row>
    <row r="88" spans="16:17" x14ac:dyDescent="0.25">
      <c r="P88" s="3"/>
      <c r="Q88" s="6"/>
    </row>
    <row r="89" spans="16:17" x14ac:dyDescent="0.25">
      <c r="P89" s="3"/>
      <c r="Q89" s="6"/>
    </row>
    <row r="90" spans="16:17" x14ac:dyDescent="0.25">
      <c r="P90" s="3"/>
      <c r="Q90" s="6"/>
    </row>
    <row r="91" spans="16:17" x14ac:dyDescent="0.25">
      <c r="P91" s="3"/>
      <c r="Q91" s="6"/>
    </row>
    <row r="92" spans="16:17" x14ac:dyDescent="0.25">
      <c r="P92" s="3"/>
      <c r="Q92" s="6"/>
    </row>
    <row r="93" spans="16:17" x14ac:dyDescent="0.25">
      <c r="P93" s="3"/>
      <c r="Q93" s="6"/>
    </row>
    <row r="94" spans="16:17" x14ac:dyDescent="0.25">
      <c r="P94" s="3"/>
      <c r="Q94" s="6"/>
    </row>
    <row r="95" spans="16:17" x14ac:dyDescent="0.25">
      <c r="P95" s="3"/>
      <c r="Q95" s="6"/>
    </row>
    <row r="96" spans="16:17" x14ac:dyDescent="0.25">
      <c r="P96" s="3"/>
      <c r="Q96" s="6"/>
    </row>
    <row r="97" spans="16:17" x14ac:dyDescent="0.25">
      <c r="P97" s="3"/>
      <c r="Q97" s="6"/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" x14ac:dyDescent="0.25"/>
  <cols>
    <col min="1" max="3" width="80" style="4" customWidth="1"/>
  </cols>
  <sheetData>
    <row r="1" spans="1:3" x14ac:dyDescent="0.25">
      <c r="A1" t="s">
        <v>40</v>
      </c>
      <c r="B1" t="s">
        <v>41</v>
      </c>
      <c r="C1" t="s">
        <v>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奖励配置表</vt:lpstr>
      <vt:lpstr>#配表须知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T139696</cp:lastModifiedBy>
  <dcterms:created xsi:type="dcterms:W3CDTF">2006-09-13T11:21:00Z</dcterms:created>
  <dcterms:modified xsi:type="dcterms:W3CDTF">2025-03-27T04:08:04Z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2052-10.8.0.6470</vt:lpwstr>
  </property>
</Properties>
</file>