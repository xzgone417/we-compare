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T2_Release_0207\common\excel\xls\Main\"/>
    </mc:Choice>
  </mc:AlternateContent>
  <xr:revisionPtr revIDLastSave="0" documentId="13_ncr:1_{E20FE6BD-6F38-4AB7-8E71-8C70702E41A0}" xr6:coauthVersionLast="47" xr6:coauthVersionMax="47" xr10:uidLastSave="{00000000-0000-0000-0000-000000000000}"/>
  <bookViews>
    <workbookView xWindow="1610" yWindow="990" windowWidth="31730" windowHeight="17540" xr2:uid="{00000000-000D-0000-FFFF-FFFF00000000}"/>
  </bookViews>
  <sheets>
    <sheet name="英雄兵种套装" sheetId="7" r:id="rId1"/>
    <sheet name="宝石共鸣配置" sheetId="9" r:id="rId2"/>
    <sheet name="装备连锁配置" sheetId="10" r:id="rId3"/>
    <sheet name="连锁反应配置" sheetId="11" r:id="rId4"/>
    <sheet name="套装升级配置" sheetId="2" r:id="rId5"/>
    <sheet name="套装升阶配置" sheetId="3" r:id="rId6"/>
    <sheet name="英雄兵种图纸" sheetId="4" r:id="rId7"/>
    <sheet name="英雄兵种铁匠铺" sheetId="5" r:id="rId8"/>
    <sheet name="英雄兵种杂项" sheetId="6" r:id="rId9"/>
    <sheet name="英雄兵种宝石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4" l="1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68" i="8"/>
  <c r="D47" i="8" l="1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36" i="8"/>
  <c r="D37" i="8"/>
  <c r="D38" i="8"/>
  <c r="D39" i="8"/>
  <c r="D40" i="8"/>
  <c r="D41" i="8"/>
  <c r="D42" i="8"/>
  <c r="D43" i="8"/>
  <c r="D44" i="8"/>
  <c r="D45" i="8"/>
  <c r="D46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20" i="8"/>
  <c r="T33" i="4"/>
  <c r="T34" i="4"/>
  <c r="T35" i="4"/>
  <c r="T36" i="4"/>
  <c r="T37" i="4"/>
  <c r="T38" i="4"/>
  <c r="T39" i="4"/>
  <c r="T40" i="4"/>
  <c r="T41" i="4"/>
  <c r="T42" i="4"/>
  <c r="T43" i="4"/>
  <c r="T46" i="4"/>
  <c r="T47" i="4"/>
  <c r="T48" i="4"/>
  <c r="T49" i="4"/>
  <c r="T50" i="4"/>
  <c r="T51" i="4"/>
  <c r="T52" i="4"/>
  <c r="T53" i="4"/>
  <c r="T54" i="4"/>
  <c r="T55" i="4"/>
  <c r="T56" i="4"/>
  <c r="T57" i="4"/>
  <c r="T32" i="4"/>
  <c r="T19" i="4"/>
  <c r="T20" i="4"/>
  <c r="T21" i="4"/>
  <c r="T22" i="4"/>
  <c r="T23" i="4"/>
  <c r="T24" i="4"/>
  <c r="T25" i="4"/>
  <c r="T26" i="4"/>
  <c r="T27" i="4"/>
  <c r="T28" i="4"/>
  <c r="T29" i="4"/>
  <c r="T18" i="4"/>
  <c r="T5" i="4"/>
  <c r="T6" i="4"/>
  <c r="T7" i="4"/>
  <c r="T8" i="4"/>
  <c r="T9" i="4"/>
  <c r="T10" i="4"/>
  <c r="T11" i="4"/>
  <c r="T12" i="4"/>
  <c r="T13" i="4"/>
  <c r="T14" i="4"/>
  <c r="T15" i="4"/>
  <c r="T4" i="4"/>
  <c r="K68" i="4"/>
  <c r="K67" i="4"/>
  <c r="K66" i="4"/>
  <c r="K65" i="4"/>
  <c r="K63" i="4"/>
  <c r="I63" i="4"/>
  <c r="K62" i="4"/>
  <c r="I62" i="4"/>
  <c r="K61" i="4"/>
  <c r="I61" i="4"/>
  <c r="K60" i="4"/>
  <c r="I60" i="4"/>
  <c r="K59" i="4"/>
  <c r="I59" i="4"/>
  <c r="K58" i="4"/>
  <c r="I58" i="4"/>
  <c r="K57" i="4"/>
  <c r="I57" i="4"/>
  <c r="K56" i="4"/>
  <c r="I56" i="4"/>
  <c r="K55" i="4"/>
  <c r="I55" i="4"/>
  <c r="K54" i="4"/>
  <c r="I54" i="4"/>
  <c r="K53" i="4"/>
  <c r="I53" i="4"/>
  <c r="K52" i="4"/>
  <c r="I52" i="4"/>
  <c r="K51" i="4"/>
  <c r="I51" i="4"/>
  <c r="K50" i="4"/>
  <c r="I50" i="4"/>
  <c r="K49" i="4"/>
  <c r="I49" i="4"/>
  <c r="K48" i="4"/>
  <c r="I48" i="4"/>
  <c r="K47" i="4"/>
  <c r="I47" i="4"/>
  <c r="K46" i="4"/>
  <c r="I46" i="4"/>
  <c r="K45" i="4"/>
  <c r="I45" i="4"/>
  <c r="K44" i="4"/>
  <c r="I44" i="4"/>
  <c r="K43" i="4"/>
  <c r="I43" i="4"/>
  <c r="K42" i="4"/>
  <c r="I42" i="4"/>
  <c r="K41" i="4"/>
  <c r="I41" i="4"/>
  <c r="K40" i="4"/>
  <c r="I40" i="4"/>
  <c r="K39" i="4"/>
  <c r="I39" i="4"/>
  <c r="K38" i="4"/>
  <c r="I38" i="4"/>
  <c r="K37" i="4"/>
  <c r="I37" i="4"/>
  <c r="K36" i="4"/>
  <c r="I36" i="4"/>
  <c r="K35" i="4"/>
  <c r="I35" i="4"/>
  <c r="K34" i="4"/>
  <c r="I34" i="4"/>
  <c r="K33" i="4"/>
  <c r="I33" i="4"/>
  <c r="K32" i="4"/>
  <c r="I32" i="4"/>
  <c r="K31" i="4"/>
  <c r="I31" i="4"/>
  <c r="K30" i="4"/>
  <c r="I30" i="4"/>
  <c r="K29" i="4"/>
  <c r="I29" i="4"/>
  <c r="K28" i="4"/>
  <c r="I28" i="4"/>
  <c r="K27" i="4"/>
  <c r="I27" i="4"/>
  <c r="K26" i="4"/>
  <c r="I26" i="4"/>
  <c r="K25" i="4"/>
  <c r="I25" i="4"/>
  <c r="K24" i="4"/>
  <c r="I24" i="4"/>
  <c r="K23" i="4"/>
  <c r="I23" i="4"/>
  <c r="K22" i="4"/>
  <c r="I22" i="4"/>
  <c r="K21" i="4"/>
  <c r="I21" i="4"/>
  <c r="K20" i="4"/>
  <c r="I20" i="4"/>
  <c r="K19" i="4"/>
  <c r="I19" i="4"/>
  <c r="K18" i="4"/>
  <c r="I18" i="4"/>
  <c r="K17" i="4"/>
  <c r="I17" i="4"/>
  <c r="K16" i="4"/>
  <c r="I16" i="4"/>
  <c r="K12" i="4"/>
  <c r="K11" i="4"/>
  <c r="K10" i="4"/>
  <c r="K9" i="4"/>
  <c r="K8" i="4"/>
  <c r="K7" i="4"/>
  <c r="K6" i="4"/>
  <c r="K5" i="4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keadewang</author>
  </authors>
  <commentList>
    <comment ref="C2" authorId="0" shapeId="0" xr:uid="{34266942-A2A0-4582-9756-1D5CF6A45902}">
      <text>
        <r>
          <rPr>
            <b/>
            <sz val="9"/>
            <color indexed="81"/>
            <rFont val="宋体"/>
            <family val="3"/>
            <charset val="134"/>
          </rPr>
          <t>keadewang:</t>
        </r>
        <r>
          <rPr>
            <sz val="9"/>
            <color indexed="81"/>
            <rFont val="宋体"/>
            <family val="3"/>
            <charset val="134"/>
          </rPr>
          <t xml:space="preserve">
CfgNs.GemQualityType.GQT_White = 1 --[(name) = "白"]
CfgNs.GemQualityType.GQT_Green = 2 --[(name) = "绿"]
CfgNs.GemQualityType.GQT_Blue = 3 --[(name) = "蓝"]
CfgNs.GemQualityType.GQT_Purple = 4 --[(name) = "紫"]
CfgNs.GemQualityType.GQT_Orange = 5 --[(name) = "橙"]
CfgNs.GemQualityType.GQT_Red = 6 --[(name) = "红"]
CfgNs.GemQualityType.GQT_RedPlus1 = 7
CfgNs.GemQualityType.GQT_RedPlus2 = 8
CfgNs.GemQualityType.GQT_RedPlus3 = 9
CfgNs.GemQualityType.GQT_RedPlus4 = 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keadewang</author>
  </authors>
  <commentList>
    <comment ref="A2" authorId="0" shapeId="0" xr:uid="{D6C4F849-3F62-4436-8AE8-8DCFA02E0831}">
      <text>
        <r>
          <rPr>
            <b/>
            <sz val="9"/>
            <color indexed="81"/>
            <rFont val="宋体"/>
            <family val="3"/>
            <charset val="134"/>
          </rPr>
          <t xml:space="preserve">keadewang:
CfgNs.Quality.Q_White = 1 --[(name) = "白"]
CfgNs.Quality.Q_Green = 2 --[(name) = "绿"]
CfgNs.Quality.Q_Blue = 3 --[(name) = "蓝"]
CfgNs.Quality.Q_Purple = 4 --[(name) = "紫"]
CfgNs.Quality.Q_Orange = 5 --[(name) = "橙"]
CfgNs.Quality.Q_MAX = 6
CfgNs.Quality.Q_Gold = 7 --[(name) = "金"]
CfgNs.Quality.Q_Red = 8 --[(name) = "红"]
CfgNs.SoldierType.SNV_Swordsman = 101 --[(name) = "剑士"]
CfgNs.SoldierType.SNV_Spearman = 102 --[(name) = "枪兵"]
CfgNs.SoldierType.SNV_Cavalry = 103 --[(name) = "骑兵"]
CfgNs.SoldierType.SNV_Bowman = 104 --[(name) = "弓兵"]
</t>
        </r>
        <r>
          <rPr>
            <sz val="9"/>
            <color indexed="81"/>
            <rFont val="宋体"/>
            <family val="3"/>
            <charset val="134"/>
          </rPr>
          <t xml:space="preserve">
装备品质+装备兵种作为id：
橙色品质+剑士 = 5101</t>
        </r>
      </text>
    </comment>
  </commentList>
</comments>
</file>

<file path=xl/sharedStrings.xml><?xml version="1.0" encoding="utf-8"?>
<sst xmlns="http://schemas.openxmlformats.org/spreadsheetml/2006/main" count="1626" uniqueCount="433">
  <si>
    <t>id</t>
  </si>
  <si>
    <t>适配兵种</t>
  </si>
  <si>
    <t>装备名</t>
  </si>
  <si>
    <t>描述</t>
  </si>
  <si>
    <t>图集</t>
  </si>
  <si>
    <t>图片名</t>
  </si>
  <si>
    <t>适配槽位</t>
  </si>
  <si>
    <t>品质</t>
  </si>
  <si>
    <t>基础战力</t>
  </si>
  <si>
    <t>对应升级表id</t>
  </si>
  <si>
    <t>对应升阶级表id</t>
  </si>
  <si>
    <t>buffid</t>
  </si>
  <si>
    <t>buff附加对象</t>
  </si>
  <si>
    <t>buff数值</t>
  </si>
  <si>
    <t>buff升级增加值</t>
  </si>
  <si>
    <t>buff面板展示类型</t>
  </si>
  <si>
    <t>buff描述文本</t>
  </si>
  <si>
    <t>阶级</t>
  </si>
  <si>
    <t>该阶级额外增加的buffId(不累计)</t>
  </si>
  <si>
    <t>额外增加的buff附加对象</t>
  </si>
  <si>
    <t>进阶增加buff数值</t>
  </si>
  <si>
    <t>宝石槽位解锁</t>
  </si>
  <si>
    <t>gearType[|]</t>
  </si>
  <si>
    <t>name</t>
  </si>
  <si>
    <t>desc</t>
  </si>
  <si>
    <t>iconAtlas</t>
  </si>
  <si>
    <t>iconSprite</t>
  </si>
  <si>
    <t>location</t>
  </si>
  <si>
    <t>quality</t>
  </si>
  <si>
    <t>power</t>
  </si>
  <si>
    <t>lvUpConfId</t>
  </si>
  <si>
    <t>stageUpConfId</t>
  </si>
  <si>
    <t>buff.buffId</t>
  </si>
  <si>
    <t>buff.buffTarget</t>
  </si>
  <si>
    <t>buff.valueB</t>
  </si>
  <si>
    <t>buff.deltaValueB</t>
  </si>
  <si>
    <t>buff.showInboardType</t>
  </si>
  <si>
    <t>buff.descr</t>
  </si>
  <si>
    <t>stageAbility.level</t>
  </si>
  <si>
    <t>stageAbility.buff.buffId</t>
  </si>
  <si>
    <t>stageAbility.buff.buffTarget</t>
  </si>
  <si>
    <t>stageAbility.buff.valueB</t>
  </si>
  <si>
    <t>stageAbility.buff.descr</t>
  </si>
  <si>
    <t>Gear_BlueSwordHead</t>
  </si>
  <si>
    <t>icon_packageitem_2</t>
  </si>
  <si>
    <t>item_56100</t>
  </si>
  <si>
    <t>蓝</t>
  </si>
  <si>
    <t>Gear_BasicDefenseSword</t>
  </si>
  <si>
    <t>Gear_Defense1Sword</t>
  </si>
  <si>
    <t>Gear_DefenseHead3</t>
  </si>
  <si>
    <t>Gear_BlueSwordHand</t>
  </si>
  <si>
    <t>item_56101</t>
  </si>
  <si>
    <t>Gear_BasicAttackSword</t>
  </si>
  <si>
    <t>Gear_Attack1Sword</t>
  </si>
  <si>
    <t>Gear_AttackBuilding</t>
  </si>
  <si>
    <t>Gear_BlueSwordChest</t>
  </si>
  <si>
    <t>item_56102</t>
  </si>
  <si>
    <t>Gear_BlueSwordLeg</t>
  </si>
  <si>
    <t>item_56103</t>
  </si>
  <si>
    <t>Gear_AttackHand3</t>
  </si>
  <si>
    <t>Gear_PurpleSwordHead</t>
  </si>
  <si>
    <t>item_56104</t>
  </si>
  <si>
    <t>紫</t>
  </si>
  <si>
    <t>Gear_DefenseChest3</t>
  </si>
  <si>
    <t>Gear_PurpleSwordHand</t>
  </si>
  <si>
    <t>item_56105</t>
  </si>
  <si>
    <t>Gear_SwordAttackLeg3</t>
  </si>
  <si>
    <t>Gear_PurpleSwordChest</t>
  </si>
  <si>
    <t>item_56106</t>
  </si>
  <si>
    <t>Gear_PurpleSwordLeg</t>
  </si>
  <si>
    <t>item_56107</t>
  </si>
  <si>
    <t>Gear_OrangeSwordHead</t>
  </si>
  <si>
    <t>item_56108</t>
  </si>
  <si>
    <t>橙</t>
  </si>
  <si>
    <t>Gear_Defense2Sword</t>
  </si>
  <si>
    <t>Gear_OrangeSwordHand</t>
  </si>
  <si>
    <t>item_56109</t>
  </si>
  <si>
    <t>Gear_SwordAttackLeg4</t>
  </si>
  <si>
    <t>Gear_OrangeSwordChest</t>
  </si>
  <si>
    <t>item_56110</t>
  </si>
  <si>
    <t>Gear_OrangeSwordLeg</t>
  </si>
  <si>
    <t>item_56111</t>
  </si>
  <si>
    <t>Gear_BlueArcheryHead</t>
  </si>
  <si>
    <t>item_56112</t>
  </si>
  <si>
    <t>Gear_BasicDefenseArchery</t>
  </si>
  <si>
    <t>Gear_Defense1Archery</t>
  </si>
  <si>
    <t>Gear_BlueArcheryHand</t>
  </si>
  <si>
    <t>item_56113</t>
  </si>
  <si>
    <t>Gear_BasicAttackArchery</t>
  </si>
  <si>
    <t>Gear_Attack1Archery</t>
  </si>
  <si>
    <t>Gear_BlueArcheryChest</t>
  </si>
  <si>
    <t>item_56114</t>
  </si>
  <si>
    <t>Gear_BlueArcheryLeg</t>
  </si>
  <si>
    <t>item_56115</t>
  </si>
  <si>
    <t>Gear_PurpleArcheryHead</t>
  </si>
  <si>
    <t>item_56116</t>
  </si>
  <si>
    <t>Gear_PurpleArcheryHand</t>
  </si>
  <si>
    <t>item_56117</t>
  </si>
  <si>
    <t>Gear_PurpleArcheryChest</t>
  </si>
  <si>
    <t>item_56118</t>
  </si>
  <si>
    <t>Gear_PurpleArcheryLeg</t>
  </si>
  <si>
    <t>item_56119</t>
  </si>
  <si>
    <t>Gear_OrangeArcheryHead</t>
  </si>
  <si>
    <t>item_56120</t>
  </si>
  <si>
    <t>Gear_Defense2Archery</t>
  </si>
  <si>
    <t>Gear_OrangeArcheryHand</t>
  </si>
  <si>
    <t>item_56121</t>
  </si>
  <si>
    <t>Gear_OrangeArcheryChest</t>
  </si>
  <si>
    <t>item_56122</t>
  </si>
  <si>
    <t>Gear_OrangeArcheryLeg</t>
  </si>
  <si>
    <t>item_56123</t>
  </si>
  <si>
    <t>Gear_BlueCavalryHead</t>
  </si>
  <si>
    <t>item_56124</t>
  </si>
  <si>
    <t>Gear_BasicDefenseCavalry</t>
  </si>
  <si>
    <t>Gear_Defense1Cavalry</t>
  </si>
  <si>
    <t>Gear_BlueCavalryHand</t>
  </si>
  <si>
    <t>item_56125</t>
  </si>
  <si>
    <t>Gear_BasicAttackCavalry</t>
  </si>
  <si>
    <t>Gear_Attack1Cavalry</t>
  </si>
  <si>
    <t>Gear_BlueCavalryChest</t>
  </si>
  <si>
    <t>item_56126</t>
  </si>
  <si>
    <t>Gear_BlueCavalryLeg</t>
  </si>
  <si>
    <t>item_56127</t>
  </si>
  <si>
    <t>Gear_PurpleCavalryHead</t>
  </si>
  <si>
    <t>item_56128</t>
  </si>
  <si>
    <t>Gear_PurpleCavalryHand</t>
  </si>
  <si>
    <t>item_56129</t>
  </si>
  <si>
    <t>Gear_PurpleCavalryChest</t>
  </si>
  <si>
    <t>item_56130</t>
  </si>
  <si>
    <t>Gear_PurpleCavalryLeg</t>
  </si>
  <si>
    <t>item_56131</t>
  </si>
  <si>
    <t>Gear_OrangeCavalryHead</t>
  </si>
  <si>
    <t>item_56132</t>
  </si>
  <si>
    <t>Gear_Defense2Cavalry</t>
  </si>
  <si>
    <t>Gear_OrangeCavalryHand</t>
  </si>
  <si>
    <t>item_56133</t>
  </si>
  <si>
    <t>Gear_OrangeCavalryChest</t>
  </si>
  <si>
    <t>item_56134</t>
  </si>
  <si>
    <t>Gear_OrangeCavalryLeg</t>
  </si>
  <si>
    <t>item_56135</t>
  </si>
  <si>
    <t>Gear_BluePikemanHead</t>
  </si>
  <si>
    <t>item_56136</t>
  </si>
  <si>
    <t>Gear_BasicDefensePikeman</t>
  </si>
  <si>
    <t>Gear_Defense1Pikeman</t>
  </si>
  <si>
    <t>Gear_BluePikemanHand</t>
  </si>
  <si>
    <t>item_56137</t>
  </si>
  <si>
    <t>Gear_BasicAttackPikeman</t>
  </si>
  <si>
    <t>Gear_Attack1Pikeman</t>
  </si>
  <si>
    <t>Gear_BluePikemanChest</t>
  </si>
  <si>
    <t>item_56138</t>
  </si>
  <si>
    <t>Gear_BluePikemanLeg</t>
  </si>
  <si>
    <t>item_56139</t>
  </si>
  <si>
    <t>Gear_PurplePikemanHead</t>
  </si>
  <si>
    <t>item_56140</t>
  </si>
  <si>
    <t>Gear_PurplePikemanHand</t>
  </si>
  <si>
    <t>item_56141</t>
  </si>
  <si>
    <t>Gear_PurplePikemanChest</t>
  </si>
  <si>
    <t>item_56142</t>
  </si>
  <si>
    <t>Gear_PurplePikemanLeg</t>
  </si>
  <si>
    <t>item_56143</t>
  </si>
  <si>
    <t>Gear_OrangePikemanHead</t>
  </si>
  <si>
    <t>item_56144</t>
  </si>
  <si>
    <t>Gear_Defense2Pikeman</t>
  </si>
  <si>
    <t>Gear_OrangePikemanHand</t>
  </si>
  <si>
    <t>item_56145</t>
  </si>
  <si>
    <t>Gear_OrangePikemanChest</t>
  </si>
  <si>
    <t>item_56146</t>
  </si>
  <si>
    <t>Gear_OrangePikemanLeg</t>
  </si>
  <si>
    <t>item_56147</t>
  </si>
  <si>
    <t>convert(ResHero.proto,table_HeroGearLvUpConf, HeroGearLvUpConf.pbin)</t>
  </si>
  <si>
    <t>备注</t>
  </si>
  <si>
    <t>等级升级范围(左闭区间)</t>
  </si>
  <si>
    <t>等级升级范围(右闭区间)</t>
  </si>
  <si>
    <t>升级需要的阶级</t>
  </si>
  <si>
    <t>升到该区间内等级的消耗</t>
  </si>
  <si>
    <t>该区间内每级增加的战力</t>
  </si>
  <si>
    <t>lvUpUnit.beginIdx</t>
  </si>
  <si>
    <t>lvUpUnit.endIdx</t>
  </si>
  <si>
    <t>lvUpUnit.unlockNeedStage</t>
  </si>
  <si>
    <t>lvUpUnit.costItem[|]{key:value}</t>
  </si>
  <si>
    <t>lvUpUnit.addPower</t>
  </si>
  <si>
    <t>进阶到该区间需要的装备等级</t>
  </si>
  <si>
    <t>进阶需要的消耗同id装备的阶级和数目</t>
  </si>
  <si>
    <t>该区间内重置返还道具比例</t>
  </si>
  <si>
    <t>stageUpUnit.beginIdx</t>
  </si>
  <si>
    <t>stageUpUnit.endIdx</t>
  </si>
  <si>
    <t>stageUpUnit.requiredLv</t>
  </si>
  <si>
    <t>stageUpUnit.costGear[|]{stage;num}</t>
  </si>
  <si>
    <t>stageUpUnit.costItem[|]{key;value}</t>
  </si>
  <si>
    <t>stageUpUnit.returnRate</t>
  </si>
  <si>
    <t>stageUpUnit.addPower</t>
  </si>
  <si>
    <t>0;1</t>
  </si>
  <si>
    <t>56005;8</t>
  </si>
  <si>
    <t>0;3</t>
  </si>
  <si>
    <t>56005;24</t>
  </si>
  <si>
    <t>0;6</t>
  </si>
  <si>
    <t>56005;48</t>
  </si>
  <si>
    <t>56026;48</t>
  </si>
  <si>
    <t>0;10</t>
  </si>
  <si>
    <t>56026;80</t>
  </si>
  <si>
    <t>56004;8</t>
  </si>
  <si>
    <t>56004;24</t>
  </si>
  <si>
    <t>56004;48</t>
  </si>
  <si>
    <t>56003;8</t>
  </si>
  <si>
    <t>56003;24</t>
  </si>
  <si>
    <t>convert(ResHero.proto,table_HeroGearBlueprintConf, HeroGearBlueprintConf.pbin)</t>
  </si>
  <si>
    <t xml:space="preserve">图纸id </t>
  </si>
  <si>
    <t>锻造时间（秒）</t>
  </si>
  <si>
    <t>锻造消耗图纸数量</t>
  </si>
  <si>
    <t xml:space="preserve"> 图纸碎片id </t>
  </si>
  <si>
    <t>锻造消耗碎片数量</t>
  </si>
  <si>
    <t>锻造装备列表</t>
  </si>
  <si>
    <t>锻造消耗资源</t>
  </si>
  <si>
    <t>锻造消耗道具</t>
  </si>
  <si>
    <t>显示在锻造左侧列表里的item样子</t>
  </si>
  <si>
    <t>显示在中间的样子</t>
  </si>
  <si>
    <t>location[|]</t>
  </si>
  <si>
    <t>createGearTime</t>
  </si>
  <si>
    <t>createCostNum</t>
  </si>
  <si>
    <t>fragmentId</t>
  </si>
  <si>
    <t>createCostFragmentNum</t>
  </si>
  <si>
    <t>gears[|]{gearId;weight;showInPreview}</t>
  </si>
  <si>
    <t>costs.resources[|]{resType;resValue}</t>
  </si>
  <si>
    <t>costs.items[|]{itemId;itemNum}</t>
  </si>
  <si>
    <t>displayItemId</t>
  </si>
  <si>
    <t>displayCenterItemId</t>
  </si>
  <si>
    <t>权重</t>
  </si>
  <si>
    <t>总数</t>
  </si>
  <si>
    <t>单件概率</t>
  </si>
  <si>
    <t>101|102|13|104</t>
  </si>
  <si>
    <t>1|2|3|4</t>
  </si>
  <si>
    <t>白</t>
  </si>
  <si>
    <t>56108;25;true|56109;25;true|56110;25;true|56111;25;true</t>
  </si>
  <si>
    <t>56144;25;true|56145;25;true|56146;25;true|56147;25;true</t>
  </si>
  <si>
    <t>56132;25;true|56133;25;true|56134;25;true|56135;25;true</t>
  </si>
  <si>
    <t>56120;25;true|56121;25;true|56122;25;true|56123;25;true</t>
  </si>
  <si>
    <t>56104;25;true|56105;25;true|56106;25;true|56107;25;true</t>
  </si>
  <si>
    <t>56140;25;true|56141;25;true|56142;25;true|56143;25;true</t>
  </si>
  <si>
    <t>56128;25;true|56129;25;true|56130;25;true|56131;25;true</t>
  </si>
  <si>
    <t>56116;25;true|56117;25;true|56118;25;true|56119;25;true</t>
  </si>
  <si>
    <t>convert(ResHero.proto,table_HeroGearSmithyConf, HeroGearSmithyConf.pbin)</t>
  </si>
  <si>
    <t>铁匠铺等级</t>
  </si>
  <si>
    <t>打造最高品质</t>
  </si>
  <si>
    <t>打造槽位数量</t>
  </si>
  <si>
    <t>打造时间减少比率（小数）</t>
  </si>
  <si>
    <t>level</t>
  </si>
  <si>
    <t>maxQuality</t>
  </si>
  <si>
    <t>slotCount</t>
  </si>
  <si>
    <t>reduceRatio</t>
  </si>
  <si>
    <t>convertTrans(ResHero.proto, table_HeroGearMiscConf, HeroGearMiscConf.pbin)</t>
  </si>
  <si>
    <t>值</t>
  </si>
  <si>
    <t>配置项</t>
  </si>
  <si>
    <t xml:space="preserve">装备系统解锁所需铁匠铺等级 </t>
  </si>
  <si>
    <t>gearUnlockSmithyLevel</t>
  </si>
  <si>
    <t>装备锻造解锁所需铁匠铺等级</t>
  </si>
  <si>
    <t>createUnlockSmithyLevel</t>
  </si>
  <si>
    <t>装备进阶解锁所需铁匠铺等级</t>
  </si>
  <si>
    <t>stageUnlockSmithyLevel</t>
  </si>
  <si>
    <t>蓝色装备分解材料</t>
  </si>
  <si>
    <t>blueDismantleMaterial.items[|]{itemId;itemNum}</t>
  </si>
  <si>
    <t>56002;50</t>
  </si>
  <si>
    <t>紫色装备分解材料</t>
  </si>
  <si>
    <t>purpleDismantleMaterial.items[|]{itemId;itemNum}</t>
  </si>
  <si>
    <t>56002;250</t>
  </si>
  <si>
    <t>橙色装备分解材料</t>
  </si>
  <si>
    <t>orangeDismantleMaterial.items[|]{itemId;itemNum}</t>
  </si>
  <si>
    <t>56002;600</t>
  </si>
  <si>
    <t>装备背包最大容量</t>
  </si>
  <si>
    <t>gearPackMaxCount</t>
  </si>
  <si>
    <t>装备锻造中取消返还比例</t>
  </si>
  <si>
    <t>creatingCancelReturnRate</t>
  </si>
  <si>
    <t>蓝色装备获取途径Id</t>
  </si>
  <si>
    <t>blueGearGetId</t>
  </si>
  <si>
    <t>紫色装备获取途径Id</t>
  </si>
  <si>
    <t>purpleGearGetId</t>
  </si>
  <si>
    <t>橙色装备获取途径Id</t>
  </si>
  <si>
    <t>orangeGearGetId</t>
  </si>
  <si>
    <t>宝石卸载冷却时间（秒）</t>
  </si>
  <si>
    <t>gemOffCdSeconds</t>
  </si>
  <si>
    <t>装备宝石镶嵌、合成功能解锁所需铁匠铺等级</t>
  </si>
  <si>
    <t>gemUnlockSmithyLevel</t>
  </si>
  <si>
    <t>宝石id</t>
  </si>
  <si>
    <t>可镶嵌部位</t>
  </si>
  <si>
    <t>合成消耗</t>
  </si>
  <si>
    <t>增加的战斗力</t>
  </si>
  <si>
    <t>type</t>
  </si>
  <si>
    <t>combineCost.items[|]{itemId;itemNum}</t>
  </si>
  <si>
    <t>兵种101</t>
  </si>
  <si>
    <t>是否显示</t>
  </si>
  <si>
    <t>true</t>
  </si>
  <si>
    <t>兵种104</t>
  </si>
  <si>
    <t>兵种103</t>
  </si>
  <si>
    <t>兵种102</t>
  </si>
  <si>
    <t>备注</t>
    <phoneticPr fontId="8" type="noConversion"/>
  </si>
  <si>
    <t>白色品质宝石</t>
    <phoneticPr fontId="8" type="noConversion"/>
  </si>
  <si>
    <t>绿色品质宝石</t>
    <phoneticPr fontId="8" type="noConversion"/>
  </si>
  <si>
    <t>蓝色品质宝石</t>
    <phoneticPr fontId="8" type="noConversion"/>
  </si>
  <si>
    <t>紫色品质宝石</t>
    <phoneticPr fontId="8" type="noConversion"/>
  </si>
  <si>
    <t>橙色品质宝石</t>
    <phoneticPr fontId="8" type="noConversion"/>
  </si>
  <si>
    <t>Gem_Buff_1</t>
    <phoneticPr fontId="8" type="noConversion"/>
  </si>
  <si>
    <t>Gem_Buff_2</t>
  </si>
  <si>
    <t>Gem_Buff_3</t>
  </si>
  <si>
    <t>Gem_Buff_4</t>
  </si>
  <si>
    <t>Gem_Buff_5</t>
  </si>
  <si>
    <t>Gem_Buff_6</t>
  </si>
  <si>
    <t>Gem_Buff_7</t>
  </si>
  <si>
    <t>Gem_Buff_8</t>
  </si>
  <si>
    <t>Gem_Buff_9</t>
  </si>
  <si>
    <t>Gem_Buff_10</t>
  </si>
  <si>
    <t>Gem_Buff_11</t>
  </si>
  <si>
    <t>Gem_Buff_12</t>
  </si>
  <si>
    <t>Gem_Buff_13</t>
  </si>
  <si>
    <t>Gem_Buff_14</t>
  </si>
  <si>
    <t>Gem_Buff_15</t>
  </si>
  <si>
    <t>Gem_Buff_16</t>
  </si>
  <si>
    <t>红色品质宝石</t>
    <phoneticPr fontId="8" type="noConversion"/>
  </si>
  <si>
    <t>convert(ResHero.proto,table_HeroGearGemConf, HeroGearGemConf.pbin)</t>
    <phoneticPr fontId="8" type="noConversion"/>
  </si>
  <si>
    <t>加成类型</t>
    <phoneticPr fontId="8" type="noConversion"/>
  </si>
  <si>
    <t>宝石类型</t>
    <phoneticPr fontId="8" type="noConversion"/>
  </si>
  <si>
    <t>buffType</t>
    <phoneticPr fontId="8" type="noConversion"/>
  </si>
  <si>
    <t>宝石品质</t>
    <phoneticPr fontId="8" type="noConversion"/>
  </si>
  <si>
    <t>gemQuality</t>
    <phoneticPr fontId="8" type="noConversion"/>
  </si>
  <si>
    <t>红+1宝石</t>
    <phoneticPr fontId="8" type="noConversion"/>
  </si>
  <si>
    <t>红+2宝石</t>
    <phoneticPr fontId="8" type="noConversion"/>
  </si>
  <si>
    <t>红+3宝石</t>
    <phoneticPr fontId="8" type="noConversion"/>
  </si>
  <si>
    <t>红+4宝石</t>
    <phoneticPr fontId="8" type="noConversion"/>
  </si>
  <si>
    <t>Gear_HeadDesc</t>
    <phoneticPr fontId="8" type="noConversion"/>
  </si>
  <si>
    <t>Gear_HandDesc</t>
    <phoneticPr fontId="8" type="noConversion"/>
  </si>
  <si>
    <t>Gear_ChestDesc</t>
    <phoneticPr fontId="8" type="noConversion"/>
  </si>
  <si>
    <t>Gear_LegDesc</t>
    <phoneticPr fontId="8" type="noConversion"/>
  </si>
  <si>
    <t>convert(ResHero.proto,table_HeroGearConf, HeroGearConf.pbin)</t>
    <phoneticPr fontId="8" type="noConversion"/>
  </si>
  <si>
    <t>stageAbility.buff.deltaValueB</t>
    <phoneticPr fontId="8" type="noConversion"/>
  </si>
  <si>
    <t>stageAbility.buff.showInboardType</t>
    <phoneticPr fontId="8" type="noConversion"/>
  </si>
  <si>
    <t>location[|]</t>
    <phoneticPr fontId="8" type="noConversion"/>
  </si>
  <si>
    <t>增加的战斗力</t>
    <phoneticPr fontId="10" type="noConversion"/>
  </si>
  <si>
    <t>convert(ResHero.proto,table_HeroGemResonanceConf, HeroGemResonanceConf.pbin)</t>
    <phoneticPr fontId="8" type="noConversion"/>
  </si>
  <si>
    <t>convert(ResHero.proto,table_HeroGearStageUpConf, HeroGearStageUpConf.pbin)</t>
    <phoneticPr fontId="8" type="noConversion"/>
  </si>
  <si>
    <t>gemUnlock[|]{level;stage;type}</t>
    <phoneticPr fontId="8" type="noConversion"/>
  </si>
  <si>
    <t>1;5|2;5|3;5</t>
    <phoneticPr fontId="8" type="noConversion"/>
  </si>
  <si>
    <t>1;6|2;6|3;6</t>
    <phoneticPr fontId="8" type="noConversion"/>
  </si>
  <si>
    <t>1;7|2;7|3;7</t>
    <phoneticPr fontId="8" type="noConversion"/>
  </si>
  <si>
    <t>1;8|2;8|3;8</t>
    <phoneticPr fontId="8" type="noConversion"/>
  </si>
  <si>
    <t>convert(ResHero.proto,table_HeroGearChainConf, HeroGearChainConf.pbin)</t>
    <phoneticPr fontId="8" type="noConversion"/>
  </si>
  <si>
    <t>连锁等级</t>
  </si>
  <si>
    <t>连锁所需星级</t>
  </si>
  <si>
    <t>chainUnit.needStarCount</t>
    <phoneticPr fontId="8" type="noConversion"/>
  </si>
  <si>
    <t>level</t>
    <phoneticPr fontId="10" type="noConversion"/>
  </si>
  <si>
    <t>连锁反应等级</t>
    <phoneticPr fontId="10" type="noConversion"/>
  </si>
  <si>
    <t>needGearChainLevel</t>
    <phoneticPr fontId="10" type="noConversion"/>
  </si>
  <si>
    <t>isOpen</t>
    <phoneticPr fontId="8" type="noConversion"/>
  </si>
  <si>
    <t>是否投放</t>
    <phoneticPr fontId="8" type="noConversion"/>
  </si>
  <si>
    <t>装备连锁等级需求</t>
    <phoneticPr fontId="10" type="noConversion"/>
  </si>
  <si>
    <t>宝石共鸣等级需求</t>
    <phoneticPr fontId="10" type="noConversion"/>
  </si>
  <si>
    <t>needGemResonanceLevel</t>
    <phoneticPr fontId="10" type="noConversion"/>
  </si>
  <si>
    <t>power</t>
    <phoneticPr fontId="10" type="noConversion"/>
  </si>
  <si>
    <t>raidEffect</t>
    <phoneticPr fontId="8" type="noConversion"/>
  </si>
  <si>
    <t>额外解锁特殊行军特效</t>
    <phoneticPr fontId="8" type="noConversion"/>
  </si>
  <si>
    <t>buff.buffId</t>
    <phoneticPr fontId="10" type="noConversion"/>
  </si>
  <si>
    <t>buff.buffTarget</t>
    <phoneticPr fontId="10" type="noConversion"/>
  </si>
  <si>
    <t>buff.valueB</t>
    <phoneticPr fontId="10" type="noConversion"/>
  </si>
  <si>
    <t>buff.showInboardType</t>
    <phoneticPr fontId="10" type="noConversion"/>
  </si>
  <si>
    <t>buff.descr</t>
    <phoneticPr fontId="10" type="noConversion"/>
  </si>
  <si>
    <t>convert(ResHero.proto,table_TeamHeroGearChainConf, TeamHeroGearChainConf.pbin)</t>
    <phoneticPr fontId="8" type="noConversion"/>
  </si>
  <si>
    <t>id</t>
    <phoneticPr fontId="8" type="noConversion"/>
  </si>
  <si>
    <t>共鸣等级</t>
    <phoneticPr fontId="8" type="noConversion"/>
  </si>
  <si>
    <t>共鸣激活所需宝石品质</t>
    <phoneticPr fontId="8" type="noConversion"/>
  </si>
  <si>
    <t>增加的战斗力</t>
    <phoneticPr fontId="8" type="noConversion"/>
  </si>
  <si>
    <t>resonanceUnit.resonanceLevel</t>
    <phoneticPr fontId="8" type="noConversion"/>
  </si>
  <si>
    <t>resonanceUnit.condition[|]{slot;gemQuality}</t>
    <phoneticPr fontId="8" type="noConversion"/>
  </si>
  <si>
    <t>resonanceUnit.power</t>
    <phoneticPr fontId="8" type="noConversion"/>
  </si>
  <si>
    <t>resonanceUnit.buff.buffId</t>
    <phoneticPr fontId="8" type="noConversion"/>
  </si>
  <si>
    <t>resonanceUnit.buff.buffTarget</t>
    <phoneticPr fontId="8" type="noConversion"/>
  </si>
  <si>
    <t>resonanceUnit.buff.valueB</t>
    <phoneticPr fontId="8" type="noConversion"/>
  </si>
  <si>
    <t>resonanceUnit.buff.showInboardType</t>
    <phoneticPr fontId="8" type="noConversion"/>
  </si>
  <si>
    <t>resonanceUnit.buff.descr</t>
    <phoneticPr fontId="8" type="noConversion"/>
  </si>
  <si>
    <t>5</t>
    <phoneticPr fontId="8" type="noConversion"/>
  </si>
  <si>
    <t>Gear_BasicDefenseArchery</t>
    <phoneticPr fontId="8" type="noConversion"/>
  </si>
  <si>
    <t>Gear_BasicAttackArchery</t>
    <phoneticPr fontId="8" type="noConversion"/>
  </si>
  <si>
    <t>Gear_Defense1Archery</t>
    <phoneticPr fontId="8" type="noConversion"/>
  </si>
  <si>
    <t>Gem_Buff_10</t>
    <phoneticPr fontId="8" type="noConversion"/>
  </si>
  <si>
    <t>Gear_BasicDefenseCavalry</t>
    <phoneticPr fontId="8" type="noConversion"/>
  </si>
  <si>
    <t>Gear_BasicAttackCavalry</t>
    <phoneticPr fontId="8" type="noConversion"/>
  </si>
  <si>
    <t>Gear_Defense1Cavalry</t>
    <phoneticPr fontId="8" type="noConversion"/>
  </si>
  <si>
    <t>Gear_BasicDefensePikeman</t>
    <phoneticPr fontId="8" type="noConversion"/>
  </si>
  <si>
    <t>Gear_BasicAttackPikeman</t>
    <phoneticPr fontId="8" type="noConversion"/>
  </si>
  <si>
    <t>Gear_Defense1Pikeman</t>
    <phoneticPr fontId="8" type="noConversion"/>
  </si>
  <si>
    <t>chainUnit.chainLevel</t>
    <phoneticPr fontId="8" type="noConversion"/>
  </si>
  <si>
    <t>chainUnit.power</t>
    <phoneticPr fontId="8" type="noConversion"/>
  </si>
  <si>
    <t>chainUnit.buff.buffId</t>
    <phoneticPr fontId="8" type="noConversion"/>
  </si>
  <si>
    <t>chainUnit.buff.buffTarget</t>
    <phoneticPr fontId="8" type="noConversion"/>
  </si>
  <si>
    <t>chainUnit.buff.valueB</t>
    <phoneticPr fontId="8" type="noConversion"/>
  </si>
  <si>
    <t>chainUnit.buff.showInboardType</t>
    <phoneticPr fontId="8" type="noConversion"/>
  </si>
  <si>
    <t>chainUnit.buff.descr</t>
    <phoneticPr fontId="8" type="noConversion"/>
  </si>
  <si>
    <t>skillId</t>
    <phoneticPr fontId="8" type="noConversion"/>
  </si>
  <si>
    <t>技能id</t>
    <phoneticPr fontId="8" type="noConversion"/>
  </si>
  <si>
    <t>显示icon图集</t>
    <phoneticPr fontId="8" type="noConversion"/>
  </si>
  <si>
    <t>显示icon</t>
    <phoneticPr fontId="8" type="noConversion"/>
  </si>
  <si>
    <t>showIconAtlas</t>
    <phoneticPr fontId="8" type="noConversion"/>
  </si>
  <si>
    <t>showIconSprite</t>
    <phoneticPr fontId="8" type="noConversion"/>
  </si>
  <si>
    <t>icon_heroskill</t>
    <phoneticPr fontId="8" type="noConversion"/>
  </si>
  <si>
    <t>icon_heroskill_001</t>
    <phoneticPr fontId="8" type="noConversion"/>
  </si>
  <si>
    <t>icon_heroskill_010</t>
    <phoneticPr fontId="8" type="noConversion"/>
  </si>
  <si>
    <t>icon_heroskill_016</t>
    <phoneticPr fontId="8" type="noConversion"/>
  </si>
  <si>
    <t>icon_heroskill_024</t>
    <phoneticPr fontId="8" type="noConversion"/>
  </si>
  <si>
    <t>播放视频地址</t>
    <phoneticPr fontId="8" type="noConversion"/>
  </si>
  <si>
    <t>videoPath</t>
    <phoneticPr fontId="8" type="noConversion"/>
  </si>
  <si>
    <t>额外解锁显示icon图集</t>
    <phoneticPr fontId="8" type="noConversion"/>
  </si>
  <si>
    <t>额外解锁显示icon</t>
    <phoneticPr fontId="8" type="noConversion"/>
  </si>
  <si>
    <t>raidEffectAtlas</t>
    <phoneticPr fontId="8" type="noConversion"/>
  </si>
  <si>
    <t>raidEffectSprite</t>
    <phoneticPr fontId="8" type="noConversion"/>
  </si>
  <si>
    <t>兵种</t>
    <phoneticPr fontId="8" type="noConversion"/>
  </si>
  <si>
    <t>chainUnit.gearType</t>
    <phoneticPr fontId="8" type="noConversion"/>
  </si>
  <si>
    <t>1|4</t>
    <phoneticPr fontId="8" type="noConversion"/>
  </si>
  <si>
    <t>2|4</t>
    <phoneticPr fontId="8" type="noConversion"/>
  </si>
  <si>
    <t>3|4</t>
    <phoneticPr fontId="8" type="noConversion"/>
  </si>
  <si>
    <t>Gear_Attack2</t>
  </si>
  <si>
    <t>ChainReaction_Effect_1</t>
  </si>
  <si>
    <t>TID_BufferBaseValueConfig_2554_desc_CN_Main</t>
  </si>
  <si>
    <t>TID_BufferBaseValueConfig_6001_desc_CN_Main</t>
  </si>
  <si>
    <t>icon_n_marchdress</t>
  </si>
  <si>
    <t>icon_n_marchdress_zbgm</t>
  </si>
  <si>
    <t>56108;6.25;true|56109;6.25;true|56110;6.25|56111;6.25|56120;6.25;true|56121;6.25|56122;6.25|56123;6.25|56132;6.25;true|56133;6.25|56134;6.25|56135;6.25|56144;6.25;true|56145;6.25|56146;6.25|56147;6.25</t>
    <phoneticPr fontId="8" type="noConversion"/>
  </si>
  <si>
    <t>56104;6.25;true|56105;6.25;true|56106;6.25|56107;6.25|56116;6.25;true|56117;6.25|56118;6.25|56119;6.25|56128;6.25;true|56129;6.25|56130;6.25|56131;6.25|56140;6.25;true|56141;6.25|56142;6.25|56143;6.25</t>
    <phoneticPr fontId="8" type="noConversion"/>
  </si>
  <si>
    <t>56100;6.25;true|56101;6.25;true|56102;6.25|56103;6.25|56112;6.25;true|56113;6.25|56114;6.25|56115;6.25|56124;6.25;true|56125;6.25|56126;6.25|56127;6.25|56136;6.25;true|56137;6.25|56138;6.25|56139;6.25</t>
    <phoneticPr fontId="8" type="noConversion"/>
  </si>
  <si>
    <t>3000</t>
    <phoneticPr fontId="8" type="noConversion"/>
  </si>
  <si>
    <t>10;0;1|20;0;1|40;0;1</t>
  </si>
  <si>
    <t>10;0;2|20;0;2|40;0;2</t>
  </si>
  <si>
    <t>10;0;3|20;0;3|40;0;3</t>
  </si>
  <si>
    <t>10;0;1|20;0;2|40;0;3</t>
  </si>
  <si>
    <t>10;0;1|30;0;1|60;0;1</t>
  </si>
  <si>
    <t>10;0;2|30;0;2|60;0;2</t>
  </si>
  <si>
    <t>10;0;3|30;0;3|60;0;3</t>
  </si>
  <si>
    <t>10;0;1|30;0;2|60;0;3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</si>
</sst>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5\50\2;&quot;1|56001;1&quot;"/>
    <numFmt numFmtId="177" formatCode="0&quot; ;100&quot;"/>
    <numFmt numFmtId="178" formatCode="0.00_);[Red]\(0.00\)"/>
  </numFmts>
  <fonts count="1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  <font>
      <sz val="11"/>
      <color rgb="FF333333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2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7" fillId="0" borderId="0"/>
    <xf numFmtId="0" fontId="1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75">
    <xf numFmtId="0" fontId="0" fillId="0" borderId="0" xfId="0"/>
    <xf numFmtId="0" fontId="1" fillId="0" borderId="0" xfId="0" applyFont="1"/>
    <xf numFmtId="0" fontId="2" fillId="2" borderId="1" xfId="1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Fill="1" applyBorder="1"/>
    <xf numFmtId="0" fontId="3" fillId="0" borderId="1" xfId="0" applyFont="1" applyBorder="1" applyAlignment="1">
      <alignment horizontal="center" vertical="center"/>
    </xf>
    <xf numFmtId="176" fontId="0" fillId="0" borderId="0" xfId="0" applyNumberFormat="1" applyFont="1"/>
    <xf numFmtId="177" fontId="0" fillId="0" borderId="0" xfId="0" applyNumberFormat="1" applyFont="1"/>
    <xf numFmtId="0" fontId="3" fillId="0" borderId="0" xfId="0" applyFont="1" applyAlignment="1">
      <alignment horizontal="center" vertical="center"/>
    </xf>
    <xf numFmtId="49" fontId="0" fillId="0" borderId="0" xfId="0" applyNumberFormat="1"/>
    <xf numFmtId="0" fontId="0" fillId="3" borderId="0" xfId="0" applyFill="1"/>
    <xf numFmtId="21" fontId="0" fillId="0" borderId="0" xfId="0" applyNumberFormat="1" applyFont="1"/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7" fillId="0" borderId="0" xfId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7" fillId="0" borderId="0" xfId="1"/>
    <xf numFmtId="0" fontId="4" fillId="0" borderId="2" xfId="1" applyFont="1" applyBorder="1" applyAlignment="1">
      <alignment horizontal="left" vertical="center"/>
    </xf>
    <xf numFmtId="1" fontId="5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10" fontId="7" fillId="0" borderId="0" xfId="1" applyNumberFormat="1"/>
    <xf numFmtId="0" fontId="2" fillId="0" borderId="0" xfId="1" applyFont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10" fontId="6" fillId="6" borderId="4" xfId="1" applyNumberFormat="1" applyFont="1" applyFill="1" applyBorder="1" applyAlignment="1">
      <alignment horizontal="center" vertical="center"/>
    </xf>
    <xf numFmtId="10" fontId="6" fillId="7" borderId="4" xfId="1" applyNumberFormat="1" applyFont="1" applyFill="1" applyBorder="1" applyAlignment="1">
      <alignment horizontal="center" vertical="center"/>
    </xf>
    <xf numFmtId="0" fontId="1" fillId="0" borderId="0" xfId="2"/>
    <xf numFmtId="0" fontId="1" fillId="0" borderId="0" xfId="2" applyFont="1"/>
    <xf numFmtId="49" fontId="1" fillId="0" borderId="0" xfId="2" applyNumberFormat="1" applyFont="1"/>
    <xf numFmtId="0" fontId="1" fillId="9" borderId="0" xfId="2" applyFont="1" applyFill="1"/>
    <xf numFmtId="49" fontId="1" fillId="9" borderId="0" xfId="2" applyNumberFormat="1" applyFont="1" applyFill="1" applyAlignment="1">
      <alignment horizontal="center"/>
    </xf>
    <xf numFmtId="0" fontId="1" fillId="9" borderId="0" xfId="2" applyFill="1"/>
    <xf numFmtId="0" fontId="1" fillId="8" borderId="0" xfId="2" applyFont="1" applyFill="1"/>
    <xf numFmtId="49" fontId="1" fillId="8" borderId="0" xfId="2" applyNumberFormat="1" applyFont="1" applyFill="1" applyAlignment="1">
      <alignment horizontal="center"/>
    </xf>
    <xf numFmtId="0" fontId="1" fillId="8" borderId="0" xfId="2" applyFill="1"/>
    <xf numFmtId="0" fontId="1" fillId="10" borderId="0" xfId="2" applyFont="1" applyFill="1"/>
    <xf numFmtId="49" fontId="1" fillId="10" borderId="0" xfId="2" applyNumberFormat="1" applyFont="1" applyFill="1" applyAlignment="1">
      <alignment horizontal="center"/>
    </xf>
    <xf numFmtId="0" fontId="1" fillId="10" borderId="0" xfId="2" applyFill="1"/>
    <xf numFmtId="0" fontId="1" fillId="11" borderId="0" xfId="2" applyFont="1" applyFill="1"/>
    <xf numFmtId="49" fontId="1" fillId="11" borderId="0" xfId="2" applyNumberFormat="1" applyFont="1" applyFill="1" applyAlignment="1">
      <alignment horizontal="center"/>
    </xf>
    <xf numFmtId="0" fontId="1" fillId="11" borderId="0" xfId="2" applyFill="1"/>
    <xf numFmtId="0" fontId="0" fillId="0" borderId="0" xfId="0" applyFont="1" applyAlignment="1"/>
    <xf numFmtId="0" fontId="7" fillId="0" borderId="0" xfId="1" applyFill="1"/>
    <xf numFmtId="0" fontId="2" fillId="2" borderId="3" xfId="1" applyFont="1" applyFill="1" applyBorder="1" applyAlignment="1">
      <alignment horizontal="center" vertical="center"/>
    </xf>
    <xf numFmtId="0" fontId="1" fillId="0" borderId="0" xfId="1" applyFont="1"/>
    <xf numFmtId="0" fontId="7" fillId="0" borderId="0" xfId="1" applyNumberFormat="1"/>
    <xf numFmtId="10" fontId="1" fillId="0" borderId="0" xfId="1" applyNumberFormat="1" applyFont="1"/>
    <xf numFmtId="10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" fillId="0" borderId="0" xfId="1" applyFont="1" applyAlignment="1">
      <alignment horizontal="center" vertical="center"/>
    </xf>
    <xf numFmtId="0" fontId="2" fillId="12" borderId="1" xfId="3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" fillId="13" borderId="1" xfId="1" applyFont="1" applyFill="1" applyBorder="1" applyAlignment="1">
      <alignment horizontal="center" vertical="center"/>
    </xf>
    <xf numFmtId="0" fontId="7" fillId="13" borderId="1" xfId="1" applyFill="1" applyBorder="1"/>
    <xf numFmtId="10" fontId="7" fillId="13" borderId="1" xfId="1" applyNumberFormat="1" applyFill="1" applyBorder="1"/>
    <xf numFmtId="0" fontId="0" fillId="13" borderId="1" xfId="0" applyFill="1" applyBorder="1"/>
    <xf numFmtId="0" fontId="4" fillId="13" borderId="1" xfId="0" applyFont="1" applyFill="1" applyBorder="1" applyAlignment="1">
      <alignment horizontal="left" vertical="center"/>
    </xf>
    <xf numFmtId="49" fontId="1" fillId="13" borderId="1" xfId="1" applyNumberFormat="1" applyFont="1" applyFill="1" applyBorder="1" applyAlignment="1">
      <alignment horizontal="center"/>
    </xf>
    <xf numFmtId="0" fontId="1" fillId="13" borderId="1" xfId="0" applyFont="1" applyFill="1" applyBorder="1"/>
    <xf numFmtId="0" fontId="0" fillId="13" borderId="0" xfId="0" applyFill="1"/>
    <xf numFmtId="178" fontId="1" fillId="13" borderId="1" xfId="1" applyNumberFormat="1" applyFont="1" applyFill="1" applyBorder="1" applyAlignment="1">
      <alignment horizontal="center"/>
    </xf>
    <xf numFmtId="49" fontId="1" fillId="0" borderId="0" xfId="1" applyNumberFormat="1" applyFont="1" applyAlignment="1">
      <alignment horizontal="center"/>
    </xf>
    <xf numFmtId="0" fontId="7" fillId="13" borderId="1" xfId="1" applyFill="1" applyBorder="1" applyAlignment="1">
      <alignment horizontal="center" vertical="center"/>
    </xf>
    <xf numFmtId="49" fontId="7" fillId="0" borderId="0" xfId="1" applyNumberFormat="1"/>
    <xf numFmtId="0" fontId="3" fillId="0" borderId="0" xfId="1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49" fontId="1" fillId="0" borderId="0" xfId="1" applyNumberFormat="1" applyFont="1"/>
    <xf numFmtId="0" fontId="1" fillId="0" borderId="0" xfId="2"/>
    <xf numFmtId="0" fontId="1" fillId="0" borderId="0" xfId="5"/>
    <xf numFmtId="0" fontId="1" fillId="0" borderId="0" xfId="5" applyFont="1"/>
  </cellXfs>
  <cellStyles count="7">
    <cellStyle name="常规" xfId="0" builtinId="0"/>
    <cellStyle name="常规 2" xfId="1" xr:uid="{00000000-0005-0000-0000-000031000000}"/>
    <cellStyle name="常规 2 2" xfId="4" xr:uid="{63F6D749-391F-459E-9258-BAA96AE4101B}"/>
    <cellStyle name="常规 2 2 2" xfId="6" xr:uid="{052BE0C4-E789-4978-96C1-9E3FFE8C3A3F}"/>
    <cellStyle name="常规 2 3" xfId="5" xr:uid="{DCA3F1F2-65C7-44EE-AFAA-0D98C782A6DE}"/>
    <cellStyle name="常规 3" xfId="2" xr:uid="{CF7B3C2C-463C-4B20-AEF1-7BBD37317D64}"/>
    <cellStyle name="常规 4" xfId="3" xr:uid="{6ED8A01F-96D7-41E2-8D55-FAEFA4F8E0AB}"/>
  </cellStyles>
  <dxfs count="2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4"/>
  <sheetViews>
    <sheetView tabSelected="1" topLeftCell="O1" zoomScale="85" zoomScaleNormal="85" workbookViewId="0">
      <selection activeCell="S430" sqref="S430"/>
    </sheetView>
  </sheetViews>
  <sheetFormatPr defaultColWidth="9" defaultRowHeight="14" x14ac:dyDescent="0.3"/>
  <cols>
    <col min="1" max="1" width="66.75" style="14" customWidth="1"/>
    <col min="2" max="6" width="26.25" style="14" customWidth="1"/>
    <col min="7" max="7" width="13.25" style="14" customWidth="1"/>
    <col min="8" max="9" width="8.08203125" style="14" customWidth="1"/>
    <col min="10" max="10" width="12.08203125" style="14" customWidth="1"/>
    <col min="11" max="11" width="19.33203125" style="14" customWidth="1"/>
    <col min="12" max="13" width="22.08203125" style="14" customWidth="1"/>
    <col min="14" max="14" width="20.58203125" style="14" customWidth="1"/>
    <col min="15" max="15" width="26.58203125" style="14" customWidth="1"/>
    <col min="16" max="16" width="34" style="14" customWidth="1"/>
    <col min="17" max="17" width="28.33203125" style="14" customWidth="1"/>
    <col min="18" max="18" width="16.83203125" style="14" customWidth="1"/>
    <col min="19" max="19" width="29.08203125" style="14" customWidth="1"/>
    <col min="20" max="20" width="22.5" style="14" customWidth="1"/>
    <col min="21" max="22" width="22.83203125" style="14" customWidth="1"/>
    <col min="23" max="23" width="31.33203125" style="14" customWidth="1"/>
    <col min="24" max="24" width="25.08203125" style="14" customWidth="1"/>
    <col min="25" max="25" width="34.58203125" style="14" customWidth="1"/>
    <col min="26" max="16384" width="9" style="14"/>
  </cols>
  <sheetData>
    <row r="1" spans="1:25" x14ac:dyDescent="0.3">
      <c r="A1" s="51" t="s">
        <v>330</v>
      </c>
    </row>
    <row r="2" spans="1:25" ht="16.5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2" t="s">
        <v>17</v>
      </c>
      <c r="S2" s="23" t="s">
        <v>18</v>
      </c>
      <c r="T2" s="23" t="s">
        <v>19</v>
      </c>
      <c r="U2" s="23" t="s">
        <v>13</v>
      </c>
      <c r="V2" s="23" t="s">
        <v>20</v>
      </c>
      <c r="W2" s="23" t="s">
        <v>15</v>
      </c>
      <c r="X2" s="23" t="s">
        <v>16</v>
      </c>
      <c r="Y2" s="14" t="s">
        <v>21</v>
      </c>
    </row>
    <row r="3" spans="1:25" ht="27" customHeight="1" x14ac:dyDescent="0.3">
      <c r="A3" s="14" t="s">
        <v>0</v>
      </c>
      <c r="B3" s="14" t="s">
        <v>22</v>
      </c>
      <c r="C3" s="14" t="s">
        <v>23</v>
      </c>
      <c r="D3" s="14" t="s">
        <v>24</v>
      </c>
      <c r="E3" s="14" t="s">
        <v>25</v>
      </c>
      <c r="F3" s="14" t="s">
        <v>26</v>
      </c>
      <c r="G3" s="14" t="s">
        <v>27</v>
      </c>
      <c r="H3" s="14" t="s">
        <v>28</v>
      </c>
      <c r="I3" s="14" t="s">
        <v>29</v>
      </c>
      <c r="J3" s="14" t="s">
        <v>30</v>
      </c>
      <c r="K3" s="14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R3" s="22" t="s">
        <v>38</v>
      </c>
      <c r="S3" s="22" t="s">
        <v>39</v>
      </c>
      <c r="T3" s="22" t="s">
        <v>40</v>
      </c>
      <c r="U3" s="22" t="s">
        <v>41</v>
      </c>
      <c r="V3" s="22" t="s">
        <v>331</v>
      </c>
      <c r="W3" s="22" t="s">
        <v>332</v>
      </c>
      <c r="X3" s="22" t="s">
        <v>42</v>
      </c>
      <c r="Y3" s="51" t="s">
        <v>337</v>
      </c>
    </row>
    <row r="4" spans="1:25" ht="16.5" x14ac:dyDescent="0.3">
      <c r="A4" s="15">
        <v>56100</v>
      </c>
      <c r="B4" s="16">
        <v>101</v>
      </c>
      <c r="C4" s="17" t="s">
        <v>43</v>
      </c>
      <c r="D4" s="8" t="s">
        <v>326</v>
      </c>
      <c r="E4" s="14" t="s">
        <v>44</v>
      </c>
      <c r="F4" s="15" t="s">
        <v>45</v>
      </c>
      <c r="G4" s="16">
        <v>1</v>
      </c>
      <c r="H4" s="16" t="s">
        <v>46</v>
      </c>
      <c r="I4" s="16">
        <v>900</v>
      </c>
      <c r="J4" s="14">
        <v>1</v>
      </c>
      <c r="K4" s="14">
        <v>3</v>
      </c>
      <c r="L4" s="16">
        <v>20031</v>
      </c>
      <c r="M4" s="16">
        <v>0</v>
      </c>
      <c r="N4" s="20">
        <v>0.01</v>
      </c>
      <c r="O4" s="20">
        <v>1E-3</v>
      </c>
      <c r="P4" s="16">
        <v>1</v>
      </c>
      <c r="Q4" s="16" t="s">
        <v>47</v>
      </c>
      <c r="R4" s="24">
        <v>1</v>
      </c>
      <c r="S4" s="16">
        <v>20061</v>
      </c>
      <c r="T4" s="16">
        <v>0</v>
      </c>
      <c r="U4" s="20">
        <v>3.0000000000000001E-3</v>
      </c>
      <c r="V4" s="20">
        <v>1.5E-3</v>
      </c>
      <c r="W4" s="16">
        <v>1</v>
      </c>
      <c r="X4" s="17" t="s">
        <v>48</v>
      </c>
      <c r="Y4" s="74" t="s">
        <v>425</v>
      </c>
    </row>
    <row r="5" spans="1:25" ht="16.5" x14ac:dyDescent="0.3">
      <c r="A5" s="15"/>
      <c r="B5" s="16"/>
      <c r="C5" s="17"/>
      <c r="D5" s="18"/>
      <c r="F5" s="19"/>
      <c r="G5" s="16"/>
      <c r="H5" s="16"/>
      <c r="I5" s="16"/>
      <c r="L5" s="16"/>
      <c r="M5" s="16"/>
      <c r="N5" s="20"/>
      <c r="O5" s="20"/>
      <c r="P5" s="16"/>
      <c r="Q5" s="16"/>
      <c r="R5" s="21">
        <v>6</v>
      </c>
      <c r="S5" s="16">
        <v>20061</v>
      </c>
      <c r="T5" s="16">
        <v>0</v>
      </c>
      <c r="U5" s="20">
        <v>8.9999999999999993E-3</v>
      </c>
      <c r="V5" s="14">
        <v>0</v>
      </c>
      <c r="W5" s="16">
        <v>1</v>
      </c>
      <c r="X5" s="17" t="s">
        <v>48</v>
      </c>
      <c r="Y5" s="73"/>
    </row>
    <row r="6" spans="1:25" ht="16.5" x14ac:dyDescent="0.3">
      <c r="A6" s="15"/>
      <c r="B6" s="16"/>
      <c r="C6" s="17"/>
      <c r="D6" s="18"/>
      <c r="F6" s="19"/>
      <c r="G6" s="16"/>
      <c r="H6" s="16"/>
      <c r="I6" s="16"/>
      <c r="L6" s="16"/>
      <c r="M6" s="16"/>
      <c r="N6" s="20"/>
      <c r="O6" s="20"/>
      <c r="P6" s="16"/>
      <c r="Q6" s="16"/>
      <c r="R6" s="21"/>
      <c r="S6" s="14">
        <v>6001</v>
      </c>
      <c r="T6" s="16">
        <v>3</v>
      </c>
      <c r="U6" s="16">
        <v>180</v>
      </c>
      <c r="V6" s="16">
        <v>90</v>
      </c>
      <c r="W6" s="16">
        <v>1</v>
      </c>
      <c r="X6" s="25" t="s">
        <v>49</v>
      </c>
      <c r="Y6" s="73"/>
    </row>
    <row r="7" spans="1:25" ht="14.5" x14ac:dyDescent="0.3">
      <c r="A7" s="15"/>
      <c r="B7" s="16"/>
      <c r="C7" s="17"/>
      <c r="D7" s="18"/>
      <c r="G7" s="16"/>
      <c r="H7" s="16"/>
      <c r="I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73"/>
    </row>
    <row r="8" spans="1:25" ht="16.5" x14ac:dyDescent="0.3">
      <c r="A8" s="15">
        <v>56101</v>
      </c>
      <c r="B8" s="16">
        <v>101</v>
      </c>
      <c r="C8" s="17" t="s">
        <v>50</v>
      </c>
      <c r="D8" s="8" t="s">
        <v>327</v>
      </c>
      <c r="E8" s="14" t="s">
        <v>44</v>
      </c>
      <c r="F8" s="15" t="s">
        <v>51</v>
      </c>
      <c r="G8" s="16">
        <v>2</v>
      </c>
      <c r="H8" s="16" t="s">
        <v>46</v>
      </c>
      <c r="I8" s="16">
        <v>900</v>
      </c>
      <c r="J8" s="14">
        <v>1</v>
      </c>
      <c r="K8" s="14">
        <v>3</v>
      </c>
      <c r="L8" s="14">
        <v>20001</v>
      </c>
      <c r="M8" s="14">
        <v>0</v>
      </c>
      <c r="N8" s="20">
        <v>0.01</v>
      </c>
      <c r="O8" s="20">
        <v>1E-3</v>
      </c>
      <c r="P8" s="16">
        <v>1</v>
      </c>
      <c r="Q8" s="16" t="s">
        <v>52</v>
      </c>
      <c r="R8" s="21">
        <v>1</v>
      </c>
      <c r="S8" s="16">
        <v>20071</v>
      </c>
      <c r="T8" s="16">
        <v>0</v>
      </c>
      <c r="U8" s="20">
        <v>2.3999999999999998E-3</v>
      </c>
      <c r="V8" s="20">
        <v>1.1999999999999999E-3</v>
      </c>
      <c r="W8" s="16">
        <v>1</v>
      </c>
      <c r="X8" s="16" t="s">
        <v>53</v>
      </c>
      <c r="Y8" s="74" t="s">
        <v>426</v>
      </c>
    </row>
    <row r="9" spans="1:25" ht="16.5" x14ac:dyDescent="0.3">
      <c r="A9" s="15"/>
      <c r="B9" s="16"/>
      <c r="C9" s="17"/>
      <c r="D9" s="18"/>
      <c r="F9" s="19"/>
      <c r="G9" s="16"/>
      <c r="H9" s="16"/>
      <c r="I9" s="16"/>
      <c r="N9" s="20"/>
      <c r="O9" s="20"/>
      <c r="P9" s="16"/>
      <c r="Q9" s="16"/>
      <c r="R9" s="21">
        <v>6</v>
      </c>
      <c r="S9" s="16">
        <v>20071</v>
      </c>
      <c r="T9" s="16">
        <v>0</v>
      </c>
      <c r="U9" s="20">
        <v>7.1999999999999998E-3</v>
      </c>
      <c r="V9" s="14">
        <v>0</v>
      </c>
      <c r="W9" s="16">
        <v>1</v>
      </c>
      <c r="X9" s="16" t="s">
        <v>53</v>
      </c>
      <c r="Y9" s="73"/>
    </row>
    <row r="10" spans="1:25" ht="16.5" x14ac:dyDescent="0.3">
      <c r="A10" s="15"/>
      <c r="B10" s="16"/>
      <c r="C10" s="17"/>
      <c r="D10" s="18"/>
      <c r="F10" s="19"/>
      <c r="G10" s="16"/>
      <c r="H10" s="16"/>
      <c r="I10" s="16"/>
      <c r="N10" s="20"/>
      <c r="O10" s="20"/>
      <c r="P10" s="16"/>
      <c r="Q10" s="16"/>
      <c r="R10" s="21"/>
      <c r="S10" s="16">
        <v>6046</v>
      </c>
      <c r="T10" s="16">
        <v>0</v>
      </c>
      <c r="U10" s="20">
        <v>5.0000000000000001E-4</v>
      </c>
      <c r="V10" s="20">
        <v>2.5000000000000001E-4</v>
      </c>
      <c r="W10" s="16">
        <v>1</v>
      </c>
      <c r="X10" s="16" t="s">
        <v>54</v>
      </c>
      <c r="Y10" s="73"/>
    </row>
    <row r="11" spans="1:25" ht="16.5" x14ac:dyDescent="0.3">
      <c r="A11" s="15"/>
      <c r="B11" s="16"/>
      <c r="C11" s="17"/>
      <c r="D11" s="18"/>
      <c r="G11" s="16"/>
      <c r="H11" s="16"/>
      <c r="I11" s="16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72"/>
    </row>
    <row r="12" spans="1:25" ht="16.5" x14ac:dyDescent="0.3">
      <c r="A12" s="15">
        <v>56102</v>
      </c>
      <c r="B12" s="16">
        <v>101</v>
      </c>
      <c r="C12" s="17" t="s">
        <v>55</v>
      </c>
      <c r="D12" s="8" t="s">
        <v>328</v>
      </c>
      <c r="E12" s="14" t="s">
        <v>44</v>
      </c>
      <c r="F12" s="15" t="s">
        <v>56</v>
      </c>
      <c r="G12" s="16">
        <v>3</v>
      </c>
      <c r="H12" s="16" t="s">
        <v>46</v>
      </c>
      <c r="I12" s="16">
        <v>900</v>
      </c>
      <c r="J12" s="14">
        <v>1</v>
      </c>
      <c r="K12" s="14">
        <v>3</v>
      </c>
      <c r="L12" s="16">
        <v>20031</v>
      </c>
      <c r="M12" s="16">
        <v>0</v>
      </c>
      <c r="N12" s="20">
        <v>0.01</v>
      </c>
      <c r="O12" s="20">
        <v>1E-3</v>
      </c>
      <c r="P12" s="16">
        <v>1</v>
      </c>
      <c r="Q12" s="16" t="s">
        <v>47</v>
      </c>
      <c r="R12" s="24">
        <v>1</v>
      </c>
      <c r="S12" s="16">
        <v>20061</v>
      </c>
      <c r="T12" s="16">
        <v>0</v>
      </c>
      <c r="U12" s="20">
        <v>3.0000000000000001E-3</v>
      </c>
      <c r="V12" s="20">
        <v>1.5E-3</v>
      </c>
      <c r="W12" s="16">
        <v>1</v>
      </c>
      <c r="X12" s="17" t="s">
        <v>48</v>
      </c>
      <c r="Y12" s="74" t="s">
        <v>427</v>
      </c>
    </row>
    <row r="13" spans="1:25" ht="16.5" x14ac:dyDescent="0.3">
      <c r="A13" s="15"/>
      <c r="B13" s="16"/>
      <c r="C13" s="17"/>
      <c r="D13" s="18"/>
      <c r="F13" s="19"/>
      <c r="G13" s="16"/>
      <c r="H13" s="16"/>
      <c r="I13" s="16"/>
      <c r="L13" s="16"/>
      <c r="M13" s="16"/>
      <c r="N13" s="20"/>
      <c r="O13" s="20"/>
      <c r="P13" s="16"/>
      <c r="Q13" s="16"/>
      <c r="R13" s="21">
        <v>6</v>
      </c>
      <c r="S13" s="16">
        <v>20061</v>
      </c>
      <c r="T13" s="16">
        <v>0</v>
      </c>
      <c r="U13" s="20">
        <v>8.9999999999999993E-3</v>
      </c>
      <c r="V13" s="14">
        <v>0</v>
      </c>
      <c r="W13" s="16">
        <v>1</v>
      </c>
      <c r="X13" s="17" t="s">
        <v>48</v>
      </c>
      <c r="Y13" s="72"/>
    </row>
    <row r="14" spans="1:25" ht="16.5" x14ac:dyDescent="0.3">
      <c r="A14" s="15"/>
      <c r="B14" s="16"/>
      <c r="C14" s="17"/>
      <c r="D14" s="18"/>
      <c r="F14" s="19"/>
      <c r="G14" s="16"/>
      <c r="H14" s="16"/>
      <c r="I14" s="16"/>
      <c r="L14" s="16"/>
      <c r="M14" s="16"/>
      <c r="N14" s="20"/>
      <c r="O14" s="20"/>
      <c r="P14" s="16"/>
      <c r="Q14" s="16"/>
      <c r="R14" s="21"/>
      <c r="S14" s="14">
        <v>6001</v>
      </c>
      <c r="T14" s="16">
        <v>3</v>
      </c>
      <c r="U14" s="16">
        <v>180</v>
      </c>
      <c r="V14" s="16">
        <v>90</v>
      </c>
      <c r="W14" s="16">
        <v>1</v>
      </c>
      <c r="X14" s="25" t="s">
        <v>49</v>
      </c>
      <c r="Y14" s="72"/>
    </row>
    <row r="15" spans="1:25" ht="14.5" x14ac:dyDescent="0.3">
      <c r="A15" s="15"/>
      <c r="B15" s="16"/>
      <c r="C15" s="17"/>
      <c r="D15" s="18"/>
      <c r="G15" s="16"/>
      <c r="H15" s="16"/>
      <c r="I15" s="16"/>
      <c r="Y15" s="72"/>
    </row>
    <row r="16" spans="1:25" ht="16.5" x14ac:dyDescent="0.3">
      <c r="A16" s="15">
        <v>56103</v>
      </c>
      <c r="B16" s="16">
        <v>101</v>
      </c>
      <c r="C16" s="17" t="s">
        <v>57</v>
      </c>
      <c r="D16" s="8" t="s">
        <v>329</v>
      </c>
      <c r="E16" s="14" t="s">
        <v>44</v>
      </c>
      <c r="F16" s="15" t="s">
        <v>58</v>
      </c>
      <c r="G16" s="16">
        <v>4</v>
      </c>
      <c r="H16" s="16" t="s">
        <v>46</v>
      </c>
      <c r="I16" s="16">
        <v>900</v>
      </c>
      <c r="J16" s="14">
        <v>1</v>
      </c>
      <c r="K16" s="14">
        <v>3</v>
      </c>
      <c r="L16" s="14">
        <v>20001</v>
      </c>
      <c r="M16" s="14">
        <v>0</v>
      </c>
      <c r="N16" s="20">
        <v>0.01</v>
      </c>
      <c r="O16" s="20">
        <v>1E-3</v>
      </c>
      <c r="P16" s="16">
        <v>1</v>
      </c>
      <c r="Q16" s="16" t="s">
        <v>52</v>
      </c>
      <c r="R16" s="21">
        <v>1</v>
      </c>
      <c r="S16" s="16">
        <v>20071</v>
      </c>
      <c r="T16" s="16">
        <v>0</v>
      </c>
      <c r="U16" s="20">
        <v>2.3999999999999998E-3</v>
      </c>
      <c r="V16" s="20">
        <v>1.1999999999999999E-3</v>
      </c>
      <c r="W16" s="16">
        <v>1</v>
      </c>
      <c r="X16" s="16" t="s">
        <v>53</v>
      </c>
      <c r="Y16" s="74" t="s">
        <v>428</v>
      </c>
    </row>
    <row r="17" spans="1:25" ht="14.5" x14ac:dyDescent="0.3">
      <c r="A17" s="15"/>
      <c r="B17" s="16"/>
      <c r="C17" s="17"/>
      <c r="D17" s="18"/>
      <c r="G17" s="16"/>
      <c r="H17" s="16"/>
      <c r="I17" s="16"/>
      <c r="R17" s="14">
        <v>6</v>
      </c>
      <c r="S17" s="16">
        <v>20071</v>
      </c>
      <c r="T17" s="14">
        <v>0</v>
      </c>
      <c r="U17" s="20">
        <v>7.1999999999999998E-3</v>
      </c>
      <c r="V17" s="14">
        <v>0</v>
      </c>
      <c r="W17" s="14">
        <v>1</v>
      </c>
      <c r="X17" s="16" t="s">
        <v>53</v>
      </c>
      <c r="Y17" s="72"/>
    </row>
    <row r="18" spans="1:25" ht="14.5" x14ac:dyDescent="0.3">
      <c r="A18" s="15"/>
      <c r="B18" s="16"/>
      <c r="C18" s="17"/>
      <c r="D18" s="18"/>
      <c r="G18" s="16"/>
      <c r="H18" s="16"/>
      <c r="I18" s="16"/>
      <c r="S18" s="14">
        <v>6031</v>
      </c>
      <c r="T18" s="14">
        <v>0</v>
      </c>
      <c r="U18" s="20">
        <v>5.0000000000000001E-3</v>
      </c>
      <c r="V18" s="20">
        <v>2.5000000000000001E-3</v>
      </c>
      <c r="W18" s="14">
        <v>1</v>
      </c>
      <c r="X18" s="14" t="s">
        <v>59</v>
      </c>
      <c r="Y18" s="72"/>
    </row>
    <row r="19" spans="1:25" ht="14.5" x14ac:dyDescent="0.3">
      <c r="A19" s="15"/>
      <c r="B19" s="16"/>
      <c r="C19" s="17"/>
      <c r="D19" s="18"/>
      <c r="G19" s="16"/>
      <c r="H19" s="16"/>
      <c r="I19" s="16"/>
      <c r="Y19" s="72"/>
    </row>
    <row r="20" spans="1:25" ht="14.5" x14ac:dyDescent="0.3">
      <c r="A20" s="15">
        <v>56104</v>
      </c>
      <c r="B20" s="16">
        <v>101</v>
      </c>
      <c r="C20" s="17" t="s">
        <v>60</v>
      </c>
      <c r="D20" s="8" t="s">
        <v>326</v>
      </c>
      <c r="E20" s="14" t="s">
        <v>44</v>
      </c>
      <c r="F20" s="15" t="s">
        <v>61</v>
      </c>
      <c r="G20" s="16">
        <v>1</v>
      </c>
      <c r="H20" s="16" t="s">
        <v>62</v>
      </c>
      <c r="I20" s="16">
        <v>1800</v>
      </c>
      <c r="J20" s="14">
        <v>2</v>
      </c>
      <c r="K20" s="14">
        <v>2</v>
      </c>
      <c r="L20" s="16">
        <v>20031</v>
      </c>
      <c r="M20" s="16">
        <v>0</v>
      </c>
      <c r="N20" s="20">
        <v>1.4999999999999999E-2</v>
      </c>
      <c r="O20" s="20">
        <v>1.5E-3</v>
      </c>
      <c r="P20" s="16">
        <v>1</v>
      </c>
      <c r="Q20" s="16" t="s">
        <v>47</v>
      </c>
      <c r="R20" s="14">
        <v>1</v>
      </c>
      <c r="S20" s="16">
        <v>20061</v>
      </c>
      <c r="T20" s="16">
        <v>0</v>
      </c>
      <c r="U20" s="20">
        <v>5.0000000000000001E-3</v>
      </c>
      <c r="V20" s="20">
        <v>2.5000000000000001E-3</v>
      </c>
      <c r="W20" s="16">
        <v>1</v>
      </c>
      <c r="X20" s="17" t="s">
        <v>48</v>
      </c>
      <c r="Y20" s="74" t="s">
        <v>425</v>
      </c>
    </row>
    <row r="21" spans="1:25" ht="14.5" x14ac:dyDescent="0.3">
      <c r="A21" s="15"/>
      <c r="B21" s="16"/>
      <c r="C21" s="17"/>
      <c r="D21" s="18"/>
      <c r="G21" s="16"/>
      <c r="H21" s="16"/>
      <c r="I21" s="16"/>
      <c r="R21" s="14">
        <v>6</v>
      </c>
      <c r="S21" s="16">
        <v>20061</v>
      </c>
      <c r="T21" s="14">
        <v>0</v>
      </c>
      <c r="U21" s="20">
        <v>1.4999999999999999E-2</v>
      </c>
      <c r="V21" s="14">
        <v>0</v>
      </c>
      <c r="W21" s="14">
        <v>1</v>
      </c>
      <c r="X21" s="17" t="s">
        <v>48</v>
      </c>
      <c r="Y21" s="72"/>
    </row>
    <row r="22" spans="1:25" ht="14.5" x14ac:dyDescent="0.3">
      <c r="A22" s="15"/>
      <c r="B22" s="16"/>
      <c r="C22" s="17"/>
      <c r="D22" s="18"/>
      <c r="G22" s="16"/>
      <c r="H22" s="16"/>
      <c r="I22" s="16"/>
      <c r="S22" s="14">
        <v>6001</v>
      </c>
      <c r="T22" s="14">
        <v>3</v>
      </c>
      <c r="U22" s="14">
        <v>300</v>
      </c>
      <c r="V22" s="14">
        <v>150</v>
      </c>
      <c r="W22" s="14">
        <v>1</v>
      </c>
      <c r="X22" s="25" t="s">
        <v>49</v>
      </c>
      <c r="Y22" s="72"/>
    </row>
    <row r="23" spans="1:25" ht="14.5" x14ac:dyDescent="0.3">
      <c r="A23" s="15"/>
      <c r="B23" s="16"/>
      <c r="C23" s="17"/>
      <c r="D23" s="18"/>
      <c r="G23" s="16"/>
      <c r="H23" s="16"/>
      <c r="I23" s="16"/>
      <c r="R23" s="14">
        <v>11</v>
      </c>
      <c r="S23" s="16">
        <v>20061</v>
      </c>
      <c r="T23" s="14">
        <v>0</v>
      </c>
      <c r="U23" s="20">
        <v>1.4999999999999999E-2</v>
      </c>
      <c r="V23" s="14">
        <v>0</v>
      </c>
      <c r="W23" s="14">
        <v>1</v>
      </c>
      <c r="X23" s="17" t="s">
        <v>48</v>
      </c>
      <c r="Y23" s="72"/>
    </row>
    <row r="24" spans="1:25" ht="14.5" x14ac:dyDescent="0.3">
      <c r="A24" s="15"/>
      <c r="B24" s="16"/>
      <c r="C24" s="17"/>
      <c r="D24" s="18"/>
      <c r="G24" s="16"/>
      <c r="H24" s="16"/>
      <c r="I24" s="16"/>
      <c r="S24" s="14">
        <v>6001</v>
      </c>
      <c r="T24" s="14">
        <v>3</v>
      </c>
      <c r="U24" s="14">
        <v>900</v>
      </c>
      <c r="V24" s="14">
        <v>0</v>
      </c>
      <c r="W24" s="14">
        <v>1</v>
      </c>
      <c r="X24" s="25" t="s">
        <v>49</v>
      </c>
      <c r="Y24" s="72"/>
    </row>
    <row r="25" spans="1:25" ht="14.5" x14ac:dyDescent="0.3">
      <c r="A25" s="15"/>
      <c r="B25" s="16"/>
      <c r="C25" s="17"/>
      <c r="D25" s="18"/>
      <c r="G25" s="16"/>
      <c r="H25" s="16"/>
      <c r="I25" s="16"/>
      <c r="S25" s="14">
        <v>19031</v>
      </c>
      <c r="T25" s="14">
        <v>0</v>
      </c>
      <c r="U25" s="20">
        <v>7.0000000000000001E-3</v>
      </c>
      <c r="V25" s="20">
        <v>3.5000000000000001E-3</v>
      </c>
      <c r="W25" s="14">
        <v>1</v>
      </c>
      <c r="X25" s="14" t="s">
        <v>63</v>
      </c>
      <c r="Y25" s="72"/>
    </row>
    <row r="26" spans="1:25" ht="14.5" x14ac:dyDescent="0.3">
      <c r="A26" s="15"/>
      <c r="B26" s="16"/>
      <c r="C26" s="17"/>
      <c r="D26" s="18"/>
      <c r="G26" s="16"/>
      <c r="H26" s="16"/>
      <c r="I26" s="16"/>
      <c r="Y26" s="72"/>
    </row>
    <row r="27" spans="1:25" ht="14.5" x14ac:dyDescent="0.3">
      <c r="A27" s="15"/>
      <c r="B27" s="16"/>
      <c r="C27" s="17"/>
      <c r="D27" s="18"/>
      <c r="G27" s="16"/>
      <c r="H27" s="16"/>
      <c r="I27" s="16"/>
      <c r="Y27" s="72"/>
    </row>
    <row r="28" spans="1:25" ht="14.5" x14ac:dyDescent="0.3">
      <c r="A28" s="15">
        <v>56105</v>
      </c>
      <c r="B28" s="16">
        <v>101</v>
      </c>
      <c r="C28" s="17" t="s">
        <v>64</v>
      </c>
      <c r="D28" s="8" t="s">
        <v>327</v>
      </c>
      <c r="E28" s="14" t="s">
        <v>44</v>
      </c>
      <c r="F28" s="15" t="s">
        <v>65</v>
      </c>
      <c r="G28" s="16">
        <v>2</v>
      </c>
      <c r="H28" s="16" t="s">
        <v>62</v>
      </c>
      <c r="I28" s="16">
        <v>1800</v>
      </c>
      <c r="J28" s="14">
        <v>2</v>
      </c>
      <c r="K28" s="14">
        <v>2</v>
      </c>
      <c r="L28" s="14">
        <v>20001</v>
      </c>
      <c r="M28" s="14">
        <v>0</v>
      </c>
      <c r="N28" s="20">
        <v>1.4999999999999999E-2</v>
      </c>
      <c r="O28" s="20">
        <v>1.5E-3</v>
      </c>
      <c r="P28" s="16">
        <v>1</v>
      </c>
      <c r="Q28" s="16" t="s">
        <v>52</v>
      </c>
      <c r="R28" s="14">
        <v>1</v>
      </c>
      <c r="S28" s="16">
        <v>20071</v>
      </c>
      <c r="T28" s="16">
        <v>0</v>
      </c>
      <c r="U28" s="20">
        <v>4.0000000000000001E-3</v>
      </c>
      <c r="V28" s="20">
        <v>2E-3</v>
      </c>
      <c r="W28" s="16">
        <v>1</v>
      </c>
      <c r="X28" s="16" t="s">
        <v>53</v>
      </c>
      <c r="Y28" s="74" t="s">
        <v>426</v>
      </c>
    </row>
    <row r="29" spans="1:25" ht="14.5" x14ac:dyDescent="0.3">
      <c r="A29" s="15"/>
      <c r="B29" s="16"/>
      <c r="C29" s="17"/>
      <c r="D29" s="18"/>
      <c r="G29" s="16"/>
      <c r="H29" s="16"/>
      <c r="I29" s="16"/>
      <c r="R29" s="14">
        <v>6</v>
      </c>
      <c r="S29" s="16">
        <v>20071</v>
      </c>
      <c r="T29" s="14">
        <v>0</v>
      </c>
      <c r="U29" s="20">
        <v>1.2E-2</v>
      </c>
      <c r="V29" s="14">
        <v>0</v>
      </c>
      <c r="W29" s="14">
        <v>1</v>
      </c>
      <c r="X29" s="16" t="s">
        <v>53</v>
      </c>
      <c r="Y29" s="72"/>
    </row>
    <row r="30" spans="1:25" ht="14.5" x14ac:dyDescent="0.3">
      <c r="A30" s="15"/>
      <c r="B30" s="16"/>
      <c r="C30" s="17"/>
      <c r="D30" s="18"/>
      <c r="G30" s="16"/>
      <c r="H30" s="16"/>
      <c r="I30" s="16"/>
      <c r="S30" s="16">
        <v>6046</v>
      </c>
      <c r="T30" s="16">
        <v>0</v>
      </c>
      <c r="U30" s="20">
        <v>1E-3</v>
      </c>
      <c r="V30" s="20">
        <v>5.0000000000000001E-4</v>
      </c>
      <c r="W30" s="16">
        <v>1</v>
      </c>
      <c r="X30" s="16" t="s">
        <v>54</v>
      </c>
      <c r="Y30" s="72"/>
    </row>
    <row r="31" spans="1:25" ht="14.5" x14ac:dyDescent="0.3">
      <c r="A31" s="15"/>
      <c r="B31" s="16"/>
      <c r="C31" s="17"/>
      <c r="D31" s="18"/>
      <c r="G31" s="16"/>
      <c r="H31" s="16"/>
      <c r="I31" s="16"/>
      <c r="R31" s="14">
        <v>11</v>
      </c>
      <c r="S31" s="16">
        <v>20071</v>
      </c>
      <c r="T31" s="14">
        <v>0</v>
      </c>
      <c r="U31" s="20">
        <v>1.2E-2</v>
      </c>
      <c r="V31" s="14">
        <v>0</v>
      </c>
      <c r="W31" s="14">
        <v>1</v>
      </c>
      <c r="X31" s="16" t="s">
        <v>53</v>
      </c>
      <c r="Y31" s="72"/>
    </row>
    <row r="32" spans="1:25" ht="14.5" x14ac:dyDescent="0.3">
      <c r="A32" s="15"/>
      <c r="B32" s="16"/>
      <c r="C32" s="17"/>
      <c r="D32" s="18"/>
      <c r="G32" s="16"/>
      <c r="H32" s="16"/>
      <c r="I32" s="16"/>
      <c r="S32" s="16">
        <v>6046</v>
      </c>
      <c r="T32" s="16">
        <v>0</v>
      </c>
      <c r="U32" s="20">
        <v>3.0000000000000001E-3</v>
      </c>
      <c r="V32" s="14">
        <v>0</v>
      </c>
      <c r="W32" s="14">
        <v>1</v>
      </c>
      <c r="X32" s="16" t="s">
        <v>54</v>
      </c>
      <c r="Y32" s="72"/>
    </row>
    <row r="33" spans="1:25" ht="14.5" x14ac:dyDescent="0.3">
      <c r="A33" s="15"/>
      <c r="B33" s="16"/>
      <c r="C33" s="17"/>
      <c r="D33" s="18"/>
      <c r="G33" s="16"/>
      <c r="H33" s="16"/>
      <c r="I33" s="16"/>
      <c r="S33" s="14">
        <v>19021</v>
      </c>
      <c r="T33" s="14">
        <v>0</v>
      </c>
      <c r="U33" s="20">
        <v>7.0000000000000001E-3</v>
      </c>
      <c r="V33" s="20">
        <v>3.5000000000000001E-3</v>
      </c>
      <c r="W33" s="14">
        <v>1</v>
      </c>
      <c r="X33" s="14" t="s">
        <v>66</v>
      </c>
      <c r="Y33" s="72"/>
    </row>
    <row r="34" spans="1:25" ht="14.5" x14ac:dyDescent="0.3">
      <c r="A34" s="15"/>
      <c r="B34" s="16"/>
      <c r="C34" s="17"/>
      <c r="D34" s="18"/>
      <c r="G34" s="16"/>
      <c r="H34" s="16"/>
      <c r="I34" s="16"/>
      <c r="Y34" s="72"/>
    </row>
    <row r="35" spans="1:25" ht="14.5" x14ac:dyDescent="0.3">
      <c r="A35" s="15"/>
      <c r="B35" s="16"/>
      <c r="C35" s="17"/>
      <c r="D35" s="18"/>
      <c r="G35" s="16"/>
      <c r="H35" s="16"/>
      <c r="I35" s="16"/>
      <c r="Y35" s="72"/>
    </row>
    <row r="36" spans="1:25" ht="14.5" x14ac:dyDescent="0.3">
      <c r="A36" s="15">
        <v>56106</v>
      </c>
      <c r="B36" s="16">
        <v>101</v>
      </c>
      <c r="C36" s="17" t="s">
        <v>67</v>
      </c>
      <c r="D36" s="8" t="s">
        <v>328</v>
      </c>
      <c r="E36" s="14" t="s">
        <v>44</v>
      </c>
      <c r="F36" s="15" t="s">
        <v>68</v>
      </c>
      <c r="G36" s="16">
        <v>3</v>
      </c>
      <c r="H36" s="16" t="s">
        <v>62</v>
      </c>
      <c r="I36" s="16">
        <v>1800</v>
      </c>
      <c r="J36" s="14">
        <v>2</v>
      </c>
      <c r="K36" s="14">
        <v>2</v>
      </c>
      <c r="L36" s="16">
        <v>20031</v>
      </c>
      <c r="M36" s="16">
        <v>0</v>
      </c>
      <c r="N36" s="20">
        <v>1.4999999999999999E-2</v>
      </c>
      <c r="O36" s="20">
        <v>1.5E-3</v>
      </c>
      <c r="P36" s="16">
        <v>1</v>
      </c>
      <c r="Q36" s="16" t="s">
        <v>47</v>
      </c>
      <c r="R36" s="14">
        <v>1</v>
      </c>
      <c r="S36" s="16">
        <v>20061</v>
      </c>
      <c r="T36" s="16">
        <v>0</v>
      </c>
      <c r="U36" s="20">
        <v>5.0000000000000001E-3</v>
      </c>
      <c r="V36" s="20">
        <v>2.5000000000000001E-3</v>
      </c>
      <c r="W36" s="16">
        <v>1</v>
      </c>
      <c r="X36" s="17" t="s">
        <v>48</v>
      </c>
      <c r="Y36" s="74" t="s">
        <v>427</v>
      </c>
    </row>
    <row r="37" spans="1:25" ht="14.5" x14ac:dyDescent="0.3">
      <c r="A37" s="15"/>
      <c r="B37" s="16"/>
      <c r="C37" s="17"/>
      <c r="D37" s="18"/>
      <c r="G37" s="16"/>
      <c r="H37" s="16"/>
      <c r="I37" s="16"/>
      <c r="R37" s="14">
        <v>6</v>
      </c>
      <c r="S37" s="16">
        <v>20061</v>
      </c>
      <c r="T37" s="14">
        <v>0</v>
      </c>
      <c r="U37" s="20">
        <v>1.4999999999999999E-2</v>
      </c>
      <c r="V37" s="14">
        <v>0</v>
      </c>
      <c r="W37" s="14">
        <v>1</v>
      </c>
      <c r="X37" s="17" t="s">
        <v>48</v>
      </c>
      <c r="Y37" s="72"/>
    </row>
    <row r="38" spans="1:25" ht="14.5" x14ac:dyDescent="0.3">
      <c r="A38" s="15"/>
      <c r="B38" s="16"/>
      <c r="C38" s="17"/>
      <c r="D38" s="18"/>
      <c r="G38" s="16"/>
      <c r="H38" s="16"/>
      <c r="I38" s="16"/>
      <c r="S38" s="14">
        <v>6001</v>
      </c>
      <c r="T38" s="14">
        <v>3</v>
      </c>
      <c r="U38" s="14">
        <v>300</v>
      </c>
      <c r="V38" s="14">
        <v>150</v>
      </c>
      <c r="W38" s="14">
        <v>1</v>
      </c>
      <c r="X38" s="25" t="s">
        <v>49</v>
      </c>
      <c r="Y38" s="72"/>
    </row>
    <row r="39" spans="1:25" ht="14.5" x14ac:dyDescent="0.3">
      <c r="A39" s="15"/>
      <c r="B39" s="16"/>
      <c r="C39" s="17"/>
      <c r="D39" s="18"/>
      <c r="G39" s="16"/>
      <c r="H39" s="16"/>
      <c r="I39" s="16"/>
      <c r="R39" s="14">
        <v>11</v>
      </c>
      <c r="S39" s="16">
        <v>20061</v>
      </c>
      <c r="T39" s="14">
        <v>0</v>
      </c>
      <c r="U39" s="20">
        <v>1.4999999999999999E-2</v>
      </c>
      <c r="V39" s="14">
        <v>0</v>
      </c>
      <c r="W39" s="14">
        <v>1</v>
      </c>
      <c r="X39" s="17" t="s">
        <v>48</v>
      </c>
      <c r="Y39" s="72"/>
    </row>
    <row r="40" spans="1:25" ht="14.5" x14ac:dyDescent="0.3">
      <c r="A40" s="15"/>
      <c r="B40" s="16"/>
      <c r="C40" s="17"/>
      <c r="D40" s="18"/>
      <c r="G40" s="16"/>
      <c r="H40" s="16"/>
      <c r="I40" s="16"/>
      <c r="S40" s="14">
        <v>6001</v>
      </c>
      <c r="T40" s="14">
        <v>3</v>
      </c>
      <c r="U40" s="14">
        <v>900</v>
      </c>
      <c r="V40" s="14">
        <v>0</v>
      </c>
      <c r="W40" s="14">
        <v>1</v>
      </c>
      <c r="X40" s="25" t="s">
        <v>49</v>
      </c>
      <c r="Y40" s="72"/>
    </row>
    <row r="41" spans="1:25" ht="14.5" x14ac:dyDescent="0.3">
      <c r="A41" s="15"/>
      <c r="B41" s="16"/>
      <c r="C41" s="17"/>
      <c r="D41" s="18"/>
      <c r="G41" s="16"/>
      <c r="H41" s="16"/>
      <c r="I41" s="16"/>
      <c r="S41" s="14">
        <v>19031</v>
      </c>
      <c r="T41" s="14">
        <v>0</v>
      </c>
      <c r="U41" s="20">
        <v>7.0000000000000001E-3</v>
      </c>
      <c r="V41" s="20">
        <v>3.5000000000000001E-3</v>
      </c>
      <c r="W41" s="14">
        <v>1</v>
      </c>
      <c r="X41" s="14" t="s">
        <v>63</v>
      </c>
      <c r="Y41" s="72"/>
    </row>
    <row r="42" spans="1:25" ht="14.5" x14ac:dyDescent="0.3">
      <c r="A42" s="15"/>
      <c r="B42" s="16"/>
      <c r="C42" s="17"/>
      <c r="D42" s="18"/>
      <c r="G42" s="16"/>
      <c r="H42" s="16"/>
      <c r="I42" s="16"/>
      <c r="Y42" s="72"/>
    </row>
    <row r="43" spans="1:25" ht="14.5" x14ac:dyDescent="0.3">
      <c r="A43" s="15"/>
      <c r="B43" s="16"/>
      <c r="C43" s="17"/>
      <c r="D43" s="18"/>
      <c r="G43" s="16"/>
      <c r="H43" s="16"/>
      <c r="I43" s="16"/>
      <c r="Y43" s="72"/>
    </row>
    <row r="44" spans="1:25" ht="14.5" x14ac:dyDescent="0.3">
      <c r="A44" s="15">
        <v>56107</v>
      </c>
      <c r="B44" s="16">
        <v>101</v>
      </c>
      <c r="C44" s="17" t="s">
        <v>69</v>
      </c>
      <c r="D44" s="8" t="s">
        <v>329</v>
      </c>
      <c r="E44" s="14" t="s">
        <v>44</v>
      </c>
      <c r="F44" s="15" t="s">
        <v>70</v>
      </c>
      <c r="G44" s="16">
        <v>4</v>
      </c>
      <c r="H44" s="16" t="s">
        <v>62</v>
      </c>
      <c r="I44" s="16">
        <v>1800</v>
      </c>
      <c r="J44" s="14">
        <v>2</v>
      </c>
      <c r="K44" s="14">
        <v>2</v>
      </c>
      <c r="L44" s="14">
        <v>20001</v>
      </c>
      <c r="M44" s="14">
        <v>0</v>
      </c>
      <c r="N44" s="20">
        <v>1.4999999999999999E-2</v>
      </c>
      <c r="O44" s="20">
        <v>1.5E-3</v>
      </c>
      <c r="P44" s="16">
        <v>1</v>
      </c>
      <c r="Q44" s="16" t="s">
        <v>52</v>
      </c>
      <c r="R44" s="14">
        <v>1</v>
      </c>
      <c r="S44" s="16">
        <v>20071</v>
      </c>
      <c r="T44" s="16">
        <v>0</v>
      </c>
      <c r="U44" s="20">
        <v>4.0000000000000001E-3</v>
      </c>
      <c r="V44" s="20">
        <v>2E-3</v>
      </c>
      <c r="W44" s="16">
        <v>1</v>
      </c>
      <c r="X44" s="16" t="s">
        <v>53</v>
      </c>
      <c r="Y44" s="74" t="s">
        <v>428</v>
      </c>
    </row>
    <row r="45" spans="1:25" ht="14.5" x14ac:dyDescent="0.3">
      <c r="A45" s="15"/>
      <c r="B45" s="16"/>
      <c r="C45" s="17"/>
      <c r="D45" s="18"/>
      <c r="G45" s="16"/>
      <c r="H45" s="16"/>
      <c r="I45" s="16"/>
      <c r="R45" s="14">
        <v>6</v>
      </c>
      <c r="S45" s="16">
        <v>20071</v>
      </c>
      <c r="T45" s="14">
        <v>0</v>
      </c>
      <c r="U45" s="20">
        <v>1.2E-2</v>
      </c>
      <c r="V45" s="14">
        <v>0</v>
      </c>
      <c r="W45" s="14">
        <v>1</v>
      </c>
      <c r="X45" s="16" t="s">
        <v>53</v>
      </c>
      <c r="Y45" s="72"/>
    </row>
    <row r="46" spans="1:25" ht="14.5" x14ac:dyDescent="0.3">
      <c r="A46" s="15"/>
      <c r="B46" s="16"/>
      <c r="C46" s="17"/>
      <c r="D46" s="18"/>
      <c r="G46" s="16"/>
      <c r="H46" s="16"/>
      <c r="I46" s="16"/>
      <c r="S46" s="14">
        <v>6031</v>
      </c>
      <c r="T46" s="14">
        <v>0</v>
      </c>
      <c r="U46" s="20">
        <v>0.01</v>
      </c>
      <c r="V46" s="20">
        <v>5.0000000000000001E-3</v>
      </c>
      <c r="W46" s="14">
        <v>1</v>
      </c>
      <c r="X46" s="14" t="s">
        <v>59</v>
      </c>
      <c r="Y46" s="72"/>
    </row>
    <row r="47" spans="1:25" ht="14.5" x14ac:dyDescent="0.3">
      <c r="A47" s="15"/>
      <c r="B47" s="16"/>
      <c r="C47" s="17"/>
      <c r="D47" s="18"/>
      <c r="G47" s="16"/>
      <c r="H47" s="16"/>
      <c r="I47" s="16"/>
      <c r="R47" s="14">
        <v>11</v>
      </c>
      <c r="S47" s="16">
        <v>20071</v>
      </c>
      <c r="T47" s="14">
        <v>0</v>
      </c>
      <c r="U47" s="20">
        <v>1.2E-2</v>
      </c>
      <c r="V47" s="14">
        <v>0</v>
      </c>
      <c r="W47" s="14">
        <v>1</v>
      </c>
      <c r="X47" s="16" t="s">
        <v>53</v>
      </c>
      <c r="Y47" s="72"/>
    </row>
    <row r="48" spans="1:25" ht="14.5" x14ac:dyDescent="0.3">
      <c r="A48" s="15"/>
      <c r="B48" s="16"/>
      <c r="C48" s="17"/>
      <c r="D48" s="18"/>
      <c r="G48" s="16"/>
      <c r="H48" s="16"/>
      <c r="I48" s="16"/>
      <c r="S48" s="14">
        <v>6031</v>
      </c>
      <c r="T48" s="14">
        <v>0</v>
      </c>
      <c r="U48" s="20">
        <v>0.03</v>
      </c>
      <c r="V48" s="14">
        <v>0</v>
      </c>
      <c r="W48" s="14">
        <v>1</v>
      </c>
      <c r="X48" s="14" t="s">
        <v>59</v>
      </c>
      <c r="Y48" s="72"/>
    </row>
    <row r="49" spans="1:25" ht="14.5" x14ac:dyDescent="0.3">
      <c r="A49" s="15"/>
      <c r="B49" s="16"/>
      <c r="C49" s="17"/>
      <c r="D49" s="18"/>
      <c r="G49" s="16"/>
      <c r="H49" s="16"/>
      <c r="I49" s="16"/>
      <c r="S49" s="14">
        <v>19021</v>
      </c>
      <c r="T49" s="14">
        <v>0</v>
      </c>
      <c r="U49" s="20">
        <v>7.0000000000000001E-3</v>
      </c>
      <c r="V49" s="20">
        <v>3.5000000000000001E-3</v>
      </c>
      <c r="W49" s="14">
        <v>1</v>
      </c>
      <c r="X49" s="14" t="s">
        <v>66</v>
      </c>
      <c r="Y49" s="72"/>
    </row>
    <row r="50" spans="1:25" ht="14.5" x14ac:dyDescent="0.3">
      <c r="A50" s="15"/>
      <c r="B50" s="16"/>
      <c r="C50" s="17"/>
      <c r="D50" s="18"/>
      <c r="G50" s="16"/>
      <c r="H50" s="16"/>
      <c r="I50" s="16"/>
      <c r="Y50" s="72"/>
    </row>
    <row r="51" spans="1:25" ht="14.5" x14ac:dyDescent="0.3">
      <c r="A51" s="15"/>
      <c r="B51" s="16"/>
      <c r="C51" s="17"/>
      <c r="D51" s="18"/>
      <c r="G51" s="16"/>
      <c r="H51" s="16"/>
      <c r="I51" s="16"/>
      <c r="Y51" s="72"/>
    </row>
    <row r="52" spans="1:25" ht="14.5" x14ac:dyDescent="0.3">
      <c r="A52" s="15">
        <v>56108</v>
      </c>
      <c r="B52" s="16">
        <v>101</v>
      </c>
      <c r="C52" s="17" t="s">
        <v>71</v>
      </c>
      <c r="D52" s="8" t="s">
        <v>326</v>
      </c>
      <c r="E52" s="14" t="s">
        <v>44</v>
      </c>
      <c r="F52" s="15" t="s">
        <v>72</v>
      </c>
      <c r="G52" s="16">
        <v>1</v>
      </c>
      <c r="H52" s="16" t="s">
        <v>73</v>
      </c>
      <c r="I52" s="16">
        <v>2500</v>
      </c>
      <c r="J52" s="14">
        <v>3</v>
      </c>
      <c r="K52" s="14">
        <v>1</v>
      </c>
      <c r="L52" s="16">
        <v>20031</v>
      </c>
      <c r="M52" s="14">
        <v>0</v>
      </c>
      <c r="N52" s="20">
        <v>2.1999999999999999E-2</v>
      </c>
      <c r="O52" s="20">
        <v>2.2000000000000001E-3</v>
      </c>
      <c r="P52" s="14">
        <v>1</v>
      </c>
      <c r="Q52" s="16" t="s">
        <v>47</v>
      </c>
      <c r="R52" s="14">
        <v>1</v>
      </c>
      <c r="S52" s="16">
        <v>20061</v>
      </c>
      <c r="T52" s="16">
        <v>0</v>
      </c>
      <c r="U52" s="20">
        <v>0.01</v>
      </c>
      <c r="V52" s="20">
        <v>5.0000000000000001E-3</v>
      </c>
      <c r="W52" s="16">
        <v>1</v>
      </c>
      <c r="X52" s="17" t="s">
        <v>48</v>
      </c>
      <c r="Y52" s="74" t="s">
        <v>429</v>
      </c>
    </row>
    <row r="53" spans="1:25" ht="14.5" x14ac:dyDescent="0.3">
      <c r="A53" s="15"/>
      <c r="B53" s="16"/>
      <c r="C53" s="17"/>
      <c r="D53" s="18"/>
      <c r="G53" s="16"/>
      <c r="H53" s="16"/>
      <c r="I53" s="16"/>
      <c r="R53" s="14">
        <v>6</v>
      </c>
      <c r="S53" s="16">
        <v>20061</v>
      </c>
      <c r="T53" s="14">
        <v>0</v>
      </c>
      <c r="U53" s="20">
        <v>0.03</v>
      </c>
      <c r="V53" s="14">
        <v>0</v>
      </c>
      <c r="W53" s="14">
        <v>1</v>
      </c>
      <c r="X53" s="17" t="s">
        <v>48</v>
      </c>
      <c r="Y53" s="72"/>
    </row>
    <row r="54" spans="1:25" ht="14.5" x14ac:dyDescent="0.3">
      <c r="A54" s="15"/>
      <c r="B54" s="16"/>
      <c r="C54" s="17"/>
      <c r="D54" s="18"/>
      <c r="G54" s="16"/>
      <c r="H54" s="16"/>
      <c r="I54" s="16"/>
      <c r="S54" s="14">
        <v>6001</v>
      </c>
      <c r="T54" s="14">
        <v>3</v>
      </c>
      <c r="U54" s="14">
        <v>600</v>
      </c>
      <c r="V54" s="14">
        <v>300</v>
      </c>
      <c r="W54" s="14">
        <v>1</v>
      </c>
      <c r="X54" s="25" t="s">
        <v>49</v>
      </c>
      <c r="Y54" s="72"/>
    </row>
    <row r="55" spans="1:25" ht="14.5" x14ac:dyDescent="0.3">
      <c r="A55" s="15"/>
      <c r="B55" s="16"/>
      <c r="C55" s="17"/>
      <c r="D55" s="18"/>
      <c r="G55" s="16"/>
      <c r="H55" s="16"/>
      <c r="I55" s="16"/>
      <c r="R55" s="14">
        <v>11</v>
      </c>
      <c r="S55" s="16">
        <v>20061</v>
      </c>
      <c r="T55" s="14">
        <v>0</v>
      </c>
      <c r="U55" s="20">
        <v>0.03</v>
      </c>
      <c r="V55" s="14">
        <v>0</v>
      </c>
      <c r="W55" s="14">
        <v>1</v>
      </c>
      <c r="X55" s="17" t="s">
        <v>48</v>
      </c>
      <c r="Y55" s="72"/>
    </row>
    <row r="56" spans="1:25" ht="14.5" x14ac:dyDescent="0.3">
      <c r="A56" s="15"/>
      <c r="B56" s="16"/>
      <c r="C56" s="17"/>
      <c r="D56" s="18"/>
      <c r="G56" s="16"/>
      <c r="H56" s="16"/>
      <c r="I56" s="16"/>
      <c r="S56" s="14">
        <v>6001</v>
      </c>
      <c r="T56" s="14">
        <v>3</v>
      </c>
      <c r="U56" s="14">
        <v>1800</v>
      </c>
      <c r="V56" s="14">
        <v>0</v>
      </c>
      <c r="W56" s="14">
        <v>1</v>
      </c>
      <c r="X56" s="25" t="s">
        <v>49</v>
      </c>
      <c r="Y56" s="72"/>
    </row>
    <row r="57" spans="1:25" ht="14.5" x14ac:dyDescent="0.3">
      <c r="A57" s="15"/>
      <c r="B57" s="16"/>
      <c r="C57" s="17"/>
      <c r="D57" s="18"/>
      <c r="G57" s="16"/>
      <c r="H57" s="16"/>
      <c r="I57" s="16"/>
      <c r="S57" s="14">
        <v>19031</v>
      </c>
      <c r="T57" s="14">
        <v>0</v>
      </c>
      <c r="U57" s="20">
        <v>1.4999999999999999E-2</v>
      </c>
      <c r="V57" s="20">
        <v>7.4999999999999997E-3</v>
      </c>
      <c r="W57" s="14">
        <v>1</v>
      </c>
      <c r="X57" s="14" t="s">
        <v>63</v>
      </c>
      <c r="Y57" s="72"/>
    </row>
    <row r="58" spans="1:25" ht="14.5" x14ac:dyDescent="0.3">
      <c r="A58" s="15"/>
      <c r="B58" s="16"/>
      <c r="C58" s="17"/>
      <c r="D58" s="18"/>
      <c r="G58" s="16"/>
      <c r="H58" s="16"/>
      <c r="I58" s="16"/>
      <c r="R58" s="14">
        <v>16</v>
      </c>
      <c r="S58" s="16">
        <v>20061</v>
      </c>
      <c r="T58" s="14">
        <v>0</v>
      </c>
      <c r="U58" s="20">
        <v>0.03</v>
      </c>
      <c r="V58" s="14">
        <v>0</v>
      </c>
      <c r="W58" s="14">
        <v>1</v>
      </c>
      <c r="X58" s="17" t="s">
        <v>48</v>
      </c>
      <c r="Y58" s="72"/>
    </row>
    <row r="59" spans="1:25" ht="14.5" x14ac:dyDescent="0.3">
      <c r="A59" s="15"/>
      <c r="B59" s="16"/>
      <c r="C59" s="17"/>
      <c r="D59" s="18"/>
      <c r="G59" s="16"/>
      <c r="H59" s="16"/>
      <c r="I59" s="16"/>
      <c r="S59" s="14">
        <v>6001</v>
      </c>
      <c r="T59" s="14">
        <v>3</v>
      </c>
      <c r="U59" s="14">
        <v>1800</v>
      </c>
      <c r="V59" s="14">
        <v>0</v>
      </c>
      <c r="W59" s="14">
        <v>1</v>
      </c>
      <c r="X59" s="25" t="s">
        <v>49</v>
      </c>
      <c r="Y59" s="72"/>
    </row>
    <row r="60" spans="1:25" ht="14.5" x14ac:dyDescent="0.3">
      <c r="A60" s="15"/>
      <c r="B60" s="16"/>
      <c r="C60" s="17"/>
      <c r="D60" s="18"/>
      <c r="G60" s="16"/>
      <c r="H60" s="16"/>
      <c r="I60" s="16"/>
      <c r="S60" s="14">
        <v>19031</v>
      </c>
      <c r="T60" s="14">
        <v>0</v>
      </c>
      <c r="U60" s="20">
        <v>4.4999999999999998E-2</v>
      </c>
      <c r="V60" s="14">
        <v>0</v>
      </c>
      <c r="W60" s="14">
        <v>1</v>
      </c>
      <c r="X60" s="14" t="s">
        <v>63</v>
      </c>
      <c r="Y60" s="72"/>
    </row>
    <row r="61" spans="1:25" ht="14.5" x14ac:dyDescent="0.3">
      <c r="A61" s="15"/>
      <c r="B61" s="16"/>
      <c r="C61" s="17"/>
      <c r="D61" s="18"/>
      <c r="G61" s="16"/>
      <c r="H61" s="16"/>
      <c r="I61" s="16"/>
      <c r="S61" s="14">
        <v>20101</v>
      </c>
      <c r="T61" s="14">
        <v>0</v>
      </c>
      <c r="U61" s="20">
        <v>8.0000000000000002E-3</v>
      </c>
      <c r="V61" s="20">
        <v>4.0000000000000001E-3</v>
      </c>
      <c r="W61" s="14">
        <v>1</v>
      </c>
      <c r="X61" s="14" t="s">
        <v>74</v>
      </c>
      <c r="Y61" s="72"/>
    </row>
    <row r="62" spans="1:25" ht="14.5" x14ac:dyDescent="0.3">
      <c r="A62" s="15"/>
      <c r="B62" s="16"/>
      <c r="C62" s="17"/>
      <c r="D62" s="18"/>
      <c r="G62" s="16"/>
      <c r="H62" s="16"/>
      <c r="I62" s="16"/>
      <c r="Y62" s="72"/>
    </row>
    <row r="63" spans="1:25" ht="16.5" x14ac:dyDescent="0.3">
      <c r="A63" s="15">
        <v>56109</v>
      </c>
      <c r="B63" s="16">
        <v>101</v>
      </c>
      <c r="C63" s="17" t="s">
        <v>75</v>
      </c>
      <c r="D63" s="8" t="s">
        <v>327</v>
      </c>
      <c r="E63" s="14" t="s">
        <v>44</v>
      </c>
      <c r="F63" s="15" t="s">
        <v>76</v>
      </c>
      <c r="G63" s="16">
        <v>2</v>
      </c>
      <c r="H63" s="16" t="s">
        <v>73</v>
      </c>
      <c r="I63" s="16">
        <v>2500</v>
      </c>
      <c r="J63" s="14">
        <v>3</v>
      </c>
      <c r="K63" s="14">
        <v>1</v>
      </c>
      <c r="L63" s="14">
        <v>20001</v>
      </c>
      <c r="M63" s="14">
        <v>0</v>
      </c>
      <c r="N63" s="20">
        <v>2.1999999999999999E-2</v>
      </c>
      <c r="O63" s="20">
        <v>2.2000000000000001E-3</v>
      </c>
      <c r="P63" s="16">
        <v>1</v>
      </c>
      <c r="Q63" s="16" t="s">
        <v>52</v>
      </c>
      <c r="R63" s="21">
        <v>1</v>
      </c>
      <c r="S63" s="16">
        <v>20071</v>
      </c>
      <c r="T63" s="16">
        <v>0</v>
      </c>
      <c r="U63" s="20">
        <v>8.0000000000000002E-3</v>
      </c>
      <c r="V63" s="20">
        <v>4.0000000000000001E-3</v>
      </c>
      <c r="W63" s="16">
        <v>1</v>
      </c>
      <c r="X63" s="16" t="s">
        <v>53</v>
      </c>
      <c r="Y63" s="74" t="s">
        <v>430</v>
      </c>
    </row>
    <row r="64" spans="1:25" ht="14.5" x14ac:dyDescent="0.3">
      <c r="A64" s="15"/>
      <c r="B64" s="16"/>
      <c r="C64" s="17"/>
      <c r="D64" s="18"/>
      <c r="G64" s="16"/>
      <c r="H64" s="16"/>
      <c r="I64" s="16"/>
      <c r="R64" s="14">
        <v>6</v>
      </c>
      <c r="S64" s="16">
        <v>20071</v>
      </c>
      <c r="T64" s="14">
        <v>0</v>
      </c>
      <c r="U64" s="20">
        <v>2.4E-2</v>
      </c>
      <c r="V64" s="14">
        <v>0</v>
      </c>
      <c r="W64" s="14">
        <v>1</v>
      </c>
      <c r="X64" s="16" t="s">
        <v>53</v>
      </c>
      <c r="Y64" s="72"/>
    </row>
    <row r="65" spans="1:25" ht="14.5" x14ac:dyDescent="0.3">
      <c r="A65" s="15"/>
      <c r="B65" s="16"/>
      <c r="C65" s="17"/>
      <c r="D65" s="18"/>
      <c r="G65" s="16"/>
      <c r="H65" s="16"/>
      <c r="I65" s="16"/>
      <c r="S65" s="16">
        <v>6046</v>
      </c>
      <c r="T65" s="14">
        <v>0</v>
      </c>
      <c r="U65" s="20">
        <v>2E-3</v>
      </c>
      <c r="V65" s="20">
        <v>1E-3</v>
      </c>
      <c r="W65" s="14">
        <v>1</v>
      </c>
      <c r="X65" s="16" t="s">
        <v>54</v>
      </c>
      <c r="Y65" s="72"/>
    </row>
    <row r="66" spans="1:25" ht="14.5" x14ac:dyDescent="0.3">
      <c r="A66" s="15"/>
      <c r="B66" s="16"/>
      <c r="C66" s="17"/>
      <c r="D66" s="18"/>
      <c r="G66" s="16"/>
      <c r="H66" s="16"/>
      <c r="I66" s="16"/>
      <c r="R66" s="14">
        <v>11</v>
      </c>
      <c r="S66" s="16">
        <v>20071</v>
      </c>
      <c r="T66" s="14">
        <v>0</v>
      </c>
      <c r="U66" s="20">
        <v>2.4E-2</v>
      </c>
      <c r="V66" s="14">
        <v>0</v>
      </c>
      <c r="W66" s="14">
        <v>1</v>
      </c>
      <c r="X66" s="16" t="s">
        <v>53</v>
      </c>
      <c r="Y66" s="72"/>
    </row>
    <row r="67" spans="1:25" ht="14.5" x14ac:dyDescent="0.3">
      <c r="A67" s="15"/>
      <c r="B67" s="16"/>
      <c r="C67" s="17"/>
      <c r="D67" s="18"/>
      <c r="G67" s="16"/>
      <c r="H67" s="16"/>
      <c r="I67" s="16"/>
      <c r="S67" s="16">
        <v>6046</v>
      </c>
      <c r="T67" s="14">
        <v>0</v>
      </c>
      <c r="U67" s="20">
        <v>6.0000000000000001E-3</v>
      </c>
      <c r="V67" s="14">
        <v>0</v>
      </c>
      <c r="W67" s="14">
        <v>1</v>
      </c>
      <c r="X67" s="16" t="s">
        <v>54</v>
      </c>
      <c r="Y67" s="72"/>
    </row>
    <row r="68" spans="1:25" ht="14.5" x14ac:dyDescent="0.3">
      <c r="A68" s="15"/>
      <c r="B68" s="16"/>
      <c r="C68" s="17"/>
      <c r="D68" s="18"/>
      <c r="G68" s="16"/>
      <c r="H68" s="16"/>
      <c r="I68" s="16"/>
      <c r="S68" s="14">
        <v>19021</v>
      </c>
      <c r="T68" s="14">
        <v>0</v>
      </c>
      <c r="U68" s="20">
        <v>1.4999999999999999E-2</v>
      </c>
      <c r="V68" s="20">
        <v>7.4999999999999997E-3</v>
      </c>
      <c r="W68" s="14">
        <v>1</v>
      </c>
      <c r="X68" s="14" t="s">
        <v>66</v>
      </c>
      <c r="Y68" s="72"/>
    </row>
    <row r="69" spans="1:25" ht="14.5" x14ac:dyDescent="0.3">
      <c r="A69" s="15"/>
      <c r="B69" s="16"/>
      <c r="C69" s="17"/>
      <c r="D69" s="18"/>
      <c r="G69" s="16"/>
      <c r="H69" s="16"/>
      <c r="I69" s="16"/>
      <c r="R69" s="14">
        <v>16</v>
      </c>
      <c r="S69" s="16">
        <v>20071</v>
      </c>
      <c r="T69" s="14">
        <v>0</v>
      </c>
      <c r="U69" s="20">
        <v>2.4E-2</v>
      </c>
      <c r="V69" s="14">
        <v>0</v>
      </c>
      <c r="W69" s="14">
        <v>1</v>
      </c>
      <c r="X69" s="16" t="s">
        <v>53</v>
      </c>
      <c r="Y69" s="72"/>
    </row>
    <row r="70" spans="1:25" ht="14.5" x14ac:dyDescent="0.3">
      <c r="A70" s="15"/>
      <c r="B70" s="16"/>
      <c r="C70" s="17"/>
      <c r="D70" s="18"/>
      <c r="G70" s="16"/>
      <c r="H70" s="16"/>
      <c r="I70" s="16"/>
      <c r="S70" s="16">
        <v>6046</v>
      </c>
      <c r="T70" s="14">
        <v>0</v>
      </c>
      <c r="U70" s="20">
        <v>6.0000000000000001E-3</v>
      </c>
      <c r="V70" s="14">
        <v>0</v>
      </c>
      <c r="W70" s="14">
        <v>1</v>
      </c>
      <c r="X70" s="16" t="s">
        <v>54</v>
      </c>
      <c r="Y70" s="72"/>
    </row>
    <row r="71" spans="1:25" ht="14.5" x14ac:dyDescent="0.3">
      <c r="A71" s="15"/>
      <c r="B71" s="16"/>
      <c r="C71" s="17"/>
      <c r="D71" s="18"/>
      <c r="G71" s="16"/>
      <c r="H71" s="16"/>
      <c r="I71" s="16"/>
      <c r="S71" s="14">
        <v>19021</v>
      </c>
      <c r="T71" s="14">
        <v>0</v>
      </c>
      <c r="U71" s="20">
        <v>4.4999999999999998E-2</v>
      </c>
      <c r="V71" s="14">
        <v>0</v>
      </c>
      <c r="W71" s="14">
        <v>1</v>
      </c>
      <c r="X71" s="14" t="s">
        <v>66</v>
      </c>
      <c r="Y71" s="72"/>
    </row>
    <row r="72" spans="1:25" ht="14.5" x14ac:dyDescent="0.3">
      <c r="A72" s="15"/>
      <c r="B72" s="16"/>
      <c r="C72" s="17"/>
      <c r="D72" s="18"/>
      <c r="G72" s="16"/>
      <c r="H72" s="16"/>
      <c r="I72" s="16"/>
      <c r="S72" s="14">
        <v>29101</v>
      </c>
      <c r="T72" s="14">
        <v>0</v>
      </c>
      <c r="U72" s="20">
        <v>0.01</v>
      </c>
      <c r="V72" s="20">
        <v>5.0000000000000001E-3</v>
      </c>
      <c r="W72" s="14">
        <v>1</v>
      </c>
      <c r="X72" s="14" t="s">
        <v>77</v>
      </c>
      <c r="Y72" s="72"/>
    </row>
    <row r="73" spans="1:25" ht="14.5" x14ac:dyDescent="0.3">
      <c r="A73" s="15"/>
      <c r="B73" s="16"/>
      <c r="C73" s="17"/>
      <c r="D73" s="18"/>
      <c r="G73" s="16"/>
      <c r="H73" s="16"/>
      <c r="I73" s="16"/>
      <c r="Y73" s="72"/>
    </row>
    <row r="74" spans="1:25" ht="14.5" x14ac:dyDescent="0.3">
      <c r="A74" s="15"/>
      <c r="B74" s="16"/>
      <c r="C74" s="17"/>
      <c r="D74" s="18"/>
      <c r="G74" s="16"/>
      <c r="H74" s="16"/>
      <c r="I74" s="16"/>
      <c r="Y74" s="72"/>
    </row>
    <row r="75" spans="1:25" ht="14.5" x14ac:dyDescent="0.3">
      <c r="A75" s="15"/>
      <c r="B75" s="16"/>
      <c r="C75" s="17"/>
      <c r="D75" s="18"/>
      <c r="G75" s="16"/>
      <c r="H75" s="16"/>
      <c r="I75" s="16"/>
      <c r="Y75" s="72"/>
    </row>
    <row r="76" spans="1:25" ht="14.5" x14ac:dyDescent="0.3">
      <c r="A76" s="15"/>
      <c r="B76" s="16"/>
      <c r="C76" s="17"/>
      <c r="D76" s="18"/>
      <c r="G76" s="16"/>
      <c r="H76" s="16"/>
      <c r="I76" s="16"/>
      <c r="Y76" s="72"/>
    </row>
    <row r="77" spans="1:25" ht="14.5" x14ac:dyDescent="0.3">
      <c r="A77" s="15"/>
      <c r="B77" s="16"/>
      <c r="C77" s="17"/>
      <c r="D77" s="18"/>
      <c r="G77" s="16"/>
      <c r="H77" s="16"/>
      <c r="I77" s="16"/>
      <c r="Y77" s="72"/>
    </row>
    <row r="78" spans="1:25" ht="14.5" x14ac:dyDescent="0.3">
      <c r="A78" s="15"/>
      <c r="B78" s="16"/>
      <c r="C78" s="17"/>
      <c r="D78" s="18"/>
      <c r="G78" s="16"/>
      <c r="H78" s="16"/>
      <c r="I78" s="16"/>
      <c r="Y78" s="72"/>
    </row>
    <row r="79" spans="1:25" ht="14.5" x14ac:dyDescent="0.3">
      <c r="A79" s="15"/>
      <c r="B79" s="16"/>
      <c r="C79" s="17"/>
      <c r="D79" s="18"/>
      <c r="G79" s="16"/>
      <c r="H79" s="16"/>
      <c r="I79" s="16"/>
      <c r="Y79" s="72"/>
    </row>
    <row r="80" spans="1:25" ht="14.5" x14ac:dyDescent="0.3">
      <c r="A80" s="15">
        <v>56110</v>
      </c>
      <c r="B80" s="16">
        <v>101</v>
      </c>
      <c r="C80" s="17" t="s">
        <v>78</v>
      </c>
      <c r="D80" s="8" t="s">
        <v>328</v>
      </c>
      <c r="E80" s="14" t="s">
        <v>44</v>
      </c>
      <c r="F80" s="15" t="s">
        <v>79</v>
      </c>
      <c r="G80" s="16">
        <v>3</v>
      </c>
      <c r="H80" s="16" t="s">
        <v>73</v>
      </c>
      <c r="I80" s="16">
        <v>2500</v>
      </c>
      <c r="J80" s="14">
        <v>3</v>
      </c>
      <c r="K80" s="14">
        <v>1</v>
      </c>
      <c r="L80" s="16">
        <v>20031</v>
      </c>
      <c r="M80" s="14">
        <v>0</v>
      </c>
      <c r="N80" s="20">
        <v>2.1999999999999999E-2</v>
      </c>
      <c r="O80" s="20">
        <v>2.2000000000000001E-3</v>
      </c>
      <c r="P80" s="14">
        <v>1</v>
      </c>
      <c r="Q80" s="16" t="s">
        <v>47</v>
      </c>
      <c r="R80" s="14">
        <v>1</v>
      </c>
      <c r="S80" s="16">
        <v>20061</v>
      </c>
      <c r="T80" s="16">
        <v>0</v>
      </c>
      <c r="U80" s="20">
        <v>0.01</v>
      </c>
      <c r="V80" s="20">
        <v>5.0000000000000001E-3</v>
      </c>
      <c r="W80" s="16">
        <v>1</v>
      </c>
      <c r="X80" s="17" t="s">
        <v>48</v>
      </c>
      <c r="Y80" s="74" t="s">
        <v>431</v>
      </c>
    </row>
    <row r="81" spans="1:25" ht="14.5" x14ac:dyDescent="0.3">
      <c r="A81" s="15"/>
      <c r="B81" s="16"/>
      <c r="C81" s="17"/>
      <c r="D81" s="18"/>
      <c r="G81" s="16"/>
      <c r="H81" s="16"/>
      <c r="I81" s="16"/>
      <c r="R81" s="14">
        <v>6</v>
      </c>
      <c r="S81" s="16">
        <v>20061</v>
      </c>
      <c r="T81" s="14">
        <v>0</v>
      </c>
      <c r="U81" s="20">
        <v>0.03</v>
      </c>
      <c r="V81" s="14">
        <v>0</v>
      </c>
      <c r="W81" s="14">
        <v>1</v>
      </c>
      <c r="X81" s="17" t="s">
        <v>48</v>
      </c>
      <c r="Y81" s="72"/>
    </row>
    <row r="82" spans="1:25" ht="14.5" x14ac:dyDescent="0.3">
      <c r="A82" s="15"/>
      <c r="B82" s="16"/>
      <c r="C82" s="17"/>
      <c r="D82" s="18"/>
      <c r="G82" s="16"/>
      <c r="H82" s="16"/>
      <c r="I82" s="16"/>
      <c r="S82" s="14">
        <v>6001</v>
      </c>
      <c r="T82" s="14">
        <v>3</v>
      </c>
      <c r="U82" s="14">
        <v>600</v>
      </c>
      <c r="V82" s="14">
        <v>300</v>
      </c>
      <c r="W82" s="14">
        <v>1</v>
      </c>
      <c r="X82" s="25" t="s">
        <v>49</v>
      </c>
      <c r="Y82" s="72"/>
    </row>
    <row r="83" spans="1:25" ht="14.5" x14ac:dyDescent="0.3">
      <c r="A83" s="15"/>
      <c r="B83" s="16"/>
      <c r="C83" s="17"/>
      <c r="D83" s="18"/>
      <c r="G83" s="16"/>
      <c r="H83" s="16"/>
      <c r="I83" s="16"/>
      <c r="R83" s="14">
        <v>11</v>
      </c>
      <c r="S83" s="16">
        <v>20061</v>
      </c>
      <c r="T83" s="14">
        <v>0</v>
      </c>
      <c r="U83" s="20">
        <v>0.03</v>
      </c>
      <c r="V83" s="14">
        <v>0</v>
      </c>
      <c r="W83" s="14">
        <v>1</v>
      </c>
      <c r="X83" s="17" t="s">
        <v>48</v>
      </c>
      <c r="Y83" s="72"/>
    </row>
    <row r="84" spans="1:25" ht="14.5" x14ac:dyDescent="0.3">
      <c r="A84" s="15"/>
      <c r="B84" s="16"/>
      <c r="C84" s="17"/>
      <c r="D84" s="18"/>
      <c r="G84" s="16"/>
      <c r="H84" s="16"/>
      <c r="I84" s="16"/>
      <c r="S84" s="14">
        <v>6001</v>
      </c>
      <c r="T84" s="14">
        <v>3</v>
      </c>
      <c r="U84" s="14">
        <v>1800</v>
      </c>
      <c r="V84" s="14">
        <v>0</v>
      </c>
      <c r="W84" s="14">
        <v>1</v>
      </c>
      <c r="X84" s="25" t="s">
        <v>49</v>
      </c>
      <c r="Y84" s="72"/>
    </row>
    <row r="85" spans="1:25" ht="14.5" x14ac:dyDescent="0.3">
      <c r="A85" s="15"/>
      <c r="B85" s="16"/>
      <c r="C85" s="17"/>
      <c r="D85" s="18"/>
      <c r="G85" s="16"/>
      <c r="H85" s="16"/>
      <c r="I85" s="16"/>
      <c r="S85" s="14">
        <v>19031</v>
      </c>
      <c r="T85" s="14">
        <v>0</v>
      </c>
      <c r="U85" s="20">
        <v>1.4999999999999999E-2</v>
      </c>
      <c r="V85" s="20">
        <v>7.4999999999999997E-3</v>
      </c>
      <c r="W85" s="14">
        <v>1</v>
      </c>
      <c r="X85" s="14" t="s">
        <v>63</v>
      </c>
      <c r="Y85" s="72"/>
    </row>
    <row r="86" spans="1:25" ht="14.5" x14ac:dyDescent="0.3">
      <c r="A86" s="15"/>
      <c r="B86" s="16"/>
      <c r="C86" s="17"/>
      <c r="D86" s="18"/>
      <c r="G86" s="16"/>
      <c r="H86" s="16"/>
      <c r="I86" s="16"/>
      <c r="R86" s="14">
        <v>16</v>
      </c>
      <c r="S86" s="16">
        <v>20061</v>
      </c>
      <c r="T86" s="14">
        <v>0</v>
      </c>
      <c r="U86" s="20">
        <v>0.03</v>
      </c>
      <c r="V86" s="14">
        <v>0</v>
      </c>
      <c r="W86" s="14">
        <v>1</v>
      </c>
      <c r="X86" s="17" t="s">
        <v>48</v>
      </c>
      <c r="Y86" s="72"/>
    </row>
    <row r="87" spans="1:25" ht="14.5" x14ac:dyDescent="0.3">
      <c r="A87" s="15"/>
      <c r="B87" s="16"/>
      <c r="C87" s="17"/>
      <c r="D87" s="18"/>
      <c r="G87" s="16"/>
      <c r="H87" s="16"/>
      <c r="I87" s="16"/>
      <c r="S87" s="14">
        <v>6001</v>
      </c>
      <c r="T87" s="14">
        <v>3</v>
      </c>
      <c r="U87" s="14">
        <v>1800</v>
      </c>
      <c r="V87" s="14">
        <v>0</v>
      </c>
      <c r="W87" s="14">
        <v>1</v>
      </c>
      <c r="X87" s="25" t="s">
        <v>49</v>
      </c>
      <c r="Y87" s="72"/>
    </row>
    <row r="88" spans="1:25" ht="14.5" x14ac:dyDescent="0.3">
      <c r="A88" s="15"/>
      <c r="B88" s="16"/>
      <c r="C88" s="17"/>
      <c r="D88" s="18"/>
      <c r="G88" s="16"/>
      <c r="H88" s="16"/>
      <c r="I88" s="16"/>
      <c r="S88" s="14">
        <v>19031</v>
      </c>
      <c r="T88" s="14">
        <v>0</v>
      </c>
      <c r="U88" s="20">
        <v>4.4999999999999998E-2</v>
      </c>
      <c r="V88" s="14">
        <v>0</v>
      </c>
      <c r="W88" s="14">
        <v>1</v>
      </c>
      <c r="X88" s="14" t="s">
        <v>63</v>
      </c>
      <c r="Y88" s="72"/>
    </row>
    <row r="89" spans="1:25" ht="14.5" x14ac:dyDescent="0.3">
      <c r="A89" s="15"/>
      <c r="B89" s="16"/>
      <c r="C89" s="17"/>
      <c r="D89" s="18"/>
      <c r="G89" s="16"/>
      <c r="H89" s="16"/>
      <c r="I89" s="16"/>
      <c r="S89" s="14">
        <v>20101</v>
      </c>
      <c r="T89" s="14">
        <v>0</v>
      </c>
      <c r="U89" s="20">
        <v>8.0000000000000002E-3</v>
      </c>
      <c r="V89" s="20">
        <v>4.0000000000000001E-3</v>
      </c>
      <c r="W89" s="14">
        <v>1</v>
      </c>
      <c r="X89" s="14" t="s">
        <v>74</v>
      </c>
      <c r="Y89" s="72"/>
    </row>
    <row r="90" spans="1:25" ht="14.5" x14ac:dyDescent="0.3">
      <c r="A90" s="15"/>
      <c r="B90" s="16"/>
      <c r="C90" s="17"/>
      <c r="D90" s="18"/>
      <c r="G90" s="16"/>
      <c r="H90" s="16"/>
      <c r="I90" s="16"/>
      <c r="Y90" s="72"/>
    </row>
    <row r="91" spans="1:25" ht="16.5" x14ac:dyDescent="0.3">
      <c r="A91" s="15">
        <v>56111</v>
      </c>
      <c r="B91" s="16">
        <v>101</v>
      </c>
      <c r="C91" s="17" t="s">
        <v>80</v>
      </c>
      <c r="D91" s="8" t="s">
        <v>329</v>
      </c>
      <c r="E91" s="14" t="s">
        <v>44</v>
      </c>
      <c r="F91" s="15" t="s">
        <v>81</v>
      </c>
      <c r="G91" s="16">
        <v>4</v>
      </c>
      <c r="H91" s="16" t="s">
        <v>73</v>
      </c>
      <c r="I91" s="16">
        <v>2500</v>
      </c>
      <c r="J91" s="14">
        <v>3</v>
      </c>
      <c r="K91" s="14">
        <v>1</v>
      </c>
      <c r="L91" s="14">
        <v>20001</v>
      </c>
      <c r="M91" s="14">
        <v>0</v>
      </c>
      <c r="N91" s="20">
        <v>2.1999999999999999E-2</v>
      </c>
      <c r="O91" s="20">
        <v>2.2000000000000001E-3</v>
      </c>
      <c r="P91" s="16">
        <v>1</v>
      </c>
      <c r="Q91" s="16" t="s">
        <v>52</v>
      </c>
      <c r="R91" s="21">
        <v>1</v>
      </c>
      <c r="S91" s="16">
        <v>20071</v>
      </c>
      <c r="T91" s="16">
        <v>0</v>
      </c>
      <c r="U91" s="20">
        <v>8.0000000000000002E-3</v>
      </c>
      <c r="V91" s="20">
        <v>4.0000000000000001E-3</v>
      </c>
      <c r="W91" s="16">
        <v>1</v>
      </c>
      <c r="X91" s="16" t="s">
        <v>53</v>
      </c>
      <c r="Y91" s="74" t="s">
        <v>432</v>
      </c>
    </row>
    <row r="92" spans="1:25" ht="14.5" x14ac:dyDescent="0.3">
      <c r="A92" s="15"/>
      <c r="B92" s="16"/>
      <c r="C92" s="17"/>
      <c r="D92" s="18"/>
      <c r="G92" s="16"/>
      <c r="H92" s="16"/>
      <c r="I92" s="16"/>
      <c r="R92" s="14">
        <v>6</v>
      </c>
      <c r="S92" s="16">
        <v>20071</v>
      </c>
      <c r="T92" s="14">
        <v>0</v>
      </c>
      <c r="U92" s="20">
        <v>2.4E-2</v>
      </c>
      <c r="V92" s="14">
        <v>0</v>
      </c>
      <c r="W92" s="14">
        <v>1</v>
      </c>
      <c r="X92" s="16" t="s">
        <v>53</v>
      </c>
      <c r="Y92" s="72"/>
    </row>
    <row r="93" spans="1:25" ht="14.5" x14ac:dyDescent="0.3">
      <c r="A93" s="15"/>
      <c r="B93" s="16"/>
      <c r="C93" s="17"/>
      <c r="D93" s="18"/>
      <c r="G93" s="16"/>
      <c r="H93" s="16"/>
      <c r="I93" s="16"/>
      <c r="S93" s="14">
        <v>6031</v>
      </c>
      <c r="T93" s="14">
        <v>0</v>
      </c>
      <c r="U93" s="20">
        <v>0.02</v>
      </c>
      <c r="V93" s="20">
        <v>0.01</v>
      </c>
      <c r="W93" s="14">
        <v>1</v>
      </c>
      <c r="X93" s="14" t="s">
        <v>59</v>
      </c>
      <c r="Y93" s="72"/>
    </row>
    <row r="94" spans="1:25" ht="14.5" x14ac:dyDescent="0.3">
      <c r="A94" s="15"/>
      <c r="B94" s="16"/>
      <c r="C94" s="17"/>
      <c r="D94" s="18"/>
      <c r="G94" s="16"/>
      <c r="H94" s="16"/>
      <c r="I94" s="16"/>
      <c r="R94" s="14">
        <v>11</v>
      </c>
      <c r="S94" s="16">
        <v>20071</v>
      </c>
      <c r="T94" s="14">
        <v>0</v>
      </c>
      <c r="U94" s="20">
        <v>2.4E-2</v>
      </c>
      <c r="V94" s="14">
        <v>0</v>
      </c>
      <c r="W94" s="14">
        <v>1</v>
      </c>
      <c r="X94" s="16" t="s">
        <v>53</v>
      </c>
      <c r="Y94" s="72"/>
    </row>
    <row r="95" spans="1:25" ht="14.5" x14ac:dyDescent="0.3">
      <c r="A95" s="15"/>
      <c r="B95" s="16"/>
      <c r="C95" s="17"/>
      <c r="D95" s="18"/>
      <c r="G95" s="16"/>
      <c r="H95" s="16"/>
      <c r="I95" s="16"/>
      <c r="S95" s="14">
        <v>6031</v>
      </c>
      <c r="T95" s="14">
        <v>0</v>
      </c>
      <c r="U95" s="20">
        <v>0.06</v>
      </c>
      <c r="V95" s="14">
        <v>0</v>
      </c>
      <c r="W95" s="14">
        <v>1</v>
      </c>
      <c r="X95" s="14" t="s">
        <v>59</v>
      </c>
      <c r="Y95" s="72"/>
    </row>
    <row r="96" spans="1:25" ht="14.5" x14ac:dyDescent="0.3">
      <c r="A96" s="15"/>
      <c r="B96" s="16"/>
      <c r="C96" s="17"/>
      <c r="D96" s="18"/>
      <c r="G96" s="16"/>
      <c r="H96" s="16"/>
      <c r="I96" s="16"/>
      <c r="S96" s="14">
        <v>19021</v>
      </c>
      <c r="T96" s="14">
        <v>0</v>
      </c>
      <c r="U96" s="20">
        <v>1.4999999999999999E-2</v>
      </c>
      <c r="V96" s="20">
        <v>7.4999999999999997E-3</v>
      </c>
      <c r="W96" s="14">
        <v>1</v>
      </c>
      <c r="X96" s="14" t="s">
        <v>66</v>
      </c>
      <c r="Y96" s="72"/>
    </row>
    <row r="97" spans="1:25" ht="14.5" x14ac:dyDescent="0.3">
      <c r="A97" s="15"/>
      <c r="B97" s="16"/>
      <c r="C97" s="17"/>
      <c r="D97" s="18"/>
      <c r="G97" s="16"/>
      <c r="H97" s="16"/>
      <c r="I97" s="16"/>
      <c r="R97" s="14">
        <v>16</v>
      </c>
      <c r="S97" s="16">
        <v>20071</v>
      </c>
      <c r="T97" s="14">
        <v>0</v>
      </c>
      <c r="U97" s="20">
        <v>2.4E-2</v>
      </c>
      <c r="V97" s="14">
        <v>0</v>
      </c>
      <c r="W97" s="14">
        <v>1</v>
      </c>
      <c r="X97" s="16" t="s">
        <v>53</v>
      </c>
      <c r="Y97" s="72"/>
    </row>
    <row r="98" spans="1:25" ht="14.5" x14ac:dyDescent="0.3">
      <c r="A98" s="15"/>
      <c r="B98" s="16"/>
      <c r="C98" s="17"/>
      <c r="D98" s="18"/>
      <c r="G98" s="16"/>
      <c r="H98" s="16"/>
      <c r="I98" s="16"/>
      <c r="S98" s="14">
        <v>6031</v>
      </c>
      <c r="T98" s="14">
        <v>0</v>
      </c>
      <c r="U98" s="20">
        <v>0.06</v>
      </c>
      <c r="V98" s="14">
        <v>0</v>
      </c>
      <c r="W98" s="14">
        <v>1</v>
      </c>
      <c r="X98" s="14" t="s">
        <v>59</v>
      </c>
      <c r="Y98" s="72"/>
    </row>
    <row r="99" spans="1:25" ht="14.5" x14ac:dyDescent="0.3">
      <c r="A99" s="15"/>
      <c r="B99" s="16"/>
      <c r="C99" s="17"/>
      <c r="D99" s="18"/>
      <c r="G99" s="16"/>
      <c r="H99" s="16"/>
      <c r="I99" s="16"/>
      <c r="S99" s="14">
        <v>19021</v>
      </c>
      <c r="T99" s="14">
        <v>0</v>
      </c>
      <c r="U99" s="20">
        <v>4.4999999999999998E-2</v>
      </c>
      <c r="V99" s="14">
        <v>0</v>
      </c>
      <c r="W99" s="14">
        <v>1</v>
      </c>
      <c r="X99" s="14" t="s">
        <v>66</v>
      </c>
      <c r="Y99" s="72"/>
    </row>
    <row r="100" spans="1:25" ht="14.5" x14ac:dyDescent="0.3">
      <c r="A100" s="15"/>
      <c r="B100" s="16"/>
      <c r="C100" s="17"/>
      <c r="D100" s="18"/>
      <c r="G100" s="16"/>
      <c r="H100" s="16"/>
      <c r="I100" s="16"/>
      <c r="S100" s="14">
        <v>29101</v>
      </c>
      <c r="T100" s="14">
        <v>0</v>
      </c>
      <c r="U100" s="20">
        <v>0.01</v>
      </c>
      <c r="V100" s="20">
        <v>5.0000000000000001E-3</v>
      </c>
      <c r="W100" s="14">
        <v>1</v>
      </c>
      <c r="X100" s="14" t="s">
        <v>77</v>
      </c>
      <c r="Y100" s="72"/>
    </row>
    <row r="101" spans="1:25" ht="14.5" x14ac:dyDescent="0.3">
      <c r="A101" s="15"/>
      <c r="B101" s="16"/>
      <c r="C101" s="17"/>
      <c r="D101" s="18"/>
      <c r="G101" s="16"/>
      <c r="H101" s="16"/>
      <c r="I101" s="16"/>
      <c r="Y101" s="72"/>
    </row>
    <row r="102" spans="1:25" ht="14.5" x14ac:dyDescent="0.3">
      <c r="A102" s="15"/>
      <c r="B102" s="16"/>
      <c r="C102" s="17"/>
      <c r="D102" s="18"/>
      <c r="G102" s="16"/>
      <c r="H102" s="16"/>
      <c r="I102" s="16"/>
      <c r="Y102" s="72"/>
    </row>
    <row r="103" spans="1:25" ht="14.5" x14ac:dyDescent="0.3">
      <c r="A103" s="15">
        <v>56112</v>
      </c>
      <c r="B103" s="16">
        <v>104</v>
      </c>
      <c r="C103" s="17" t="s">
        <v>82</v>
      </c>
      <c r="D103" s="8" t="s">
        <v>326</v>
      </c>
      <c r="E103" s="14" t="s">
        <v>44</v>
      </c>
      <c r="F103" s="15" t="s">
        <v>83</v>
      </c>
      <c r="G103" s="16">
        <v>1</v>
      </c>
      <c r="H103" s="16" t="s">
        <v>46</v>
      </c>
      <c r="I103" s="16">
        <v>900</v>
      </c>
      <c r="J103" s="14">
        <v>1</v>
      </c>
      <c r="K103" s="14">
        <v>3</v>
      </c>
      <c r="L103" s="14">
        <v>20034</v>
      </c>
      <c r="M103" s="16">
        <v>0</v>
      </c>
      <c r="N103" s="20">
        <v>0.01</v>
      </c>
      <c r="O103" s="20">
        <v>1E-3</v>
      </c>
      <c r="P103" s="16">
        <v>1</v>
      </c>
      <c r="Q103" s="16" t="s">
        <v>84</v>
      </c>
      <c r="R103" s="14">
        <v>1</v>
      </c>
      <c r="S103" s="14">
        <v>20064</v>
      </c>
      <c r="T103" s="14">
        <v>0</v>
      </c>
      <c r="U103" s="20">
        <v>3.0000000000000001E-3</v>
      </c>
      <c r="V103" s="20">
        <v>1.5E-3</v>
      </c>
      <c r="W103" s="16">
        <v>1</v>
      </c>
      <c r="X103" s="16" t="s">
        <v>85</v>
      </c>
      <c r="Y103" s="74" t="s">
        <v>425</v>
      </c>
    </row>
    <row r="104" spans="1:25" ht="14.5" x14ac:dyDescent="0.3">
      <c r="A104" s="15"/>
      <c r="B104" s="16"/>
      <c r="C104" s="17"/>
      <c r="D104" s="18"/>
      <c r="G104" s="16"/>
      <c r="H104" s="16"/>
      <c r="I104" s="16"/>
      <c r="R104" s="14">
        <v>6</v>
      </c>
      <c r="S104" s="14">
        <v>20064</v>
      </c>
      <c r="T104" s="16">
        <v>0</v>
      </c>
      <c r="U104" s="20">
        <v>8.9999999999999993E-3</v>
      </c>
      <c r="V104" s="14">
        <v>0</v>
      </c>
      <c r="W104" s="14">
        <v>1</v>
      </c>
      <c r="X104" s="16" t="s">
        <v>85</v>
      </c>
      <c r="Y104" s="72"/>
    </row>
    <row r="105" spans="1:25" ht="14.5" x14ac:dyDescent="0.3">
      <c r="A105" s="15"/>
      <c r="B105" s="16"/>
      <c r="C105" s="17"/>
      <c r="D105" s="18"/>
      <c r="G105" s="16"/>
      <c r="H105" s="16"/>
      <c r="I105" s="16"/>
      <c r="S105" s="14">
        <v>6001</v>
      </c>
      <c r="T105" s="16">
        <v>3</v>
      </c>
      <c r="U105" s="16">
        <v>180</v>
      </c>
      <c r="V105" s="16">
        <v>90</v>
      </c>
      <c r="W105" s="14">
        <v>1</v>
      </c>
      <c r="X105" s="25" t="s">
        <v>49</v>
      </c>
      <c r="Y105" s="72"/>
    </row>
    <row r="106" spans="1:25" ht="14.5" x14ac:dyDescent="0.3">
      <c r="A106" s="15"/>
      <c r="B106" s="16"/>
      <c r="C106" s="17"/>
      <c r="D106" s="18"/>
      <c r="G106" s="16"/>
      <c r="H106" s="16"/>
      <c r="I106" s="16"/>
      <c r="Y106" s="72"/>
    </row>
    <row r="107" spans="1:25" ht="14.5" x14ac:dyDescent="0.3">
      <c r="A107" s="15"/>
      <c r="B107" s="16"/>
      <c r="C107" s="17"/>
      <c r="D107" s="18"/>
      <c r="G107" s="16"/>
      <c r="H107" s="16"/>
      <c r="I107" s="16"/>
      <c r="Y107" s="72"/>
    </row>
    <row r="108" spans="1:25" ht="14.5" x14ac:dyDescent="0.3">
      <c r="A108" s="15">
        <v>56113</v>
      </c>
      <c r="B108" s="16">
        <v>104</v>
      </c>
      <c r="C108" s="17" t="s">
        <v>86</v>
      </c>
      <c r="D108" s="8" t="s">
        <v>327</v>
      </c>
      <c r="E108" s="14" t="s">
        <v>44</v>
      </c>
      <c r="F108" s="15" t="s">
        <v>87</v>
      </c>
      <c r="G108" s="16">
        <v>2</v>
      </c>
      <c r="H108" s="16" t="s">
        <v>46</v>
      </c>
      <c r="I108" s="16">
        <v>900</v>
      </c>
      <c r="J108" s="14">
        <v>1</v>
      </c>
      <c r="K108" s="14">
        <v>3</v>
      </c>
      <c r="L108" s="14">
        <v>20004</v>
      </c>
      <c r="M108" s="16">
        <v>0</v>
      </c>
      <c r="N108" s="20">
        <v>0.01</v>
      </c>
      <c r="O108" s="20">
        <v>1E-3</v>
      </c>
      <c r="P108" s="16">
        <v>1</v>
      </c>
      <c r="Q108" s="16" t="s">
        <v>88</v>
      </c>
      <c r="R108" s="14">
        <v>1</v>
      </c>
      <c r="S108" s="14">
        <v>20074</v>
      </c>
      <c r="T108" s="16">
        <v>0</v>
      </c>
      <c r="U108" s="20">
        <v>2.3999999999999998E-3</v>
      </c>
      <c r="V108" s="20">
        <v>1.1999999999999999E-3</v>
      </c>
      <c r="W108" s="16">
        <v>1</v>
      </c>
      <c r="X108" s="16" t="s">
        <v>89</v>
      </c>
      <c r="Y108" s="73" t="s">
        <v>426</v>
      </c>
    </row>
    <row r="109" spans="1:25" ht="14.5" x14ac:dyDescent="0.3">
      <c r="A109" s="15"/>
      <c r="B109" s="16"/>
      <c r="C109" s="17"/>
      <c r="D109" s="18"/>
      <c r="G109" s="16"/>
      <c r="H109" s="16"/>
      <c r="I109" s="16"/>
      <c r="R109" s="14">
        <v>6</v>
      </c>
      <c r="S109" s="14">
        <v>20074</v>
      </c>
      <c r="T109" s="16">
        <v>0</v>
      </c>
      <c r="U109" s="20">
        <v>7.1999999999999998E-3</v>
      </c>
      <c r="V109" s="14">
        <v>0</v>
      </c>
      <c r="W109" s="14">
        <v>1</v>
      </c>
      <c r="X109" s="16" t="s">
        <v>89</v>
      </c>
      <c r="Y109" s="72"/>
    </row>
    <row r="110" spans="1:25" ht="14.5" x14ac:dyDescent="0.3">
      <c r="A110" s="15"/>
      <c r="B110" s="16"/>
      <c r="C110" s="17"/>
      <c r="D110" s="18"/>
      <c r="G110" s="16"/>
      <c r="H110" s="16"/>
      <c r="I110" s="16"/>
      <c r="S110" s="16">
        <v>6046</v>
      </c>
      <c r="T110" s="16">
        <v>0</v>
      </c>
      <c r="U110" s="20">
        <v>5.0000000000000001E-4</v>
      </c>
      <c r="V110" s="20">
        <v>2.5000000000000001E-4</v>
      </c>
      <c r="W110" s="14">
        <v>1</v>
      </c>
      <c r="X110" s="16" t="s">
        <v>54</v>
      </c>
      <c r="Y110" s="72"/>
    </row>
    <row r="111" spans="1:25" ht="14.5" x14ac:dyDescent="0.3">
      <c r="A111" s="15"/>
      <c r="B111" s="16"/>
      <c r="C111" s="17"/>
      <c r="D111" s="18"/>
      <c r="G111" s="16"/>
      <c r="H111" s="16"/>
      <c r="I111" s="16"/>
      <c r="Y111" s="72"/>
    </row>
    <row r="112" spans="1:25" ht="14.5" x14ac:dyDescent="0.3">
      <c r="A112" s="15"/>
      <c r="B112" s="16"/>
      <c r="C112" s="17"/>
      <c r="D112" s="18"/>
      <c r="G112" s="16"/>
      <c r="H112" s="16"/>
      <c r="I112" s="16"/>
      <c r="Y112" s="72"/>
    </row>
    <row r="113" spans="1:25" ht="14.5" x14ac:dyDescent="0.3">
      <c r="A113" s="15">
        <v>56114</v>
      </c>
      <c r="B113" s="16">
        <v>104</v>
      </c>
      <c r="C113" s="17" t="s">
        <v>90</v>
      </c>
      <c r="D113" s="8" t="s">
        <v>328</v>
      </c>
      <c r="E113" s="14" t="s">
        <v>44</v>
      </c>
      <c r="F113" s="15" t="s">
        <v>91</v>
      </c>
      <c r="G113" s="16">
        <v>3</v>
      </c>
      <c r="H113" s="16" t="s">
        <v>46</v>
      </c>
      <c r="I113" s="16">
        <v>900</v>
      </c>
      <c r="J113" s="14">
        <v>1</v>
      </c>
      <c r="K113" s="14">
        <v>3</v>
      </c>
      <c r="L113" s="14">
        <v>20034</v>
      </c>
      <c r="M113" s="16">
        <v>0</v>
      </c>
      <c r="N113" s="20">
        <v>0.01</v>
      </c>
      <c r="O113" s="20">
        <v>1E-3</v>
      </c>
      <c r="P113" s="16">
        <v>1</v>
      </c>
      <c r="Q113" s="16" t="s">
        <v>84</v>
      </c>
      <c r="R113" s="14">
        <v>1</v>
      </c>
      <c r="S113" s="14">
        <v>20064</v>
      </c>
      <c r="T113" s="14">
        <v>0</v>
      </c>
      <c r="U113" s="20">
        <v>3.0000000000000001E-3</v>
      </c>
      <c r="V113" s="20">
        <v>1.5E-3</v>
      </c>
      <c r="W113" s="16">
        <v>1</v>
      </c>
      <c r="X113" s="16" t="s">
        <v>85</v>
      </c>
      <c r="Y113" s="73" t="s">
        <v>427</v>
      </c>
    </row>
    <row r="114" spans="1:25" ht="14.5" x14ac:dyDescent="0.3">
      <c r="A114" s="15"/>
      <c r="B114" s="16"/>
      <c r="C114" s="17"/>
      <c r="D114" s="18"/>
      <c r="G114" s="16"/>
      <c r="H114" s="16"/>
      <c r="I114" s="16"/>
      <c r="R114" s="14">
        <v>6</v>
      </c>
      <c r="S114" s="14">
        <v>20064</v>
      </c>
      <c r="T114" s="16">
        <v>0</v>
      </c>
      <c r="U114" s="20">
        <v>8.9999999999999993E-3</v>
      </c>
      <c r="V114" s="14">
        <v>0</v>
      </c>
      <c r="W114" s="14">
        <v>1</v>
      </c>
      <c r="X114" s="16" t="s">
        <v>85</v>
      </c>
      <c r="Y114" s="72"/>
    </row>
    <row r="115" spans="1:25" ht="14.5" x14ac:dyDescent="0.3">
      <c r="A115" s="15"/>
      <c r="B115" s="16"/>
      <c r="C115" s="17"/>
      <c r="D115" s="18"/>
      <c r="G115" s="16"/>
      <c r="H115" s="16"/>
      <c r="I115" s="16"/>
      <c r="S115" s="14">
        <v>6001</v>
      </c>
      <c r="T115" s="16">
        <v>3</v>
      </c>
      <c r="U115" s="16">
        <v>180</v>
      </c>
      <c r="V115" s="16">
        <v>90</v>
      </c>
      <c r="W115" s="14">
        <v>1</v>
      </c>
      <c r="X115" s="25" t="s">
        <v>49</v>
      </c>
      <c r="Y115" s="72"/>
    </row>
    <row r="116" spans="1:25" ht="14.5" x14ac:dyDescent="0.3">
      <c r="A116" s="15"/>
      <c r="B116" s="16"/>
      <c r="C116" s="17"/>
      <c r="D116" s="18"/>
      <c r="G116" s="16"/>
      <c r="H116" s="16"/>
      <c r="I116" s="16"/>
      <c r="Y116" s="72"/>
    </row>
    <row r="117" spans="1:25" ht="14.5" x14ac:dyDescent="0.3">
      <c r="A117" s="15"/>
      <c r="B117" s="16"/>
      <c r="C117" s="17"/>
      <c r="D117" s="18"/>
      <c r="G117" s="16"/>
      <c r="H117" s="16"/>
      <c r="I117" s="16"/>
      <c r="Y117" s="72"/>
    </row>
    <row r="118" spans="1:25" ht="14.5" x14ac:dyDescent="0.3">
      <c r="A118" s="15">
        <v>56115</v>
      </c>
      <c r="B118" s="16">
        <v>104</v>
      </c>
      <c r="C118" s="17" t="s">
        <v>92</v>
      </c>
      <c r="D118" s="8" t="s">
        <v>329</v>
      </c>
      <c r="E118" s="14" t="s">
        <v>44</v>
      </c>
      <c r="F118" s="15" t="s">
        <v>93</v>
      </c>
      <c r="G118" s="16">
        <v>4</v>
      </c>
      <c r="H118" s="16" t="s">
        <v>46</v>
      </c>
      <c r="I118" s="16">
        <v>900</v>
      </c>
      <c r="J118" s="14">
        <v>1</v>
      </c>
      <c r="K118" s="14">
        <v>3</v>
      </c>
      <c r="L118" s="14">
        <v>20004</v>
      </c>
      <c r="M118" s="16">
        <v>0</v>
      </c>
      <c r="N118" s="20">
        <v>0.01</v>
      </c>
      <c r="O118" s="20">
        <v>1E-3</v>
      </c>
      <c r="P118" s="16">
        <v>1</v>
      </c>
      <c r="Q118" s="16" t="s">
        <v>88</v>
      </c>
      <c r="R118" s="14">
        <v>1</v>
      </c>
      <c r="S118" s="14">
        <v>20074</v>
      </c>
      <c r="T118" s="16">
        <v>0</v>
      </c>
      <c r="U118" s="20">
        <v>2.3999999999999998E-3</v>
      </c>
      <c r="V118" s="20">
        <v>1.1999999999999999E-3</v>
      </c>
      <c r="W118" s="16">
        <v>1</v>
      </c>
      <c r="X118" s="16" t="s">
        <v>89</v>
      </c>
      <c r="Y118" s="73" t="s">
        <v>428</v>
      </c>
    </row>
    <row r="119" spans="1:25" ht="14.5" x14ac:dyDescent="0.3">
      <c r="A119" s="15"/>
      <c r="B119" s="16"/>
      <c r="C119" s="17"/>
      <c r="D119" s="18"/>
      <c r="G119" s="16"/>
      <c r="H119" s="16"/>
      <c r="I119" s="16"/>
      <c r="R119" s="14">
        <v>6</v>
      </c>
      <c r="S119" s="14">
        <v>20074</v>
      </c>
      <c r="T119" s="14">
        <v>0</v>
      </c>
      <c r="U119" s="20">
        <v>7.1999999999999998E-3</v>
      </c>
      <c r="V119" s="14">
        <v>0</v>
      </c>
      <c r="W119" s="14">
        <v>1</v>
      </c>
      <c r="X119" s="16" t="s">
        <v>89</v>
      </c>
      <c r="Y119" s="72"/>
    </row>
    <row r="120" spans="1:25" ht="14.5" x14ac:dyDescent="0.3">
      <c r="A120" s="15"/>
      <c r="B120" s="16"/>
      <c r="C120" s="17"/>
      <c r="D120" s="18"/>
      <c r="G120" s="16"/>
      <c r="H120" s="16"/>
      <c r="I120" s="16"/>
      <c r="S120" s="14">
        <v>6034</v>
      </c>
      <c r="T120" s="14">
        <v>0</v>
      </c>
      <c r="U120" s="20">
        <v>5.0000000000000001E-3</v>
      </c>
      <c r="V120" s="20">
        <v>2.5000000000000001E-3</v>
      </c>
      <c r="W120" s="14">
        <v>1</v>
      </c>
      <c r="X120" s="14" t="s">
        <v>59</v>
      </c>
      <c r="Y120" s="72"/>
    </row>
    <row r="121" spans="1:25" ht="14.5" x14ac:dyDescent="0.3">
      <c r="A121" s="15"/>
      <c r="B121" s="16"/>
      <c r="C121" s="17"/>
      <c r="D121" s="18"/>
      <c r="G121" s="16"/>
      <c r="H121" s="16"/>
      <c r="I121" s="16"/>
      <c r="Y121" s="72"/>
    </row>
    <row r="122" spans="1:25" ht="14.5" x14ac:dyDescent="0.3">
      <c r="A122" s="15"/>
      <c r="B122" s="16"/>
      <c r="C122" s="17"/>
      <c r="D122" s="18"/>
      <c r="G122" s="16"/>
      <c r="H122" s="16"/>
      <c r="I122" s="16"/>
      <c r="Y122" s="72"/>
    </row>
    <row r="123" spans="1:25" ht="14.5" x14ac:dyDescent="0.3">
      <c r="A123" s="15">
        <v>56116</v>
      </c>
      <c r="B123" s="16">
        <v>104</v>
      </c>
      <c r="C123" s="17" t="s">
        <v>94</v>
      </c>
      <c r="D123" s="8" t="s">
        <v>326</v>
      </c>
      <c r="E123" s="14" t="s">
        <v>44</v>
      </c>
      <c r="F123" s="15" t="s">
        <v>95</v>
      </c>
      <c r="G123" s="16">
        <v>1</v>
      </c>
      <c r="H123" s="16" t="s">
        <v>62</v>
      </c>
      <c r="I123" s="16">
        <v>1800</v>
      </c>
      <c r="J123" s="14">
        <v>2</v>
      </c>
      <c r="K123" s="14">
        <v>2</v>
      </c>
      <c r="L123" s="14">
        <v>20034</v>
      </c>
      <c r="M123" s="16">
        <v>0</v>
      </c>
      <c r="N123" s="20">
        <v>1.4999999999999999E-2</v>
      </c>
      <c r="O123" s="20">
        <v>1.5E-3</v>
      </c>
      <c r="P123" s="16">
        <v>1</v>
      </c>
      <c r="Q123" s="16" t="s">
        <v>84</v>
      </c>
      <c r="R123" s="14">
        <v>1</v>
      </c>
      <c r="S123" s="14">
        <v>20064</v>
      </c>
      <c r="T123" s="14">
        <v>0</v>
      </c>
      <c r="U123" s="20">
        <v>5.0000000000000001E-3</v>
      </c>
      <c r="V123" s="20">
        <v>2.5000000000000001E-3</v>
      </c>
      <c r="W123" s="16">
        <v>1</v>
      </c>
      <c r="X123" s="16" t="s">
        <v>85</v>
      </c>
      <c r="Y123" s="74" t="s">
        <v>425</v>
      </c>
    </row>
    <row r="124" spans="1:25" ht="14.5" x14ac:dyDescent="0.3">
      <c r="A124" s="15"/>
      <c r="B124" s="16"/>
      <c r="C124" s="17"/>
      <c r="D124" s="18"/>
      <c r="G124" s="16"/>
      <c r="H124" s="16"/>
      <c r="I124" s="16"/>
      <c r="R124" s="14">
        <v>6</v>
      </c>
      <c r="S124" s="14">
        <v>20064</v>
      </c>
      <c r="T124" s="14">
        <v>0</v>
      </c>
      <c r="U124" s="20">
        <v>1.4999999999999999E-2</v>
      </c>
      <c r="V124" s="14">
        <v>0</v>
      </c>
      <c r="W124" s="14">
        <v>1</v>
      </c>
      <c r="X124" s="16" t="s">
        <v>85</v>
      </c>
      <c r="Y124" s="72"/>
    </row>
    <row r="125" spans="1:25" ht="14.5" x14ac:dyDescent="0.3">
      <c r="A125" s="15"/>
      <c r="B125" s="16"/>
      <c r="C125" s="17"/>
      <c r="D125" s="18"/>
      <c r="G125" s="16"/>
      <c r="H125" s="16"/>
      <c r="I125" s="16"/>
      <c r="S125" s="14">
        <v>6001</v>
      </c>
      <c r="T125" s="14">
        <v>3</v>
      </c>
      <c r="U125" s="14">
        <v>300</v>
      </c>
      <c r="V125" s="14">
        <v>150</v>
      </c>
      <c r="W125" s="14">
        <v>1</v>
      </c>
      <c r="X125" s="25" t="s">
        <v>49</v>
      </c>
      <c r="Y125" s="72"/>
    </row>
    <row r="126" spans="1:25" ht="14.5" x14ac:dyDescent="0.3">
      <c r="A126" s="15"/>
      <c r="B126" s="16"/>
      <c r="C126" s="17"/>
      <c r="D126" s="18"/>
      <c r="G126" s="16"/>
      <c r="H126" s="16"/>
      <c r="I126" s="16"/>
      <c r="R126" s="14">
        <v>11</v>
      </c>
      <c r="S126" s="14">
        <v>20064</v>
      </c>
      <c r="T126" s="14">
        <v>0</v>
      </c>
      <c r="U126" s="20">
        <v>1.4999999999999999E-2</v>
      </c>
      <c r="V126" s="14">
        <v>0</v>
      </c>
      <c r="W126" s="14">
        <v>1</v>
      </c>
      <c r="X126" s="16" t="s">
        <v>85</v>
      </c>
      <c r="Y126" s="72"/>
    </row>
    <row r="127" spans="1:25" ht="14.5" x14ac:dyDescent="0.3">
      <c r="A127" s="15"/>
      <c r="B127" s="16"/>
      <c r="C127" s="17"/>
      <c r="D127" s="18"/>
      <c r="G127" s="16"/>
      <c r="H127" s="16"/>
      <c r="I127" s="16"/>
      <c r="S127" s="14">
        <v>6001</v>
      </c>
      <c r="T127" s="14">
        <v>3</v>
      </c>
      <c r="U127" s="14">
        <v>900</v>
      </c>
      <c r="V127" s="14">
        <v>0</v>
      </c>
      <c r="W127" s="14">
        <v>1</v>
      </c>
      <c r="X127" s="25" t="s">
        <v>49</v>
      </c>
      <c r="Y127" s="72"/>
    </row>
    <row r="128" spans="1:25" ht="14.5" x14ac:dyDescent="0.3">
      <c r="A128" s="15"/>
      <c r="B128" s="16"/>
      <c r="C128" s="17"/>
      <c r="D128" s="18"/>
      <c r="G128" s="16"/>
      <c r="H128" s="16"/>
      <c r="I128" s="16"/>
      <c r="S128" s="14">
        <v>19034</v>
      </c>
      <c r="T128" s="14">
        <v>0</v>
      </c>
      <c r="U128" s="26">
        <v>7.0000000000000001E-3</v>
      </c>
      <c r="V128" s="26">
        <v>3.5000000000000001E-3</v>
      </c>
      <c r="W128" s="14">
        <v>1</v>
      </c>
      <c r="X128" s="14" t="s">
        <v>63</v>
      </c>
      <c r="Y128" s="72"/>
    </row>
    <row r="129" spans="1:25" ht="14.5" x14ac:dyDescent="0.3">
      <c r="A129" s="15"/>
      <c r="B129" s="16"/>
      <c r="C129" s="17"/>
      <c r="D129" s="18"/>
      <c r="G129" s="16"/>
      <c r="H129" s="16"/>
      <c r="I129" s="16"/>
      <c r="Y129" s="72"/>
    </row>
    <row r="130" spans="1:25" ht="14.5" x14ac:dyDescent="0.3">
      <c r="A130" s="15"/>
      <c r="B130" s="16"/>
      <c r="C130" s="17"/>
      <c r="D130" s="18"/>
      <c r="G130" s="16"/>
      <c r="H130" s="16"/>
      <c r="I130" s="16"/>
      <c r="Y130" s="72"/>
    </row>
    <row r="131" spans="1:25" ht="14.5" x14ac:dyDescent="0.3">
      <c r="A131" s="15"/>
      <c r="B131" s="16"/>
      <c r="C131" s="17"/>
      <c r="D131" s="18"/>
      <c r="G131" s="16"/>
      <c r="H131" s="16"/>
      <c r="I131" s="16"/>
      <c r="Y131" s="72"/>
    </row>
    <row r="132" spans="1:25" ht="14.5" x14ac:dyDescent="0.3">
      <c r="A132" s="15">
        <v>56117</v>
      </c>
      <c r="B132" s="16">
        <v>104</v>
      </c>
      <c r="C132" s="17" t="s">
        <v>96</v>
      </c>
      <c r="D132" s="8" t="s">
        <v>327</v>
      </c>
      <c r="E132" s="14" t="s">
        <v>44</v>
      </c>
      <c r="F132" s="15" t="s">
        <v>97</v>
      </c>
      <c r="G132" s="16">
        <v>2</v>
      </c>
      <c r="H132" s="16" t="s">
        <v>62</v>
      </c>
      <c r="I132" s="16">
        <v>1800</v>
      </c>
      <c r="J132" s="14">
        <v>2</v>
      </c>
      <c r="K132" s="14">
        <v>2</v>
      </c>
      <c r="L132" s="14">
        <v>20004</v>
      </c>
      <c r="M132" s="16">
        <v>0</v>
      </c>
      <c r="N132" s="20">
        <v>1.4999999999999999E-2</v>
      </c>
      <c r="O132" s="20">
        <v>1.5E-3</v>
      </c>
      <c r="P132" s="16">
        <v>1</v>
      </c>
      <c r="Q132" s="16" t="s">
        <v>88</v>
      </c>
      <c r="R132" s="14">
        <v>1</v>
      </c>
      <c r="S132" s="14">
        <v>20074</v>
      </c>
      <c r="T132" s="14">
        <v>0</v>
      </c>
      <c r="U132" s="20">
        <v>4.0000000000000001E-3</v>
      </c>
      <c r="V132" s="20">
        <v>2E-3</v>
      </c>
      <c r="W132" s="14">
        <v>1</v>
      </c>
      <c r="X132" s="16" t="s">
        <v>89</v>
      </c>
      <c r="Y132" s="73" t="s">
        <v>426</v>
      </c>
    </row>
    <row r="133" spans="1:25" ht="14.5" x14ac:dyDescent="0.3">
      <c r="A133" s="15"/>
      <c r="B133" s="16"/>
      <c r="C133" s="17"/>
      <c r="D133" s="18"/>
      <c r="G133" s="16"/>
      <c r="H133" s="16"/>
      <c r="I133" s="16"/>
      <c r="R133" s="14">
        <v>6</v>
      </c>
      <c r="S133" s="14">
        <v>20074</v>
      </c>
      <c r="T133" s="14">
        <v>0</v>
      </c>
      <c r="U133" s="20">
        <v>1.2E-2</v>
      </c>
      <c r="V133" s="14">
        <v>0</v>
      </c>
      <c r="W133" s="14">
        <v>1</v>
      </c>
      <c r="X133" s="16" t="s">
        <v>89</v>
      </c>
      <c r="Y133" s="72"/>
    </row>
    <row r="134" spans="1:25" ht="14.5" x14ac:dyDescent="0.3">
      <c r="A134" s="15"/>
      <c r="B134" s="16"/>
      <c r="C134" s="17"/>
      <c r="D134" s="18"/>
      <c r="G134" s="16"/>
      <c r="H134" s="16"/>
      <c r="I134" s="16"/>
      <c r="S134" s="16">
        <v>6046</v>
      </c>
      <c r="T134" s="14">
        <v>0</v>
      </c>
      <c r="U134" s="20">
        <v>1E-3</v>
      </c>
      <c r="V134" s="20">
        <v>5.0000000000000001E-4</v>
      </c>
      <c r="W134" s="14">
        <v>1</v>
      </c>
      <c r="X134" s="16" t="s">
        <v>54</v>
      </c>
      <c r="Y134" s="72"/>
    </row>
    <row r="135" spans="1:25" ht="14.5" x14ac:dyDescent="0.3">
      <c r="A135" s="15"/>
      <c r="B135" s="16"/>
      <c r="C135" s="17"/>
      <c r="D135" s="18"/>
      <c r="G135" s="16"/>
      <c r="H135" s="16"/>
      <c r="I135" s="16"/>
      <c r="R135" s="14">
        <v>11</v>
      </c>
      <c r="S135" s="14">
        <v>20074</v>
      </c>
      <c r="T135" s="14">
        <v>0</v>
      </c>
      <c r="U135" s="20">
        <v>1.2E-2</v>
      </c>
      <c r="V135" s="14">
        <v>0</v>
      </c>
      <c r="W135" s="14">
        <v>1</v>
      </c>
      <c r="X135" s="16" t="s">
        <v>89</v>
      </c>
      <c r="Y135" s="72"/>
    </row>
    <row r="136" spans="1:25" ht="14.5" x14ac:dyDescent="0.3">
      <c r="A136" s="15"/>
      <c r="B136" s="16"/>
      <c r="C136" s="17"/>
      <c r="D136" s="18"/>
      <c r="G136" s="16"/>
      <c r="H136" s="16"/>
      <c r="I136" s="16"/>
      <c r="S136" s="16">
        <v>6046</v>
      </c>
      <c r="T136" s="14">
        <v>0</v>
      </c>
      <c r="U136" s="20">
        <v>3.0000000000000001E-3</v>
      </c>
      <c r="V136" s="14">
        <v>0</v>
      </c>
      <c r="W136" s="14">
        <v>1</v>
      </c>
      <c r="X136" s="16" t="s">
        <v>54</v>
      </c>
      <c r="Y136" s="72"/>
    </row>
    <row r="137" spans="1:25" ht="14.5" x14ac:dyDescent="0.3">
      <c r="A137" s="15"/>
      <c r="B137" s="16"/>
      <c r="C137" s="17"/>
      <c r="D137" s="18"/>
      <c r="G137" s="16"/>
      <c r="H137" s="16"/>
      <c r="I137" s="16"/>
      <c r="S137" s="14">
        <v>19024</v>
      </c>
      <c r="T137" s="14">
        <v>0</v>
      </c>
      <c r="U137" s="26">
        <v>7.0000000000000001E-3</v>
      </c>
      <c r="V137" s="26">
        <v>3.5000000000000001E-3</v>
      </c>
      <c r="W137" s="14">
        <v>1</v>
      </c>
      <c r="X137" s="14" t="s">
        <v>66</v>
      </c>
      <c r="Y137" s="72"/>
    </row>
    <row r="138" spans="1:25" ht="14.5" x14ac:dyDescent="0.3">
      <c r="A138" s="15"/>
      <c r="B138" s="16"/>
      <c r="C138" s="17"/>
      <c r="D138" s="18"/>
      <c r="G138" s="16"/>
      <c r="H138" s="16"/>
      <c r="I138" s="16"/>
      <c r="Y138" s="72"/>
    </row>
    <row r="139" spans="1:25" ht="14.5" x14ac:dyDescent="0.3">
      <c r="A139" s="15"/>
      <c r="B139" s="16"/>
      <c r="C139" s="17"/>
      <c r="D139" s="18"/>
      <c r="G139" s="16"/>
      <c r="H139" s="16"/>
      <c r="I139" s="16"/>
      <c r="Y139" s="72"/>
    </row>
    <row r="140" spans="1:25" ht="14.5" x14ac:dyDescent="0.3">
      <c r="A140" s="15"/>
      <c r="B140" s="16"/>
      <c r="C140" s="17"/>
      <c r="D140" s="18"/>
      <c r="G140" s="16"/>
      <c r="H140" s="16"/>
      <c r="I140" s="16"/>
      <c r="Y140" s="72"/>
    </row>
    <row r="141" spans="1:25" ht="14.5" x14ac:dyDescent="0.3">
      <c r="A141" s="15">
        <v>56118</v>
      </c>
      <c r="B141" s="16">
        <v>104</v>
      </c>
      <c r="C141" s="17" t="s">
        <v>98</v>
      </c>
      <c r="D141" s="8" t="s">
        <v>328</v>
      </c>
      <c r="E141" s="14" t="s">
        <v>44</v>
      </c>
      <c r="F141" s="15" t="s">
        <v>99</v>
      </c>
      <c r="G141" s="16">
        <v>3</v>
      </c>
      <c r="H141" s="16" t="s">
        <v>62</v>
      </c>
      <c r="I141" s="16">
        <v>1800</v>
      </c>
      <c r="J141" s="14">
        <v>2</v>
      </c>
      <c r="K141" s="14">
        <v>2</v>
      </c>
      <c r="L141" s="14">
        <v>20034</v>
      </c>
      <c r="M141" s="16">
        <v>0</v>
      </c>
      <c r="N141" s="20">
        <v>1.4999999999999999E-2</v>
      </c>
      <c r="O141" s="20">
        <v>1.5E-3</v>
      </c>
      <c r="P141" s="16">
        <v>1</v>
      </c>
      <c r="Q141" s="16" t="s">
        <v>84</v>
      </c>
      <c r="R141" s="14">
        <v>1</v>
      </c>
      <c r="S141" s="14">
        <v>20064</v>
      </c>
      <c r="T141" s="14">
        <v>0</v>
      </c>
      <c r="U141" s="20">
        <v>5.0000000000000001E-3</v>
      </c>
      <c r="V141" s="20">
        <v>2.5000000000000001E-3</v>
      </c>
      <c r="W141" s="16">
        <v>1</v>
      </c>
      <c r="X141" s="16" t="s">
        <v>85</v>
      </c>
      <c r="Y141" s="73" t="s">
        <v>427</v>
      </c>
    </row>
    <row r="142" spans="1:25" ht="14.5" x14ac:dyDescent="0.3">
      <c r="A142" s="15"/>
      <c r="B142" s="16"/>
      <c r="C142" s="17"/>
      <c r="D142" s="18"/>
      <c r="G142" s="16"/>
      <c r="H142" s="16"/>
      <c r="I142" s="16"/>
      <c r="R142" s="14">
        <v>6</v>
      </c>
      <c r="S142" s="14">
        <v>20064</v>
      </c>
      <c r="T142" s="14">
        <v>0</v>
      </c>
      <c r="U142" s="20">
        <v>1.4999999999999999E-2</v>
      </c>
      <c r="V142" s="14">
        <v>0</v>
      </c>
      <c r="W142" s="14">
        <v>1</v>
      </c>
      <c r="X142" s="16" t="s">
        <v>85</v>
      </c>
      <c r="Y142" s="72"/>
    </row>
    <row r="143" spans="1:25" ht="14.5" x14ac:dyDescent="0.3">
      <c r="A143" s="15"/>
      <c r="B143" s="16"/>
      <c r="C143" s="17"/>
      <c r="D143" s="18"/>
      <c r="G143" s="16"/>
      <c r="H143" s="16"/>
      <c r="I143" s="16"/>
      <c r="S143" s="14">
        <v>6001</v>
      </c>
      <c r="T143" s="14">
        <v>3</v>
      </c>
      <c r="U143" s="14">
        <v>300</v>
      </c>
      <c r="V143" s="14">
        <v>150</v>
      </c>
      <c r="W143" s="14">
        <v>1</v>
      </c>
      <c r="X143" s="25" t="s">
        <v>49</v>
      </c>
      <c r="Y143" s="72"/>
    </row>
    <row r="144" spans="1:25" ht="14.5" x14ac:dyDescent="0.3">
      <c r="A144" s="15"/>
      <c r="B144" s="16"/>
      <c r="C144" s="17"/>
      <c r="D144" s="18"/>
      <c r="G144" s="16"/>
      <c r="H144" s="16"/>
      <c r="I144" s="16"/>
      <c r="R144" s="14">
        <v>11</v>
      </c>
      <c r="S144" s="14">
        <v>20064</v>
      </c>
      <c r="T144" s="14">
        <v>0</v>
      </c>
      <c r="U144" s="20">
        <v>1.4999999999999999E-2</v>
      </c>
      <c r="V144" s="14">
        <v>0</v>
      </c>
      <c r="W144" s="14">
        <v>1</v>
      </c>
      <c r="X144" s="16" t="s">
        <v>85</v>
      </c>
      <c r="Y144" s="72"/>
    </row>
    <row r="145" spans="1:25" ht="14.5" x14ac:dyDescent="0.3">
      <c r="A145" s="15"/>
      <c r="B145" s="16"/>
      <c r="C145" s="17"/>
      <c r="D145" s="18"/>
      <c r="G145" s="16"/>
      <c r="H145" s="16"/>
      <c r="I145" s="16"/>
      <c r="S145" s="14">
        <v>6001</v>
      </c>
      <c r="T145" s="14">
        <v>3</v>
      </c>
      <c r="U145" s="14">
        <v>900</v>
      </c>
      <c r="V145" s="14">
        <v>0</v>
      </c>
      <c r="W145" s="14">
        <v>1</v>
      </c>
      <c r="X145" s="25" t="s">
        <v>49</v>
      </c>
      <c r="Y145" s="72"/>
    </row>
    <row r="146" spans="1:25" ht="14.5" x14ac:dyDescent="0.3">
      <c r="A146" s="15"/>
      <c r="B146" s="16"/>
      <c r="C146" s="17"/>
      <c r="D146" s="18"/>
      <c r="G146" s="16"/>
      <c r="H146" s="16"/>
      <c r="I146" s="16"/>
      <c r="S146" s="14">
        <v>19034</v>
      </c>
      <c r="T146" s="14">
        <v>0</v>
      </c>
      <c r="U146" s="26">
        <v>7.0000000000000001E-3</v>
      </c>
      <c r="V146" s="26">
        <v>3.5000000000000001E-3</v>
      </c>
      <c r="W146" s="14">
        <v>1</v>
      </c>
      <c r="X146" s="14" t="s">
        <v>63</v>
      </c>
      <c r="Y146" s="72"/>
    </row>
    <row r="147" spans="1:25" ht="14.5" x14ac:dyDescent="0.3">
      <c r="A147" s="15"/>
      <c r="B147" s="16"/>
      <c r="C147" s="17"/>
      <c r="D147" s="18"/>
      <c r="G147" s="16"/>
      <c r="H147" s="16"/>
      <c r="I147" s="16"/>
      <c r="Y147" s="72"/>
    </row>
    <row r="148" spans="1:25" ht="14.5" x14ac:dyDescent="0.3">
      <c r="A148" s="15"/>
      <c r="B148" s="16"/>
      <c r="C148" s="17"/>
      <c r="D148" s="18"/>
      <c r="G148" s="16"/>
      <c r="H148" s="16"/>
      <c r="I148" s="16"/>
      <c r="Y148" s="72"/>
    </row>
    <row r="149" spans="1:25" ht="14.5" x14ac:dyDescent="0.3">
      <c r="A149" s="15"/>
      <c r="B149" s="16"/>
      <c r="C149" s="17"/>
      <c r="D149" s="18"/>
      <c r="G149" s="16"/>
      <c r="H149" s="16"/>
      <c r="I149" s="16"/>
      <c r="Y149" s="72"/>
    </row>
    <row r="150" spans="1:25" ht="14.5" x14ac:dyDescent="0.3">
      <c r="A150" s="15">
        <v>56119</v>
      </c>
      <c r="B150" s="16">
        <v>104</v>
      </c>
      <c r="C150" s="17" t="s">
        <v>100</v>
      </c>
      <c r="D150" s="8" t="s">
        <v>329</v>
      </c>
      <c r="E150" s="14" t="s">
        <v>44</v>
      </c>
      <c r="F150" s="15" t="s">
        <v>101</v>
      </c>
      <c r="G150" s="16">
        <v>4</v>
      </c>
      <c r="H150" s="16" t="s">
        <v>62</v>
      </c>
      <c r="I150" s="16">
        <v>1800</v>
      </c>
      <c r="J150" s="14">
        <v>2</v>
      </c>
      <c r="K150" s="14">
        <v>2</v>
      </c>
      <c r="L150" s="14">
        <v>20004</v>
      </c>
      <c r="M150" s="16">
        <v>0</v>
      </c>
      <c r="N150" s="20">
        <v>1.4999999999999999E-2</v>
      </c>
      <c r="O150" s="20">
        <v>1.5E-3</v>
      </c>
      <c r="P150" s="16">
        <v>1</v>
      </c>
      <c r="Q150" s="16" t="s">
        <v>88</v>
      </c>
      <c r="R150" s="14">
        <v>1</v>
      </c>
      <c r="S150" s="14">
        <v>20074</v>
      </c>
      <c r="T150" s="14">
        <v>0</v>
      </c>
      <c r="U150" s="20">
        <v>4.0000000000000001E-3</v>
      </c>
      <c r="V150" s="20">
        <v>2E-3</v>
      </c>
      <c r="W150" s="14">
        <v>1</v>
      </c>
      <c r="X150" s="16" t="s">
        <v>89</v>
      </c>
      <c r="Y150" s="73" t="s">
        <v>428</v>
      </c>
    </row>
    <row r="151" spans="1:25" ht="14.5" x14ac:dyDescent="0.3">
      <c r="A151" s="15"/>
      <c r="B151" s="16"/>
      <c r="C151" s="17"/>
      <c r="D151" s="18"/>
      <c r="G151" s="16"/>
      <c r="H151" s="16"/>
      <c r="I151" s="16"/>
      <c r="R151" s="14">
        <v>6</v>
      </c>
      <c r="S151" s="14">
        <v>20074</v>
      </c>
      <c r="T151" s="14">
        <v>0</v>
      </c>
      <c r="U151" s="20">
        <v>1.2E-2</v>
      </c>
      <c r="V151" s="14">
        <v>0</v>
      </c>
      <c r="W151" s="14">
        <v>1</v>
      </c>
      <c r="X151" s="16" t="s">
        <v>89</v>
      </c>
      <c r="Y151" s="72"/>
    </row>
    <row r="152" spans="1:25" ht="14.5" x14ac:dyDescent="0.3">
      <c r="A152" s="15"/>
      <c r="B152" s="16"/>
      <c r="C152" s="17"/>
      <c r="D152" s="18"/>
      <c r="G152" s="16"/>
      <c r="H152" s="16"/>
      <c r="I152" s="16"/>
      <c r="S152" s="14">
        <v>6034</v>
      </c>
      <c r="T152" s="14">
        <v>0</v>
      </c>
      <c r="U152" s="20">
        <v>0.01</v>
      </c>
      <c r="V152" s="20">
        <v>5.0000000000000001E-3</v>
      </c>
      <c r="W152" s="14">
        <v>1</v>
      </c>
      <c r="X152" s="14" t="s">
        <v>59</v>
      </c>
      <c r="Y152" s="72"/>
    </row>
    <row r="153" spans="1:25" ht="14.5" x14ac:dyDescent="0.3">
      <c r="A153" s="15"/>
      <c r="B153" s="16"/>
      <c r="C153" s="17"/>
      <c r="D153" s="18"/>
      <c r="G153" s="16"/>
      <c r="H153" s="16"/>
      <c r="I153" s="16"/>
      <c r="R153" s="14">
        <v>11</v>
      </c>
      <c r="S153" s="14">
        <v>20074</v>
      </c>
      <c r="T153" s="14">
        <v>0</v>
      </c>
      <c r="U153" s="20">
        <v>1.2E-2</v>
      </c>
      <c r="V153" s="14">
        <v>0</v>
      </c>
      <c r="W153" s="14">
        <v>1</v>
      </c>
      <c r="X153" s="16" t="s">
        <v>89</v>
      </c>
      <c r="Y153" s="72"/>
    </row>
    <row r="154" spans="1:25" ht="14.5" x14ac:dyDescent="0.3">
      <c r="A154" s="15"/>
      <c r="B154" s="16"/>
      <c r="C154" s="17"/>
      <c r="D154" s="18"/>
      <c r="G154" s="16"/>
      <c r="H154" s="16"/>
      <c r="I154" s="16"/>
      <c r="S154" s="14">
        <v>6034</v>
      </c>
      <c r="T154" s="14">
        <v>0</v>
      </c>
      <c r="U154" s="20">
        <v>0.03</v>
      </c>
      <c r="V154" s="14">
        <v>0</v>
      </c>
      <c r="W154" s="14">
        <v>1</v>
      </c>
      <c r="X154" s="14" t="s">
        <v>59</v>
      </c>
      <c r="Y154" s="72"/>
    </row>
    <row r="155" spans="1:25" ht="14.5" x14ac:dyDescent="0.3">
      <c r="A155" s="15"/>
      <c r="B155" s="16"/>
      <c r="C155" s="17"/>
      <c r="D155" s="18"/>
      <c r="G155" s="16"/>
      <c r="H155" s="16"/>
      <c r="I155" s="16"/>
      <c r="S155" s="14">
        <v>19024</v>
      </c>
      <c r="T155" s="14">
        <v>0</v>
      </c>
      <c r="U155" s="26">
        <v>7.0000000000000001E-3</v>
      </c>
      <c r="V155" s="26">
        <v>3.5000000000000001E-3</v>
      </c>
      <c r="W155" s="14">
        <v>1</v>
      </c>
      <c r="X155" s="14" t="s">
        <v>66</v>
      </c>
      <c r="Y155" s="72"/>
    </row>
    <row r="156" spans="1:25" ht="14.5" x14ac:dyDescent="0.3">
      <c r="A156" s="15"/>
      <c r="B156" s="16"/>
      <c r="C156" s="17"/>
      <c r="D156" s="18"/>
      <c r="G156" s="16"/>
      <c r="H156" s="16"/>
      <c r="I156" s="16"/>
      <c r="Y156" s="72"/>
    </row>
    <row r="157" spans="1:25" ht="14.5" x14ac:dyDescent="0.3">
      <c r="A157" s="15"/>
      <c r="B157" s="16"/>
      <c r="C157" s="17"/>
      <c r="D157" s="18"/>
      <c r="G157" s="16"/>
      <c r="H157" s="16"/>
      <c r="I157" s="16"/>
      <c r="Y157" s="72"/>
    </row>
    <row r="158" spans="1:25" ht="14.5" x14ac:dyDescent="0.3">
      <c r="A158" s="15"/>
      <c r="B158" s="16"/>
      <c r="C158" s="17"/>
      <c r="D158" s="18"/>
      <c r="G158" s="16"/>
      <c r="H158" s="16"/>
      <c r="I158" s="16"/>
      <c r="Y158" s="72"/>
    </row>
    <row r="159" spans="1:25" ht="16.5" x14ac:dyDescent="0.3">
      <c r="A159" s="15">
        <v>56120</v>
      </c>
      <c r="B159" s="16">
        <v>104</v>
      </c>
      <c r="C159" s="17" t="s">
        <v>102</v>
      </c>
      <c r="D159" s="8" t="s">
        <v>326</v>
      </c>
      <c r="E159" s="14" t="s">
        <v>44</v>
      </c>
      <c r="F159" s="15" t="s">
        <v>103</v>
      </c>
      <c r="G159" s="16">
        <v>1</v>
      </c>
      <c r="H159" s="16" t="s">
        <v>73</v>
      </c>
      <c r="I159" s="16">
        <v>2500</v>
      </c>
      <c r="J159" s="14">
        <v>3</v>
      </c>
      <c r="K159" s="14">
        <v>1</v>
      </c>
      <c r="L159" s="14">
        <v>20034</v>
      </c>
      <c r="M159" s="14">
        <v>0</v>
      </c>
      <c r="N159" s="20">
        <v>2.1999999999999999E-2</v>
      </c>
      <c r="O159" s="20">
        <v>2.2000000000000001E-3</v>
      </c>
      <c r="P159" s="14">
        <v>1</v>
      </c>
      <c r="Q159" s="16" t="s">
        <v>84</v>
      </c>
      <c r="R159" s="21">
        <v>1</v>
      </c>
      <c r="S159" s="14">
        <v>20064</v>
      </c>
      <c r="T159" s="14">
        <v>0</v>
      </c>
      <c r="U159" s="20">
        <v>0.01</v>
      </c>
      <c r="V159" s="20">
        <v>5.0000000000000001E-3</v>
      </c>
      <c r="W159" s="16">
        <v>1</v>
      </c>
      <c r="X159" s="16" t="s">
        <v>85</v>
      </c>
      <c r="Y159" s="73" t="s">
        <v>429</v>
      </c>
    </row>
    <row r="160" spans="1:25" ht="14.5" x14ac:dyDescent="0.3">
      <c r="A160" s="15"/>
      <c r="B160" s="16"/>
      <c r="C160" s="17"/>
      <c r="D160" s="18"/>
      <c r="G160" s="16"/>
      <c r="H160" s="16"/>
      <c r="I160" s="16"/>
      <c r="R160" s="14">
        <v>6</v>
      </c>
      <c r="S160" s="14">
        <v>20064</v>
      </c>
      <c r="T160" s="14">
        <v>0</v>
      </c>
      <c r="U160" s="20">
        <v>0.03</v>
      </c>
      <c r="V160" s="14">
        <v>0</v>
      </c>
      <c r="W160" s="14">
        <v>1</v>
      </c>
      <c r="X160" s="16" t="s">
        <v>85</v>
      </c>
      <c r="Y160" s="72"/>
    </row>
    <row r="161" spans="1:25" ht="14.5" x14ac:dyDescent="0.3">
      <c r="A161" s="15"/>
      <c r="B161" s="16"/>
      <c r="C161" s="17"/>
      <c r="D161" s="18"/>
      <c r="G161" s="16"/>
      <c r="H161" s="16"/>
      <c r="I161" s="16"/>
      <c r="S161" s="14">
        <v>6001</v>
      </c>
      <c r="T161" s="14">
        <v>3</v>
      </c>
      <c r="U161" s="14">
        <v>600</v>
      </c>
      <c r="V161" s="14">
        <v>300</v>
      </c>
      <c r="W161" s="14">
        <v>1</v>
      </c>
      <c r="X161" s="25" t="s">
        <v>49</v>
      </c>
      <c r="Y161" s="72"/>
    </row>
    <row r="162" spans="1:25" ht="14.5" x14ac:dyDescent="0.3">
      <c r="A162" s="15"/>
      <c r="B162" s="16"/>
      <c r="C162" s="17"/>
      <c r="D162" s="18"/>
      <c r="G162" s="16"/>
      <c r="H162" s="16"/>
      <c r="I162" s="16"/>
      <c r="R162" s="14">
        <v>11</v>
      </c>
      <c r="S162" s="14">
        <v>20064</v>
      </c>
      <c r="T162" s="14">
        <v>0</v>
      </c>
      <c r="U162" s="20">
        <v>0.03</v>
      </c>
      <c r="V162" s="14">
        <v>0</v>
      </c>
      <c r="W162" s="14">
        <v>1</v>
      </c>
      <c r="X162" s="16" t="s">
        <v>85</v>
      </c>
      <c r="Y162" s="72"/>
    </row>
    <row r="163" spans="1:25" ht="14.5" x14ac:dyDescent="0.3">
      <c r="A163" s="15"/>
      <c r="B163" s="16"/>
      <c r="C163" s="17"/>
      <c r="D163" s="18"/>
      <c r="G163" s="16"/>
      <c r="H163" s="16"/>
      <c r="I163" s="16"/>
      <c r="S163" s="14">
        <v>6001</v>
      </c>
      <c r="T163" s="14">
        <v>3</v>
      </c>
      <c r="U163" s="14">
        <v>1800</v>
      </c>
      <c r="V163" s="14">
        <v>0</v>
      </c>
      <c r="W163" s="14">
        <v>1</v>
      </c>
      <c r="X163" s="25" t="s">
        <v>49</v>
      </c>
      <c r="Y163" s="72"/>
    </row>
    <row r="164" spans="1:25" ht="14.5" x14ac:dyDescent="0.3">
      <c r="A164" s="15"/>
      <c r="B164" s="16"/>
      <c r="C164" s="17"/>
      <c r="D164" s="18"/>
      <c r="G164" s="16"/>
      <c r="H164" s="16"/>
      <c r="I164" s="16"/>
      <c r="S164" s="14">
        <v>19034</v>
      </c>
      <c r="T164" s="14">
        <v>0</v>
      </c>
      <c r="U164" s="20">
        <v>1.4999999999999999E-2</v>
      </c>
      <c r="V164" s="20">
        <v>7.4999999999999997E-3</v>
      </c>
      <c r="W164" s="14">
        <v>1</v>
      </c>
      <c r="X164" s="14" t="s">
        <v>63</v>
      </c>
      <c r="Y164" s="72"/>
    </row>
    <row r="165" spans="1:25" ht="14.5" x14ac:dyDescent="0.3">
      <c r="A165" s="15"/>
      <c r="B165" s="16"/>
      <c r="C165" s="17"/>
      <c r="D165" s="18"/>
      <c r="G165" s="16"/>
      <c r="H165" s="16"/>
      <c r="I165" s="16"/>
      <c r="R165" s="14">
        <v>16</v>
      </c>
      <c r="S165" s="14">
        <v>20064</v>
      </c>
      <c r="T165" s="14">
        <v>0</v>
      </c>
      <c r="U165" s="20">
        <v>0.03</v>
      </c>
      <c r="V165" s="14">
        <v>0</v>
      </c>
      <c r="W165" s="14">
        <v>1</v>
      </c>
      <c r="X165" s="16" t="s">
        <v>85</v>
      </c>
      <c r="Y165" s="72"/>
    </row>
    <row r="166" spans="1:25" ht="14.5" x14ac:dyDescent="0.3">
      <c r="A166" s="15"/>
      <c r="B166" s="16"/>
      <c r="C166" s="17"/>
      <c r="D166" s="18"/>
      <c r="G166" s="16"/>
      <c r="H166" s="16"/>
      <c r="I166" s="16"/>
      <c r="S166" s="14">
        <v>6001</v>
      </c>
      <c r="T166" s="14">
        <v>3</v>
      </c>
      <c r="U166" s="14">
        <v>1800</v>
      </c>
      <c r="V166" s="14">
        <v>0</v>
      </c>
      <c r="W166" s="14">
        <v>1</v>
      </c>
      <c r="X166" s="25" t="s">
        <v>49</v>
      </c>
      <c r="Y166" s="72"/>
    </row>
    <row r="167" spans="1:25" ht="14.5" x14ac:dyDescent="0.3">
      <c r="A167" s="15"/>
      <c r="B167" s="16"/>
      <c r="C167" s="17"/>
      <c r="D167" s="18"/>
      <c r="G167" s="16"/>
      <c r="H167" s="16"/>
      <c r="I167" s="16"/>
      <c r="S167" s="14">
        <v>19034</v>
      </c>
      <c r="T167" s="14">
        <v>0</v>
      </c>
      <c r="U167" s="20">
        <v>4.4999999999999998E-2</v>
      </c>
      <c r="V167" s="14">
        <v>0</v>
      </c>
      <c r="W167" s="14">
        <v>1</v>
      </c>
      <c r="X167" s="14" t="s">
        <v>63</v>
      </c>
      <c r="Y167" s="72"/>
    </row>
    <row r="168" spans="1:25" ht="14.5" x14ac:dyDescent="0.3">
      <c r="A168" s="15"/>
      <c r="B168" s="16"/>
      <c r="C168" s="17"/>
      <c r="D168" s="18"/>
      <c r="G168" s="16"/>
      <c r="H168" s="16"/>
      <c r="I168" s="16"/>
      <c r="S168" s="14">
        <v>20104</v>
      </c>
      <c r="T168" s="14">
        <v>0</v>
      </c>
      <c r="U168" s="27">
        <v>8.0000000000000002E-3</v>
      </c>
      <c r="V168" s="27">
        <v>4.0000000000000001E-3</v>
      </c>
      <c r="W168" s="14">
        <v>1</v>
      </c>
      <c r="X168" s="14" t="s">
        <v>104</v>
      </c>
      <c r="Y168" s="72"/>
    </row>
    <row r="169" spans="1:25" ht="14.5" x14ac:dyDescent="0.3">
      <c r="A169" s="15"/>
      <c r="B169" s="16"/>
      <c r="C169" s="17"/>
      <c r="D169" s="18"/>
      <c r="G169" s="16"/>
      <c r="H169" s="16"/>
      <c r="I169" s="16"/>
      <c r="Y169" s="72"/>
    </row>
    <row r="170" spans="1:25" ht="14.5" x14ac:dyDescent="0.3">
      <c r="A170" s="15"/>
      <c r="B170" s="16"/>
      <c r="C170" s="17"/>
      <c r="D170" s="18"/>
      <c r="G170" s="16"/>
      <c r="H170" s="16"/>
      <c r="I170" s="16"/>
      <c r="Y170" s="72"/>
    </row>
    <row r="171" spans="1:25" ht="14.5" x14ac:dyDescent="0.3">
      <c r="A171" s="15"/>
      <c r="B171" s="16"/>
      <c r="C171" s="17"/>
      <c r="D171" s="18"/>
      <c r="G171" s="16"/>
      <c r="H171" s="16"/>
      <c r="I171" s="16"/>
      <c r="Y171" s="72"/>
    </row>
    <row r="172" spans="1:25" ht="14.5" x14ac:dyDescent="0.3">
      <c r="A172" s="15"/>
      <c r="B172" s="16"/>
      <c r="C172" s="17"/>
      <c r="D172" s="18"/>
      <c r="G172" s="16"/>
      <c r="H172" s="16"/>
      <c r="I172" s="16"/>
      <c r="Y172" s="72"/>
    </row>
    <row r="173" spans="1:25" ht="16.5" x14ac:dyDescent="0.3">
      <c r="A173" s="15">
        <v>56121</v>
      </c>
      <c r="B173" s="16">
        <v>104</v>
      </c>
      <c r="C173" s="17" t="s">
        <v>105</v>
      </c>
      <c r="D173" s="8" t="s">
        <v>327</v>
      </c>
      <c r="E173" s="14" t="s">
        <v>44</v>
      </c>
      <c r="F173" s="15" t="s">
        <v>106</v>
      </c>
      <c r="G173" s="16">
        <v>2</v>
      </c>
      <c r="H173" s="16" t="s">
        <v>73</v>
      </c>
      <c r="I173" s="16">
        <v>2500</v>
      </c>
      <c r="J173" s="14">
        <v>3</v>
      </c>
      <c r="K173" s="14">
        <v>1</v>
      </c>
      <c r="L173" s="14">
        <v>20004</v>
      </c>
      <c r="M173" s="14">
        <v>0</v>
      </c>
      <c r="N173" s="20">
        <v>2.1999999999999999E-2</v>
      </c>
      <c r="O173" s="20">
        <v>2.2000000000000001E-3</v>
      </c>
      <c r="P173" s="16">
        <v>1</v>
      </c>
      <c r="Q173" s="16" t="s">
        <v>88</v>
      </c>
      <c r="R173" s="21">
        <v>1</v>
      </c>
      <c r="S173" s="14">
        <v>20074</v>
      </c>
      <c r="T173" s="14">
        <v>0</v>
      </c>
      <c r="U173" s="20">
        <v>8.0000000000000002E-3</v>
      </c>
      <c r="V173" s="20">
        <v>4.0000000000000001E-3</v>
      </c>
      <c r="W173" s="16">
        <v>1</v>
      </c>
      <c r="X173" s="16" t="s">
        <v>89</v>
      </c>
      <c r="Y173" s="73" t="s">
        <v>430</v>
      </c>
    </row>
    <row r="174" spans="1:25" ht="14.5" x14ac:dyDescent="0.3">
      <c r="A174" s="15"/>
      <c r="B174" s="16"/>
      <c r="C174" s="17"/>
      <c r="D174" s="18"/>
      <c r="G174" s="16"/>
      <c r="H174" s="16"/>
      <c r="I174" s="16"/>
      <c r="R174" s="14">
        <v>6</v>
      </c>
      <c r="S174" s="14">
        <v>20074</v>
      </c>
      <c r="T174" s="14">
        <v>0</v>
      </c>
      <c r="U174" s="20">
        <v>2.4E-2</v>
      </c>
      <c r="V174" s="14">
        <v>0</v>
      </c>
      <c r="W174" s="14">
        <v>1</v>
      </c>
      <c r="X174" s="16" t="s">
        <v>89</v>
      </c>
      <c r="Y174" s="72"/>
    </row>
    <row r="175" spans="1:25" ht="14.5" x14ac:dyDescent="0.3">
      <c r="A175" s="15"/>
      <c r="B175" s="16"/>
      <c r="C175" s="17"/>
      <c r="D175" s="18"/>
      <c r="G175" s="16"/>
      <c r="H175" s="16"/>
      <c r="I175" s="16"/>
      <c r="S175" s="16">
        <v>6046</v>
      </c>
      <c r="T175" s="14">
        <v>0</v>
      </c>
      <c r="U175" s="20">
        <v>2E-3</v>
      </c>
      <c r="V175" s="20">
        <v>1E-3</v>
      </c>
      <c r="W175" s="14">
        <v>1</v>
      </c>
      <c r="X175" s="16" t="s">
        <v>54</v>
      </c>
      <c r="Y175" s="72"/>
    </row>
    <row r="176" spans="1:25" ht="14.5" x14ac:dyDescent="0.3">
      <c r="A176" s="15"/>
      <c r="B176" s="16"/>
      <c r="C176" s="17"/>
      <c r="D176" s="18"/>
      <c r="G176" s="16"/>
      <c r="H176" s="16"/>
      <c r="I176" s="16"/>
      <c r="R176" s="14">
        <v>11</v>
      </c>
      <c r="S176" s="14">
        <v>20074</v>
      </c>
      <c r="T176" s="14">
        <v>0</v>
      </c>
      <c r="U176" s="20">
        <v>2.4E-2</v>
      </c>
      <c r="V176" s="14">
        <v>0</v>
      </c>
      <c r="W176" s="14">
        <v>1</v>
      </c>
      <c r="X176" s="16" t="s">
        <v>89</v>
      </c>
      <c r="Y176" s="72"/>
    </row>
    <row r="177" spans="1:25" ht="14.5" x14ac:dyDescent="0.3">
      <c r="A177" s="15"/>
      <c r="B177" s="16"/>
      <c r="C177" s="17"/>
      <c r="D177" s="18"/>
      <c r="G177" s="16"/>
      <c r="H177" s="16"/>
      <c r="I177" s="16"/>
      <c r="S177" s="16">
        <v>6046</v>
      </c>
      <c r="T177" s="14">
        <v>0</v>
      </c>
      <c r="U177" s="20">
        <v>6.0000000000000001E-3</v>
      </c>
      <c r="V177" s="14">
        <v>0</v>
      </c>
      <c r="W177" s="14">
        <v>1</v>
      </c>
      <c r="X177" s="16" t="s">
        <v>54</v>
      </c>
      <c r="Y177" s="72"/>
    </row>
    <row r="178" spans="1:25" ht="14.5" x14ac:dyDescent="0.3">
      <c r="A178" s="15"/>
      <c r="B178" s="16"/>
      <c r="C178" s="17"/>
      <c r="D178" s="18"/>
      <c r="G178" s="16"/>
      <c r="H178" s="16"/>
      <c r="I178" s="16"/>
      <c r="S178" s="14">
        <v>19024</v>
      </c>
      <c r="T178" s="14">
        <v>0</v>
      </c>
      <c r="U178" s="20">
        <v>1.4999999999999999E-2</v>
      </c>
      <c r="V178" s="20">
        <v>7.4999999999999997E-3</v>
      </c>
      <c r="W178" s="14">
        <v>1</v>
      </c>
      <c r="X178" s="14" t="s">
        <v>66</v>
      </c>
      <c r="Y178" s="72"/>
    </row>
    <row r="179" spans="1:25" ht="14.5" x14ac:dyDescent="0.3">
      <c r="A179" s="15"/>
      <c r="B179" s="16"/>
      <c r="C179" s="17"/>
      <c r="D179" s="18"/>
      <c r="G179" s="16"/>
      <c r="H179" s="16"/>
      <c r="I179" s="16"/>
      <c r="R179" s="14">
        <v>16</v>
      </c>
      <c r="S179" s="14">
        <v>20074</v>
      </c>
      <c r="T179" s="14">
        <v>0</v>
      </c>
      <c r="U179" s="20">
        <v>2.4E-2</v>
      </c>
      <c r="V179" s="14">
        <v>0</v>
      </c>
      <c r="W179" s="14">
        <v>1</v>
      </c>
      <c r="X179" s="16" t="s">
        <v>89</v>
      </c>
      <c r="Y179" s="72"/>
    </row>
    <row r="180" spans="1:25" ht="14.5" x14ac:dyDescent="0.3">
      <c r="A180" s="15"/>
      <c r="B180" s="16"/>
      <c r="C180" s="17"/>
      <c r="D180" s="18"/>
      <c r="G180" s="16"/>
      <c r="H180" s="16"/>
      <c r="I180" s="16"/>
      <c r="S180" s="16">
        <v>6046</v>
      </c>
      <c r="T180" s="14">
        <v>0</v>
      </c>
      <c r="U180" s="20">
        <v>6.0000000000000001E-3</v>
      </c>
      <c r="V180" s="14">
        <v>0</v>
      </c>
      <c r="W180" s="14">
        <v>1</v>
      </c>
      <c r="X180" s="16" t="s">
        <v>54</v>
      </c>
      <c r="Y180" s="72"/>
    </row>
    <row r="181" spans="1:25" ht="14.5" x14ac:dyDescent="0.3">
      <c r="A181" s="15"/>
      <c r="B181" s="16"/>
      <c r="C181" s="17"/>
      <c r="D181" s="18"/>
      <c r="G181" s="16"/>
      <c r="H181" s="16"/>
      <c r="I181" s="16"/>
      <c r="S181" s="14">
        <v>19024</v>
      </c>
      <c r="T181" s="14">
        <v>0</v>
      </c>
      <c r="U181" s="20">
        <v>4.4999999999999998E-2</v>
      </c>
      <c r="V181" s="14">
        <v>0</v>
      </c>
      <c r="W181" s="14">
        <v>1</v>
      </c>
      <c r="X181" s="14" t="s">
        <v>66</v>
      </c>
      <c r="Y181" s="72"/>
    </row>
    <row r="182" spans="1:25" ht="14.5" x14ac:dyDescent="0.3">
      <c r="A182" s="15"/>
      <c r="B182" s="16"/>
      <c r="C182" s="17"/>
      <c r="D182" s="18"/>
      <c r="G182" s="16"/>
      <c r="H182" s="16"/>
      <c r="I182" s="16"/>
      <c r="S182" s="14">
        <v>29101</v>
      </c>
      <c r="T182" s="14">
        <v>0</v>
      </c>
      <c r="U182" s="20">
        <v>0.01</v>
      </c>
      <c r="V182" s="20">
        <v>5.0000000000000001E-3</v>
      </c>
      <c r="W182" s="16">
        <v>1</v>
      </c>
      <c r="X182" s="14" t="s">
        <v>77</v>
      </c>
      <c r="Y182" s="72"/>
    </row>
    <row r="183" spans="1:25" ht="14.5" x14ac:dyDescent="0.3">
      <c r="A183" s="15"/>
      <c r="B183" s="16"/>
      <c r="C183" s="17"/>
      <c r="D183" s="18"/>
      <c r="G183" s="16"/>
      <c r="H183" s="16"/>
      <c r="I183" s="16"/>
      <c r="Y183" s="72"/>
    </row>
    <row r="184" spans="1:25" ht="14.5" x14ac:dyDescent="0.3">
      <c r="A184" s="15"/>
      <c r="B184" s="16"/>
      <c r="C184" s="17"/>
      <c r="D184" s="18"/>
      <c r="G184" s="16"/>
      <c r="H184" s="16"/>
      <c r="I184" s="16"/>
      <c r="Y184" s="72"/>
    </row>
    <row r="185" spans="1:25" ht="14.5" x14ac:dyDescent="0.3">
      <c r="A185" s="15"/>
      <c r="B185" s="16"/>
      <c r="C185" s="17"/>
      <c r="D185" s="18"/>
      <c r="G185" s="16"/>
      <c r="H185" s="16"/>
      <c r="I185" s="16"/>
      <c r="Y185" s="72"/>
    </row>
    <row r="186" spans="1:25" ht="16.5" x14ac:dyDescent="0.3">
      <c r="A186" s="15">
        <v>56122</v>
      </c>
      <c r="B186" s="16">
        <v>104</v>
      </c>
      <c r="C186" s="17" t="s">
        <v>107</v>
      </c>
      <c r="D186" s="8" t="s">
        <v>328</v>
      </c>
      <c r="E186" s="14" t="s">
        <v>44</v>
      </c>
      <c r="F186" s="15" t="s">
        <v>108</v>
      </c>
      <c r="G186" s="16">
        <v>3</v>
      </c>
      <c r="H186" s="16" t="s">
        <v>73</v>
      </c>
      <c r="I186" s="16">
        <v>2500</v>
      </c>
      <c r="J186" s="14">
        <v>3</v>
      </c>
      <c r="K186" s="14">
        <v>1</v>
      </c>
      <c r="L186" s="14">
        <v>20034</v>
      </c>
      <c r="M186" s="14">
        <v>0</v>
      </c>
      <c r="N186" s="20">
        <v>2.1999999999999999E-2</v>
      </c>
      <c r="O186" s="20">
        <v>2.2000000000000001E-3</v>
      </c>
      <c r="P186" s="14">
        <v>1</v>
      </c>
      <c r="Q186" s="16" t="s">
        <v>84</v>
      </c>
      <c r="R186" s="21">
        <v>1</v>
      </c>
      <c r="S186" s="14">
        <v>20064</v>
      </c>
      <c r="T186" s="14">
        <v>0</v>
      </c>
      <c r="U186" s="20">
        <v>0.01</v>
      </c>
      <c r="V186" s="20">
        <v>5.0000000000000001E-3</v>
      </c>
      <c r="W186" s="16">
        <v>1</v>
      </c>
      <c r="X186" s="16" t="s">
        <v>85</v>
      </c>
      <c r="Y186" s="73" t="s">
        <v>431</v>
      </c>
    </row>
    <row r="187" spans="1:25" ht="14.5" x14ac:dyDescent="0.3">
      <c r="A187" s="15"/>
      <c r="B187" s="16"/>
      <c r="C187" s="17"/>
      <c r="D187" s="18"/>
      <c r="G187" s="16"/>
      <c r="H187" s="16"/>
      <c r="I187" s="16"/>
      <c r="R187" s="14">
        <v>6</v>
      </c>
      <c r="S187" s="14">
        <v>20064</v>
      </c>
      <c r="T187" s="14">
        <v>0</v>
      </c>
      <c r="U187" s="20">
        <v>0.03</v>
      </c>
      <c r="V187" s="14">
        <v>0</v>
      </c>
      <c r="W187" s="14">
        <v>1</v>
      </c>
      <c r="X187" s="16" t="s">
        <v>85</v>
      </c>
      <c r="Y187" s="72"/>
    </row>
    <row r="188" spans="1:25" ht="14.5" x14ac:dyDescent="0.3">
      <c r="A188" s="15"/>
      <c r="B188" s="16"/>
      <c r="C188" s="17"/>
      <c r="D188" s="18"/>
      <c r="G188" s="16"/>
      <c r="H188" s="16"/>
      <c r="I188" s="16"/>
      <c r="S188" s="14">
        <v>6001</v>
      </c>
      <c r="T188" s="14">
        <v>3</v>
      </c>
      <c r="U188" s="14">
        <v>600</v>
      </c>
      <c r="V188" s="14">
        <v>300</v>
      </c>
      <c r="W188" s="14">
        <v>1</v>
      </c>
      <c r="X188" s="25" t="s">
        <v>49</v>
      </c>
      <c r="Y188" s="72"/>
    </row>
    <row r="189" spans="1:25" ht="14.5" x14ac:dyDescent="0.3">
      <c r="A189" s="15"/>
      <c r="B189" s="16"/>
      <c r="C189" s="17"/>
      <c r="D189" s="18"/>
      <c r="G189" s="16"/>
      <c r="H189" s="16"/>
      <c r="I189" s="16"/>
      <c r="R189" s="14">
        <v>11</v>
      </c>
      <c r="S189" s="14">
        <v>20064</v>
      </c>
      <c r="T189" s="14">
        <v>0</v>
      </c>
      <c r="U189" s="20">
        <v>0.03</v>
      </c>
      <c r="V189" s="14">
        <v>0</v>
      </c>
      <c r="W189" s="14">
        <v>1</v>
      </c>
      <c r="X189" s="16" t="s">
        <v>85</v>
      </c>
      <c r="Y189" s="72"/>
    </row>
    <row r="190" spans="1:25" ht="14.5" x14ac:dyDescent="0.3">
      <c r="A190" s="15"/>
      <c r="B190" s="16"/>
      <c r="C190" s="17"/>
      <c r="D190" s="18"/>
      <c r="G190" s="16"/>
      <c r="H190" s="16"/>
      <c r="I190" s="16"/>
      <c r="S190" s="14">
        <v>6001</v>
      </c>
      <c r="T190" s="14">
        <v>3</v>
      </c>
      <c r="U190" s="14">
        <v>1800</v>
      </c>
      <c r="V190" s="14">
        <v>0</v>
      </c>
      <c r="W190" s="14">
        <v>1</v>
      </c>
      <c r="X190" s="25" t="s">
        <v>49</v>
      </c>
      <c r="Y190" s="72"/>
    </row>
    <row r="191" spans="1:25" ht="14.5" x14ac:dyDescent="0.3">
      <c r="A191" s="15"/>
      <c r="B191" s="16"/>
      <c r="C191" s="17"/>
      <c r="D191" s="18"/>
      <c r="G191" s="16"/>
      <c r="H191" s="16"/>
      <c r="I191" s="16"/>
      <c r="S191" s="14">
        <v>19034</v>
      </c>
      <c r="T191" s="14">
        <v>0</v>
      </c>
      <c r="U191" s="20">
        <v>1.4999999999999999E-2</v>
      </c>
      <c r="V191" s="20">
        <v>7.4999999999999997E-3</v>
      </c>
      <c r="W191" s="14">
        <v>1</v>
      </c>
      <c r="X191" s="14" t="s">
        <v>63</v>
      </c>
      <c r="Y191" s="72"/>
    </row>
    <row r="192" spans="1:25" ht="14.5" x14ac:dyDescent="0.3">
      <c r="A192" s="15"/>
      <c r="B192" s="16"/>
      <c r="C192" s="17"/>
      <c r="D192" s="18"/>
      <c r="G192" s="16"/>
      <c r="H192" s="16"/>
      <c r="I192" s="16"/>
      <c r="R192" s="14">
        <v>16</v>
      </c>
      <c r="S192" s="14">
        <v>20064</v>
      </c>
      <c r="T192" s="14">
        <v>0</v>
      </c>
      <c r="U192" s="20">
        <v>0.03</v>
      </c>
      <c r="V192" s="14">
        <v>0</v>
      </c>
      <c r="W192" s="14">
        <v>1</v>
      </c>
      <c r="X192" s="16" t="s">
        <v>85</v>
      </c>
      <c r="Y192" s="72"/>
    </row>
    <row r="193" spans="1:25" ht="14.5" x14ac:dyDescent="0.3">
      <c r="A193" s="15"/>
      <c r="B193" s="16"/>
      <c r="C193" s="17"/>
      <c r="D193" s="18"/>
      <c r="G193" s="16"/>
      <c r="H193" s="16"/>
      <c r="I193" s="16"/>
      <c r="S193" s="14">
        <v>6001</v>
      </c>
      <c r="T193" s="14">
        <v>3</v>
      </c>
      <c r="U193" s="14">
        <v>1800</v>
      </c>
      <c r="V193" s="14">
        <v>0</v>
      </c>
      <c r="W193" s="14">
        <v>1</v>
      </c>
      <c r="X193" s="25" t="s">
        <v>49</v>
      </c>
      <c r="Y193" s="72"/>
    </row>
    <row r="194" spans="1:25" ht="14.5" x14ac:dyDescent="0.3">
      <c r="A194" s="15"/>
      <c r="B194" s="16"/>
      <c r="C194" s="17"/>
      <c r="D194" s="18"/>
      <c r="G194" s="16"/>
      <c r="H194" s="16"/>
      <c r="I194" s="16"/>
      <c r="S194" s="14">
        <v>19034</v>
      </c>
      <c r="T194" s="14">
        <v>0</v>
      </c>
      <c r="U194" s="20">
        <v>4.4999999999999998E-2</v>
      </c>
      <c r="V194" s="14">
        <v>0</v>
      </c>
      <c r="W194" s="14">
        <v>1</v>
      </c>
      <c r="X194" s="14" t="s">
        <v>63</v>
      </c>
      <c r="Y194" s="72"/>
    </row>
    <row r="195" spans="1:25" ht="14.5" x14ac:dyDescent="0.3">
      <c r="A195" s="15"/>
      <c r="B195" s="16"/>
      <c r="C195" s="17"/>
      <c r="D195" s="18"/>
      <c r="G195" s="16"/>
      <c r="H195" s="16"/>
      <c r="I195" s="16"/>
      <c r="S195" s="14">
        <v>20104</v>
      </c>
      <c r="T195" s="14">
        <v>0</v>
      </c>
      <c r="U195" s="27">
        <v>8.0000000000000002E-3</v>
      </c>
      <c r="V195" s="27">
        <v>4.0000000000000001E-3</v>
      </c>
      <c r="W195" s="14">
        <v>1</v>
      </c>
      <c r="X195" s="14" t="s">
        <v>104</v>
      </c>
      <c r="Y195" s="72"/>
    </row>
    <row r="196" spans="1:25" ht="14.5" x14ac:dyDescent="0.3">
      <c r="A196" s="15"/>
      <c r="B196" s="16"/>
      <c r="C196" s="17"/>
      <c r="D196" s="18"/>
      <c r="G196" s="16"/>
      <c r="H196" s="16"/>
      <c r="I196" s="16"/>
      <c r="Y196" s="72"/>
    </row>
    <row r="197" spans="1:25" ht="14.5" x14ac:dyDescent="0.3">
      <c r="A197" s="15"/>
      <c r="B197" s="16"/>
      <c r="C197" s="17"/>
      <c r="D197" s="18"/>
      <c r="G197" s="16"/>
      <c r="H197" s="16"/>
      <c r="I197" s="16"/>
      <c r="Y197" s="72"/>
    </row>
    <row r="198" spans="1:25" ht="14.5" x14ac:dyDescent="0.3">
      <c r="A198" s="15"/>
      <c r="B198" s="16"/>
      <c r="C198" s="17"/>
      <c r="D198" s="18"/>
      <c r="G198" s="16"/>
      <c r="H198" s="16"/>
      <c r="I198" s="16"/>
      <c r="Y198" s="72"/>
    </row>
    <row r="199" spans="1:25" ht="16.5" x14ac:dyDescent="0.3">
      <c r="A199" s="15">
        <v>56123</v>
      </c>
      <c r="B199" s="16">
        <v>104</v>
      </c>
      <c r="C199" s="17" t="s">
        <v>109</v>
      </c>
      <c r="D199" s="8" t="s">
        <v>329</v>
      </c>
      <c r="E199" s="14" t="s">
        <v>44</v>
      </c>
      <c r="F199" s="15" t="s">
        <v>110</v>
      </c>
      <c r="G199" s="16">
        <v>4</v>
      </c>
      <c r="H199" s="16" t="s">
        <v>73</v>
      </c>
      <c r="I199" s="16">
        <v>2500</v>
      </c>
      <c r="J199" s="14">
        <v>3</v>
      </c>
      <c r="K199" s="14">
        <v>1</v>
      </c>
      <c r="L199" s="14">
        <v>20004</v>
      </c>
      <c r="M199" s="14">
        <v>0</v>
      </c>
      <c r="N199" s="20">
        <v>2.1999999999999999E-2</v>
      </c>
      <c r="O199" s="20">
        <v>2.2000000000000001E-3</v>
      </c>
      <c r="P199" s="16">
        <v>1</v>
      </c>
      <c r="Q199" s="16" t="s">
        <v>88</v>
      </c>
      <c r="R199" s="21">
        <v>1</v>
      </c>
      <c r="S199" s="14">
        <v>20074</v>
      </c>
      <c r="T199" s="14">
        <v>0</v>
      </c>
      <c r="U199" s="20">
        <v>8.0000000000000002E-3</v>
      </c>
      <c r="V199" s="20">
        <v>4.0000000000000001E-3</v>
      </c>
      <c r="W199" s="16">
        <v>1</v>
      </c>
      <c r="X199" s="16" t="s">
        <v>89</v>
      </c>
      <c r="Y199" s="73" t="s">
        <v>432</v>
      </c>
    </row>
    <row r="200" spans="1:25" ht="14.5" x14ac:dyDescent="0.3">
      <c r="A200" s="15"/>
      <c r="B200" s="16"/>
      <c r="C200" s="17"/>
      <c r="D200" s="18"/>
      <c r="G200" s="16"/>
      <c r="H200" s="16"/>
      <c r="I200" s="16"/>
      <c r="R200" s="14">
        <v>6</v>
      </c>
      <c r="S200" s="14">
        <v>20074</v>
      </c>
      <c r="T200" s="14">
        <v>0</v>
      </c>
      <c r="U200" s="20">
        <v>2.4E-2</v>
      </c>
      <c r="V200" s="14">
        <v>0</v>
      </c>
      <c r="W200" s="14">
        <v>1</v>
      </c>
      <c r="X200" s="16" t="s">
        <v>89</v>
      </c>
      <c r="Y200" s="72"/>
    </row>
    <row r="201" spans="1:25" ht="14.5" x14ac:dyDescent="0.3">
      <c r="A201" s="15"/>
      <c r="B201" s="16"/>
      <c r="C201" s="17"/>
      <c r="D201" s="18"/>
      <c r="G201" s="16"/>
      <c r="H201" s="16"/>
      <c r="I201" s="16"/>
      <c r="S201" s="14">
        <v>6034</v>
      </c>
      <c r="T201" s="14">
        <v>0</v>
      </c>
      <c r="U201" s="20">
        <v>0.02</v>
      </c>
      <c r="V201" s="20">
        <v>0.01</v>
      </c>
      <c r="W201" s="14">
        <v>1</v>
      </c>
      <c r="X201" s="14" t="s">
        <v>59</v>
      </c>
      <c r="Y201" s="72"/>
    </row>
    <row r="202" spans="1:25" ht="14.5" x14ac:dyDescent="0.3">
      <c r="A202" s="15"/>
      <c r="B202" s="16"/>
      <c r="C202" s="17"/>
      <c r="D202" s="18"/>
      <c r="G202" s="16"/>
      <c r="H202" s="16"/>
      <c r="I202" s="16"/>
      <c r="R202" s="14">
        <v>11</v>
      </c>
      <c r="S202" s="14">
        <v>20074</v>
      </c>
      <c r="T202" s="14">
        <v>0</v>
      </c>
      <c r="U202" s="20">
        <v>2.4E-2</v>
      </c>
      <c r="V202" s="14">
        <v>0</v>
      </c>
      <c r="W202" s="14">
        <v>1</v>
      </c>
      <c r="X202" s="16" t="s">
        <v>89</v>
      </c>
      <c r="Y202" s="72"/>
    </row>
    <row r="203" spans="1:25" ht="14.5" x14ac:dyDescent="0.3">
      <c r="A203" s="15"/>
      <c r="B203" s="16"/>
      <c r="C203" s="17"/>
      <c r="D203" s="18"/>
      <c r="G203" s="16"/>
      <c r="H203" s="16"/>
      <c r="I203" s="16"/>
      <c r="S203" s="14">
        <v>6034</v>
      </c>
      <c r="T203" s="14">
        <v>0</v>
      </c>
      <c r="U203" s="20">
        <v>0.06</v>
      </c>
      <c r="V203" s="14">
        <v>0</v>
      </c>
      <c r="W203" s="14">
        <v>1</v>
      </c>
      <c r="X203" s="14" t="s">
        <v>59</v>
      </c>
      <c r="Y203" s="72"/>
    </row>
    <row r="204" spans="1:25" ht="14.5" x14ac:dyDescent="0.3">
      <c r="A204" s="15"/>
      <c r="B204" s="16"/>
      <c r="C204" s="17"/>
      <c r="D204" s="18"/>
      <c r="G204" s="16"/>
      <c r="H204" s="16"/>
      <c r="I204" s="16"/>
      <c r="S204" s="14">
        <v>19024</v>
      </c>
      <c r="T204" s="14">
        <v>0</v>
      </c>
      <c r="U204" s="20">
        <v>1.4999999999999999E-2</v>
      </c>
      <c r="V204" s="20">
        <v>7.4999999999999997E-3</v>
      </c>
      <c r="W204" s="14">
        <v>1</v>
      </c>
      <c r="X204" s="14" t="s">
        <v>66</v>
      </c>
      <c r="Y204" s="72"/>
    </row>
    <row r="205" spans="1:25" ht="14.5" x14ac:dyDescent="0.3">
      <c r="A205" s="15"/>
      <c r="B205" s="16"/>
      <c r="C205" s="17"/>
      <c r="D205" s="18"/>
      <c r="G205" s="16"/>
      <c r="H205" s="16"/>
      <c r="I205" s="16"/>
      <c r="R205" s="14">
        <v>16</v>
      </c>
      <c r="S205" s="14">
        <v>20074</v>
      </c>
      <c r="T205" s="14">
        <v>0</v>
      </c>
      <c r="U205" s="20">
        <v>2.4E-2</v>
      </c>
      <c r="V205" s="14">
        <v>0</v>
      </c>
      <c r="W205" s="14">
        <v>1</v>
      </c>
      <c r="X205" s="16" t="s">
        <v>89</v>
      </c>
      <c r="Y205" s="72"/>
    </row>
    <row r="206" spans="1:25" ht="14.5" x14ac:dyDescent="0.3">
      <c r="A206" s="15"/>
      <c r="B206" s="16"/>
      <c r="C206" s="17"/>
      <c r="D206" s="18"/>
      <c r="G206" s="16"/>
      <c r="H206" s="16"/>
      <c r="I206" s="16"/>
      <c r="S206" s="14">
        <v>6034</v>
      </c>
      <c r="T206" s="14">
        <v>0</v>
      </c>
      <c r="U206" s="20">
        <v>0.06</v>
      </c>
      <c r="V206" s="14">
        <v>0</v>
      </c>
      <c r="W206" s="14">
        <v>1</v>
      </c>
      <c r="X206" s="14" t="s">
        <v>59</v>
      </c>
      <c r="Y206" s="72"/>
    </row>
    <row r="207" spans="1:25" ht="14.5" x14ac:dyDescent="0.3">
      <c r="A207" s="15"/>
      <c r="B207" s="16"/>
      <c r="C207" s="17"/>
      <c r="D207" s="18"/>
      <c r="G207" s="16"/>
      <c r="H207" s="16"/>
      <c r="I207" s="16"/>
      <c r="S207" s="14">
        <v>19024</v>
      </c>
      <c r="T207" s="14">
        <v>0</v>
      </c>
      <c r="U207" s="20">
        <v>4.4999999999999998E-2</v>
      </c>
      <c r="V207" s="14">
        <v>0</v>
      </c>
      <c r="W207" s="14">
        <v>1</v>
      </c>
      <c r="X207" s="14" t="s">
        <v>66</v>
      </c>
      <c r="Y207" s="72"/>
    </row>
    <row r="208" spans="1:25" ht="14.5" x14ac:dyDescent="0.3">
      <c r="A208" s="15"/>
      <c r="B208" s="16"/>
      <c r="C208" s="17"/>
      <c r="D208" s="18"/>
      <c r="G208" s="16"/>
      <c r="H208" s="16"/>
      <c r="I208" s="16"/>
      <c r="S208" s="14">
        <v>29101</v>
      </c>
      <c r="T208" s="14">
        <v>0</v>
      </c>
      <c r="U208" s="20">
        <v>0.01</v>
      </c>
      <c r="V208" s="20">
        <v>5.0000000000000001E-3</v>
      </c>
      <c r="W208" s="16">
        <v>1</v>
      </c>
      <c r="X208" s="14" t="s">
        <v>77</v>
      </c>
      <c r="Y208" s="72"/>
    </row>
    <row r="209" spans="1:25" ht="14.5" x14ac:dyDescent="0.3">
      <c r="A209" s="15"/>
      <c r="B209" s="16"/>
      <c r="C209" s="17"/>
      <c r="D209" s="18"/>
      <c r="G209" s="16"/>
      <c r="H209" s="16"/>
      <c r="I209" s="16"/>
      <c r="Y209" s="72"/>
    </row>
    <row r="210" spans="1:25" ht="14.5" x14ac:dyDescent="0.3">
      <c r="A210" s="15"/>
      <c r="B210" s="16"/>
      <c r="C210" s="17"/>
      <c r="D210" s="18"/>
      <c r="G210" s="16"/>
      <c r="H210" s="16"/>
      <c r="I210" s="16"/>
      <c r="Y210" s="72"/>
    </row>
    <row r="211" spans="1:25" ht="14.5" x14ac:dyDescent="0.3">
      <c r="A211" s="15"/>
      <c r="B211" s="16"/>
      <c r="C211" s="17"/>
      <c r="D211" s="18"/>
      <c r="G211" s="16"/>
      <c r="H211" s="16"/>
      <c r="I211" s="16"/>
      <c r="Y211" s="72"/>
    </row>
    <row r="212" spans="1:25" ht="14.5" x14ac:dyDescent="0.3">
      <c r="A212" s="15">
        <v>56124</v>
      </c>
      <c r="B212" s="16">
        <v>103</v>
      </c>
      <c r="C212" s="17" t="s">
        <v>111</v>
      </c>
      <c r="D212" s="8" t="s">
        <v>326</v>
      </c>
      <c r="E212" s="14" t="s">
        <v>44</v>
      </c>
      <c r="F212" s="15" t="s">
        <v>112</v>
      </c>
      <c r="G212" s="16">
        <v>1</v>
      </c>
      <c r="H212" s="16" t="s">
        <v>46</v>
      </c>
      <c r="I212" s="16">
        <v>900</v>
      </c>
      <c r="J212" s="14">
        <v>1</v>
      </c>
      <c r="K212" s="14">
        <v>3</v>
      </c>
      <c r="L212" s="14">
        <v>20033</v>
      </c>
      <c r="M212" s="16">
        <v>0</v>
      </c>
      <c r="N212" s="20">
        <v>0.01</v>
      </c>
      <c r="O212" s="20">
        <v>1E-3</v>
      </c>
      <c r="P212" s="16">
        <v>1</v>
      </c>
      <c r="Q212" s="16" t="s">
        <v>113</v>
      </c>
      <c r="R212" s="14">
        <v>1</v>
      </c>
      <c r="S212" s="14">
        <v>20063</v>
      </c>
      <c r="T212" s="14">
        <v>0</v>
      </c>
      <c r="U212" s="20">
        <v>3.0000000000000001E-3</v>
      </c>
      <c r="V212" s="20">
        <v>1.5E-3</v>
      </c>
      <c r="W212" s="16">
        <v>1</v>
      </c>
      <c r="X212" s="16" t="s">
        <v>114</v>
      </c>
      <c r="Y212" s="73" t="s">
        <v>425</v>
      </c>
    </row>
    <row r="213" spans="1:25" ht="14.5" x14ac:dyDescent="0.3">
      <c r="A213" s="15"/>
      <c r="B213" s="16"/>
      <c r="C213" s="17"/>
      <c r="D213" s="18"/>
      <c r="G213" s="16"/>
      <c r="H213" s="16"/>
      <c r="I213" s="16"/>
      <c r="R213" s="14">
        <v>6</v>
      </c>
      <c r="S213" s="14">
        <v>20063</v>
      </c>
      <c r="T213" s="16">
        <v>0</v>
      </c>
      <c r="U213" s="20">
        <v>8.9999999999999993E-3</v>
      </c>
      <c r="V213" s="14">
        <v>0</v>
      </c>
      <c r="W213" s="14">
        <v>1</v>
      </c>
      <c r="X213" s="16" t="s">
        <v>114</v>
      </c>
      <c r="Y213" s="72"/>
    </row>
    <row r="214" spans="1:25" ht="14.5" x14ac:dyDescent="0.3">
      <c r="A214" s="15"/>
      <c r="B214" s="16"/>
      <c r="C214" s="17"/>
      <c r="D214" s="18"/>
      <c r="G214" s="16"/>
      <c r="H214" s="16"/>
      <c r="I214" s="16"/>
      <c r="S214" s="14">
        <v>6001</v>
      </c>
      <c r="T214" s="16">
        <v>3</v>
      </c>
      <c r="U214" s="16">
        <v>180</v>
      </c>
      <c r="V214" s="16">
        <v>90</v>
      </c>
      <c r="W214" s="14">
        <v>1</v>
      </c>
      <c r="X214" s="25" t="s">
        <v>49</v>
      </c>
      <c r="Y214" s="72"/>
    </row>
    <row r="215" spans="1:25" ht="14.5" x14ac:dyDescent="0.3">
      <c r="A215" s="15"/>
      <c r="B215" s="16"/>
      <c r="C215" s="17"/>
      <c r="D215" s="18"/>
      <c r="G215" s="16"/>
      <c r="H215" s="16"/>
      <c r="I215" s="16"/>
      <c r="Y215" s="72"/>
    </row>
    <row r="216" spans="1:25" ht="14.5" x14ac:dyDescent="0.3">
      <c r="A216" s="15"/>
      <c r="B216" s="16"/>
      <c r="C216" s="17"/>
      <c r="D216" s="18"/>
      <c r="G216" s="16"/>
      <c r="H216" s="16"/>
      <c r="I216" s="16"/>
      <c r="Y216" s="72"/>
    </row>
    <row r="217" spans="1:25" ht="14.5" x14ac:dyDescent="0.3">
      <c r="A217" s="15">
        <v>56125</v>
      </c>
      <c r="B217" s="16">
        <v>103</v>
      </c>
      <c r="C217" s="17" t="s">
        <v>115</v>
      </c>
      <c r="D217" s="8" t="s">
        <v>327</v>
      </c>
      <c r="E217" s="14" t="s">
        <v>44</v>
      </c>
      <c r="F217" s="15" t="s">
        <v>116</v>
      </c>
      <c r="G217" s="16">
        <v>2</v>
      </c>
      <c r="H217" s="16" t="s">
        <v>46</v>
      </c>
      <c r="I217" s="16">
        <v>900</v>
      </c>
      <c r="J217" s="14">
        <v>1</v>
      </c>
      <c r="K217" s="14">
        <v>3</v>
      </c>
      <c r="L217" s="14">
        <v>20003</v>
      </c>
      <c r="M217" s="16">
        <v>0</v>
      </c>
      <c r="N217" s="20">
        <v>0.01</v>
      </c>
      <c r="O217" s="20">
        <v>1E-3</v>
      </c>
      <c r="P217" s="16">
        <v>1</v>
      </c>
      <c r="Q217" s="16" t="s">
        <v>117</v>
      </c>
      <c r="R217" s="14">
        <v>1</v>
      </c>
      <c r="S217" s="14">
        <v>20073</v>
      </c>
      <c r="T217" s="16">
        <v>0</v>
      </c>
      <c r="U217" s="20">
        <v>2.3999999999999998E-3</v>
      </c>
      <c r="V217" s="20">
        <v>1.1999999999999999E-3</v>
      </c>
      <c r="W217" s="16">
        <v>1</v>
      </c>
      <c r="X217" s="16" t="s">
        <v>118</v>
      </c>
      <c r="Y217" s="73" t="s">
        <v>426</v>
      </c>
    </row>
    <row r="218" spans="1:25" ht="14.5" x14ac:dyDescent="0.3">
      <c r="A218" s="15"/>
      <c r="B218" s="16"/>
      <c r="C218" s="17"/>
      <c r="D218" s="18"/>
      <c r="G218" s="16"/>
      <c r="H218" s="16"/>
      <c r="I218" s="16"/>
      <c r="R218" s="14">
        <v>6</v>
      </c>
      <c r="S218" s="14">
        <v>20073</v>
      </c>
      <c r="T218" s="16">
        <v>0</v>
      </c>
      <c r="U218" s="20">
        <v>7.1999999999999998E-3</v>
      </c>
      <c r="V218" s="14">
        <v>0</v>
      </c>
      <c r="W218" s="14">
        <v>1</v>
      </c>
      <c r="X218" s="16" t="s">
        <v>118</v>
      </c>
      <c r="Y218" s="72"/>
    </row>
    <row r="219" spans="1:25" ht="14.5" x14ac:dyDescent="0.3">
      <c r="A219" s="15"/>
      <c r="B219" s="16"/>
      <c r="C219" s="17"/>
      <c r="D219" s="18"/>
      <c r="G219" s="16"/>
      <c r="H219" s="16"/>
      <c r="I219" s="16"/>
      <c r="S219" s="16">
        <v>6046</v>
      </c>
      <c r="T219" s="16">
        <v>0</v>
      </c>
      <c r="U219" s="20">
        <v>5.0000000000000001E-4</v>
      </c>
      <c r="V219" s="20">
        <v>2.5000000000000001E-4</v>
      </c>
      <c r="W219" s="14">
        <v>1</v>
      </c>
      <c r="X219" s="16" t="s">
        <v>54</v>
      </c>
      <c r="Y219" s="72"/>
    </row>
    <row r="220" spans="1:25" ht="14.5" x14ac:dyDescent="0.3">
      <c r="A220" s="15"/>
      <c r="B220" s="16"/>
      <c r="C220" s="17"/>
      <c r="D220" s="18"/>
      <c r="G220" s="16"/>
      <c r="H220" s="16"/>
      <c r="I220" s="16"/>
      <c r="Y220" s="72"/>
    </row>
    <row r="221" spans="1:25" ht="14.5" x14ac:dyDescent="0.3">
      <c r="A221" s="15"/>
      <c r="B221" s="16"/>
      <c r="C221" s="17"/>
      <c r="D221" s="18"/>
      <c r="G221" s="16"/>
      <c r="H221" s="16"/>
      <c r="I221" s="16"/>
      <c r="Y221" s="72"/>
    </row>
    <row r="222" spans="1:25" ht="14.5" x14ac:dyDescent="0.3">
      <c r="A222" s="15">
        <v>56126</v>
      </c>
      <c r="B222" s="16">
        <v>103</v>
      </c>
      <c r="C222" s="17" t="s">
        <v>119</v>
      </c>
      <c r="D222" s="8" t="s">
        <v>328</v>
      </c>
      <c r="E222" s="14" t="s">
        <v>44</v>
      </c>
      <c r="F222" s="15" t="s">
        <v>120</v>
      </c>
      <c r="G222" s="16">
        <v>3</v>
      </c>
      <c r="H222" s="16" t="s">
        <v>46</v>
      </c>
      <c r="I222" s="16">
        <v>900</v>
      </c>
      <c r="J222" s="14">
        <v>1</v>
      </c>
      <c r="K222" s="14">
        <v>3</v>
      </c>
      <c r="L222" s="14">
        <v>20033</v>
      </c>
      <c r="M222" s="16">
        <v>0</v>
      </c>
      <c r="N222" s="20">
        <v>0.01</v>
      </c>
      <c r="O222" s="20">
        <v>1E-3</v>
      </c>
      <c r="P222" s="16">
        <v>1</v>
      </c>
      <c r="Q222" s="16" t="s">
        <v>113</v>
      </c>
      <c r="R222" s="14">
        <v>1</v>
      </c>
      <c r="S222" s="14">
        <v>20063</v>
      </c>
      <c r="T222" s="14">
        <v>0</v>
      </c>
      <c r="U222" s="20">
        <v>3.0000000000000001E-3</v>
      </c>
      <c r="V222" s="20">
        <v>1.5E-3</v>
      </c>
      <c r="W222" s="16">
        <v>1</v>
      </c>
      <c r="X222" s="16" t="s">
        <v>114</v>
      </c>
      <c r="Y222" s="73" t="s">
        <v>427</v>
      </c>
    </row>
    <row r="223" spans="1:25" ht="14.5" x14ac:dyDescent="0.3">
      <c r="A223" s="15"/>
      <c r="B223" s="16"/>
      <c r="C223" s="17"/>
      <c r="D223" s="18"/>
      <c r="G223" s="16"/>
      <c r="H223" s="16"/>
      <c r="I223" s="16"/>
      <c r="R223" s="14">
        <v>6</v>
      </c>
      <c r="S223" s="14">
        <v>20063</v>
      </c>
      <c r="T223" s="16">
        <v>0</v>
      </c>
      <c r="U223" s="20">
        <v>8.9999999999999993E-3</v>
      </c>
      <c r="V223" s="14">
        <v>0</v>
      </c>
      <c r="W223" s="14">
        <v>1</v>
      </c>
      <c r="X223" s="16" t="s">
        <v>114</v>
      </c>
      <c r="Y223" s="72"/>
    </row>
    <row r="224" spans="1:25" ht="14.5" x14ac:dyDescent="0.3">
      <c r="A224" s="15"/>
      <c r="B224" s="16"/>
      <c r="C224" s="17"/>
      <c r="D224" s="18"/>
      <c r="G224" s="16"/>
      <c r="H224" s="16"/>
      <c r="I224" s="16"/>
      <c r="S224" s="14">
        <v>6001</v>
      </c>
      <c r="T224" s="16">
        <v>3</v>
      </c>
      <c r="U224" s="16">
        <v>180</v>
      </c>
      <c r="V224" s="16">
        <v>90</v>
      </c>
      <c r="W224" s="14">
        <v>1</v>
      </c>
      <c r="X224" s="25" t="s">
        <v>49</v>
      </c>
      <c r="Y224" s="72"/>
    </row>
    <row r="225" spans="1:25" ht="14.5" x14ac:dyDescent="0.3">
      <c r="A225" s="15"/>
      <c r="B225" s="16"/>
      <c r="C225" s="17"/>
      <c r="D225" s="18"/>
      <c r="G225" s="16"/>
      <c r="H225" s="16"/>
      <c r="I225" s="16"/>
      <c r="Y225" s="72"/>
    </row>
    <row r="226" spans="1:25" ht="14.5" x14ac:dyDescent="0.3">
      <c r="A226" s="15"/>
      <c r="B226" s="16"/>
      <c r="C226" s="17"/>
      <c r="D226" s="18"/>
      <c r="G226" s="16"/>
      <c r="H226" s="16"/>
      <c r="I226" s="16"/>
      <c r="Y226" s="72"/>
    </row>
    <row r="227" spans="1:25" ht="14.5" x14ac:dyDescent="0.3">
      <c r="A227" s="15">
        <v>56127</v>
      </c>
      <c r="B227" s="16">
        <v>103</v>
      </c>
      <c r="C227" s="17" t="s">
        <v>121</v>
      </c>
      <c r="D227" s="8" t="s">
        <v>329</v>
      </c>
      <c r="E227" s="14" t="s">
        <v>44</v>
      </c>
      <c r="F227" s="15" t="s">
        <v>122</v>
      </c>
      <c r="G227" s="16">
        <v>4</v>
      </c>
      <c r="H227" s="16" t="s">
        <v>46</v>
      </c>
      <c r="I227" s="16">
        <v>900</v>
      </c>
      <c r="J227" s="14">
        <v>1</v>
      </c>
      <c r="K227" s="14">
        <v>3</v>
      </c>
      <c r="L227" s="14">
        <v>20003</v>
      </c>
      <c r="M227" s="16">
        <v>0</v>
      </c>
      <c r="N227" s="20">
        <v>0.01</v>
      </c>
      <c r="O227" s="20">
        <v>1E-3</v>
      </c>
      <c r="P227" s="16">
        <v>1</v>
      </c>
      <c r="Q227" s="16" t="s">
        <v>117</v>
      </c>
      <c r="R227" s="14">
        <v>1</v>
      </c>
      <c r="S227" s="14">
        <v>20073</v>
      </c>
      <c r="T227" s="16">
        <v>0</v>
      </c>
      <c r="U227" s="20">
        <v>2.3999999999999998E-3</v>
      </c>
      <c r="V227" s="20">
        <v>1.1999999999999999E-3</v>
      </c>
      <c r="W227" s="16">
        <v>1</v>
      </c>
      <c r="X227" s="16" t="s">
        <v>118</v>
      </c>
      <c r="Y227" s="73" t="s">
        <v>428</v>
      </c>
    </row>
    <row r="228" spans="1:25" ht="14.5" x14ac:dyDescent="0.3">
      <c r="A228" s="15"/>
      <c r="B228" s="16"/>
      <c r="C228" s="17"/>
      <c r="D228" s="18"/>
      <c r="G228" s="16"/>
      <c r="H228" s="16"/>
      <c r="I228" s="16"/>
      <c r="R228" s="14">
        <v>6</v>
      </c>
      <c r="S228" s="14">
        <v>20073</v>
      </c>
      <c r="T228" s="14">
        <v>0</v>
      </c>
      <c r="U228" s="20">
        <v>7.1999999999999998E-3</v>
      </c>
      <c r="V228" s="14">
        <v>0</v>
      </c>
      <c r="W228" s="14">
        <v>1</v>
      </c>
      <c r="X228" s="16" t="s">
        <v>118</v>
      </c>
      <c r="Y228" s="72"/>
    </row>
    <row r="229" spans="1:25" ht="14.5" x14ac:dyDescent="0.3">
      <c r="A229" s="15"/>
      <c r="B229" s="16"/>
      <c r="C229" s="17"/>
      <c r="D229" s="18"/>
      <c r="G229" s="16"/>
      <c r="H229" s="16"/>
      <c r="I229" s="16"/>
      <c r="S229" s="14">
        <v>6033</v>
      </c>
      <c r="T229" s="14">
        <v>0</v>
      </c>
      <c r="U229" s="20">
        <v>5.0000000000000001E-3</v>
      </c>
      <c r="V229" s="20">
        <v>2.5000000000000001E-3</v>
      </c>
      <c r="W229" s="14">
        <v>1</v>
      </c>
      <c r="X229" s="14" t="s">
        <v>59</v>
      </c>
      <c r="Y229" s="72"/>
    </row>
    <row r="230" spans="1:25" ht="14.5" x14ac:dyDescent="0.3">
      <c r="A230" s="15"/>
      <c r="B230" s="16"/>
      <c r="C230" s="17"/>
      <c r="D230" s="18"/>
      <c r="G230" s="16"/>
      <c r="H230" s="16"/>
      <c r="I230" s="16"/>
      <c r="Y230" s="72"/>
    </row>
    <row r="231" spans="1:25" ht="14.5" x14ac:dyDescent="0.3">
      <c r="A231" s="15"/>
      <c r="B231" s="16"/>
      <c r="C231" s="17"/>
      <c r="D231" s="18"/>
      <c r="G231" s="16"/>
      <c r="H231" s="16"/>
      <c r="I231" s="16"/>
      <c r="Y231" s="72"/>
    </row>
    <row r="232" spans="1:25" ht="14.5" x14ac:dyDescent="0.3">
      <c r="A232" s="15">
        <v>56128</v>
      </c>
      <c r="B232" s="16">
        <v>103</v>
      </c>
      <c r="C232" s="17" t="s">
        <v>123</v>
      </c>
      <c r="D232" s="8" t="s">
        <v>326</v>
      </c>
      <c r="E232" s="14" t="s">
        <v>44</v>
      </c>
      <c r="F232" s="15" t="s">
        <v>124</v>
      </c>
      <c r="G232" s="16">
        <v>1</v>
      </c>
      <c r="H232" s="16" t="s">
        <v>62</v>
      </c>
      <c r="I232" s="16">
        <v>1800</v>
      </c>
      <c r="J232" s="14">
        <v>2</v>
      </c>
      <c r="K232" s="14">
        <v>2</v>
      </c>
      <c r="L232" s="14">
        <v>20033</v>
      </c>
      <c r="M232" s="14">
        <v>0</v>
      </c>
      <c r="N232" s="20">
        <v>1.4999999999999999E-2</v>
      </c>
      <c r="O232" s="20">
        <v>1.5E-3</v>
      </c>
      <c r="P232" s="16">
        <v>1</v>
      </c>
      <c r="Q232" s="16" t="s">
        <v>113</v>
      </c>
      <c r="R232" s="14">
        <v>1</v>
      </c>
      <c r="S232" s="14">
        <v>20063</v>
      </c>
      <c r="T232" s="14">
        <v>0</v>
      </c>
      <c r="U232" s="20">
        <v>5.0000000000000001E-3</v>
      </c>
      <c r="V232" s="20">
        <v>2.5000000000000001E-3</v>
      </c>
      <c r="W232" s="16">
        <v>1</v>
      </c>
      <c r="X232" s="16" t="s">
        <v>114</v>
      </c>
      <c r="Y232" s="73" t="s">
        <v>425</v>
      </c>
    </row>
    <row r="233" spans="1:25" ht="14.5" x14ac:dyDescent="0.3">
      <c r="A233" s="15"/>
      <c r="B233" s="16"/>
      <c r="C233" s="17"/>
      <c r="D233" s="18"/>
      <c r="G233" s="16"/>
      <c r="H233" s="16"/>
      <c r="I233" s="16"/>
      <c r="R233" s="14">
        <v>6</v>
      </c>
      <c r="S233" s="14">
        <v>20063</v>
      </c>
      <c r="T233" s="16">
        <v>0</v>
      </c>
      <c r="U233" s="20">
        <v>1.4999999999999999E-2</v>
      </c>
      <c r="V233" s="14">
        <v>0</v>
      </c>
      <c r="W233" s="14">
        <v>1</v>
      </c>
      <c r="X233" s="16" t="s">
        <v>114</v>
      </c>
      <c r="Y233" s="72"/>
    </row>
    <row r="234" spans="1:25" ht="14.5" x14ac:dyDescent="0.3">
      <c r="A234" s="15"/>
      <c r="B234" s="16"/>
      <c r="C234" s="17"/>
      <c r="D234" s="18"/>
      <c r="G234" s="16"/>
      <c r="H234" s="16"/>
      <c r="I234" s="16"/>
      <c r="S234" s="14">
        <v>6001</v>
      </c>
      <c r="T234" s="16">
        <v>3</v>
      </c>
      <c r="U234" s="16">
        <v>300</v>
      </c>
      <c r="V234" s="16">
        <v>150</v>
      </c>
      <c r="W234" s="14">
        <v>1</v>
      </c>
      <c r="X234" s="25" t="s">
        <v>49</v>
      </c>
      <c r="Y234" s="72"/>
    </row>
    <row r="235" spans="1:25" ht="14.5" x14ac:dyDescent="0.3">
      <c r="A235" s="15"/>
      <c r="B235" s="16"/>
      <c r="C235" s="17"/>
      <c r="D235" s="18"/>
      <c r="G235" s="16"/>
      <c r="H235" s="16"/>
      <c r="I235" s="16"/>
      <c r="R235" s="14">
        <v>11</v>
      </c>
      <c r="S235" s="14">
        <v>20063</v>
      </c>
      <c r="T235" s="16">
        <v>0</v>
      </c>
      <c r="U235" s="20">
        <v>1.4999999999999999E-2</v>
      </c>
      <c r="V235" s="14">
        <v>0</v>
      </c>
      <c r="W235" s="14">
        <v>1</v>
      </c>
      <c r="X235" s="16" t="s">
        <v>114</v>
      </c>
      <c r="Y235" s="72"/>
    </row>
    <row r="236" spans="1:25" ht="14.5" x14ac:dyDescent="0.3">
      <c r="A236" s="15"/>
      <c r="B236" s="16"/>
      <c r="C236" s="17"/>
      <c r="D236" s="18"/>
      <c r="G236" s="16"/>
      <c r="H236" s="16"/>
      <c r="I236" s="16"/>
      <c r="S236" s="14">
        <v>6001</v>
      </c>
      <c r="T236" s="16">
        <v>3</v>
      </c>
      <c r="U236" s="14">
        <v>900</v>
      </c>
      <c r="V236" s="14">
        <v>0</v>
      </c>
      <c r="W236" s="14">
        <v>1</v>
      </c>
      <c r="X236" s="25" t="s">
        <v>49</v>
      </c>
      <c r="Y236" s="72"/>
    </row>
    <row r="237" spans="1:25" ht="14.5" x14ac:dyDescent="0.3">
      <c r="A237" s="15"/>
      <c r="B237" s="16"/>
      <c r="C237" s="17"/>
      <c r="D237" s="18"/>
      <c r="G237" s="16"/>
      <c r="H237" s="16"/>
      <c r="I237" s="16"/>
      <c r="S237" s="14">
        <v>19033</v>
      </c>
      <c r="T237" s="14">
        <v>0</v>
      </c>
      <c r="U237" s="26">
        <v>7.0000000000000001E-3</v>
      </c>
      <c r="V237" s="26">
        <v>3.5000000000000001E-3</v>
      </c>
      <c r="W237" s="14">
        <v>1</v>
      </c>
      <c r="X237" s="14" t="s">
        <v>63</v>
      </c>
      <c r="Y237" s="72"/>
    </row>
    <row r="238" spans="1:25" ht="14.5" x14ac:dyDescent="0.3">
      <c r="A238" s="15"/>
      <c r="B238" s="16"/>
      <c r="C238" s="17"/>
      <c r="D238" s="18"/>
      <c r="G238" s="16"/>
      <c r="H238" s="16"/>
      <c r="I238" s="16"/>
      <c r="Y238" s="72"/>
    </row>
    <row r="239" spans="1:25" ht="14.5" x14ac:dyDescent="0.3">
      <c r="A239" s="15"/>
      <c r="B239" s="16"/>
      <c r="C239" s="17"/>
      <c r="D239" s="18"/>
      <c r="G239" s="16"/>
      <c r="H239" s="16"/>
      <c r="I239" s="16"/>
      <c r="Y239" s="72"/>
    </row>
    <row r="240" spans="1:25" ht="14.5" x14ac:dyDescent="0.3">
      <c r="A240" s="15"/>
      <c r="B240" s="16"/>
      <c r="C240" s="17"/>
      <c r="D240" s="18"/>
      <c r="G240" s="16"/>
      <c r="H240" s="16"/>
      <c r="I240" s="16"/>
      <c r="Y240" s="72"/>
    </row>
    <row r="241" spans="1:25" ht="14.5" x14ac:dyDescent="0.3">
      <c r="A241" s="15">
        <v>56129</v>
      </c>
      <c r="B241" s="16">
        <v>103</v>
      </c>
      <c r="C241" s="17" t="s">
        <v>125</v>
      </c>
      <c r="D241" s="8" t="s">
        <v>327</v>
      </c>
      <c r="E241" s="14" t="s">
        <v>44</v>
      </c>
      <c r="F241" s="15" t="s">
        <v>126</v>
      </c>
      <c r="G241" s="16">
        <v>2</v>
      </c>
      <c r="H241" s="16" t="s">
        <v>62</v>
      </c>
      <c r="I241" s="16">
        <v>1800</v>
      </c>
      <c r="J241" s="14">
        <v>2</v>
      </c>
      <c r="K241" s="14">
        <v>2</v>
      </c>
      <c r="L241" s="14">
        <v>20003</v>
      </c>
      <c r="M241" s="14">
        <v>0</v>
      </c>
      <c r="N241" s="20">
        <v>1.4999999999999999E-2</v>
      </c>
      <c r="O241" s="20">
        <v>1.5E-3</v>
      </c>
      <c r="P241" s="16">
        <v>1</v>
      </c>
      <c r="Q241" s="16" t="s">
        <v>117</v>
      </c>
      <c r="R241" s="14">
        <v>1</v>
      </c>
      <c r="S241" s="14">
        <v>20073</v>
      </c>
      <c r="T241" s="14">
        <v>0</v>
      </c>
      <c r="U241" s="20">
        <v>4.0000000000000001E-3</v>
      </c>
      <c r="V241" s="20">
        <v>2E-3</v>
      </c>
      <c r="W241" s="14">
        <v>1</v>
      </c>
      <c r="X241" s="16" t="s">
        <v>118</v>
      </c>
      <c r="Y241" s="73" t="s">
        <v>426</v>
      </c>
    </row>
    <row r="242" spans="1:25" ht="14.5" x14ac:dyDescent="0.3">
      <c r="A242" s="15"/>
      <c r="B242" s="16"/>
      <c r="C242" s="17"/>
      <c r="D242" s="18"/>
      <c r="G242" s="16"/>
      <c r="H242" s="16"/>
      <c r="I242" s="16"/>
      <c r="R242" s="14">
        <v>6</v>
      </c>
      <c r="S242" s="14">
        <v>20073</v>
      </c>
      <c r="T242" s="14">
        <v>0</v>
      </c>
      <c r="U242" s="20">
        <v>1.2E-2</v>
      </c>
      <c r="V242" s="14">
        <v>0</v>
      </c>
      <c r="W242" s="14">
        <v>1</v>
      </c>
      <c r="X242" s="16" t="s">
        <v>118</v>
      </c>
      <c r="Y242" s="72"/>
    </row>
    <row r="243" spans="1:25" ht="14.5" x14ac:dyDescent="0.3">
      <c r="A243" s="15"/>
      <c r="B243" s="16"/>
      <c r="C243" s="17"/>
      <c r="D243" s="18"/>
      <c r="G243" s="16"/>
      <c r="H243" s="16"/>
      <c r="I243" s="16"/>
      <c r="S243" s="16">
        <v>6046</v>
      </c>
      <c r="T243" s="14">
        <v>0</v>
      </c>
      <c r="U243" s="20">
        <v>1E-3</v>
      </c>
      <c r="V243" s="20">
        <v>5.0000000000000001E-4</v>
      </c>
      <c r="W243" s="14">
        <v>1</v>
      </c>
      <c r="X243" s="16" t="s">
        <v>54</v>
      </c>
      <c r="Y243" s="72"/>
    </row>
    <row r="244" spans="1:25" ht="14.5" x14ac:dyDescent="0.3">
      <c r="A244" s="15"/>
      <c r="B244" s="16"/>
      <c r="C244" s="17"/>
      <c r="D244" s="18"/>
      <c r="G244" s="16"/>
      <c r="H244" s="16"/>
      <c r="I244" s="16"/>
      <c r="R244" s="14">
        <v>11</v>
      </c>
      <c r="S244" s="14">
        <v>20073</v>
      </c>
      <c r="T244" s="14">
        <v>0</v>
      </c>
      <c r="U244" s="20">
        <v>1.2E-2</v>
      </c>
      <c r="V244" s="14">
        <v>0</v>
      </c>
      <c r="W244" s="14">
        <v>1</v>
      </c>
      <c r="X244" s="16" t="s">
        <v>118</v>
      </c>
      <c r="Y244" s="72"/>
    </row>
    <row r="245" spans="1:25" ht="14.5" x14ac:dyDescent="0.3">
      <c r="A245" s="15"/>
      <c r="B245" s="16"/>
      <c r="C245" s="17"/>
      <c r="D245" s="18"/>
      <c r="G245" s="16"/>
      <c r="H245" s="16"/>
      <c r="I245" s="16"/>
      <c r="S245" s="16">
        <v>6046</v>
      </c>
      <c r="T245" s="14">
        <v>0</v>
      </c>
      <c r="U245" s="20">
        <v>3.0000000000000001E-3</v>
      </c>
      <c r="V245" s="20">
        <v>0</v>
      </c>
      <c r="W245" s="14">
        <v>1</v>
      </c>
      <c r="X245" s="16" t="s">
        <v>54</v>
      </c>
      <c r="Y245" s="72"/>
    </row>
    <row r="246" spans="1:25" ht="14.5" x14ac:dyDescent="0.3">
      <c r="A246" s="15"/>
      <c r="B246" s="16"/>
      <c r="C246" s="17"/>
      <c r="D246" s="18"/>
      <c r="G246" s="16"/>
      <c r="H246" s="16"/>
      <c r="I246" s="16"/>
      <c r="S246" s="14">
        <v>19023</v>
      </c>
      <c r="T246" s="14">
        <v>0</v>
      </c>
      <c r="U246" s="26">
        <v>7.0000000000000001E-3</v>
      </c>
      <c r="V246" s="26">
        <v>3.5000000000000001E-3</v>
      </c>
      <c r="W246" s="14">
        <v>1</v>
      </c>
      <c r="X246" s="14" t="s">
        <v>66</v>
      </c>
      <c r="Y246" s="72"/>
    </row>
    <row r="247" spans="1:25" ht="14.5" x14ac:dyDescent="0.3">
      <c r="A247" s="15"/>
      <c r="B247" s="16"/>
      <c r="C247" s="17"/>
      <c r="D247" s="18"/>
      <c r="G247" s="16"/>
      <c r="H247" s="16"/>
      <c r="I247" s="16"/>
      <c r="Y247" s="72"/>
    </row>
    <row r="248" spans="1:25" ht="14.5" x14ac:dyDescent="0.3">
      <c r="A248" s="15"/>
      <c r="B248" s="16"/>
      <c r="C248" s="17"/>
      <c r="D248" s="18"/>
      <c r="G248" s="16"/>
      <c r="H248" s="16"/>
      <c r="I248" s="16"/>
      <c r="Y248" s="72"/>
    </row>
    <row r="249" spans="1:25" ht="14.5" x14ac:dyDescent="0.3">
      <c r="A249" s="15"/>
      <c r="B249" s="16"/>
      <c r="C249" s="17"/>
      <c r="D249" s="18"/>
      <c r="G249" s="16"/>
      <c r="H249" s="16"/>
      <c r="I249" s="16"/>
      <c r="Y249" s="72"/>
    </row>
    <row r="250" spans="1:25" ht="14.5" x14ac:dyDescent="0.3">
      <c r="A250" s="15">
        <v>56130</v>
      </c>
      <c r="B250" s="16">
        <v>103</v>
      </c>
      <c r="C250" s="17" t="s">
        <v>127</v>
      </c>
      <c r="D250" s="8" t="s">
        <v>328</v>
      </c>
      <c r="E250" s="14" t="s">
        <v>44</v>
      </c>
      <c r="F250" s="15" t="s">
        <v>128</v>
      </c>
      <c r="G250" s="16">
        <v>3</v>
      </c>
      <c r="H250" s="16" t="s">
        <v>62</v>
      </c>
      <c r="I250" s="16">
        <v>1800</v>
      </c>
      <c r="J250" s="14">
        <v>2</v>
      </c>
      <c r="K250" s="14">
        <v>2</v>
      </c>
      <c r="L250" s="14">
        <v>20033</v>
      </c>
      <c r="M250" s="14">
        <v>0</v>
      </c>
      <c r="N250" s="20">
        <v>1.4999999999999999E-2</v>
      </c>
      <c r="O250" s="20">
        <v>1.5E-3</v>
      </c>
      <c r="P250" s="16">
        <v>1</v>
      </c>
      <c r="Q250" s="16" t="s">
        <v>113</v>
      </c>
      <c r="R250" s="14">
        <v>1</v>
      </c>
      <c r="S250" s="14">
        <v>20063</v>
      </c>
      <c r="T250" s="14">
        <v>0</v>
      </c>
      <c r="U250" s="20">
        <v>5.0000000000000001E-3</v>
      </c>
      <c r="V250" s="20">
        <v>2.5000000000000001E-3</v>
      </c>
      <c r="W250" s="16">
        <v>1</v>
      </c>
      <c r="X250" s="16" t="s">
        <v>114</v>
      </c>
      <c r="Y250" s="73" t="s">
        <v>427</v>
      </c>
    </row>
    <row r="251" spans="1:25" ht="14.5" x14ac:dyDescent="0.3">
      <c r="A251" s="15"/>
      <c r="B251" s="16"/>
      <c r="C251" s="17"/>
      <c r="D251" s="18"/>
      <c r="G251" s="16"/>
      <c r="H251" s="16"/>
      <c r="I251" s="16"/>
      <c r="R251" s="14">
        <v>6</v>
      </c>
      <c r="S251" s="14">
        <v>20063</v>
      </c>
      <c r="T251" s="16">
        <v>0</v>
      </c>
      <c r="U251" s="20">
        <v>1.4999999999999999E-2</v>
      </c>
      <c r="V251" s="14">
        <v>0</v>
      </c>
      <c r="W251" s="14">
        <v>1</v>
      </c>
      <c r="X251" s="16" t="s">
        <v>114</v>
      </c>
      <c r="Y251" s="72"/>
    </row>
    <row r="252" spans="1:25" ht="14.5" x14ac:dyDescent="0.3">
      <c r="A252" s="15"/>
      <c r="B252" s="16"/>
      <c r="C252" s="17"/>
      <c r="D252" s="18"/>
      <c r="G252" s="16"/>
      <c r="H252" s="16"/>
      <c r="I252" s="16"/>
      <c r="S252" s="14">
        <v>6001</v>
      </c>
      <c r="T252" s="16">
        <v>3</v>
      </c>
      <c r="U252" s="16">
        <v>300</v>
      </c>
      <c r="V252" s="16">
        <v>150</v>
      </c>
      <c r="W252" s="14">
        <v>1</v>
      </c>
      <c r="X252" s="25" t="s">
        <v>49</v>
      </c>
      <c r="Y252" s="72"/>
    </row>
    <row r="253" spans="1:25" ht="14.5" x14ac:dyDescent="0.3">
      <c r="A253" s="15"/>
      <c r="B253" s="16"/>
      <c r="C253" s="17"/>
      <c r="D253" s="18"/>
      <c r="G253" s="16"/>
      <c r="H253" s="16"/>
      <c r="I253" s="16"/>
      <c r="R253" s="14">
        <v>11</v>
      </c>
      <c r="S253" s="14">
        <v>20063</v>
      </c>
      <c r="T253" s="16">
        <v>0</v>
      </c>
      <c r="U253" s="20">
        <v>1.4999999999999999E-2</v>
      </c>
      <c r="V253" s="14">
        <v>0</v>
      </c>
      <c r="W253" s="14">
        <v>1</v>
      </c>
      <c r="X253" s="16" t="s">
        <v>114</v>
      </c>
      <c r="Y253" s="72"/>
    </row>
    <row r="254" spans="1:25" ht="14.5" x14ac:dyDescent="0.3">
      <c r="A254" s="15"/>
      <c r="B254" s="16"/>
      <c r="C254" s="17"/>
      <c r="D254" s="18"/>
      <c r="G254" s="16"/>
      <c r="H254" s="16"/>
      <c r="I254" s="16"/>
      <c r="S254" s="14">
        <v>6001</v>
      </c>
      <c r="T254" s="16">
        <v>3</v>
      </c>
      <c r="U254" s="14">
        <v>900</v>
      </c>
      <c r="V254" s="14">
        <v>0</v>
      </c>
      <c r="W254" s="14">
        <v>1</v>
      </c>
      <c r="X254" s="25" t="s">
        <v>49</v>
      </c>
      <c r="Y254" s="72"/>
    </row>
    <row r="255" spans="1:25" ht="14.5" x14ac:dyDescent="0.3">
      <c r="A255" s="15"/>
      <c r="B255" s="16"/>
      <c r="C255" s="17"/>
      <c r="D255" s="18"/>
      <c r="G255" s="16"/>
      <c r="H255" s="16"/>
      <c r="I255" s="16"/>
      <c r="S255" s="14">
        <v>19033</v>
      </c>
      <c r="T255" s="14">
        <v>0</v>
      </c>
      <c r="U255" s="26">
        <v>7.0000000000000001E-3</v>
      </c>
      <c r="V255" s="26">
        <v>3.5000000000000001E-3</v>
      </c>
      <c r="W255" s="14">
        <v>1</v>
      </c>
      <c r="X255" s="14" t="s">
        <v>63</v>
      </c>
      <c r="Y255" s="72"/>
    </row>
    <row r="256" spans="1:25" ht="14.5" x14ac:dyDescent="0.3">
      <c r="A256" s="15"/>
      <c r="B256" s="16"/>
      <c r="C256" s="17"/>
      <c r="D256" s="18"/>
      <c r="G256" s="16"/>
      <c r="H256" s="16"/>
      <c r="I256" s="16"/>
      <c r="Y256" s="72"/>
    </row>
    <row r="257" spans="1:25" ht="14.5" x14ac:dyDescent="0.3">
      <c r="A257" s="15"/>
      <c r="B257" s="16"/>
      <c r="C257" s="17"/>
      <c r="D257" s="18"/>
      <c r="G257" s="16"/>
      <c r="H257" s="16"/>
      <c r="I257" s="16"/>
      <c r="Y257" s="72"/>
    </row>
    <row r="258" spans="1:25" ht="14.5" x14ac:dyDescent="0.3">
      <c r="A258" s="15"/>
      <c r="B258" s="16"/>
      <c r="C258" s="17"/>
      <c r="D258" s="18"/>
      <c r="G258" s="16"/>
      <c r="H258" s="16"/>
      <c r="I258" s="16"/>
      <c r="Y258" s="72"/>
    </row>
    <row r="259" spans="1:25" ht="14.5" x14ac:dyDescent="0.3">
      <c r="A259" s="15">
        <v>56131</v>
      </c>
      <c r="B259" s="16">
        <v>103</v>
      </c>
      <c r="C259" s="17" t="s">
        <v>129</v>
      </c>
      <c r="D259" s="8" t="s">
        <v>329</v>
      </c>
      <c r="E259" s="14" t="s">
        <v>44</v>
      </c>
      <c r="F259" s="15" t="s">
        <v>130</v>
      </c>
      <c r="G259" s="16">
        <v>4</v>
      </c>
      <c r="H259" s="16" t="s">
        <v>62</v>
      </c>
      <c r="I259" s="16">
        <v>1800</v>
      </c>
      <c r="J259" s="14">
        <v>2</v>
      </c>
      <c r="K259" s="14">
        <v>2</v>
      </c>
      <c r="L259" s="14">
        <v>20003</v>
      </c>
      <c r="M259" s="14">
        <v>0</v>
      </c>
      <c r="N259" s="20">
        <v>1.4999999999999999E-2</v>
      </c>
      <c r="O259" s="20">
        <v>1.5E-3</v>
      </c>
      <c r="P259" s="16">
        <v>1</v>
      </c>
      <c r="Q259" s="16" t="s">
        <v>117</v>
      </c>
      <c r="R259" s="14">
        <v>1</v>
      </c>
      <c r="S259" s="14">
        <v>20073</v>
      </c>
      <c r="T259" s="14">
        <v>0</v>
      </c>
      <c r="U259" s="20">
        <v>4.0000000000000001E-3</v>
      </c>
      <c r="V259" s="20">
        <v>2E-3</v>
      </c>
      <c r="W259" s="14">
        <v>1</v>
      </c>
      <c r="X259" s="16" t="s">
        <v>118</v>
      </c>
      <c r="Y259" s="73" t="s">
        <v>428</v>
      </c>
    </row>
    <row r="260" spans="1:25" ht="14.5" x14ac:dyDescent="0.3">
      <c r="A260" s="15"/>
      <c r="B260" s="16"/>
      <c r="C260" s="17"/>
      <c r="D260" s="18"/>
      <c r="G260" s="16"/>
      <c r="H260" s="16"/>
      <c r="I260" s="16"/>
      <c r="R260" s="14">
        <v>6</v>
      </c>
      <c r="S260" s="14">
        <v>20073</v>
      </c>
      <c r="T260" s="14">
        <v>0</v>
      </c>
      <c r="U260" s="20">
        <v>1.2E-2</v>
      </c>
      <c r="V260" s="14">
        <v>0</v>
      </c>
      <c r="W260" s="14">
        <v>1</v>
      </c>
      <c r="X260" s="16" t="s">
        <v>118</v>
      </c>
      <c r="Y260" s="72"/>
    </row>
    <row r="261" spans="1:25" ht="14.5" x14ac:dyDescent="0.3">
      <c r="A261" s="15"/>
      <c r="B261" s="16"/>
      <c r="C261" s="17"/>
      <c r="D261" s="18"/>
      <c r="G261" s="16"/>
      <c r="H261" s="16"/>
      <c r="I261" s="16"/>
      <c r="S261" s="14">
        <v>6033</v>
      </c>
      <c r="T261" s="14">
        <v>0</v>
      </c>
      <c r="U261" s="20">
        <v>0.01</v>
      </c>
      <c r="V261" s="20">
        <v>5.0000000000000001E-3</v>
      </c>
      <c r="W261" s="14">
        <v>1</v>
      </c>
      <c r="X261" s="14" t="s">
        <v>59</v>
      </c>
      <c r="Y261" s="72"/>
    </row>
    <row r="262" spans="1:25" ht="14.5" x14ac:dyDescent="0.3">
      <c r="A262" s="15"/>
      <c r="B262" s="16"/>
      <c r="C262" s="17"/>
      <c r="D262" s="18"/>
      <c r="G262" s="16"/>
      <c r="H262" s="16"/>
      <c r="I262" s="16"/>
      <c r="R262" s="14">
        <v>11</v>
      </c>
      <c r="S262" s="14">
        <v>20073</v>
      </c>
      <c r="T262" s="14">
        <v>0</v>
      </c>
      <c r="U262" s="20">
        <v>1.2E-2</v>
      </c>
      <c r="V262" s="14">
        <v>0</v>
      </c>
      <c r="W262" s="14">
        <v>1</v>
      </c>
      <c r="X262" s="16" t="s">
        <v>118</v>
      </c>
      <c r="Y262" s="72"/>
    </row>
    <row r="263" spans="1:25" ht="14.5" x14ac:dyDescent="0.3">
      <c r="A263" s="15"/>
      <c r="B263" s="16"/>
      <c r="C263" s="17"/>
      <c r="D263" s="18"/>
      <c r="G263" s="16"/>
      <c r="H263" s="16"/>
      <c r="I263" s="16"/>
      <c r="S263" s="14">
        <v>6033</v>
      </c>
      <c r="T263" s="14">
        <v>0</v>
      </c>
      <c r="U263" s="20">
        <v>0.03</v>
      </c>
      <c r="V263" s="14">
        <v>0</v>
      </c>
      <c r="W263" s="14">
        <v>1</v>
      </c>
      <c r="X263" s="14" t="s">
        <v>59</v>
      </c>
      <c r="Y263" s="72"/>
    </row>
    <row r="264" spans="1:25" ht="14.5" x14ac:dyDescent="0.3">
      <c r="A264" s="15"/>
      <c r="B264" s="16"/>
      <c r="C264" s="17"/>
      <c r="D264" s="18"/>
      <c r="G264" s="16"/>
      <c r="H264" s="16"/>
      <c r="I264" s="16"/>
      <c r="S264" s="14">
        <v>19023</v>
      </c>
      <c r="T264" s="14">
        <v>0</v>
      </c>
      <c r="U264" s="26">
        <v>7.0000000000000001E-3</v>
      </c>
      <c r="V264" s="26">
        <v>3.5000000000000001E-3</v>
      </c>
      <c r="W264" s="14">
        <v>1</v>
      </c>
      <c r="X264" s="14" t="s">
        <v>66</v>
      </c>
      <c r="Y264" s="72"/>
    </row>
    <row r="265" spans="1:25" ht="14.5" x14ac:dyDescent="0.3">
      <c r="A265" s="15"/>
      <c r="B265" s="16"/>
      <c r="C265" s="17"/>
      <c r="D265" s="18"/>
      <c r="G265" s="16"/>
      <c r="H265" s="16"/>
      <c r="I265" s="16"/>
      <c r="Y265" s="72"/>
    </row>
    <row r="266" spans="1:25" ht="14.5" x14ac:dyDescent="0.3">
      <c r="A266" s="15"/>
      <c r="B266" s="16"/>
      <c r="C266" s="17"/>
      <c r="D266" s="18"/>
      <c r="G266" s="16"/>
      <c r="H266" s="16"/>
      <c r="I266" s="16"/>
      <c r="Y266" s="72"/>
    </row>
    <row r="267" spans="1:25" ht="14.5" x14ac:dyDescent="0.3">
      <c r="A267" s="15"/>
      <c r="B267" s="16"/>
      <c r="C267" s="17"/>
      <c r="D267" s="18"/>
      <c r="G267" s="16"/>
      <c r="H267" s="16"/>
      <c r="I267" s="16"/>
      <c r="Y267" s="72"/>
    </row>
    <row r="268" spans="1:25" ht="16.5" x14ac:dyDescent="0.3">
      <c r="A268" s="15">
        <v>56132</v>
      </c>
      <c r="B268" s="16">
        <v>103</v>
      </c>
      <c r="C268" s="17" t="s">
        <v>131</v>
      </c>
      <c r="D268" s="8" t="s">
        <v>326</v>
      </c>
      <c r="E268" s="14" t="s">
        <v>44</v>
      </c>
      <c r="F268" s="15" t="s">
        <v>132</v>
      </c>
      <c r="G268" s="16">
        <v>1</v>
      </c>
      <c r="H268" s="16" t="s">
        <v>73</v>
      </c>
      <c r="I268" s="16">
        <v>2500</v>
      </c>
      <c r="J268" s="14">
        <v>3</v>
      </c>
      <c r="K268" s="14">
        <v>1</v>
      </c>
      <c r="L268" s="14">
        <v>20033</v>
      </c>
      <c r="M268" s="14">
        <v>0</v>
      </c>
      <c r="N268" s="20">
        <v>2.1999999999999999E-2</v>
      </c>
      <c r="O268" s="20">
        <v>2.2000000000000001E-3</v>
      </c>
      <c r="P268" s="14">
        <v>1</v>
      </c>
      <c r="Q268" s="16" t="s">
        <v>113</v>
      </c>
      <c r="R268" s="21">
        <v>1</v>
      </c>
      <c r="S268" s="14">
        <v>20063</v>
      </c>
      <c r="T268" s="14">
        <v>0</v>
      </c>
      <c r="U268" s="20">
        <v>0.01</v>
      </c>
      <c r="V268" s="20">
        <v>5.0000000000000001E-3</v>
      </c>
      <c r="W268" s="16">
        <v>1</v>
      </c>
      <c r="X268" s="16" t="s">
        <v>114</v>
      </c>
      <c r="Y268" s="73" t="s">
        <v>429</v>
      </c>
    </row>
    <row r="269" spans="1:25" ht="14.5" x14ac:dyDescent="0.3">
      <c r="A269" s="15"/>
      <c r="B269" s="16"/>
      <c r="C269" s="17"/>
      <c r="D269" s="18"/>
      <c r="G269" s="16"/>
      <c r="H269" s="16"/>
      <c r="I269" s="16"/>
      <c r="R269" s="14">
        <v>6</v>
      </c>
      <c r="S269" s="14">
        <v>20063</v>
      </c>
      <c r="T269" s="16">
        <v>0</v>
      </c>
      <c r="U269" s="20">
        <v>0.03</v>
      </c>
      <c r="V269" s="14">
        <v>0</v>
      </c>
      <c r="W269" s="14">
        <v>1</v>
      </c>
      <c r="X269" s="16" t="s">
        <v>114</v>
      </c>
      <c r="Y269" s="72"/>
    </row>
    <row r="270" spans="1:25" ht="14.5" x14ac:dyDescent="0.3">
      <c r="A270" s="15"/>
      <c r="B270" s="16"/>
      <c r="C270" s="17"/>
      <c r="D270" s="18"/>
      <c r="G270" s="16"/>
      <c r="H270" s="16"/>
      <c r="I270" s="16"/>
      <c r="S270" s="14">
        <v>6001</v>
      </c>
      <c r="T270" s="16">
        <v>3</v>
      </c>
      <c r="U270" s="16">
        <v>600</v>
      </c>
      <c r="V270" s="16">
        <v>300</v>
      </c>
      <c r="W270" s="14">
        <v>1</v>
      </c>
      <c r="X270" s="25" t="s">
        <v>49</v>
      </c>
      <c r="Y270" s="72"/>
    </row>
    <row r="271" spans="1:25" ht="14.5" x14ac:dyDescent="0.3">
      <c r="A271" s="15"/>
      <c r="B271" s="16"/>
      <c r="C271" s="17"/>
      <c r="D271" s="18"/>
      <c r="G271" s="16"/>
      <c r="H271" s="16"/>
      <c r="I271" s="16"/>
      <c r="R271" s="14">
        <v>11</v>
      </c>
      <c r="S271" s="14">
        <v>20063</v>
      </c>
      <c r="T271" s="16">
        <v>0</v>
      </c>
      <c r="U271" s="20">
        <v>0.03</v>
      </c>
      <c r="V271" s="14">
        <v>0</v>
      </c>
      <c r="W271" s="14">
        <v>1</v>
      </c>
      <c r="X271" s="16" t="s">
        <v>114</v>
      </c>
      <c r="Y271" s="72"/>
    </row>
    <row r="272" spans="1:25" ht="14.5" x14ac:dyDescent="0.3">
      <c r="A272" s="15"/>
      <c r="B272" s="16"/>
      <c r="C272" s="17"/>
      <c r="D272" s="18"/>
      <c r="G272" s="16"/>
      <c r="H272" s="16"/>
      <c r="I272" s="16"/>
      <c r="S272" s="14">
        <v>6001</v>
      </c>
      <c r="T272" s="16">
        <v>3</v>
      </c>
      <c r="U272" s="16">
        <v>1800</v>
      </c>
      <c r="V272" s="14">
        <v>0</v>
      </c>
      <c r="W272" s="14">
        <v>1</v>
      </c>
      <c r="X272" s="25" t="s">
        <v>49</v>
      </c>
      <c r="Y272" s="72"/>
    </row>
    <row r="273" spans="1:25" ht="14.5" x14ac:dyDescent="0.3">
      <c r="A273" s="15"/>
      <c r="B273" s="16"/>
      <c r="C273" s="17"/>
      <c r="D273" s="18"/>
      <c r="G273" s="16"/>
      <c r="H273" s="16"/>
      <c r="I273" s="16"/>
      <c r="S273" s="14">
        <v>19033</v>
      </c>
      <c r="T273" s="14">
        <v>0</v>
      </c>
      <c r="U273" s="20">
        <v>1.4999999999999999E-2</v>
      </c>
      <c r="V273" s="20">
        <v>7.4999999999999997E-3</v>
      </c>
      <c r="W273" s="14">
        <v>1</v>
      </c>
      <c r="X273" s="14" t="s">
        <v>63</v>
      </c>
      <c r="Y273" s="72"/>
    </row>
    <row r="274" spans="1:25" ht="14.5" x14ac:dyDescent="0.3">
      <c r="A274" s="15"/>
      <c r="B274" s="16"/>
      <c r="C274" s="17"/>
      <c r="D274" s="18"/>
      <c r="G274" s="16"/>
      <c r="H274" s="16"/>
      <c r="I274" s="16"/>
      <c r="R274" s="14">
        <v>16</v>
      </c>
      <c r="S274" s="14">
        <v>20063</v>
      </c>
      <c r="T274" s="16">
        <v>0</v>
      </c>
      <c r="U274" s="20">
        <v>0.03</v>
      </c>
      <c r="V274" s="14">
        <v>0</v>
      </c>
      <c r="W274" s="14">
        <v>1</v>
      </c>
      <c r="X274" s="16" t="s">
        <v>114</v>
      </c>
      <c r="Y274" s="72"/>
    </row>
    <row r="275" spans="1:25" ht="14.5" x14ac:dyDescent="0.3">
      <c r="A275" s="15"/>
      <c r="B275" s="16"/>
      <c r="C275" s="17"/>
      <c r="D275" s="18"/>
      <c r="G275" s="16"/>
      <c r="H275" s="16"/>
      <c r="I275" s="16"/>
      <c r="S275" s="14">
        <v>6001</v>
      </c>
      <c r="T275" s="16">
        <v>3</v>
      </c>
      <c r="U275" s="16">
        <v>1800</v>
      </c>
      <c r="V275" s="14">
        <v>0</v>
      </c>
      <c r="W275" s="14">
        <v>1</v>
      </c>
      <c r="X275" s="25" t="s">
        <v>49</v>
      </c>
      <c r="Y275" s="72"/>
    </row>
    <row r="276" spans="1:25" ht="14.5" x14ac:dyDescent="0.3">
      <c r="A276" s="15"/>
      <c r="B276" s="16"/>
      <c r="C276" s="17"/>
      <c r="D276" s="18"/>
      <c r="G276" s="16"/>
      <c r="H276" s="16"/>
      <c r="I276" s="16"/>
      <c r="S276" s="14">
        <v>19033</v>
      </c>
      <c r="T276" s="14">
        <v>0</v>
      </c>
      <c r="U276" s="20">
        <v>4.4999999999999998E-2</v>
      </c>
      <c r="V276" s="14">
        <v>0</v>
      </c>
      <c r="W276" s="14">
        <v>1</v>
      </c>
      <c r="X276" s="14" t="s">
        <v>63</v>
      </c>
      <c r="Y276" s="72"/>
    </row>
    <row r="277" spans="1:25" ht="14.5" x14ac:dyDescent="0.3">
      <c r="A277" s="15"/>
      <c r="B277" s="16"/>
      <c r="C277" s="17"/>
      <c r="D277" s="18"/>
      <c r="G277" s="16"/>
      <c r="H277" s="16"/>
      <c r="I277" s="16"/>
      <c r="S277" s="14">
        <v>20103</v>
      </c>
      <c r="T277" s="14">
        <v>0</v>
      </c>
      <c r="U277" s="27">
        <v>8.0000000000000002E-3</v>
      </c>
      <c r="V277" s="27">
        <v>4.0000000000000001E-3</v>
      </c>
      <c r="W277" s="14">
        <v>1</v>
      </c>
      <c r="X277" s="14" t="s">
        <v>133</v>
      </c>
      <c r="Y277" s="72"/>
    </row>
    <row r="278" spans="1:25" ht="14.5" x14ac:dyDescent="0.3">
      <c r="A278" s="15"/>
      <c r="B278" s="16"/>
      <c r="C278" s="17"/>
      <c r="D278" s="18"/>
      <c r="G278" s="16"/>
      <c r="H278" s="16"/>
      <c r="I278" s="16"/>
      <c r="Y278" s="72"/>
    </row>
    <row r="279" spans="1:25" ht="14.5" x14ac:dyDescent="0.3">
      <c r="A279" s="15"/>
      <c r="B279" s="16"/>
      <c r="C279" s="17"/>
      <c r="D279" s="18"/>
      <c r="G279" s="16"/>
      <c r="H279" s="16"/>
      <c r="I279" s="16"/>
      <c r="Y279" s="72"/>
    </row>
    <row r="280" spans="1:25" ht="14.5" x14ac:dyDescent="0.3">
      <c r="A280" s="15"/>
      <c r="B280" s="16"/>
      <c r="C280" s="17"/>
      <c r="D280" s="18"/>
      <c r="G280" s="16"/>
      <c r="H280" s="16"/>
      <c r="I280" s="16"/>
      <c r="Y280" s="72"/>
    </row>
    <row r="281" spans="1:25" ht="16.5" x14ac:dyDescent="0.3">
      <c r="A281" s="15">
        <v>56133</v>
      </c>
      <c r="B281" s="16">
        <v>103</v>
      </c>
      <c r="C281" s="17" t="s">
        <v>134</v>
      </c>
      <c r="D281" s="8" t="s">
        <v>327</v>
      </c>
      <c r="E281" s="14" t="s">
        <v>44</v>
      </c>
      <c r="F281" s="15" t="s">
        <v>135</v>
      </c>
      <c r="G281" s="16">
        <v>2</v>
      </c>
      <c r="H281" s="16" t="s">
        <v>73</v>
      </c>
      <c r="I281" s="16">
        <v>2500</v>
      </c>
      <c r="J281" s="14">
        <v>3</v>
      </c>
      <c r="K281" s="14">
        <v>1</v>
      </c>
      <c r="L281" s="14">
        <v>20003</v>
      </c>
      <c r="M281" s="14">
        <v>0</v>
      </c>
      <c r="N281" s="20">
        <v>2.1999999999999999E-2</v>
      </c>
      <c r="O281" s="20">
        <v>2.2000000000000001E-3</v>
      </c>
      <c r="P281" s="16">
        <v>1</v>
      </c>
      <c r="Q281" s="16" t="s">
        <v>117</v>
      </c>
      <c r="R281" s="21">
        <v>1</v>
      </c>
      <c r="S281" s="14">
        <v>20073</v>
      </c>
      <c r="T281" s="14">
        <v>0</v>
      </c>
      <c r="U281" s="20">
        <v>8.0000000000000002E-3</v>
      </c>
      <c r="V281" s="20">
        <v>4.0000000000000001E-3</v>
      </c>
      <c r="W281" s="16">
        <v>1</v>
      </c>
      <c r="X281" s="16" t="s">
        <v>118</v>
      </c>
      <c r="Y281" s="73" t="s">
        <v>430</v>
      </c>
    </row>
    <row r="282" spans="1:25" ht="14.5" x14ac:dyDescent="0.3">
      <c r="A282" s="15"/>
      <c r="B282" s="16"/>
      <c r="C282" s="17"/>
      <c r="D282" s="18"/>
      <c r="G282" s="16"/>
      <c r="H282" s="16"/>
      <c r="I282" s="16"/>
      <c r="R282" s="14">
        <v>6</v>
      </c>
      <c r="S282" s="14">
        <v>20073</v>
      </c>
      <c r="T282" s="14">
        <v>0</v>
      </c>
      <c r="U282" s="20">
        <v>2.4E-2</v>
      </c>
      <c r="V282" s="14">
        <v>0</v>
      </c>
      <c r="W282" s="14">
        <v>1</v>
      </c>
      <c r="X282" s="16" t="s">
        <v>118</v>
      </c>
      <c r="Y282" s="72"/>
    </row>
    <row r="283" spans="1:25" ht="14.5" x14ac:dyDescent="0.3">
      <c r="A283" s="15"/>
      <c r="B283" s="16"/>
      <c r="C283" s="17"/>
      <c r="D283" s="18"/>
      <c r="G283" s="16"/>
      <c r="H283" s="16"/>
      <c r="I283" s="16"/>
      <c r="S283" s="16">
        <v>6046</v>
      </c>
      <c r="T283" s="14">
        <v>0</v>
      </c>
      <c r="U283" s="20">
        <v>2E-3</v>
      </c>
      <c r="V283" s="20">
        <v>1E-3</v>
      </c>
      <c r="W283" s="14">
        <v>1</v>
      </c>
      <c r="X283" s="16" t="s">
        <v>54</v>
      </c>
      <c r="Y283" s="72"/>
    </row>
    <row r="284" spans="1:25" ht="14.5" x14ac:dyDescent="0.3">
      <c r="A284" s="15"/>
      <c r="B284" s="16"/>
      <c r="C284" s="17"/>
      <c r="D284" s="18"/>
      <c r="G284" s="16"/>
      <c r="H284" s="16"/>
      <c r="I284" s="16"/>
      <c r="R284" s="14">
        <v>11</v>
      </c>
      <c r="S284" s="14">
        <v>20073</v>
      </c>
      <c r="T284" s="14">
        <v>0</v>
      </c>
      <c r="U284" s="20">
        <v>2.4E-2</v>
      </c>
      <c r="V284" s="14">
        <v>0</v>
      </c>
      <c r="W284" s="14">
        <v>1</v>
      </c>
      <c r="X284" s="16" t="s">
        <v>118</v>
      </c>
      <c r="Y284" s="72"/>
    </row>
    <row r="285" spans="1:25" ht="14.5" x14ac:dyDescent="0.3">
      <c r="A285" s="15"/>
      <c r="B285" s="16"/>
      <c r="C285" s="17"/>
      <c r="D285" s="18"/>
      <c r="G285" s="16"/>
      <c r="H285" s="16"/>
      <c r="I285" s="16"/>
      <c r="S285" s="16">
        <v>6046</v>
      </c>
      <c r="T285" s="14">
        <v>0</v>
      </c>
      <c r="U285" s="20">
        <v>6.0000000000000001E-3</v>
      </c>
      <c r="V285" s="14">
        <v>0</v>
      </c>
      <c r="W285" s="14">
        <v>1</v>
      </c>
      <c r="X285" s="16" t="s">
        <v>54</v>
      </c>
      <c r="Y285" s="72"/>
    </row>
    <row r="286" spans="1:25" ht="14.5" x14ac:dyDescent="0.3">
      <c r="A286" s="15"/>
      <c r="B286" s="16"/>
      <c r="C286" s="17"/>
      <c r="D286" s="18"/>
      <c r="G286" s="16"/>
      <c r="H286" s="16"/>
      <c r="I286" s="16"/>
      <c r="S286" s="14">
        <v>19023</v>
      </c>
      <c r="T286" s="14">
        <v>0</v>
      </c>
      <c r="U286" s="20">
        <v>1.4999999999999999E-2</v>
      </c>
      <c r="V286" s="20">
        <v>7.4999999999999997E-3</v>
      </c>
      <c r="W286" s="14">
        <v>1</v>
      </c>
      <c r="X286" s="14" t="s">
        <v>66</v>
      </c>
      <c r="Y286" s="72"/>
    </row>
    <row r="287" spans="1:25" ht="14.5" x14ac:dyDescent="0.3">
      <c r="A287" s="15"/>
      <c r="B287" s="16"/>
      <c r="C287" s="17"/>
      <c r="D287" s="18"/>
      <c r="G287" s="16"/>
      <c r="H287" s="16"/>
      <c r="I287" s="16"/>
      <c r="R287" s="14">
        <v>16</v>
      </c>
      <c r="S287" s="14">
        <v>20073</v>
      </c>
      <c r="T287" s="14">
        <v>0</v>
      </c>
      <c r="U287" s="20">
        <v>2.4E-2</v>
      </c>
      <c r="V287" s="14">
        <v>0</v>
      </c>
      <c r="W287" s="14">
        <v>1</v>
      </c>
      <c r="X287" s="16" t="s">
        <v>118</v>
      </c>
      <c r="Y287" s="72"/>
    </row>
    <row r="288" spans="1:25" ht="14.5" x14ac:dyDescent="0.3">
      <c r="A288" s="15"/>
      <c r="B288" s="16"/>
      <c r="C288" s="17"/>
      <c r="D288" s="18"/>
      <c r="G288" s="16"/>
      <c r="H288" s="16"/>
      <c r="I288" s="16"/>
      <c r="S288" s="16">
        <v>6046</v>
      </c>
      <c r="T288" s="14">
        <v>0</v>
      </c>
      <c r="U288" s="20">
        <v>6.0000000000000001E-3</v>
      </c>
      <c r="V288" s="14">
        <v>0</v>
      </c>
      <c r="W288" s="14">
        <v>1</v>
      </c>
      <c r="X288" s="16" t="s">
        <v>54</v>
      </c>
      <c r="Y288" s="72"/>
    </row>
    <row r="289" spans="1:25" ht="14.5" x14ac:dyDescent="0.3">
      <c r="A289" s="15"/>
      <c r="B289" s="16"/>
      <c r="C289" s="17"/>
      <c r="D289" s="18"/>
      <c r="G289" s="16"/>
      <c r="H289" s="16"/>
      <c r="I289" s="16"/>
      <c r="S289" s="14">
        <v>19023</v>
      </c>
      <c r="T289" s="14">
        <v>0</v>
      </c>
      <c r="U289" s="20">
        <v>4.4999999999999998E-2</v>
      </c>
      <c r="V289" s="14">
        <v>0</v>
      </c>
      <c r="W289" s="14">
        <v>1</v>
      </c>
      <c r="X289" s="14" t="s">
        <v>66</v>
      </c>
      <c r="Y289" s="72"/>
    </row>
    <row r="290" spans="1:25" ht="14.5" x14ac:dyDescent="0.3">
      <c r="A290" s="15"/>
      <c r="B290" s="16"/>
      <c r="C290" s="17"/>
      <c r="D290" s="18"/>
      <c r="G290" s="16"/>
      <c r="H290" s="16"/>
      <c r="I290" s="16"/>
      <c r="S290" s="14">
        <v>29101</v>
      </c>
      <c r="T290" s="14">
        <v>0</v>
      </c>
      <c r="U290" s="20">
        <v>0.01</v>
      </c>
      <c r="V290" s="20">
        <v>5.0000000000000001E-3</v>
      </c>
      <c r="W290" s="16">
        <v>1</v>
      </c>
      <c r="X290" s="14" t="s">
        <v>77</v>
      </c>
      <c r="Y290" s="72"/>
    </row>
    <row r="291" spans="1:25" ht="14.5" x14ac:dyDescent="0.3">
      <c r="A291" s="15"/>
      <c r="B291" s="16"/>
      <c r="C291" s="17"/>
      <c r="D291" s="18"/>
      <c r="G291" s="16"/>
      <c r="H291" s="16"/>
      <c r="I291" s="16"/>
      <c r="Y291" s="72"/>
    </row>
    <row r="292" spans="1:25" ht="14.5" x14ac:dyDescent="0.3">
      <c r="A292" s="15"/>
      <c r="B292" s="16"/>
      <c r="C292" s="17"/>
      <c r="D292" s="18"/>
      <c r="G292" s="16"/>
      <c r="H292" s="16"/>
      <c r="I292" s="16"/>
      <c r="Y292" s="72"/>
    </row>
    <row r="293" spans="1:25" ht="14.5" x14ac:dyDescent="0.3">
      <c r="A293" s="15"/>
      <c r="B293" s="16"/>
      <c r="C293" s="17"/>
      <c r="D293" s="18"/>
      <c r="G293" s="16"/>
      <c r="H293" s="16"/>
      <c r="I293" s="16"/>
      <c r="Y293" s="72"/>
    </row>
    <row r="294" spans="1:25" ht="16.5" x14ac:dyDescent="0.3">
      <c r="A294" s="15">
        <v>56134</v>
      </c>
      <c r="B294" s="16">
        <v>103</v>
      </c>
      <c r="C294" s="17" t="s">
        <v>136</v>
      </c>
      <c r="D294" s="8" t="s">
        <v>328</v>
      </c>
      <c r="E294" s="14" t="s">
        <v>44</v>
      </c>
      <c r="F294" s="15" t="s">
        <v>137</v>
      </c>
      <c r="G294" s="16">
        <v>3</v>
      </c>
      <c r="H294" s="16" t="s">
        <v>73</v>
      </c>
      <c r="I294" s="16">
        <v>2500</v>
      </c>
      <c r="J294" s="14">
        <v>3</v>
      </c>
      <c r="K294" s="14">
        <v>1</v>
      </c>
      <c r="L294" s="14">
        <v>20033</v>
      </c>
      <c r="M294" s="14">
        <v>0</v>
      </c>
      <c r="N294" s="20">
        <v>2.1999999999999999E-2</v>
      </c>
      <c r="O294" s="20">
        <v>2.2000000000000001E-3</v>
      </c>
      <c r="P294" s="14">
        <v>1</v>
      </c>
      <c r="Q294" s="16" t="s">
        <v>113</v>
      </c>
      <c r="R294" s="21">
        <v>1</v>
      </c>
      <c r="S294" s="14">
        <v>20063</v>
      </c>
      <c r="T294" s="14">
        <v>0</v>
      </c>
      <c r="U294" s="20">
        <v>0.01</v>
      </c>
      <c r="V294" s="20">
        <v>5.0000000000000001E-3</v>
      </c>
      <c r="W294" s="16">
        <v>1</v>
      </c>
      <c r="X294" s="16" t="s">
        <v>114</v>
      </c>
      <c r="Y294" s="73" t="s">
        <v>431</v>
      </c>
    </row>
    <row r="295" spans="1:25" ht="14.5" x14ac:dyDescent="0.3">
      <c r="A295" s="15"/>
      <c r="B295" s="16"/>
      <c r="C295" s="17"/>
      <c r="D295" s="18"/>
      <c r="G295" s="16"/>
      <c r="H295" s="16"/>
      <c r="I295" s="16"/>
      <c r="R295" s="14">
        <v>6</v>
      </c>
      <c r="S295" s="14">
        <v>20063</v>
      </c>
      <c r="T295" s="16">
        <v>0</v>
      </c>
      <c r="U295" s="20">
        <v>0.03</v>
      </c>
      <c r="V295" s="14">
        <v>0</v>
      </c>
      <c r="W295" s="14">
        <v>1</v>
      </c>
      <c r="X295" s="16" t="s">
        <v>114</v>
      </c>
      <c r="Y295" s="72"/>
    </row>
    <row r="296" spans="1:25" ht="14.5" x14ac:dyDescent="0.3">
      <c r="A296" s="15"/>
      <c r="B296" s="16"/>
      <c r="C296" s="17"/>
      <c r="D296" s="18"/>
      <c r="G296" s="16"/>
      <c r="H296" s="16"/>
      <c r="I296" s="16"/>
      <c r="S296" s="14">
        <v>6001</v>
      </c>
      <c r="T296" s="16">
        <v>3</v>
      </c>
      <c r="U296" s="16">
        <v>600</v>
      </c>
      <c r="V296" s="16">
        <v>300</v>
      </c>
      <c r="W296" s="14">
        <v>1</v>
      </c>
      <c r="X296" s="25" t="s">
        <v>49</v>
      </c>
      <c r="Y296" s="72"/>
    </row>
    <row r="297" spans="1:25" ht="14.5" x14ac:dyDescent="0.3">
      <c r="A297" s="15"/>
      <c r="B297" s="16"/>
      <c r="C297" s="17"/>
      <c r="D297" s="18"/>
      <c r="G297" s="16"/>
      <c r="H297" s="16"/>
      <c r="I297" s="16"/>
      <c r="R297" s="14">
        <v>11</v>
      </c>
      <c r="S297" s="14">
        <v>20063</v>
      </c>
      <c r="T297" s="16">
        <v>0</v>
      </c>
      <c r="U297" s="20">
        <v>0.03</v>
      </c>
      <c r="V297" s="14">
        <v>0</v>
      </c>
      <c r="W297" s="14">
        <v>1</v>
      </c>
      <c r="X297" s="16" t="s">
        <v>114</v>
      </c>
      <c r="Y297" s="72"/>
    </row>
    <row r="298" spans="1:25" ht="14.5" x14ac:dyDescent="0.3">
      <c r="A298" s="15"/>
      <c r="B298" s="16"/>
      <c r="C298" s="17"/>
      <c r="D298" s="18"/>
      <c r="G298" s="16"/>
      <c r="H298" s="16"/>
      <c r="I298" s="16"/>
      <c r="S298" s="14">
        <v>6001</v>
      </c>
      <c r="T298" s="16">
        <v>3</v>
      </c>
      <c r="U298" s="16">
        <v>1800</v>
      </c>
      <c r="V298" s="14">
        <v>0</v>
      </c>
      <c r="W298" s="14">
        <v>1</v>
      </c>
      <c r="X298" s="25" t="s">
        <v>49</v>
      </c>
      <c r="Y298" s="72"/>
    </row>
    <row r="299" spans="1:25" ht="14.5" x14ac:dyDescent="0.3">
      <c r="A299" s="15"/>
      <c r="B299" s="16"/>
      <c r="C299" s="17"/>
      <c r="D299" s="18"/>
      <c r="G299" s="16"/>
      <c r="H299" s="16"/>
      <c r="I299" s="16"/>
      <c r="S299" s="14">
        <v>19033</v>
      </c>
      <c r="T299" s="14">
        <v>0</v>
      </c>
      <c r="U299" s="20">
        <v>1.4999999999999999E-2</v>
      </c>
      <c r="V299" s="20">
        <v>7.4999999999999997E-3</v>
      </c>
      <c r="W299" s="14">
        <v>1</v>
      </c>
      <c r="X299" s="14" t="s">
        <v>63</v>
      </c>
      <c r="Y299" s="72"/>
    </row>
    <row r="300" spans="1:25" ht="14.5" x14ac:dyDescent="0.3">
      <c r="A300" s="15"/>
      <c r="B300" s="16"/>
      <c r="C300" s="17"/>
      <c r="D300" s="18"/>
      <c r="G300" s="16"/>
      <c r="H300" s="16"/>
      <c r="I300" s="16"/>
      <c r="R300" s="14">
        <v>16</v>
      </c>
      <c r="S300" s="14">
        <v>20063</v>
      </c>
      <c r="T300" s="16">
        <v>0</v>
      </c>
      <c r="U300" s="20">
        <v>0.03</v>
      </c>
      <c r="V300" s="14">
        <v>0</v>
      </c>
      <c r="W300" s="14">
        <v>1</v>
      </c>
      <c r="X300" s="16" t="s">
        <v>114</v>
      </c>
      <c r="Y300" s="72"/>
    </row>
    <row r="301" spans="1:25" ht="14.5" x14ac:dyDescent="0.3">
      <c r="A301" s="15"/>
      <c r="B301" s="16"/>
      <c r="C301" s="17"/>
      <c r="D301" s="18"/>
      <c r="G301" s="16"/>
      <c r="H301" s="16"/>
      <c r="I301" s="16"/>
      <c r="S301" s="14">
        <v>6001</v>
      </c>
      <c r="T301" s="16">
        <v>3</v>
      </c>
      <c r="U301" s="16">
        <v>1800</v>
      </c>
      <c r="V301" s="14">
        <v>0</v>
      </c>
      <c r="W301" s="14">
        <v>1</v>
      </c>
      <c r="X301" s="25" t="s">
        <v>49</v>
      </c>
      <c r="Y301" s="72"/>
    </row>
    <row r="302" spans="1:25" ht="14.5" x14ac:dyDescent="0.3">
      <c r="A302" s="15"/>
      <c r="B302" s="16"/>
      <c r="C302" s="17"/>
      <c r="D302" s="18"/>
      <c r="G302" s="16"/>
      <c r="H302" s="16"/>
      <c r="I302" s="16"/>
      <c r="S302" s="14">
        <v>19033</v>
      </c>
      <c r="T302" s="14">
        <v>0</v>
      </c>
      <c r="U302" s="20">
        <v>4.4999999999999998E-2</v>
      </c>
      <c r="V302" s="14">
        <v>0</v>
      </c>
      <c r="W302" s="14">
        <v>1</v>
      </c>
      <c r="X302" s="14" t="s">
        <v>63</v>
      </c>
      <c r="Y302" s="72"/>
    </row>
    <row r="303" spans="1:25" ht="14.5" x14ac:dyDescent="0.3">
      <c r="A303" s="15"/>
      <c r="B303" s="16"/>
      <c r="C303" s="17"/>
      <c r="D303" s="18"/>
      <c r="G303" s="16"/>
      <c r="H303" s="16"/>
      <c r="I303" s="16"/>
      <c r="S303" s="14">
        <v>20103</v>
      </c>
      <c r="T303" s="14">
        <v>0</v>
      </c>
      <c r="U303" s="27">
        <v>8.0000000000000002E-3</v>
      </c>
      <c r="V303" s="27">
        <v>4.0000000000000001E-3</v>
      </c>
      <c r="W303" s="14">
        <v>1</v>
      </c>
      <c r="X303" s="14" t="s">
        <v>133</v>
      </c>
      <c r="Y303" s="72"/>
    </row>
    <row r="304" spans="1:25" ht="14.5" x14ac:dyDescent="0.3">
      <c r="A304" s="15"/>
      <c r="B304" s="16"/>
      <c r="C304" s="17"/>
      <c r="D304" s="18"/>
      <c r="G304" s="16"/>
      <c r="H304" s="16"/>
      <c r="I304" s="16"/>
      <c r="Y304" s="72"/>
    </row>
    <row r="305" spans="1:25" ht="14.5" x14ac:dyDescent="0.3">
      <c r="A305" s="15"/>
      <c r="B305" s="16"/>
      <c r="C305" s="17"/>
      <c r="D305" s="18"/>
      <c r="G305" s="16"/>
      <c r="H305" s="16"/>
      <c r="I305" s="16"/>
      <c r="Y305" s="72"/>
    </row>
    <row r="306" spans="1:25" ht="14.5" x14ac:dyDescent="0.3">
      <c r="A306" s="15"/>
      <c r="B306" s="16"/>
      <c r="C306" s="17"/>
      <c r="D306" s="18"/>
      <c r="G306" s="16"/>
      <c r="H306" s="16"/>
      <c r="I306" s="16"/>
      <c r="Y306" s="72"/>
    </row>
    <row r="307" spans="1:25" ht="16.5" x14ac:dyDescent="0.3">
      <c r="A307" s="15">
        <v>56135</v>
      </c>
      <c r="B307" s="16">
        <v>103</v>
      </c>
      <c r="C307" s="17" t="s">
        <v>138</v>
      </c>
      <c r="D307" s="8" t="s">
        <v>329</v>
      </c>
      <c r="E307" s="14" t="s">
        <v>44</v>
      </c>
      <c r="F307" s="15" t="s">
        <v>139</v>
      </c>
      <c r="G307" s="16">
        <v>4</v>
      </c>
      <c r="H307" s="16" t="s">
        <v>73</v>
      </c>
      <c r="I307" s="16">
        <v>2500</v>
      </c>
      <c r="J307" s="14">
        <v>3</v>
      </c>
      <c r="K307" s="14">
        <v>1</v>
      </c>
      <c r="L307" s="14">
        <v>20003</v>
      </c>
      <c r="M307" s="14">
        <v>0</v>
      </c>
      <c r="N307" s="20">
        <v>2.1999999999999999E-2</v>
      </c>
      <c r="O307" s="20">
        <v>2.2000000000000001E-3</v>
      </c>
      <c r="P307" s="16">
        <v>1</v>
      </c>
      <c r="Q307" s="16" t="s">
        <v>117</v>
      </c>
      <c r="R307" s="21">
        <v>1</v>
      </c>
      <c r="S307" s="14">
        <v>20073</v>
      </c>
      <c r="T307" s="14">
        <v>0</v>
      </c>
      <c r="U307" s="20">
        <v>8.0000000000000002E-3</v>
      </c>
      <c r="V307" s="20">
        <v>4.0000000000000001E-3</v>
      </c>
      <c r="W307" s="16">
        <v>1</v>
      </c>
      <c r="X307" s="16" t="s">
        <v>118</v>
      </c>
      <c r="Y307" s="73" t="s">
        <v>432</v>
      </c>
    </row>
    <row r="308" spans="1:25" ht="14.5" x14ac:dyDescent="0.3">
      <c r="A308" s="15"/>
      <c r="B308" s="16"/>
      <c r="C308" s="17"/>
      <c r="D308" s="18"/>
      <c r="G308" s="16"/>
      <c r="H308" s="16"/>
      <c r="I308" s="16"/>
      <c r="R308" s="14">
        <v>6</v>
      </c>
      <c r="S308" s="14">
        <v>20073</v>
      </c>
      <c r="T308" s="14">
        <v>0</v>
      </c>
      <c r="U308" s="20">
        <v>2.4E-2</v>
      </c>
      <c r="V308" s="14">
        <v>0</v>
      </c>
      <c r="W308" s="14">
        <v>1</v>
      </c>
      <c r="X308" s="16" t="s">
        <v>118</v>
      </c>
      <c r="Y308" s="72"/>
    </row>
    <row r="309" spans="1:25" ht="14.5" x14ac:dyDescent="0.3">
      <c r="A309" s="15"/>
      <c r="B309" s="16"/>
      <c r="C309" s="17"/>
      <c r="D309" s="18"/>
      <c r="G309" s="16"/>
      <c r="H309" s="16"/>
      <c r="I309" s="16"/>
      <c r="S309" s="14">
        <v>6033</v>
      </c>
      <c r="T309" s="14">
        <v>0</v>
      </c>
      <c r="U309" s="20">
        <v>0.02</v>
      </c>
      <c r="V309" s="20">
        <v>0.01</v>
      </c>
      <c r="W309" s="14">
        <v>1</v>
      </c>
      <c r="X309" s="14" t="s">
        <v>59</v>
      </c>
      <c r="Y309" s="72"/>
    </row>
    <row r="310" spans="1:25" ht="14.5" x14ac:dyDescent="0.3">
      <c r="A310" s="15"/>
      <c r="B310" s="16"/>
      <c r="C310" s="17"/>
      <c r="D310" s="18"/>
      <c r="G310" s="16"/>
      <c r="H310" s="16"/>
      <c r="I310" s="16"/>
      <c r="R310" s="14">
        <v>11</v>
      </c>
      <c r="S310" s="14">
        <v>20073</v>
      </c>
      <c r="T310" s="14">
        <v>0</v>
      </c>
      <c r="U310" s="20">
        <v>2.4E-2</v>
      </c>
      <c r="V310" s="14">
        <v>0</v>
      </c>
      <c r="W310" s="14">
        <v>1</v>
      </c>
      <c r="X310" s="16" t="s">
        <v>118</v>
      </c>
      <c r="Y310" s="72"/>
    </row>
    <row r="311" spans="1:25" ht="14.5" x14ac:dyDescent="0.3">
      <c r="A311" s="15"/>
      <c r="B311" s="16"/>
      <c r="C311" s="17"/>
      <c r="D311" s="18"/>
      <c r="G311" s="16"/>
      <c r="H311" s="16"/>
      <c r="I311" s="16"/>
      <c r="S311" s="14">
        <v>6033</v>
      </c>
      <c r="T311" s="14">
        <v>0</v>
      </c>
      <c r="U311" s="20">
        <v>0.06</v>
      </c>
      <c r="V311" s="14">
        <v>0</v>
      </c>
      <c r="W311" s="14">
        <v>1</v>
      </c>
      <c r="X311" s="14" t="s">
        <v>59</v>
      </c>
      <c r="Y311" s="72"/>
    </row>
    <row r="312" spans="1:25" ht="14.5" x14ac:dyDescent="0.3">
      <c r="A312" s="15"/>
      <c r="B312" s="16"/>
      <c r="C312" s="17"/>
      <c r="D312" s="18"/>
      <c r="G312" s="16"/>
      <c r="H312" s="16"/>
      <c r="I312" s="16"/>
      <c r="S312" s="14">
        <v>19023</v>
      </c>
      <c r="T312" s="14">
        <v>0</v>
      </c>
      <c r="U312" s="20">
        <v>1.4999999999999999E-2</v>
      </c>
      <c r="V312" s="20">
        <v>7.4999999999999997E-3</v>
      </c>
      <c r="W312" s="14">
        <v>1</v>
      </c>
      <c r="X312" s="14" t="s">
        <v>66</v>
      </c>
      <c r="Y312" s="72"/>
    </row>
    <row r="313" spans="1:25" ht="14.5" x14ac:dyDescent="0.3">
      <c r="A313" s="15"/>
      <c r="B313" s="16"/>
      <c r="C313" s="17"/>
      <c r="D313" s="18"/>
      <c r="G313" s="16"/>
      <c r="H313" s="16"/>
      <c r="I313" s="16"/>
      <c r="R313" s="14">
        <v>16</v>
      </c>
      <c r="S313" s="14">
        <v>20073</v>
      </c>
      <c r="T313" s="14">
        <v>0</v>
      </c>
      <c r="U313" s="20">
        <v>2.4E-2</v>
      </c>
      <c r="V313" s="14">
        <v>0</v>
      </c>
      <c r="W313" s="14">
        <v>1</v>
      </c>
      <c r="X313" s="16" t="s">
        <v>118</v>
      </c>
      <c r="Y313" s="72"/>
    </row>
    <row r="314" spans="1:25" ht="14.5" x14ac:dyDescent="0.3">
      <c r="A314" s="15"/>
      <c r="B314" s="16"/>
      <c r="C314" s="17"/>
      <c r="D314" s="18"/>
      <c r="G314" s="16"/>
      <c r="H314" s="16"/>
      <c r="I314" s="16"/>
      <c r="S314" s="14">
        <v>6033</v>
      </c>
      <c r="T314" s="14">
        <v>0</v>
      </c>
      <c r="U314" s="20">
        <v>0.06</v>
      </c>
      <c r="V314" s="14">
        <v>0</v>
      </c>
      <c r="W314" s="14">
        <v>1</v>
      </c>
      <c r="X314" s="14" t="s">
        <v>59</v>
      </c>
      <c r="Y314" s="72"/>
    </row>
    <row r="315" spans="1:25" ht="14.5" x14ac:dyDescent="0.3">
      <c r="A315" s="15"/>
      <c r="B315" s="16"/>
      <c r="C315" s="17"/>
      <c r="D315" s="18"/>
      <c r="G315" s="16"/>
      <c r="H315" s="16"/>
      <c r="I315" s="16"/>
      <c r="S315" s="14">
        <v>19023</v>
      </c>
      <c r="T315" s="14">
        <v>0</v>
      </c>
      <c r="U315" s="20">
        <v>4.4999999999999998E-2</v>
      </c>
      <c r="V315" s="14">
        <v>0</v>
      </c>
      <c r="W315" s="14">
        <v>1</v>
      </c>
      <c r="X315" s="14" t="s">
        <v>66</v>
      </c>
      <c r="Y315" s="72"/>
    </row>
    <row r="316" spans="1:25" ht="14.5" x14ac:dyDescent="0.3">
      <c r="A316" s="15"/>
      <c r="B316" s="16"/>
      <c r="C316" s="17"/>
      <c r="D316" s="18"/>
      <c r="G316" s="16"/>
      <c r="H316" s="16"/>
      <c r="I316" s="16"/>
      <c r="S316" s="14">
        <v>29101</v>
      </c>
      <c r="T316" s="14">
        <v>0</v>
      </c>
      <c r="U316" s="20">
        <v>0.01</v>
      </c>
      <c r="V316" s="20">
        <v>5.0000000000000001E-3</v>
      </c>
      <c r="W316" s="16">
        <v>1</v>
      </c>
      <c r="X316" s="14" t="s">
        <v>77</v>
      </c>
      <c r="Y316" s="72"/>
    </row>
    <row r="317" spans="1:25" ht="14.5" x14ac:dyDescent="0.3">
      <c r="A317" s="15"/>
      <c r="B317" s="16"/>
      <c r="C317" s="17"/>
      <c r="D317" s="18"/>
      <c r="G317" s="16"/>
      <c r="H317" s="16"/>
      <c r="I317" s="16"/>
      <c r="Y317" s="72"/>
    </row>
    <row r="318" spans="1:25" ht="14.5" x14ac:dyDescent="0.3">
      <c r="A318" s="15"/>
      <c r="B318" s="16"/>
      <c r="C318" s="17"/>
      <c r="D318" s="18"/>
      <c r="G318" s="16"/>
      <c r="H318" s="16"/>
      <c r="I318" s="16"/>
      <c r="Y318" s="72"/>
    </row>
    <row r="319" spans="1:25" ht="14.5" x14ac:dyDescent="0.3">
      <c r="A319" s="15"/>
      <c r="B319" s="16"/>
      <c r="C319" s="17"/>
      <c r="D319" s="18"/>
      <c r="G319" s="16"/>
      <c r="H319" s="16"/>
      <c r="I319" s="16"/>
      <c r="Y319" s="72"/>
    </row>
    <row r="320" spans="1:25" ht="14.5" x14ac:dyDescent="0.3">
      <c r="A320" s="15">
        <v>56136</v>
      </c>
      <c r="B320" s="16">
        <v>102</v>
      </c>
      <c r="C320" s="17" t="s">
        <v>140</v>
      </c>
      <c r="D320" s="8" t="s">
        <v>326</v>
      </c>
      <c r="E320" s="14" t="s">
        <v>44</v>
      </c>
      <c r="F320" s="15" t="s">
        <v>141</v>
      </c>
      <c r="G320" s="16">
        <v>1</v>
      </c>
      <c r="H320" s="16" t="s">
        <v>46</v>
      </c>
      <c r="I320" s="16">
        <v>900</v>
      </c>
      <c r="J320" s="14">
        <v>1</v>
      </c>
      <c r="K320" s="14">
        <v>3</v>
      </c>
      <c r="L320" s="14">
        <v>20032</v>
      </c>
      <c r="M320" s="16">
        <v>0</v>
      </c>
      <c r="N320" s="20">
        <v>0.01</v>
      </c>
      <c r="O320" s="20">
        <v>1E-3</v>
      </c>
      <c r="P320" s="16">
        <v>1</v>
      </c>
      <c r="Q320" s="16" t="s">
        <v>142</v>
      </c>
      <c r="R320" s="14">
        <v>1</v>
      </c>
      <c r="S320" s="14">
        <v>20062</v>
      </c>
      <c r="T320" s="14">
        <v>0</v>
      </c>
      <c r="U320" s="20">
        <v>3.0000000000000001E-3</v>
      </c>
      <c r="V320" s="20">
        <v>1.5E-3</v>
      </c>
      <c r="W320" s="16">
        <v>1</v>
      </c>
      <c r="X320" s="16" t="s">
        <v>143</v>
      </c>
      <c r="Y320" s="73" t="s">
        <v>425</v>
      </c>
    </row>
    <row r="321" spans="1:25" ht="14.5" x14ac:dyDescent="0.3">
      <c r="A321" s="15"/>
      <c r="B321" s="16"/>
      <c r="C321" s="17"/>
      <c r="D321" s="18"/>
      <c r="G321" s="16"/>
      <c r="H321" s="16"/>
      <c r="I321" s="16"/>
      <c r="R321" s="14">
        <v>6</v>
      </c>
      <c r="S321" s="14">
        <v>20062</v>
      </c>
      <c r="T321" s="16">
        <v>0</v>
      </c>
      <c r="U321" s="20">
        <v>8.9999999999999993E-3</v>
      </c>
      <c r="V321" s="14">
        <v>0</v>
      </c>
      <c r="W321" s="14">
        <v>1</v>
      </c>
      <c r="X321" s="16" t="s">
        <v>143</v>
      </c>
      <c r="Y321" s="72"/>
    </row>
    <row r="322" spans="1:25" ht="14.5" x14ac:dyDescent="0.3">
      <c r="A322" s="15"/>
      <c r="B322" s="16"/>
      <c r="C322" s="17"/>
      <c r="D322" s="18"/>
      <c r="G322" s="16"/>
      <c r="H322" s="16"/>
      <c r="I322" s="16"/>
      <c r="S322" s="14">
        <v>6001</v>
      </c>
      <c r="T322" s="16">
        <v>3</v>
      </c>
      <c r="U322" s="16">
        <v>180</v>
      </c>
      <c r="V322" s="16">
        <v>90</v>
      </c>
      <c r="W322" s="14">
        <v>1</v>
      </c>
      <c r="X322" s="25" t="s">
        <v>49</v>
      </c>
      <c r="Y322" s="72"/>
    </row>
    <row r="323" spans="1:25" ht="14.5" x14ac:dyDescent="0.3">
      <c r="A323" s="15"/>
      <c r="B323" s="16"/>
      <c r="C323" s="17"/>
      <c r="D323" s="18"/>
      <c r="G323" s="16"/>
      <c r="H323" s="16"/>
      <c r="I323" s="16"/>
      <c r="Y323" s="72"/>
    </row>
    <row r="324" spans="1:25" ht="14.5" x14ac:dyDescent="0.3">
      <c r="A324" s="15"/>
      <c r="B324" s="16"/>
      <c r="C324" s="17"/>
      <c r="D324" s="18"/>
      <c r="G324" s="16"/>
      <c r="H324" s="16"/>
      <c r="I324" s="16"/>
      <c r="Y324" s="72"/>
    </row>
    <row r="325" spans="1:25" ht="14.5" x14ac:dyDescent="0.3">
      <c r="A325" s="15">
        <v>56137</v>
      </c>
      <c r="B325" s="16">
        <v>102</v>
      </c>
      <c r="C325" s="17" t="s">
        <v>144</v>
      </c>
      <c r="D325" s="8" t="s">
        <v>327</v>
      </c>
      <c r="E325" s="14" t="s">
        <v>44</v>
      </c>
      <c r="F325" s="15" t="s">
        <v>145</v>
      </c>
      <c r="G325" s="16">
        <v>2</v>
      </c>
      <c r="H325" s="16" t="s">
        <v>46</v>
      </c>
      <c r="I325" s="16">
        <v>900</v>
      </c>
      <c r="J325" s="14">
        <v>1</v>
      </c>
      <c r="K325" s="14">
        <v>3</v>
      </c>
      <c r="L325" s="14">
        <v>20002</v>
      </c>
      <c r="M325" s="16">
        <v>0</v>
      </c>
      <c r="N325" s="20">
        <v>0.01</v>
      </c>
      <c r="O325" s="20">
        <v>1E-3</v>
      </c>
      <c r="P325" s="16">
        <v>1</v>
      </c>
      <c r="Q325" s="16" t="s">
        <v>146</v>
      </c>
      <c r="R325" s="14">
        <v>1</v>
      </c>
      <c r="S325" s="14">
        <v>20072</v>
      </c>
      <c r="T325" s="16">
        <v>0</v>
      </c>
      <c r="U325" s="20">
        <v>2.3999999999999998E-3</v>
      </c>
      <c r="V325" s="20">
        <v>1.1999999999999999E-3</v>
      </c>
      <c r="W325" s="16">
        <v>1</v>
      </c>
      <c r="X325" s="16" t="s">
        <v>147</v>
      </c>
      <c r="Y325" s="73" t="s">
        <v>426</v>
      </c>
    </row>
    <row r="326" spans="1:25" ht="14.5" x14ac:dyDescent="0.3">
      <c r="A326" s="15"/>
      <c r="B326" s="16"/>
      <c r="C326" s="17"/>
      <c r="D326" s="18"/>
      <c r="G326" s="16"/>
      <c r="H326" s="16"/>
      <c r="I326" s="16"/>
      <c r="R326" s="14">
        <v>6</v>
      </c>
      <c r="S326" s="14">
        <v>20072</v>
      </c>
      <c r="T326" s="16">
        <v>0</v>
      </c>
      <c r="U326" s="20">
        <v>7.1999999999999998E-3</v>
      </c>
      <c r="V326" s="14">
        <v>0</v>
      </c>
      <c r="W326" s="14">
        <v>1</v>
      </c>
      <c r="X326" s="16" t="s">
        <v>147</v>
      </c>
      <c r="Y326" s="72"/>
    </row>
    <row r="327" spans="1:25" ht="14.5" x14ac:dyDescent="0.3">
      <c r="A327" s="15"/>
      <c r="B327" s="16"/>
      <c r="C327" s="17"/>
      <c r="D327" s="18"/>
      <c r="G327" s="16"/>
      <c r="H327" s="16"/>
      <c r="I327" s="16"/>
      <c r="S327" s="16">
        <v>6046</v>
      </c>
      <c r="T327" s="16">
        <v>0</v>
      </c>
      <c r="U327" s="20">
        <v>5.0000000000000001E-4</v>
      </c>
      <c r="V327" s="20">
        <v>2.5000000000000001E-4</v>
      </c>
      <c r="W327" s="14">
        <v>1</v>
      </c>
      <c r="X327" s="16" t="s">
        <v>54</v>
      </c>
      <c r="Y327" s="72"/>
    </row>
    <row r="328" spans="1:25" ht="14.5" x14ac:dyDescent="0.3">
      <c r="A328" s="15"/>
      <c r="B328" s="16"/>
      <c r="C328" s="17"/>
      <c r="D328" s="18"/>
      <c r="G328" s="16"/>
      <c r="H328" s="16"/>
      <c r="I328" s="16"/>
      <c r="Y328" s="72"/>
    </row>
    <row r="329" spans="1:25" ht="14.5" x14ac:dyDescent="0.3">
      <c r="A329" s="15"/>
      <c r="B329" s="16"/>
      <c r="C329" s="17"/>
      <c r="D329" s="18"/>
      <c r="G329" s="16"/>
      <c r="H329" s="16"/>
      <c r="I329" s="16"/>
      <c r="Y329" s="72"/>
    </row>
    <row r="330" spans="1:25" ht="14.5" x14ac:dyDescent="0.3">
      <c r="A330" s="15">
        <v>56138</v>
      </c>
      <c r="B330" s="16">
        <v>102</v>
      </c>
      <c r="C330" s="17" t="s">
        <v>148</v>
      </c>
      <c r="D330" s="8" t="s">
        <v>328</v>
      </c>
      <c r="E330" s="14" t="s">
        <v>44</v>
      </c>
      <c r="F330" s="15" t="s">
        <v>149</v>
      </c>
      <c r="G330" s="16">
        <v>3</v>
      </c>
      <c r="H330" s="16" t="s">
        <v>46</v>
      </c>
      <c r="I330" s="16">
        <v>900</v>
      </c>
      <c r="J330" s="14">
        <v>1</v>
      </c>
      <c r="K330" s="14">
        <v>3</v>
      </c>
      <c r="L330" s="14">
        <v>20032</v>
      </c>
      <c r="M330" s="16">
        <v>0</v>
      </c>
      <c r="N330" s="20">
        <v>0.01</v>
      </c>
      <c r="O330" s="20">
        <v>1E-3</v>
      </c>
      <c r="P330" s="16">
        <v>1</v>
      </c>
      <c r="Q330" s="16" t="s">
        <v>142</v>
      </c>
      <c r="R330" s="14">
        <v>1</v>
      </c>
      <c r="S330" s="14">
        <v>20062</v>
      </c>
      <c r="T330" s="14">
        <v>0</v>
      </c>
      <c r="U330" s="20">
        <v>3.0000000000000001E-3</v>
      </c>
      <c r="V330" s="20">
        <v>1.5E-3</v>
      </c>
      <c r="W330" s="16">
        <v>1</v>
      </c>
      <c r="X330" s="16" t="s">
        <v>143</v>
      </c>
      <c r="Y330" s="73" t="s">
        <v>427</v>
      </c>
    </row>
    <row r="331" spans="1:25" ht="14.5" x14ac:dyDescent="0.3">
      <c r="A331" s="15"/>
      <c r="B331" s="16"/>
      <c r="C331" s="17"/>
      <c r="D331" s="18"/>
      <c r="G331" s="16"/>
      <c r="H331" s="16"/>
      <c r="I331" s="16"/>
      <c r="R331" s="14">
        <v>6</v>
      </c>
      <c r="S331" s="14">
        <v>20062</v>
      </c>
      <c r="T331" s="16">
        <v>0</v>
      </c>
      <c r="U331" s="20">
        <v>8.9999999999999993E-3</v>
      </c>
      <c r="V331" s="14">
        <v>0</v>
      </c>
      <c r="W331" s="14">
        <v>1</v>
      </c>
      <c r="X331" s="16" t="s">
        <v>143</v>
      </c>
      <c r="Y331" s="72"/>
    </row>
    <row r="332" spans="1:25" ht="14.5" x14ac:dyDescent="0.3">
      <c r="A332" s="15"/>
      <c r="B332" s="16"/>
      <c r="C332" s="17"/>
      <c r="D332" s="18"/>
      <c r="G332" s="16"/>
      <c r="H332" s="16"/>
      <c r="I332" s="16"/>
      <c r="S332" s="14">
        <v>6001</v>
      </c>
      <c r="T332" s="16">
        <v>3</v>
      </c>
      <c r="U332" s="16">
        <v>180</v>
      </c>
      <c r="V332" s="16">
        <v>90</v>
      </c>
      <c r="W332" s="14">
        <v>1</v>
      </c>
      <c r="X332" s="25" t="s">
        <v>49</v>
      </c>
      <c r="Y332" s="72"/>
    </row>
    <row r="333" spans="1:25" ht="14.5" x14ac:dyDescent="0.3">
      <c r="A333" s="15"/>
      <c r="B333" s="16"/>
      <c r="C333" s="17"/>
      <c r="D333" s="18"/>
      <c r="G333" s="16"/>
      <c r="H333" s="16"/>
      <c r="I333" s="16"/>
      <c r="Y333" s="72"/>
    </row>
    <row r="334" spans="1:25" ht="14.5" x14ac:dyDescent="0.3">
      <c r="A334" s="15"/>
      <c r="B334" s="16"/>
      <c r="C334" s="17"/>
      <c r="D334" s="18"/>
      <c r="G334" s="16"/>
      <c r="H334" s="16"/>
      <c r="I334" s="16"/>
      <c r="Y334" s="72"/>
    </row>
    <row r="335" spans="1:25" ht="14.5" x14ac:dyDescent="0.3">
      <c r="A335" s="15">
        <v>56139</v>
      </c>
      <c r="B335" s="16">
        <v>102</v>
      </c>
      <c r="C335" s="17" t="s">
        <v>150</v>
      </c>
      <c r="D335" s="8" t="s">
        <v>329</v>
      </c>
      <c r="E335" s="14" t="s">
        <v>44</v>
      </c>
      <c r="F335" s="15" t="s">
        <v>151</v>
      </c>
      <c r="G335" s="16">
        <v>4</v>
      </c>
      <c r="H335" s="16" t="s">
        <v>46</v>
      </c>
      <c r="I335" s="16">
        <v>900</v>
      </c>
      <c r="J335" s="14">
        <v>1</v>
      </c>
      <c r="K335" s="14">
        <v>3</v>
      </c>
      <c r="L335" s="14">
        <v>20002</v>
      </c>
      <c r="M335" s="16">
        <v>0</v>
      </c>
      <c r="N335" s="20">
        <v>0.01</v>
      </c>
      <c r="O335" s="20">
        <v>1E-3</v>
      </c>
      <c r="P335" s="16">
        <v>1</v>
      </c>
      <c r="Q335" s="16" t="s">
        <v>146</v>
      </c>
      <c r="R335" s="14">
        <v>1</v>
      </c>
      <c r="S335" s="14">
        <v>20072</v>
      </c>
      <c r="T335" s="16">
        <v>0</v>
      </c>
      <c r="U335" s="20">
        <v>2.3999999999999998E-3</v>
      </c>
      <c r="V335" s="20">
        <v>1.1999999999999999E-3</v>
      </c>
      <c r="W335" s="16">
        <v>1</v>
      </c>
      <c r="X335" s="16" t="s">
        <v>147</v>
      </c>
      <c r="Y335" s="73" t="s">
        <v>428</v>
      </c>
    </row>
    <row r="336" spans="1:25" ht="14.5" x14ac:dyDescent="0.3">
      <c r="A336" s="15"/>
      <c r="B336" s="16"/>
      <c r="C336" s="17"/>
      <c r="D336" s="18"/>
      <c r="G336" s="16"/>
      <c r="H336" s="16"/>
      <c r="I336" s="16"/>
      <c r="R336" s="14">
        <v>6</v>
      </c>
      <c r="S336" s="14">
        <v>20072</v>
      </c>
      <c r="T336" s="14">
        <v>0</v>
      </c>
      <c r="U336" s="20">
        <v>7.1999999999999998E-3</v>
      </c>
      <c r="V336" s="14">
        <v>0</v>
      </c>
      <c r="W336" s="14">
        <v>1</v>
      </c>
      <c r="X336" s="16" t="s">
        <v>147</v>
      </c>
      <c r="Y336" s="72"/>
    </row>
    <row r="337" spans="1:25" ht="14.5" x14ac:dyDescent="0.3">
      <c r="A337" s="15"/>
      <c r="B337" s="16"/>
      <c r="C337" s="17"/>
      <c r="D337" s="18"/>
      <c r="G337" s="16"/>
      <c r="H337" s="16"/>
      <c r="I337" s="16"/>
      <c r="S337" s="14">
        <v>6032</v>
      </c>
      <c r="T337" s="14">
        <v>0</v>
      </c>
      <c r="U337" s="20">
        <v>5.0000000000000001E-3</v>
      </c>
      <c r="V337" s="20">
        <v>2.5000000000000001E-3</v>
      </c>
      <c r="W337" s="14">
        <v>1</v>
      </c>
      <c r="X337" s="14" t="s">
        <v>59</v>
      </c>
      <c r="Y337" s="72"/>
    </row>
    <row r="338" spans="1:25" ht="14.5" x14ac:dyDescent="0.3">
      <c r="A338" s="15"/>
      <c r="B338" s="16"/>
      <c r="C338" s="17"/>
      <c r="D338" s="18"/>
      <c r="G338" s="16"/>
      <c r="H338" s="16"/>
      <c r="I338" s="16"/>
      <c r="Y338" s="72"/>
    </row>
    <row r="339" spans="1:25" ht="14.5" x14ac:dyDescent="0.3">
      <c r="A339" s="15"/>
      <c r="B339" s="16"/>
      <c r="C339" s="17"/>
      <c r="D339" s="18"/>
      <c r="G339" s="16"/>
      <c r="H339" s="16"/>
      <c r="I339" s="16"/>
      <c r="Y339" s="72"/>
    </row>
    <row r="340" spans="1:25" ht="14.5" x14ac:dyDescent="0.3">
      <c r="A340" s="15">
        <v>56140</v>
      </c>
      <c r="B340" s="16">
        <v>102</v>
      </c>
      <c r="C340" s="17" t="s">
        <v>152</v>
      </c>
      <c r="D340" s="8" t="s">
        <v>326</v>
      </c>
      <c r="E340" s="14" t="s">
        <v>44</v>
      </c>
      <c r="F340" s="15" t="s">
        <v>153</v>
      </c>
      <c r="G340" s="16">
        <v>1</v>
      </c>
      <c r="H340" s="16" t="s">
        <v>62</v>
      </c>
      <c r="I340" s="16">
        <v>1800</v>
      </c>
      <c r="J340" s="14">
        <v>2</v>
      </c>
      <c r="K340" s="14">
        <v>2</v>
      </c>
      <c r="L340" s="14">
        <v>20032</v>
      </c>
      <c r="M340" s="14">
        <v>0</v>
      </c>
      <c r="N340" s="20">
        <v>1.4999999999999999E-2</v>
      </c>
      <c r="O340" s="20">
        <v>1.5E-3</v>
      </c>
      <c r="P340" s="16">
        <v>1</v>
      </c>
      <c r="Q340" s="16" t="s">
        <v>142</v>
      </c>
      <c r="R340" s="14">
        <v>1</v>
      </c>
      <c r="S340" s="14">
        <v>20062</v>
      </c>
      <c r="T340" s="14">
        <v>0</v>
      </c>
      <c r="U340" s="20">
        <v>5.0000000000000001E-3</v>
      </c>
      <c r="V340" s="20">
        <v>2.5000000000000001E-3</v>
      </c>
      <c r="W340" s="16">
        <v>1</v>
      </c>
      <c r="X340" s="16" t="s">
        <v>143</v>
      </c>
      <c r="Y340" s="73" t="s">
        <v>425</v>
      </c>
    </row>
    <row r="341" spans="1:25" ht="14.5" x14ac:dyDescent="0.3">
      <c r="A341" s="15"/>
      <c r="B341" s="16"/>
      <c r="C341" s="17"/>
      <c r="D341" s="18"/>
      <c r="G341" s="16"/>
      <c r="H341" s="16"/>
      <c r="I341" s="16"/>
      <c r="R341" s="14">
        <v>6</v>
      </c>
      <c r="S341" s="14">
        <v>20062</v>
      </c>
      <c r="T341" s="16">
        <v>0</v>
      </c>
      <c r="U341" s="20">
        <v>1.4999999999999999E-2</v>
      </c>
      <c r="V341" s="14">
        <v>0</v>
      </c>
      <c r="W341" s="14">
        <v>1</v>
      </c>
      <c r="X341" s="16" t="s">
        <v>143</v>
      </c>
      <c r="Y341" s="72"/>
    </row>
    <row r="342" spans="1:25" ht="14.5" x14ac:dyDescent="0.3">
      <c r="A342" s="15"/>
      <c r="B342" s="16"/>
      <c r="C342" s="17"/>
      <c r="D342" s="18"/>
      <c r="G342" s="16"/>
      <c r="H342" s="16"/>
      <c r="I342" s="16"/>
      <c r="S342" s="14">
        <v>6001</v>
      </c>
      <c r="T342" s="16">
        <v>3</v>
      </c>
      <c r="U342" s="16">
        <v>300</v>
      </c>
      <c r="V342" s="16">
        <v>150</v>
      </c>
      <c r="W342" s="14">
        <v>1</v>
      </c>
      <c r="X342" s="25" t="s">
        <v>49</v>
      </c>
      <c r="Y342" s="72"/>
    </row>
    <row r="343" spans="1:25" ht="14.5" x14ac:dyDescent="0.3">
      <c r="A343" s="15"/>
      <c r="B343" s="16"/>
      <c r="C343" s="17"/>
      <c r="D343" s="18"/>
      <c r="G343" s="16"/>
      <c r="H343" s="16"/>
      <c r="I343" s="16"/>
      <c r="R343" s="14">
        <v>11</v>
      </c>
      <c r="S343" s="14">
        <v>20062</v>
      </c>
      <c r="T343" s="16">
        <v>0</v>
      </c>
      <c r="U343" s="20">
        <v>1.4999999999999999E-2</v>
      </c>
      <c r="V343" s="14">
        <v>0</v>
      </c>
      <c r="W343" s="14">
        <v>1</v>
      </c>
      <c r="X343" s="16" t="s">
        <v>143</v>
      </c>
      <c r="Y343" s="72"/>
    </row>
    <row r="344" spans="1:25" ht="14.5" x14ac:dyDescent="0.3">
      <c r="A344" s="15"/>
      <c r="B344" s="16"/>
      <c r="C344" s="17"/>
      <c r="D344" s="18"/>
      <c r="G344" s="16"/>
      <c r="H344" s="16"/>
      <c r="I344" s="16"/>
      <c r="S344" s="14">
        <v>6001</v>
      </c>
      <c r="T344" s="16">
        <v>3</v>
      </c>
      <c r="U344" s="14">
        <v>900</v>
      </c>
      <c r="V344" s="14">
        <v>0</v>
      </c>
      <c r="W344" s="14">
        <v>1</v>
      </c>
      <c r="X344" s="25" t="s">
        <v>49</v>
      </c>
      <c r="Y344" s="72"/>
    </row>
    <row r="345" spans="1:25" ht="14.5" x14ac:dyDescent="0.3">
      <c r="A345" s="15"/>
      <c r="B345" s="16"/>
      <c r="C345" s="17"/>
      <c r="D345" s="18"/>
      <c r="G345" s="16"/>
      <c r="H345" s="16"/>
      <c r="I345" s="16"/>
      <c r="S345" s="14">
        <v>19032</v>
      </c>
      <c r="T345" s="14">
        <v>0</v>
      </c>
      <c r="U345" s="26">
        <v>7.0000000000000001E-3</v>
      </c>
      <c r="V345" s="26">
        <v>3.5000000000000001E-3</v>
      </c>
      <c r="W345" s="14">
        <v>1</v>
      </c>
      <c r="X345" s="14" t="s">
        <v>63</v>
      </c>
      <c r="Y345" s="72"/>
    </row>
    <row r="346" spans="1:25" ht="14.5" x14ac:dyDescent="0.3">
      <c r="A346" s="15"/>
      <c r="B346" s="16"/>
      <c r="C346" s="17"/>
      <c r="D346" s="18"/>
      <c r="G346" s="16"/>
      <c r="H346" s="16"/>
      <c r="I346" s="16"/>
      <c r="Y346" s="72"/>
    </row>
    <row r="347" spans="1:25" ht="14.5" x14ac:dyDescent="0.3">
      <c r="A347" s="15"/>
      <c r="B347" s="16"/>
      <c r="C347" s="17"/>
      <c r="D347" s="18"/>
      <c r="G347" s="16"/>
      <c r="H347" s="16"/>
      <c r="I347" s="16"/>
      <c r="Y347" s="72"/>
    </row>
    <row r="348" spans="1:25" ht="14.5" x14ac:dyDescent="0.3">
      <c r="A348" s="15"/>
      <c r="B348" s="16"/>
      <c r="C348" s="17"/>
      <c r="D348" s="18"/>
      <c r="G348" s="16"/>
      <c r="H348" s="16"/>
      <c r="I348" s="16"/>
      <c r="Y348" s="72"/>
    </row>
    <row r="349" spans="1:25" ht="14.5" x14ac:dyDescent="0.3">
      <c r="A349" s="15">
        <v>56141</v>
      </c>
      <c r="B349" s="16">
        <v>102</v>
      </c>
      <c r="C349" s="17" t="s">
        <v>154</v>
      </c>
      <c r="D349" s="8" t="s">
        <v>327</v>
      </c>
      <c r="E349" s="14" t="s">
        <v>44</v>
      </c>
      <c r="F349" s="15" t="s">
        <v>155</v>
      </c>
      <c r="G349" s="16">
        <v>2</v>
      </c>
      <c r="H349" s="16" t="s">
        <v>62</v>
      </c>
      <c r="I349" s="16">
        <v>1800</v>
      </c>
      <c r="J349" s="14">
        <v>2</v>
      </c>
      <c r="K349" s="14">
        <v>2</v>
      </c>
      <c r="L349" s="14">
        <v>20002</v>
      </c>
      <c r="M349" s="14">
        <v>0</v>
      </c>
      <c r="N349" s="20">
        <v>1.4999999999999999E-2</v>
      </c>
      <c r="O349" s="20">
        <v>1.5E-3</v>
      </c>
      <c r="P349" s="16">
        <v>1</v>
      </c>
      <c r="Q349" s="16" t="s">
        <v>146</v>
      </c>
      <c r="R349" s="14">
        <v>1</v>
      </c>
      <c r="S349" s="14">
        <v>20072</v>
      </c>
      <c r="T349" s="14">
        <v>0</v>
      </c>
      <c r="U349" s="20">
        <v>4.0000000000000001E-3</v>
      </c>
      <c r="V349" s="20">
        <v>2E-3</v>
      </c>
      <c r="W349" s="14">
        <v>1</v>
      </c>
      <c r="X349" s="16" t="s">
        <v>147</v>
      </c>
      <c r="Y349" s="73" t="s">
        <v>426</v>
      </c>
    </row>
    <row r="350" spans="1:25" ht="14.5" x14ac:dyDescent="0.3">
      <c r="A350" s="15"/>
      <c r="B350" s="16"/>
      <c r="C350" s="17"/>
      <c r="D350" s="18"/>
      <c r="G350" s="16"/>
      <c r="H350" s="16"/>
      <c r="I350" s="16"/>
      <c r="R350" s="14">
        <v>6</v>
      </c>
      <c r="S350" s="14">
        <v>20072</v>
      </c>
      <c r="T350" s="14">
        <v>0</v>
      </c>
      <c r="U350" s="20">
        <v>1.2E-2</v>
      </c>
      <c r="V350" s="14">
        <v>0</v>
      </c>
      <c r="W350" s="14">
        <v>1</v>
      </c>
      <c r="X350" s="16" t="s">
        <v>147</v>
      </c>
      <c r="Y350" s="72"/>
    </row>
    <row r="351" spans="1:25" ht="14.5" x14ac:dyDescent="0.3">
      <c r="A351" s="15"/>
      <c r="B351" s="16"/>
      <c r="C351" s="17"/>
      <c r="D351" s="18"/>
      <c r="G351" s="16"/>
      <c r="H351" s="16"/>
      <c r="I351" s="16"/>
      <c r="S351" s="16">
        <v>6046</v>
      </c>
      <c r="T351" s="14">
        <v>0</v>
      </c>
      <c r="U351" s="20">
        <v>1E-3</v>
      </c>
      <c r="V351" s="20">
        <v>5.0000000000000001E-4</v>
      </c>
      <c r="W351" s="14">
        <v>1</v>
      </c>
      <c r="X351" s="16" t="s">
        <v>54</v>
      </c>
      <c r="Y351" s="72"/>
    </row>
    <row r="352" spans="1:25" ht="14.5" x14ac:dyDescent="0.3">
      <c r="A352" s="15"/>
      <c r="B352" s="16"/>
      <c r="C352" s="17"/>
      <c r="D352" s="18"/>
      <c r="G352" s="16"/>
      <c r="H352" s="16"/>
      <c r="I352" s="16"/>
      <c r="R352" s="14">
        <v>11</v>
      </c>
      <c r="S352" s="14">
        <v>20072</v>
      </c>
      <c r="T352" s="14">
        <v>0</v>
      </c>
      <c r="U352" s="20">
        <v>1.2E-2</v>
      </c>
      <c r="V352" s="14">
        <v>0</v>
      </c>
      <c r="W352" s="14">
        <v>1</v>
      </c>
      <c r="X352" s="16" t="s">
        <v>147</v>
      </c>
      <c r="Y352" s="72"/>
    </row>
    <row r="353" spans="1:25" ht="14.5" x14ac:dyDescent="0.3">
      <c r="A353" s="15"/>
      <c r="B353" s="16"/>
      <c r="C353" s="17"/>
      <c r="D353" s="18"/>
      <c r="G353" s="16"/>
      <c r="H353" s="16"/>
      <c r="I353" s="16"/>
      <c r="S353" s="16">
        <v>6046</v>
      </c>
      <c r="T353" s="14">
        <v>0</v>
      </c>
      <c r="U353" s="20">
        <v>3.0000000000000001E-3</v>
      </c>
      <c r="V353" s="14">
        <v>0</v>
      </c>
      <c r="W353" s="14">
        <v>1</v>
      </c>
      <c r="X353" s="16" t="s">
        <v>54</v>
      </c>
      <c r="Y353" s="72"/>
    </row>
    <row r="354" spans="1:25" ht="14.5" x14ac:dyDescent="0.3">
      <c r="A354" s="15"/>
      <c r="B354" s="16"/>
      <c r="C354" s="17"/>
      <c r="D354" s="18"/>
      <c r="G354" s="16"/>
      <c r="H354" s="16"/>
      <c r="I354" s="16"/>
      <c r="S354" s="14">
        <v>19022</v>
      </c>
      <c r="T354" s="14">
        <v>0</v>
      </c>
      <c r="U354" s="26">
        <v>7.0000000000000001E-3</v>
      </c>
      <c r="V354" s="26">
        <v>3.5000000000000001E-3</v>
      </c>
      <c r="W354" s="14">
        <v>1</v>
      </c>
      <c r="X354" s="14" t="s">
        <v>66</v>
      </c>
      <c r="Y354" s="72"/>
    </row>
    <row r="355" spans="1:25" ht="14.5" x14ac:dyDescent="0.3">
      <c r="A355" s="15"/>
      <c r="B355" s="16"/>
      <c r="C355" s="17"/>
      <c r="D355" s="18"/>
      <c r="G355" s="16"/>
      <c r="H355" s="16"/>
      <c r="I355" s="16"/>
      <c r="Y355" s="72"/>
    </row>
    <row r="356" spans="1:25" ht="14.5" x14ac:dyDescent="0.3">
      <c r="A356" s="15"/>
      <c r="B356" s="16"/>
      <c r="C356" s="17"/>
      <c r="D356" s="18"/>
      <c r="G356" s="16"/>
      <c r="H356" s="16"/>
      <c r="I356" s="16"/>
      <c r="Y356" s="72"/>
    </row>
    <row r="357" spans="1:25" ht="14.5" x14ac:dyDescent="0.3">
      <c r="A357" s="15"/>
      <c r="B357" s="16"/>
      <c r="C357" s="17"/>
      <c r="D357" s="18"/>
      <c r="G357" s="16"/>
      <c r="H357" s="16"/>
      <c r="I357" s="16"/>
      <c r="Y357" s="72"/>
    </row>
    <row r="358" spans="1:25" ht="14.5" x14ac:dyDescent="0.3">
      <c r="A358" s="15">
        <v>56142</v>
      </c>
      <c r="B358" s="16">
        <v>102</v>
      </c>
      <c r="C358" s="17" t="s">
        <v>156</v>
      </c>
      <c r="D358" s="8" t="s">
        <v>328</v>
      </c>
      <c r="E358" s="14" t="s">
        <v>44</v>
      </c>
      <c r="F358" s="15" t="s">
        <v>157</v>
      </c>
      <c r="G358" s="16">
        <v>3</v>
      </c>
      <c r="H358" s="16" t="s">
        <v>62</v>
      </c>
      <c r="I358" s="16">
        <v>1800</v>
      </c>
      <c r="J358" s="14">
        <v>2</v>
      </c>
      <c r="K358" s="14">
        <v>2</v>
      </c>
      <c r="L358" s="14">
        <v>20032</v>
      </c>
      <c r="M358" s="14">
        <v>0</v>
      </c>
      <c r="N358" s="20">
        <v>1.4999999999999999E-2</v>
      </c>
      <c r="O358" s="20">
        <v>1.5E-3</v>
      </c>
      <c r="P358" s="16">
        <v>1</v>
      </c>
      <c r="Q358" s="16" t="s">
        <v>142</v>
      </c>
      <c r="R358" s="14">
        <v>1</v>
      </c>
      <c r="S358" s="14">
        <v>20062</v>
      </c>
      <c r="T358" s="14">
        <v>0</v>
      </c>
      <c r="U358" s="20">
        <v>5.0000000000000001E-3</v>
      </c>
      <c r="V358" s="20">
        <v>2.5000000000000001E-3</v>
      </c>
      <c r="W358" s="16">
        <v>1</v>
      </c>
      <c r="X358" s="16" t="s">
        <v>143</v>
      </c>
      <c r="Y358" s="73" t="s">
        <v>427</v>
      </c>
    </row>
    <row r="359" spans="1:25" ht="14.5" x14ac:dyDescent="0.3">
      <c r="A359" s="15"/>
      <c r="B359" s="16"/>
      <c r="C359" s="17"/>
      <c r="D359" s="18"/>
      <c r="G359" s="16"/>
      <c r="H359" s="16"/>
      <c r="I359" s="16"/>
      <c r="R359" s="14">
        <v>6</v>
      </c>
      <c r="S359" s="14">
        <v>20062</v>
      </c>
      <c r="T359" s="16">
        <v>0</v>
      </c>
      <c r="U359" s="20">
        <v>1.4999999999999999E-2</v>
      </c>
      <c r="V359" s="14">
        <v>0</v>
      </c>
      <c r="W359" s="14">
        <v>1</v>
      </c>
      <c r="X359" s="16" t="s">
        <v>143</v>
      </c>
      <c r="Y359" s="72"/>
    </row>
    <row r="360" spans="1:25" ht="14.5" x14ac:dyDescent="0.3">
      <c r="A360" s="15"/>
      <c r="B360" s="16"/>
      <c r="C360" s="17"/>
      <c r="D360" s="18"/>
      <c r="G360" s="16"/>
      <c r="H360" s="16"/>
      <c r="I360" s="16"/>
      <c r="S360" s="14">
        <v>6001</v>
      </c>
      <c r="T360" s="16">
        <v>3</v>
      </c>
      <c r="U360" s="16">
        <v>300</v>
      </c>
      <c r="V360" s="16">
        <v>150</v>
      </c>
      <c r="W360" s="14">
        <v>1</v>
      </c>
      <c r="X360" s="25" t="s">
        <v>49</v>
      </c>
      <c r="Y360" s="72"/>
    </row>
    <row r="361" spans="1:25" ht="14.5" x14ac:dyDescent="0.3">
      <c r="A361" s="15"/>
      <c r="B361" s="16"/>
      <c r="C361" s="17"/>
      <c r="D361" s="18"/>
      <c r="G361" s="16"/>
      <c r="H361" s="16"/>
      <c r="I361" s="16"/>
      <c r="R361" s="14">
        <v>11</v>
      </c>
      <c r="S361" s="14">
        <v>20062</v>
      </c>
      <c r="T361" s="16">
        <v>0</v>
      </c>
      <c r="U361" s="20">
        <v>1.4999999999999999E-2</v>
      </c>
      <c r="V361" s="14">
        <v>0</v>
      </c>
      <c r="W361" s="14">
        <v>1</v>
      </c>
      <c r="X361" s="16" t="s">
        <v>143</v>
      </c>
      <c r="Y361" s="72"/>
    </row>
    <row r="362" spans="1:25" ht="14.5" x14ac:dyDescent="0.3">
      <c r="A362" s="15"/>
      <c r="B362" s="16"/>
      <c r="C362" s="17"/>
      <c r="D362" s="18"/>
      <c r="G362" s="16"/>
      <c r="H362" s="16"/>
      <c r="I362" s="16"/>
      <c r="S362" s="14">
        <v>6001</v>
      </c>
      <c r="T362" s="16">
        <v>3</v>
      </c>
      <c r="U362" s="14">
        <v>900</v>
      </c>
      <c r="V362" s="14">
        <v>0</v>
      </c>
      <c r="W362" s="14">
        <v>1</v>
      </c>
      <c r="X362" s="25" t="s">
        <v>49</v>
      </c>
      <c r="Y362" s="72"/>
    </row>
    <row r="363" spans="1:25" ht="14.5" x14ac:dyDescent="0.3">
      <c r="A363" s="15"/>
      <c r="B363" s="16"/>
      <c r="C363" s="17"/>
      <c r="D363" s="18"/>
      <c r="G363" s="16"/>
      <c r="H363" s="16"/>
      <c r="I363" s="16"/>
      <c r="S363" s="14">
        <v>19032</v>
      </c>
      <c r="T363" s="14">
        <v>0</v>
      </c>
      <c r="U363" s="26">
        <v>7.0000000000000001E-3</v>
      </c>
      <c r="V363" s="26">
        <v>3.5000000000000001E-3</v>
      </c>
      <c r="W363" s="14">
        <v>1</v>
      </c>
      <c r="X363" s="14" t="s">
        <v>63</v>
      </c>
      <c r="Y363" s="72"/>
    </row>
    <row r="364" spans="1:25" ht="14.5" x14ac:dyDescent="0.3">
      <c r="A364" s="15"/>
      <c r="B364" s="16"/>
      <c r="C364" s="17"/>
      <c r="D364" s="18"/>
      <c r="G364" s="16"/>
      <c r="H364" s="16"/>
      <c r="I364" s="16"/>
      <c r="Y364" s="72"/>
    </row>
    <row r="365" spans="1:25" ht="14.5" x14ac:dyDescent="0.3">
      <c r="A365" s="15"/>
      <c r="B365" s="16"/>
      <c r="C365" s="17"/>
      <c r="D365" s="18"/>
      <c r="G365" s="16"/>
      <c r="H365" s="16"/>
      <c r="I365" s="16"/>
      <c r="Y365" s="72"/>
    </row>
    <row r="366" spans="1:25" ht="14.5" x14ac:dyDescent="0.3">
      <c r="A366" s="15"/>
      <c r="B366" s="16"/>
      <c r="C366" s="17"/>
      <c r="D366" s="18"/>
      <c r="G366" s="16"/>
      <c r="H366" s="16"/>
      <c r="I366" s="16"/>
      <c r="Y366" s="72"/>
    </row>
    <row r="367" spans="1:25" ht="14.5" x14ac:dyDescent="0.3">
      <c r="A367" s="15">
        <v>56143</v>
      </c>
      <c r="B367" s="16">
        <v>102</v>
      </c>
      <c r="C367" s="17" t="s">
        <v>158</v>
      </c>
      <c r="D367" s="8" t="s">
        <v>329</v>
      </c>
      <c r="E367" s="14" t="s">
        <v>44</v>
      </c>
      <c r="F367" s="15" t="s">
        <v>159</v>
      </c>
      <c r="G367" s="16">
        <v>4</v>
      </c>
      <c r="H367" s="16" t="s">
        <v>62</v>
      </c>
      <c r="I367" s="16">
        <v>1800</v>
      </c>
      <c r="J367" s="14">
        <v>2</v>
      </c>
      <c r="K367" s="14">
        <v>2</v>
      </c>
      <c r="L367" s="14">
        <v>20002</v>
      </c>
      <c r="M367" s="14">
        <v>0</v>
      </c>
      <c r="N367" s="20">
        <v>1.4999999999999999E-2</v>
      </c>
      <c r="O367" s="20">
        <v>1.5E-3</v>
      </c>
      <c r="P367" s="16">
        <v>1</v>
      </c>
      <c r="Q367" s="16" t="s">
        <v>146</v>
      </c>
      <c r="R367" s="14">
        <v>1</v>
      </c>
      <c r="S367" s="14">
        <v>20072</v>
      </c>
      <c r="T367" s="14">
        <v>0</v>
      </c>
      <c r="U367" s="20">
        <v>4.0000000000000001E-3</v>
      </c>
      <c r="V367" s="20">
        <v>2E-3</v>
      </c>
      <c r="W367" s="14">
        <v>1</v>
      </c>
      <c r="X367" s="16" t="s">
        <v>147</v>
      </c>
      <c r="Y367" s="73" t="s">
        <v>428</v>
      </c>
    </row>
    <row r="368" spans="1:25" ht="14.5" x14ac:dyDescent="0.3">
      <c r="A368" s="15"/>
      <c r="B368" s="16"/>
      <c r="C368" s="17"/>
      <c r="D368" s="18"/>
      <c r="G368" s="16"/>
      <c r="H368" s="16"/>
      <c r="I368" s="16"/>
      <c r="R368" s="14">
        <v>6</v>
      </c>
      <c r="S368" s="14">
        <v>20072</v>
      </c>
      <c r="T368" s="14">
        <v>0</v>
      </c>
      <c r="U368" s="20">
        <v>1.2E-2</v>
      </c>
      <c r="V368" s="14">
        <v>0</v>
      </c>
      <c r="W368" s="14">
        <v>1</v>
      </c>
      <c r="X368" s="16" t="s">
        <v>147</v>
      </c>
      <c r="Y368" s="72"/>
    </row>
    <row r="369" spans="1:25" ht="14.5" x14ac:dyDescent="0.3">
      <c r="A369" s="15"/>
      <c r="B369" s="16"/>
      <c r="C369" s="17"/>
      <c r="D369" s="18"/>
      <c r="G369" s="16"/>
      <c r="H369" s="16"/>
      <c r="I369" s="16"/>
      <c r="S369" s="14">
        <v>6032</v>
      </c>
      <c r="T369" s="14">
        <v>0</v>
      </c>
      <c r="U369" s="20">
        <v>0.01</v>
      </c>
      <c r="V369" s="20">
        <v>5.0000000000000001E-3</v>
      </c>
      <c r="W369" s="14">
        <v>1</v>
      </c>
      <c r="X369" s="14" t="s">
        <v>59</v>
      </c>
      <c r="Y369" s="72"/>
    </row>
    <row r="370" spans="1:25" ht="14.5" x14ac:dyDescent="0.3">
      <c r="A370" s="15"/>
      <c r="B370" s="16"/>
      <c r="C370" s="17"/>
      <c r="D370" s="18"/>
      <c r="G370" s="16"/>
      <c r="H370" s="16"/>
      <c r="I370" s="16"/>
      <c r="R370" s="14">
        <v>11</v>
      </c>
      <c r="S370" s="14">
        <v>20072</v>
      </c>
      <c r="T370" s="14">
        <v>0</v>
      </c>
      <c r="U370" s="20">
        <v>1.2E-2</v>
      </c>
      <c r="V370" s="14">
        <v>0</v>
      </c>
      <c r="W370" s="14">
        <v>1</v>
      </c>
      <c r="X370" s="16" t="s">
        <v>147</v>
      </c>
      <c r="Y370" s="72"/>
    </row>
    <row r="371" spans="1:25" ht="14.5" x14ac:dyDescent="0.3">
      <c r="A371" s="15"/>
      <c r="B371" s="16"/>
      <c r="C371" s="17"/>
      <c r="D371" s="18"/>
      <c r="G371" s="16"/>
      <c r="H371" s="16"/>
      <c r="I371" s="16"/>
      <c r="S371" s="14">
        <v>6032</v>
      </c>
      <c r="T371" s="14">
        <v>0</v>
      </c>
      <c r="U371" s="20">
        <v>0.03</v>
      </c>
      <c r="V371" s="14">
        <v>0</v>
      </c>
      <c r="W371" s="14">
        <v>1</v>
      </c>
      <c r="X371" s="14" t="s">
        <v>59</v>
      </c>
      <c r="Y371" s="72"/>
    </row>
    <row r="372" spans="1:25" ht="14.5" x14ac:dyDescent="0.3">
      <c r="A372" s="15"/>
      <c r="B372" s="16"/>
      <c r="C372" s="17"/>
      <c r="D372" s="18"/>
      <c r="G372" s="16"/>
      <c r="H372" s="16"/>
      <c r="I372" s="16"/>
      <c r="S372" s="14">
        <v>19022</v>
      </c>
      <c r="T372" s="14">
        <v>0</v>
      </c>
      <c r="U372" s="26">
        <v>7.0000000000000001E-3</v>
      </c>
      <c r="V372" s="26">
        <v>3.5000000000000001E-3</v>
      </c>
      <c r="W372" s="14">
        <v>1</v>
      </c>
      <c r="X372" s="14" t="s">
        <v>66</v>
      </c>
      <c r="Y372" s="72"/>
    </row>
    <row r="373" spans="1:25" ht="14.5" x14ac:dyDescent="0.3">
      <c r="A373" s="15"/>
      <c r="B373" s="16"/>
      <c r="C373" s="17"/>
      <c r="D373" s="18"/>
      <c r="G373" s="16"/>
      <c r="H373" s="16"/>
      <c r="I373" s="16"/>
      <c r="Y373" s="72"/>
    </row>
    <row r="374" spans="1:25" ht="14.5" x14ac:dyDescent="0.3">
      <c r="A374" s="15"/>
      <c r="B374" s="16"/>
      <c r="C374" s="17"/>
      <c r="D374" s="18"/>
      <c r="G374" s="16"/>
      <c r="H374" s="16"/>
      <c r="I374" s="16"/>
      <c r="Y374" s="72"/>
    </row>
    <row r="375" spans="1:25" ht="14.5" x14ac:dyDescent="0.3">
      <c r="A375" s="15"/>
      <c r="B375" s="16"/>
      <c r="C375" s="17"/>
      <c r="D375" s="18"/>
      <c r="G375" s="16"/>
      <c r="H375" s="16"/>
      <c r="I375" s="16"/>
      <c r="Y375" s="72"/>
    </row>
    <row r="376" spans="1:25" ht="16.5" x14ac:dyDescent="0.3">
      <c r="A376" s="15">
        <v>56144</v>
      </c>
      <c r="B376" s="16">
        <v>102</v>
      </c>
      <c r="C376" s="17" t="s">
        <v>160</v>
      </c>
      <c r="D376" s="8" t="s">
        <v>326</v>
      </c>
      <c r="E376" s="14" t="s">
        <v>44</v>
      </c>
      <c r="F376" s="15" t="s">
        <v>161</v>
      </c>
      <c r="G376" s="16">
        <v>1</v>
      </c>
      <c r="H376" s="16" t="s">
        <v>73</v>
      </c>
      <c r="I376" s="16">
        <v>2500</v>
      </c>
      <c r="J376" s="14">
        <v>3</v>
      </c>
      <c r="K376" s="14">
        <v>1</v>
      </c>
      <c r="L376" s="14">
        <v>20032</v>
      </c>
      <c r="M376" s="14">
        <v>0</v>
      </c>
      <c r="N376" s="20">
        <v>2.1999999999999999E-2</v>
      </c>
      <c r="O376" s="20">
        <v>2.2000000000000001E-3</v>
      </c>
      <c r="P376" s="14">
        <v>1</v>
      </c>
      <c r="Q376" s="16" t="s">
        <v>142</v>
      </c>
      <c r="R376" s="21">
        <v>1</v>
      </c>
      <c r="S376" s="14">
        <v>20062</v>
      </c>
      <c r="T376" s="14">
        <v>0</v>
      </c>
      <c r="U376" s="20">
        <v>0.01</v>
      </c>
      <c r="V376" s="20">
        <v>5.0000000000000001E-3</v>
      </c>
      <c r="W376" s="16">
        <v>1</v>
      </c>
      <c r="X376" s="16" t="s">
        <v>143</v>
      </c>
      <c r="Y376" s="73" t="s">
        <v>429</v>
      </c>
    </row>
    <row r="377" spans="1:25" ht="14.5" x14ac:dyDescent="0.3">
      <c r="A377" s="15"/>
      <c r="B377" s="16"/>
      <c r="C377" s="17"/>
      <c r="D377" s="18"/>
      <c r="G377" s="16"/>
      <c r="H377" s="16"/>
      <c r="I377" s="16"/>
      <c r="R377" s="14">
        <v>6</v>
      </c>
      <c r="S377" s="14">
        <v>20062</v>
      </c>
      <c r="T377" s="16">
        <v>0</v>
      </c>
      <c r="U377" s="20">
        <v>0.03</v>
      </c>
      <c r="V377" s="14">
        <v>0</v>
      </c>
      <c r="W377" s="14">
        <v>1</v>
      </c>
      <c r="X377" s="16" t="s">
        <v>143</v>
      </c>
      <c r="Y377" s="72"/>
    </row>
    <row r="378" spans="1:25" ht="14.5" x14ac:dyDescent="0.3">
      <c r="A378" s="15"/>
      <c r="B378" s="16"/>
      <c r="C378" s="17"/>
      <c r="D378" s="18"/>
      <c r="G378" s="16"/>
      <c r="H378" s="16"/>
      <c r="I378" s="16"/>
      <c r="S378" s="14">
        <v>6001</v>
      </c>
      <c r="T378" s="16">
        <v>3</v>
      </c>
      <c r="U378" s="16">
        <v>600</v>
      </c>
      <c r="V378" s="16">
        <v>300</v>
      </c>
      <c r="W378" s="14">
        <v>1</v>
      </c>
      <c r="X378" s="25" t="s">
        <v>49</v>
      </c>
      <c r="Y378" s="72"/>
    </row>
    <row r="379" spans="1:25" ht="14.5" x14ac:dyDescent="0.3">
      <c r="A379" s="15"/>
      <c r="B379" s="16"/>
      <c r="C379" s="17"/>
      <c r="D379" s="18"/>
      <c r="G379" s="16"/>
      <c r="H379" s="16"/>
      <c r="I379" s="16"/>
      <c r="R379" s="14">
        <v>11</v>
      </c>
      <c r="S379" s="14">
        <v>20062</v>
      </c>
      <c r="T379" s="16">
        <v>0</v>
      </c>
      <c r="U379" s="20">
        <v>0.03</v>
      </c>
      <c r="V379" s="14">
        <v>0</v>
      </c>
      <c r="W379" s="14">
        <v>1</v>
      </c>
      <c r="X379" s="16" t="s">
        <v>143</v>
      </c>
      <c r="Y379" s="72"/>
    </row>
    <row r="380" spans="1:25" ht="14.5" x14ac:dyDescent="0.3">
      <c r="A380" s="15"/>
      <c r="B380" s="16"/>
      <c r="C380" s="17"/>
      <c r="D380" s="18"/>
      <c r="G380" s="16"/>
      <c r="H380" s="16"/>
      <c r="I380" s="16"/>
      <c r="S380" s="14">
        <v>6001</v>
      </c>
      <c r="T380" s="16">
        <v>3</v>
      </c>
      <c r="U380" s="16">
        <v>1800</v>
      </c>
      <c r="V380" s="14">
        <v>0</v>
      </c>
      <c r="W380" s="14">
        <v>1</v>
      </c>
      <c r="X380" s="25" t="s">
        <v>49</v>
      </c>
      <c r="Y380" s="72"/>
    </row>
    <row r="381" spans="1:25" ht="14.5" x14ac:dyDescent="0.3">
      <c r="A381" s="15"/>
      <c r="B381" s="16"/>
      <c r="C381" s="17"/>
      <c r="D381" s="18"/>
      <c r="G381" s="16"/>
      <c r="H381" s="16"/>
      <c r="I381" s="16"/>
      <c r="S381" s="14">
        <v>19032</v>
      </c>
      <c r="T381" s="14">
        <v>0</v>
      </c>
      <c r="U381" s="20">
        <v>1.4999999999999999E-2</v>
      </c>
      <c r="V381" s="20">
        <v>7.4999999999999997E-3</v>
      </c>
      <c r="W381" s="14">
        <v>1</v>
      </c>
      <c r="X381" s="14" t="s">
        <v>63</v>
      </c>
      <c r="Y381" s="72"/>
    </row>
    <row r="382" spans="1:25" ht="14.5" x14ac:dyDescent="0.3">
      <c r="A382" s="15"/>
      <c r="B382" s="16"/>
      <c r="C382" s="17"/>
      <c r="D382" s="18"/>
      <c r="G382" s="16"/>
      <c r="H382" s="16"/>
      <c r="I382" s="16"/>
      <c r="R382" s="14">
        <v>16</v>
      </c>
      <c r="S382" s="14">
        <v>20062</v>
      </c>
      <c r="T382" s="16">
        <v>0</v>
      </c>
      <c r="U382" s="20">
        <v>0.03</v>
      </c>
      <c r="V382" s="14">
        <v>0</v>
      </c>
      <c r="W382" s="14">
        <v>1</v>
      </c>
      <c r="X382" s="16" t="s">
        <v>143</v>
      </c>
      <c r="Y382" s="72"/>
    </row>
    <row r="383" spans="1:25" ht="14.5" x14ac:dyDescent="0.3">
      <c r="A383" s="15"/>
      <c r="B383" s="16"/>
      <c r="C383" s="17"/>
      <c r="D383" s="18"/>
      <c r="G383" s="16"/>
      <c r="H383" s="16"/>
      <c r="I383" s="16"/>
      <c r="S383" s="14">
        <v>6001</v>
      </c>
      <c r="T383" s="16">
        <v>3</v>
      </c>
      <c r="U383" s="16">
        <v>1800</v>
      </c>
      <c r="V383" s="14">
        <v>0</v>
      </c>
      <c r="W383" s="14">
        <v>1</v>
      </c>
      <c r="X383" s="25" t="s">
        <v>49</v>
      </c>
      <c r="Y383" s="72"/>
    </row>
    <row r="384" spans="1:25" ht="14.5" x14ac:dyDescent="0.3">
      <c r="A384" s="15"/>
      <c r="B384" s="16"/>
      <c r="C384" s="17"/>
      <c r="D384" s="18"/>
      <c r="G384" s="16"/>
      <c r="H384" s="16"/>
      <c r="I384" s="16"/>
      <c r="S384" s="14">
        <v>19032</v>
      </c>
      <c r="T384" s="14">
        <v>0</v>
      </c>
      <c r="U384" s="20">
        <v>4.4999999999999998E-2</v>
      </c>
      <c r="V384" s="14">
        <v>0</v>
      </c>
      <c r="W384" s="14">
        <v>1</v>
      </c>
      <c r="X384" s="14" t="s">
        <v>63</v>
      </c>
      <c r="Y384" s="72"/>
    </row>
    <row r="385" spans="1:25" ht="14.5" x14ac:dyDescent="0.3">
      <c r="A385" s="15"/>
      <c r="B385" s="16"/>
      <c r="C385" s="17"/>
      <c r="D385" s="18"/>
      <c r="G385" s="16"/>
      <c r="H385" s="16"/>
      <c r="I385" s="16"/>
      <c r="S385" s="14">
        <v>20102</v>
      </c>
      <c r="T385" s="14">
        <v>0</v>
      </c>
      <c r="U385" s="27">
        <v>8.0000000000000002E-3</v>
      </c>
      <c r="V385" s="27">
        <v>4.0000000000000001E-3</v>
      </c>
      <c r="W385" s="14">
        <v>1</v>
      </c>
      <c r="X385" s="14" t="s">
        <v>162</v>
      </c>
      <c r="Y385" s="72"/>
    </row>
    <row r="386" spans="1:25" ht="14.5" x14ac:dyDescent="0.3">
      <c r="A386" s="15"/>
      <c r="B386" s="16"/>
      <c r="C386" s="17"/>
      <c r="D386" s="18"/>
      <c r="G386" s="16"/>
      <c r="H386" s="16"/>
      <c r="I386" s="16"/>
      <c r="Y386" s="72"/>
    </row>
    <row r="387" spans="1:25" ht="14.5" x14ac:dyDescent="0.3">
      <c r="A387" s="15"/>
      <c r="B387" s="16"/>
      <c r="C387" s="17"/>
      <c r="D387" s="18"/>
      <c r="G387" s="16"/>
      <c r="H387" s="16"/>
      <c r="I387" s="16"/>
      <c r="Y387" s="72"/>
    </row>
    <row r="388" spans="1:25" ht="14.5" x14ac:dyDescent="0.3">
      <c r="A388" s="15"/>
      <c r="B388" s="16"/>
      <c r="C388" s="17"/>
      <c r="D388" s="18"/>
      <c r="G388" s="16"/>
      <c r="H388" s="16"/>
      <c r="I388" s="16"/>
      <c r="Y388" s="72"/>
    </row>
    <row r="389" spans="1:25" ht="16.5" x14ac:dyDescent="0.3">
      <c r="A389" s="15">
        <v>56145</v>
      </c>
      <c r="B389" s="16">
        <v>102</v>
      </c>
      <c r="C389" s="17" t="s">
        <v>163</v>
      </c>
      <c r="D389" s="8" t="s">
        <v>327</v>
      </c>
      <c r="E389" s="14" t="s">
        <v>44</v>
      </c>
      <c r="F389" s="15" t="s">
        <v>164</v>
      </c>
      <c r="G389" s="16">
        <v>2</v>
      </c>
      <c r="H389" s="16" t="s">
        <v>73</v>
      </c>
      <c r="I389" s="16">
        <v>2500</v>
      </c>
      <c r="J389" s="14">
        <v>3</v>
      </c>
      <c r="K389" s="14">
        <v>1</v>
      </c>
      <c r="L389" s="14">
        <v>20002</v>
      </c>
      <c r="M389" s="14">
        <v>0</v>
      </c>
      <c r="N389" s="20">
        <v>2.1999999999999999E-2</v>
      </c>
      <c r="O389" s="20">
        <v>2.2000000000000001E-3</v>
      </c>
      <c r="P389" s="16">
        <v>1</v>
      </c>
      <c r="Q389" s="16" t="s">
        <v>146</v>
      </c>
      <c r="R389" s="21">
        <v>1</v>
      </c>
      <c r="S389" s="14">
        <v>20072</v>
      </c>
      <c r="T389" s="16">
        <v>0</v>
      </c>
      <c r="U389" s="20">
        <v>8.0000000000000002E-3</v>
      </c>
      <c r="V389" s="20">
        <v>4.0000000000000001E-3</v>
      </c>
      <c r="W389" s="16">
        <v>1</v>
      </c>
      <c r="X389" s="16" t="s">
        <v>147</v>
      </c>
      <c r="Y389" s="73" t="s">
        <v>430</v>
      </c>
    </row>
    <row r="390" spans="1:25" ht="14.5" x14ac:dyDescent="0.3">
      <c r="A390" s="15"/>
      <c r="B390" s="16"/>
      <c r="C390" s="17"/>
      <c r="D390" s="18"/>
      <c r="G390" s="16"/>
      <c r="H390" s="16"/>
      <c r="I390" s="16"/>
      <c r="R390" s="14">
        <v>6</v>
      </c>
      <c r="S390" s="14">
        <v>20072</v>
      </c>
      <c r="T390" s="14">
        <v>0</v>
      </c>
      <c r="U390" s="20">
        <v>2.4E-2</v>
      </c>
      <c r="V390" s="14">
        <v>0</v>
      </c>
      <c r="W390" s="14">
        <v>1</v>
      </c>
      <c r="X390" s="16" t="s">
        <v>147</v>
      </c>
      <c r="Y390" s="72"/>
    </row>
    <row r="391" spans="1:25" ht="14.5" x14ac:dyDescent="0.3">
      <c r="A391" s="15"/>
      <c r="B391" s="16"/>
      <c r="C391" s="17"/>
      <c r="D391" s="18"/>
      <c r="G391" s="16"/>
      <c r="H391" s="16"/>
      <c r="I391" s="16"/>
      <c r="S391" s="16">
        <v>6046</v>
      </c>
      <c r="T391" s="14">
        <v>0</v>
      </c>
      <c r="U391" s="20">
        <v>2E-3</v>
      </c>
      <c r="V391" s="20">
        <v>1E-3</v>
      </c>
      <c r="W391" s="14">
        <v>1</v>
      </c>
      <c r="X391" s="16" t="s">
        <v>54</v>
      </c>
      <c r="Y391" s="72"/>
    </row>
    <row r="392" spans="1:25" ht="14.5" x14ac:dyDescent="0.3">
      <c r="A392" s="15"/>
      <c r="B392" s="16"/>
      <c r="C392" s="17"/>
      <c r="D392" s="18"/>
      <c r="G392" s="16"/>
      <c r="H392" s="16"/>
      <c r="I392" s="16"/>
      <c r="R392" s="14">
        <v>11</v>
      </c>
      <c r="S392" s="14">
        <v>20072</v>
      </c>
      <c r="T392" s="14">
        <v>0</v>
      </c>
      <c r="U392" s="20">
        <v>2.4E-2</v>
      </c>
      <c r="V392" s="14">
        <v>0</v>
      </c>
      <c r="W392" s="14">
        <v>1</v>
      </c>
      <c r="X392" s="16" t="s">
        <v>147</v>
      </c>
      <c r="Y392" s="72"/>
    </row>
    <row r="393" spans="1:25" ht="14.5" x14ac:dyDescent="0.3">
      <c r="A393" s="15"/>
      <c r="B393" s="16"/>
      <c r="C393" s="17"/>
      <c r="D393" s="18"/>
      <c r="G393" s="16"/>
      <c r="H393" s="16"/>
      <c r="I393" s="16"/>
      <c r="S393" s="16">
        <v>6046</v>
      </c>
      <c r="T393" s="14">
        <v>0</v>
      </c>
      <c r="U393" s="20">
        <v>6.0000000000000001E-3</v>
      </c>
      <c r="V393" s="14">
        <v>0</v>
      </c>
      <c r="W393" s="14">
        <v>1</v>
      </c>
      <c r="X393" s="16" t="s">
        <v>54</v>
      </c>
      <c r="Y393" s="72"/>
    </row>
    <row r="394" spans="1:25" ht="14.5" x14ac:dyDescent="0.3">
      <c r="A394" s="15"/>
      <c r="B394" s="16"/>
      <c r="C394" s="17"/>
      <c r="D394" s="18"/>
      <c r="G394" s="16"/>
      <c r="H394" s="16"/>
      <c r="I394" s="16"/>
      <c r="S394" s="14">
        <v>19022</v>
      </c>
      <c r="T394" s="14">
        <v>0</v>
      </c>
      <c r="U394" s="20">
        <v>1.4999999999999999E-2</v>
      </c>
      <c r="V394" s="20">
        <v>7.4999999999999997E-3</v>
      </c>
      <c r="W394" s="14">
        <v>1</v>
      </c>
      <c r="X394" s="14" t="s">
        <v>66</v>
      </c>
      <c r="Y394" s="72"/>
    </row>
    <row r="395" spans="1:25" ht="14.5" x14ac:dyDescent="0.3">
      <c r="A395" s="15"/>
      <c r="B395" s="16"/>
      <c r="C395" s="17"/>
      <c r="D395" s="18"/>
      <c r="G395" s="16"/>
      <c r="H395" s="16"/>
      <c r="I395" s="16"/>
      <c r="R395" s="14">
        <v>16</v>
      </c>
      <c r="S395" s="14">
        <v>20072</v>
      </c>
      <c r="T395" s="14">
        <v>0</v>
      </c>
      <c r="U395" s="20">
        <v>2.4E-2</v>
      </c>
      <c r="V395" s="14">
        <v>0</v>
      </c>
      <c r="W395" s="14">
        <v>1</v>
      </c>
      <c r="X395" s="16" t="s">
        <v>147</v>
      </c>
      <c r="Y395" s="72"/>
    </row>
    <row r="396" spans="1:25" ht="14.5" x14ac:dyDescent="0.3">
      <c r="A396" s="15"/>
      <c r="B396" s="16"/>
      <c r="C396" s="17"/>
      <c r="D396" s="18"/>
      <c r="G396" s="16"/>
      <c r="H396" s="16"/>
      <c r="I396" s="16"/>
      <c r="S396" s="16">
        <v>6046</v>
      </c>
      <c r="T396" s="14">
        <v>0</v>
      </c>
      <c r="U396" s="20">
        <v>6.0000000000000001E-3</v>
      </c>
      <c r="V396" s="14">
        <v>0</v>
      </c>
      <c r="W396" s="14">
        <v>1</v>
      </c>
      <c r="X396" s="16" t="s">
        <v>54</v>
      </c>
      <c r="Y396" s="72"/>
    </row>
    <row r="397" spans="1:25" ht="14.5" x14ac:dyDescent="0.3">
      <c r="A397" s="15"/>
      <c r="B397" s="16"/>
      <c r="C397" s="17"/>
      <c r="D397" s="18"/>
      <c r="G397" s="16"/>
      <c r="H397" s="16"/>
      <c r="I397" s="16"/>
      <c r="S397" s="14">
        <v>19022</v>
      </c>
      <c r="T397" s="14">
        <v>0</v>
      </c>
      <c r="U397" s="20">
        <v>4.4999999999999998E-2</v>
      </c>
      <c r="V397" s="14">
        <v>0</v>
      </c>
      <c r="W397" s="14">
        <v>1</v>
      </c>
      <c r="X397" s="14" t="s">
        <v>66</v>
      </c>
      <c r="Y397" s="72"/>
    </row>
    <row r="398" spans="1:25" ht="14.5" x14ac:dyDescent="0.3">
      <c r="A398" s="15"/>
      <c r="B398" s="16"/>
      <c r="C398" s="17"/>
      <c r="D398" s="18"/>
      <c r="G398" s="16"/>
      <c r="H398" s="16"/>
      <c r="I398" s="16"/>
      <c r="S398" s="14">
        <v>29101</v>
      </c>
      <c r="T398" s="14">
        <v>0</v>
      </c>
      <c r="U398" s="27">
        <v>0.01</v>
      </c>
      <c r="V398" s="27">
        <v>5.0000000000000001E-3</v>
      </c>
      <c r="W398" s="14">
        <v>1</v>
      </c>
      <c r="X398" s="14" t="s">
        <v>77</v>
      </c>
      <c r="Y398" s="72"/>
    </row>
    <row r="399" spans="1:25" ht="14.5" x14ac:dyDescent="0.3">
      <c r="A399" s="15"/>
      <c r="B399" s="16"/>
      <c r="C399" s="17"/>
      <c r="D399" s="18"/>
      <c r="G399" s="16"/>
      <c r="H399" s="16"/>
      <c r="I399" s="16"/>
      <c r="Y399" s="72"/>
    </row>
    <row r="400" spans="1:25" ht="14.5" x14ac:dyDescent="0.3">
      <c r="A400" s="15"/>
      <c r="B400" s="16"/>
      <c r="C400" s="17"/>
      <c r="D400" s="18"/>
      <c r="G400" s="16"/>
      <c r="H400" s="16"/>
      <c r="I400" s="16"/>
      <c r="Y400" s="72"/>
    </row>
    <row r="401" spans="1:25" ht="14.5" x14ac:dyDescent="0.3">
      <c r="A401" s="15"/>
      <c r="B401" s="16"/>
      <c r="C401" s="17"/>
      <c r="D401" s="18"/>
      <c r="G401" s="16"/>
      <c r="H401" s="16"/>
      <c r="I401" s="16"/>
      <c r="Y401" s="72"/>
    </row>
    <row r="402" spans="1:25" ht="16.5" x14ac:dyDescent="0.3">
      <c r="A402" s="15">
        <v>56146</v>
      </c>
      <c r="B402" s="16">
        <v>102</v>
      </c>
      <c r="C402" s="17" t="s">
        <v>165</v>
      </c>
      <c r="D402" s="8" t="s">
        <v>328</v>
      </c>
      <c r="E402" s="14" t="s">
        <v>44</v>
      </c>
      <c r="F402" s="15" t="s">
        <v>166</v>
      </c>
      <c r="G402" s="16">
        <v>3</v>
      </c>
      <c r="H402" s="16" t="s">
        <v>73</v>
      </c>
      <c r="I402" s="16">
        <v>2500</v>
      </c>
      <c r="J402" s="14">
        <v>3</v>
      </c>
      <c r="K402" s="14">
        <v>1</v>
      </c>
      <c r="L402" s="14">
        <v>20032</v>
      </c>
      <c r="M402" s="14">
        <v>0</v>
      </c>
      <c r="N402" s="20">
        <v>2.1999999999999999E-2</v>
      </c>
      <c r="O402" s="20">
        <v>2.2000000000000001E-3</v>
      </c>
      <c r="P402" s="14">
        <v>1</v>
      </c>
      <c r="Q402" s="16" t="s">
        <v>142</v>
      </c>
      <c r="R402" s="21">
        <v>1</v>
      </c>
      <c r="S402" s="14">
        <v>20062</v>
      </c>
      <c r="T402" s="14">
        <v>0</v>
      </c>
      <c r="U402" s="20">
        <v>0.01</v>
      </c>
      <c r="V402" s="20">
        <v>5.0000000000000001E-3</v>
      </c>
      <c r="W402" s="16">
        <v>1</v>
      </c>
      <c r="X402" s="16" t="s">
        <v>143</v>
      </c>
      <c r="Y402" s="73" t="s">
        <v>431</v>
      </c>
    </row>
    <row r="403" spans="1:25" ht="14.5" x14ac:dyDescent="0.3">
      <c r="A403" s="15"/>
      <c r="B403" s="16"/>
      <c r="C403" s="17"/>
      <c r="D403" s="18"/>
      <c r="G403" s="16"/>
      <c r="H403" s="16"/>
      <c r="I403" s="16"/>
      <c r="R403" s="14">
        <v>6</v>
      </c>
      <c r="S403" s="14">
        <v>20062</v>
      </c>
      <c r="T403" s="16">
        <v>0</v>
      </c>
      <c r="U403" s="20">
        <v>0.03</v>
      </c>
      <c r="V403" s="14">
        <v>0</v>
      </c>
      <c r="W403" s="14">
        <v>1</v>
      </c>
      <c r="X403" s="16" t="s">
        <v>143</v>
      </c>
      <c r="Y403" s="72"/>
    </row>
    <row r="404" spans="1:25" ht="14.5" x14ac:dyDescent="0.3">
      <c r="A404" s="15"/>
      <c r="B404" s="16"/>
      <c r="C404" s="17"/>
      <c r="D404" s="18"/>
      <c r="G404" s="16"/>
      <c r="H404" s="16"/>
      <c r="I404" s="16"/>
      <c r="S404" s="14">
        <v>6001</v>
      </c>
      <c r="T404" s="16">
        <v>3</v>
      </c>
      <c r="U404" s="16">
        <v>600</v>
      </c>
      <c r="V404" s="16">
        <v>300</v>
      </c>
      <c r="W404" s="14">
        <v>1</v>
      </c>
      <c r="X404" s="25" t="s">
        <v>49</v>
      </c>
      <c r="Y404" s="72"/>
    </row>
    <row r="405" spans="1:25" ht="14.5" x14ac:dyDescent="0.3">
      <c r="A405" s="15"/>
      <c r="B405" s="16"/>
      <c r="C405" s="17"/>
      <c r="D405" s="18"/>
      <c r="G405" s="16"/>
      <c r="H405" s="16"/>
      <c r="I405" s="16"/>
      <c r="R405" s="14">
        <v>11</v>
      </c>
      <c r="S405" s="14">
        <v>20062</v>
      </c>
      <c r="T405" s="16">
        <v>0</v>
      </c>
      <c r="U405" s="20">
        <v>0.03</v>
      </c>
      <c r="V405" s="14">
        <v>0</v>
      </c>
      <c r="W405" s="14">
        <v>1</v>
      </c>
      <c r="X405" s="16" t="s">
        <v>143</v>
      </c>
      <c r="Y405" s="72"/>
    </row>
    <row r="406" spans="1:25" ht="14.5" x14ac:dyDescent="0.3">
      <c r="A406" s="15"/>
      <c r="B406" s="16"/>
      <c r="C406" s="17"/>
      <c r="D406" s="18"/>
      <c r="G406" s="16"/>
      <c r="H406" s="16"/>
      <c r="I406" s="16"/>
      <c r="S406" s="14">
        <v>6001</v>
      </c>
      <c r="T406" s="16">
        <v>3</v>
      </c>
      <c r="U406" s="16">
        <v>1800</v>
      </c>
      <c r="V406" s="14">
        <v>0</v>
      </c>
      <c r="W406" s="14">
        <v>1</v>
      </c>
      <c r="X406" s="25" t="s">
        <v>49</v>
      </c>
      <c r="Y406" s="72"/>
    </row>
    <row r="407" spans="1:25" ht="14.5" x14ac:dyDescent="0.3">
      <c r="A407" s="15"/>
      <c r="B407" s="16"/>
      <c r="C407" s="17"/>
      <c r="D407" s="18"/>
      <c r="G407" s="16"/>
      <c r="H407" s="16"/>
      <c r="I407" s="16"/>
      <c r="S407" s="14">
        <v>19032</v>
      </c>
      <c r="T407" s="14">
        <v>0</v>
      </c>
      <c r="U407" s="20">
        <v>1.4999999999999999E-2</v>
      </c>
      <c r="V407" s="20">
        <v>7.4999999999999997E-3</v>
      </c>
      <c r="W407" s="14">
        <v>1</v>
      </c>
      <c r="X407" s="14" t="s">
        <v>63</v>
      </c>
      <c r="Y407" s="72"/>
    </row>
    <row r="408" spans="1:25" ht="14.5" x14ac:dyDescent="0.3">
      <c r="A408" s="15"/>
      <c r="B408" s="16"/>
      <c r="C408" s="17"/>
      <c r="D408" s="18"/>
      <c r="G408" s="16"/>
      <c r="H408" s="16"/>
      <c r="I408" s="16"/>
      <c r="R408" s="14">
        <v>16</v>
      </c>
      <c r="S408" s="14">
        <v>20062</v>
      </c>
      <c r="T408" s="16">
        <v>0</v>
      </c>
      <c r="U408" s="20">
        <v>0.03</v>
      </c>
      <c r="V408" s="14">
        <v>0</v>
      </c>
      <c r="W408" s="14">
        <v>1</v>
      </c>
      <c r="X408" s="16" t="s">
        <v>143</v>
      </c>
      <c r="Y408" s="72"/>
    </row>
    <row r="409" spans="1:25" ht="14.5" x14ac:dyDescent="0.3">
      <c r="A409" s="15"/>
      <c r="B409" s="16"/>
      <c r="C409" s="17"/>
      <c r="D409" s="18"/>
      <c r="G409" s="16"/>
      <c r="H409" s="16"/>
      <c r="I409" s="16"/>
      <c r="S409" s="14">
        <v>6001</v>
      </c>
      <c r="T409" s="16">
        <v>3</v>
      </c>
      <c r="U409" s="16">
        <v>1800</v>
      </c>
      <c r="V409" s="14">
        <v>0</v>
      </c>
      <c r="W409" s="14">
        <v>1</v>
      </c>
      <c r="X409" s="25" t="s">
        <v>49</v>
      </c>
      <c r="Y409" s="72"/>
    </row>
    <row r="410" spans="1:25" ht="14.5" x14ac:dyDescent="0.3">
      <c r="A410" s="15"/>
      <c r="B410" s="16"/>
      <c r="C410" s="17"/>
      <c r="D410" s="18"/>
      <c r="G410" s="16"/>
      <c r="H410" s="16"/>
      <c r="I410" s="16"/>
      <c r="S410" s="14">
        <v>19032</v>
      </c>
      <c r="T410" s="14">
        <v>0</v>
      </c>
      <c r="U410" s="20">
        <v>4.4999999999999998E-2</v>
      </c>
      <c r="V410" s="14">
        <v>0</v>
      </c>
      <c r="W410" s="14">
        <v>1</v>
      </c>
      <c r="X410" s="14" t="s">
        <v>63</v>
      </c>
      <c r="Y410" s="72"/>
    </row>
    <row r="411" spans="1:25" ht="14.5" x14ac:dyDescent="0.3">
      <c r="A411" s="15"/>
      <c r="B411" s="16"/>
      <c r="C411" s="17"/>
      <c r="D411" s="18"/>
      <c r="G411" s="16"/>
      <c r="H411" s="16"/>
      <c r="I411" s="16"/>
      <c r="S411" s="14">
        <v>20102</v>
      </c>
      <c r="T411" s="14">
        <v>0</v>
      </c>
      <c r="U411" s="27">
        <v>8.0000000000000002E-3</v>
      </c>
      <c r="V411" s="27">
        <v>4.0000000000000001E-3</v>
      </c>
      <c r="W411" s="14">
        <v>1</v>
      </c>
      <c r="X411" s="14" t="s">
        <v>162</v>
      </c>
      <c r="Y411" s="72"/>
    </row>
    <row r="412" spans="1:25" ht="14.5" x14ac:dyDescent="0.3">
      <c r="A412" s="15"/>
      <c r="B412" s="16"/>
      <c r="C412" s="17"/>
      <c r="D412" s="18"/>
      <c r="G412" s="16"/>
      <c r="H412" s="16"/>
      <c r="I412" s="16"/>
      <c r="Y412" s="72"/>
    </row>
    <row r="413" spans="1:25" ht="14.5" x14ac:dyDescent="0.3">
      <c r="A413" s="15"/>
      <c r="B413" s="16"/>
      <c r="C413" s="17"/>
      <c r="D413" s="18"/>
      <c r="G413" s="16"/>
      <c r="H413" s="16"/>
      <c r="I413" s="16"/>
      <c r="Y413" s="72"/>
    </row>
    <row r="414" spans="1:25" ht="14.5" x14ac:dyDescent="0.3">
      <c r="A414" s="15"/>
      <c r="B414" s="16"/>
      <c r="C414" s="17"/>
      <c r="D414" s="18"/>
      <c r="G414" s="16"/>
      <c r="H414" s="16"/>
      <c r="I414" s="16"/>
      <c r="Y414" s="72"/>
    </row>
    <row r="415" spans="1:25" ht="16.5" x14ac:dyDescent="0.3">
      <c r="A415" s="15">
        <v>56147</v>
      </c>
      <c r="B415" s="16">
        <v>102</v>
      </c>
      <c r="C415" s="17" t="s">
        <v>167</v>
      </c>
      <c r="D415" s="8" t="s">
        <v>329</v>
      </c>
      <c r="E415" s="14" t="s">
        <v>44</v>
      </c>
      <c r="F415" s="15" t="s">
        <v>168</v>
      </c>
      <c r="G415" s="16">
        <v>4</v>
      </c>
      <c r="H415" s="16" t="s">
        <v>73</v>
      </c>
      <c r="I415" s="16">
        <v>2500</v>
      </c>
      <c r="J415" s="14">
        <v>3</v>
      </c>
      <c r="K415" s="14">
        <v>1</v>
      </c>
      <c r="L415" s="14">
        <v>20002</v>
      </c>
      <c r="M415" s="14">
        <v>0</v>
      </c>
      <c r="N415" s="20">
        <v>2.1999999999999999E-2</v>
      </c>
      <c r="O415" s="20">
        <v>2.2000000000000001E-3</v>
      </c>
      <c r="P415" s="16">
        <v>1</v>
      </c>
      <c r="Q415" s="16" t="s">
        <v>146</v>
      </c>
      <c r="R415" s="21">
        <v>1</v>
      </c>
      <c r="S415" s="14">
        <v>20072</v>
      </c>
      <c r="T415" s="16">
        <v>0</v>
      </c>
      <c r="U415" s="20">
        <v>8.0000000000000002E-3</v>
      </c>
      <c r="V415" s="20">
        <v>4.0000000000000001E-3</v>
      </c>
      <c r="W415" s="16">
        <v>1</v>
      </c>
      <c r="X415" s="16" t="s">
        <v>147</v>
      </c>
      <c r="Y415" s="73" t="s">
        <v>432</v>
      </c>
    </row>
    <row r="416" spans="1:25" x14ac:dyDescent="0.3">
      <c r="R416" s="14">
        <v>6</v>
      </c>
      <c r="S416" s="14">
        <v>20072</v>
      </c>
      <c r="T416" s="14">
        <v>0</v>
      </c>
      <c r="U416" s="20">
        <v>2.4E-2</v>
      </c>
      <c r="V416" s="14">
        <v>0</v>
      </c>
      <c r="W416" s="14">
        <v>1</v>
      </c>
      <c r="X416" s="16" t="s">
        <v>147</v>
      </c>
      <c r="Y416" s="72"/>
    </row>
    <row r="417" spans="18:24" x14ac:dyDescent="0.3">
      <c r="S417" s="14">
        <v>6032</v>
      </c>
      <c r="T417" s="14">
        <v>0</v>
      </c>
      <c r="U417" s="20">
        <v>0.02</v>
      </c>
      <c r="V417" s="20">
        <v>0.01</v>
      </c>
      <c r="W417" s="14">
        <v>1</v>
      </c>
      <c r="X417" s="14" t="s">
        <v>59</v>
      </c>
    </row>
    <row r="418" spans="18:24" x14ac:dyDescent="0.3">
      <c r="R418" s="14">
        <v>11</v>
      </c>
      <c r="S418" s="14">
        <v>20072</v>
      </c>
      <c r="T418" s="14">
        <v>0</v>
      </c>
      <c r="U418" s="20">
        <v>2.4E-2</v>
      </c>
      <c r="V418" s="14">
        <v>0</v>
      </c>
      <c r="W418" s="14">
        <v>1</v>
      </c>
      <c r="X418" s="16" t="s">
        <v>147</v>
      </c>
    </row>
    <row r="419" spans="18:24" x14ac:dyDescent="0.3">
      <c r="S419" s="14">
        <v>6032</v>
      </c>
      <c r="T419" s="14">
        <v>0</v>
      </c>
      <c r="U419" s="20">
        <v>0.06</v>
      </c>
      <c r="V419" s="14">
        <v>0</v>
      </c>
      <c r="W419" s="14">
        <v>1</v>
      </c>
      <c r="X419" s="14" t="s">
        <v>59</v>
      </c>
    </row>
    <row r="420" spans="18:24" x14ac:dyDescent="0.3">
      <c r="S420" s="14">
        <v>19022</v>
      </c>
      <c r="T420" s="14">
        <v>0</v>
      </c>
      <c r="U420" s="20">
        <v>1.4999999999999999E-2</v>
      </c>
      <c r="V420" s="20">
        <v>7.4999999999999997E-3</v>
      </c>
      <c r="W420" s="14">
        <v>1</v>
      </c>
      <c r="X420" s="14" t="s">
        <v>66</v>
      </c>
    </row>
    <row r="421" spans="18:24" x14ac:dyDescent="0.3">
      <c r="R421" s="14">
        <v>16</v>
      </c>
      <c r="S421" s="14">
        <v>20072</v>
      </c>
      <c r="T421" s="14">
        <v>0</v>
      </c>
      <c r="U421" s="20">
        <v>2.4E-2</v>
      </c>
      <c r="V421" s="14">
        <v>0</v>
      </c>
      <c r="W421" s="14">
        <v>1</v>
      </c>
      <c r="X421" s="16" t="s">
        <v>147</v>
      </c>
    </row>
    <row r="422" spans="18:24" x14ac:dyDescent="0.3">
      <c r="S422" s="14">
        <v>6032</v>
      </c>
      <c r="T422" s="14">
        <v>0</v>
      </c>
      <c r="U422" s="20">
        <v>0.06</v>
      </c>
      <c r="V422" s="14">
        <v>0</v>
      </c>
      <c r="W422" s="14">
        <v>1</v>
      </c>
      <c r="X422" s="14" t="s">
        <v>59</v>
      </c>
    </row>
    <row r="423" spans="18:24" x14ac:dyDescent="0.3">
      <c r="S423" s="14">
        <v>19022</v>
      </c>
      <c r="T423" s="14">
        <v>0</v>
      </c>
      <c r="U423" s="20">
        <v>4.4999999999999998E-2</v>
      </c>
      <c r="V423" s="14">
        <v>0</v>
      </c>
      <c r="W423" s="14">
        <v>1</v>
      </c>
      <c r="X423" s="14" t="s">
        <v>66</v>
      </c>
    </row>
    <row r="424" spans="18:24" x14ac:dyDescent="0.3">
      <c r="S424" s="14">
        <v>29101</v>
      </c>
      <c r="T424" s="14">
        <v>0</v>
      </c>
      <c r="U424" s="27">
        <v>0.01</v>
      </c>
      <c r="V424" s="27">
        <v>5.0000000000000001E-3</v>
      </c>
      <c r="W424" s="14">
        <v>1</v>
      </c>
      <c r="X424" s="14" t="s">
        <v>77</v>
      </c>
    </row>
  </sheetData>
  <phoneticPr fontId="8" type="noConversion"/>
  <conditionalFormatting sqref="A4:A415">
    <cfRule type="duplicateValues" dxfId="224" priority="64"/>
  </conditionalFormatting>
  <conditionalFormatting sqref="C4:C415">
    <cfRule type="duplicateValues" dxfId="223" priority="65"/>
  </conditionalFormatting>
  <conditionalFormatting sqref="X4:X6">
    <cfRule type="duplicateValues" dxfId="222" priority="63"/>
  </conditionalFormatting>
  <conditionalFormatting sqref="X12">
    <cfRule type="duplicateValues" dxfId="221" priority="62"/>
  </conditionalFormatting>
  <conditionalFormatting sqref="X13:X14">
    <cfRule type="duplicateValues" dxfId="220" priority="57"/>
  </conditionalFormatting>
  <conditionalFormatting sqref="X20">
    <cfRule type="duplicateValues" dxfId="219" priority="61"/>
  </conditionalFormatting>
  <conditionalFormatting sqref="X21">
    <cfRule type="duplicateValues" dxfId="218" priority="60"/>
  </conditionalFormatting>
  <conditionalFormatting sqref="X22">
    <cfRule type="duplicateValues" dxfId="217" priority="50"/>
  </conditionalFormatting>
  <conditionalFormatting sqref="X23">
    <cfRule type="duplicateValues" dxfId="216" priority="48"/>
  </conditionalFormatting>
  <conditionalFormatting sqref="X24">
    <cfRule type="duplicateValues" dxfId="215" priority="47"/>
  </conditionalFormatting>
  <conditionalFormatting sqref="X36">
    <cfRule type="duplicateValues" dxfId="214" priority="59"/>
  </conditionalFormatting>
  <conditionalFormatting sqref="X37">
    <cfRule type="duplicateValues" dxfId="213" priority="58"/>
  </conditionalFormatting>
  <conditionalFormatting sqref="X38">
    <cfRule type="duplicateValues" dxfId="212" priority="49"/>
  </conditionalFormatting>
  <conditionalFormatting sqref="X39">
    <cfRule type="duplicateValues" dxfId="211" priority="46"/>
  </conditionalFormatting>
  <conditionalFormatting sqref="X40">
    <cfRule type="duplicateValues" dxfId="210" priority="45"/>
  </conditionalFormatting>
  <conditionalFormatting sqref="X52">
    <cfRule type="duplicateValues" dxfId="209" priority="44"/>
  </conditionalFormatting>
  <conditionalFormatting sqref="X53">
    <cfRule type="duplicateValues" dxfId="208" priority="43"/>
  </conditionalFormatting>
  <conditionalFormatting sqref="X54">
    <cfRule type="duplicateValues" dxfId="207" priority="42"/>
  </conditionalFormatting>
  <conditionalFormatting sqref="X55">
    <cfRule type="duplicateValues" dxfId="206" priority="41"/>
  </conditionalFormatting>
  <conditionalFormatting sqref="X56">
    <cfRule type="duplicateValues" dxfId="205" priority="40"/>
  </conditionalFormatting>
  <conditionalFormatting sqref="X58">
    <cfRule type="duplicateValues" dxfId="204" priority="39"/>
  </conditionalFormatting>
  <conditionalFormatting sqref="X59">
    <cfRule type="duplicateValues" dxfId="203" priority="38"/>
  </conditionalFormatting>
  <conditionalFormatting sqref="X80">
    <cfRule type="duplicateValues" dxfId="202" priority="37"/>
  </conditionalFormatting>
  <conditionalFormatting sqref="X81">
    <cfRule type="duplicateValues" dxfId="201" priority="36"/>
  </conditionalFormatting>
  <conditionalFormatting sqref="X82">
    <cfRule type="duplicateValues" dxfId="200" priority="35"/>
  </conditionalFormatting>
  <conditionalFormatting sqref="X83">
    <cfRule type="duplicateValues" dxfId="199" priority="34"/>
  </conditionalFormatting>
  <conditionalFormatting sqref="X84">
    <cfRule type="duplicateValues" dxfId="198" priority="33"/>
  </conditionalFormatting>
  <conditionalFormatting sqref="X86">
    <cfRule type="duplicateValues" dxfId="197" priority="32"/>
  </conditionalFormatting>
  <conditionalFormatting sqref="X87">
    <cfRule type="duplicateValues" dxfId="196" priority="31"/>
  </conditionalFormatting>
  <conditionalFormatting sqref="X105">
    <cfRule type="duplicateValues" dxfId="195" priority="56"/>
  </conditionalFormatting>
  <conditionalFormatting sqref="X115">
    <cfRule type="duplicateValues" dxfId="194" priority="55"/>
  </conditionalFormatting>
  <conditionalFormatting sqref="X125">
    <cfRule type="duplicateValues" dxfId="193" priority="30"/>
  </conditionalFormatting>
  <conditionalFormatting sqref="X127">
    <cfRule type="duplicateValues" dxfId="192" priority="28"/>
  </conditionalFormatting>
  <conditionalFormatting sqref="X143">
    <cfRule type="duplicateValues" dxfId="191" priority="29"/>
  </conditionalFormatting>
  <conditionalFormatting sqref="X145">
    <cfRule type="duplicateValues" dxfId="190" priority="27"/>
  </conditionalFormatting>
  <conditionalFormatting sqref="X161">
    <cfRule type="duplicateValues" dxfId="189" priority="26"/>
  </conditionalFormatting>
  <conditionalFormatting sqref="X163">
    <cfRule type="duplicateValues" dxfId="188" priority="25"/>
  </conditionalFormatting>
  <conditionalFormatting sqref="X166">
    <cfRule type="duplicateValues" dxfId="187" priority="24"/>
  </conditionalFormatting>
  <conditionalFormatting sqref="X188">
    <cfRule type="duplicateValues" dxfId="186" priority="23"/>
  </conditionalFormatting>
  <conditionalFormatting sqref="X190">
    <cfRule type="duplicateValues" dxfId="185" priority="22"/>
  </conditionalFormatting>
  <conditionalFormatting sqref="X193">
    <cfRule type="duplicateValues" dxfId="184" priority="21"/>
  </conditionalFormatting>
  <conditionalFormatting sqref="X214">
    <cfRule type="duplicateValues" dxfId="183" priority="54"/>
  </conditionalFormatting>
  <conditionalFormatting sqref="X224">
    <cfRule type="duplicateValues" dxfId="182" priority="53"/>
  </conditionalFormatting>
  <conditionalFormatting sqref="X234">
    <cfRule type="duplicateValues" dxfId="181" priority="20"/>
  </conditionalFormatting>
  <conditionalFormatting sqref="X236">
    <cfRule type="duplicateValues" dxfId="180" priority="19"/>
  </conditionalFormatting>
  <conditionalFormatting sqref="X252">
    <cfRule type="duplicateValues" dxfId="179" priority="18"/>
  </conditionalFormatting>
  <conditionalFormatting sqref="X254">
    <cfRule type="duplicateValues" dxfId="178" priority="17"/>
  </conditionalFormatting>
  <conditionalFormatting sqref="X270">
    <cfRule type="duplicateValues" dxfId="177" priority="16"/>
  </conditionalFormatting>
  <conditionalFormatting sqref="X272">
    <cfRule type="duplicateValues" dxfId="176" priority="15"/>
  </conditionalFormatting>
  <conditionalFormatting sqref="X275">
    <cfRule type="duplicateValues" dxfId="175" priority="14"/>
  </conditionalFormatting>
  <conditionalFormatting sqref="X296">
    <cfRule type="duplicateValues" dxfId="174" priority="13"/>
  </conditionalFormatting>
  <conditionalFormatting sqref="X298">
    <cfRule type="duplicateValues" dxfId="173" priority="12"/>
  </conditionalFormatting>
  <conditionalFormatting sqref="X301">
    <cfRule type="duplicateValues" dxfId="172" priority="11"/>
  </conditionalFormatting>
  <conditionalFormatting sqref="X322">
    <cfRule type="duplicateValues" dxfId="171" priority="52"/>
  </conditionalFormatting>
  <conditionalFormatting sqref="X332">
    <cfRule type="duplicateValues" dxfId="170" priority="51"/>
  </conditionalFormatting>
  <conditionalFormatting sqref="X342">
    <cfRule type="duplicateValues" dxfId="169" priority="10"/>
  </conditionalFormatting>
  <conditionalFormatting sqref="X344">
    <cfRule type="duplicateValues" dxfId="168" priority="9"/>
  </conditionalFormatting>
  <conditionalFormatting sqref="X360">
    <cfRule type="duplicateValues" dxfId="167" priority="8"/>
  </conditionalFormatting>
  <conditionalFormatting sqref="X362">
    <cfRule type="duplicateValues" dxfId="166" priority="7"/>
  </conditionalFormatting>
  <conditionalFormatting sqref="X378">
    <cfRule type="duplicateValues" dxfId="165" priority="6"/>
  </conditionalFormatting>
  <conditionalFormatting sqref="X380">
    <cfRule type="duplicateValues" dxfId="164" priority="5"/>
  </conditionalFormatting>
  <conditionalFormatting sqref="X383">
    <cfRule type="duplicateValues" dxfId="163" priority="4"/>
  </conditionalFormatting>
  <conditionalFormatting sqref="X404">
    <cfRule type="duplicateValues" dxfId="162" priority="3"/>
  </conditionalFormatting>
  <conditionalFormatting sqref="X406">
    <cfRule type="duplicateValues" dxfId="161" priority="2"/>
  </conditionalFormatting>
  <conditionalFormatting sqref="X409">
    <cfRule type="duplicateValues" dxfId="16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4349-5063-4D1F-8A23-E8F3D3AFB909}">
  <dimension ref="A1:I67"/>
  <sheetViews>
    <sheetView workbookViewId="0">
      <selection activeCell="D23" sqref="D23"/>
    </sheetView>
  </sheetViews>
  <sheetFormatPr defaultRowHeight="14" x14ac:dyDescent="0.3"/>
  <cols>
    <col min="1" max="1" width="33.83203125" customWidth="1"/>
    <col min="2" max="2" width="16.25" customWidth="1"/>
    <col min="3" max="3" width="31.58203125" customWidth="1"/>
    <col min="4" max="4" width="25.83203125" customWidth="1"/>
    <col min="5" max="5" width="40.75" customWidth="1"/>
    <col min="6" max="6" width="31.83203125" customWidth="1"/>
    <col min="7" max="7" width="39.25" customWidth="1"/>
    <col min="8" max="8" width="36.58203125" customWidth="1"/>
    <col min="9" max="9" width="51" customWidth="1"/>
  </cols>
  <sheetData>
    <row r="1" spans="1:9" s="14" customFormat="1" x14ac:dyDescent="0.3">
      <c r="A1" s="51" t="s">
        <v>335</v>
      </c>
    </row>
    <row r="2" spans="1:9" s="14" customFormat="1" ht="16.5" x14ac:dyDescent="0.3">
      <c r="A2" s="53" t="s">
        <v>363</v>
      </c>
      <c r="B2" s="53" t="s">
        <v>364</v>
      </c>
      <c r="C2" s="53" t="s">
        <v>365</v>
      </c>
      <c r="D2" s="53" t="s">
        <v>366</v>
      </c>
      <c r="E2" s="2" t="s">
        <v>11</v>
      </c>
      <c r="F2" s="2" t="s">
        <v>12</v>
      </c>
      <c r="G2" s="2" t="s">
        <v>13</v>
      </c>
      <c r="H2" s="2" t="s">
        <v>15</v>
      </c>
      <c r="I2" s="2" t="s">
        <v>16</v>
      </c>
    </row>
    <row r="3" spans="1:9" s="14" customFormat="1" ht="27" customHeight="1" x14ac:dyDescent="0.3">
      <c r="A3" s="54" t="s">
        <v>0</v>
      </c>
      <c r="B3" s="53" t="s">
        <v>367</v>
      </c>
      <c r="C3" s="53" t="s">
        <v>368</v>
      </c>
      <c r="D3" s="53" t="s">
        <v>369</v>
      </c>
      <c r="E3" s="2" t="s">
        <v>370</v>
      </c>
      <c r="F3" s="2" t="s">
        <v>371</v>
      </c>
      <c r="G3" s="2" t="s">
        <v>372</v>
      </c>
      <c r="H3" s="2" t="s">
        <v>373</v>
      </c>
      <c r="I3" s="2" t="s">
        <v>374</v>
      </c>
    </row>
    <row r="4" spans="1:9" s="64" customFormat="1" ht="14.5" x14ac:dyDescent="0.3">
      <c r="A4" s="55">
        <v>56108</v>
      </c>
      <c r="B4" s="56">
        <v>1</v>
      </c>
      <c r="C4" s="57" t="s">
        <v>338</v>
      </c>
      <c r="D4" s="58">
        <v>3200</v>
      </c>
      <c r="E4" s="56">
        <v>20031</v>
      </c>
      <c r="F4" s="58">
        <v>0</v>
      </c>
      <c r="G4" s="59">
        <v>0.02</v>
      </c>
      <c r="H4" s="58">
        <v>1</v>
      </c>
      <c r="I4" s="60" t="s">
        <v>47</v>
      </c>
    </row>
    <row r="5" spans="1:9" s="64" customFormat="1" ht="14.5" x14ac:dyDescent="0.3">
      <c r="A5" s="60"/>
      <c r="B5" s="56">
        <v>2</v>
      </c>
      <c r="C5" s="57" t="s">
        <v>339</v>
      </c>
      <c r="D5" s="58">
        <v>4800</v>
      </c>
      <c r="E5" s="56">
        <v>20001</v>
      </c>
      <c r="F5" s="58">
        <v>0</v>
      </c>
      <c r="G5" s="59">
        <v>0.03</v>
      </c>
      <c r="H5" s="58">
        <v>1</v>
      </c>
      <c r="I5" s="61" t="s">
        <v>52</v>
      </c>
    </row>
    <row r="6" spans="1:9" s="64" customFormat="1" ht="14.5" x14ac:dyDescent="0.3">
      <c r="A6" s="60"/>
      <c r="B6" s="56">
        <v>3</v>
      </c>
      <c r="C6" s="57" t="s">
        <v>340</v>
      </c>
      <c r="D6" s="58">
        <v>9600</v>
      </c>
      <c r="E6" s="56">
        <v>20061</v>
      </c>
      <c r="F6" s="58">
        <v>0</v>
      </c>
      <c r="G6" s="59">
        <v>0.02</v>
      </c>
      <c r="H6" s="58">
        <v>1</v>
      </c>
      <c r="I6" s="61" t="s">
        <v>48</v>
      </c>
    </row>
    <row r="7" spans="1:9" s="64" customFormat="1" ht="14.5" x14ac:dyDescent="0.3">
      <c r="A7" s="60"/>
      <c r="B7" s="56">
        <v>4</v>
      </c>
      <c r="C7" s="57" t="s">
        <v>341</v>
      </c>
      <c r="D7" s="58">
        <v>19200</v>
      </c>
      <c r="E7" s="56">
        <v>30200</v>
      </c>
      <c r="F7" s="58">
        <v>3</v>
      </c>
      <c r="G7" s="62" t="s">
        <v>375</v>
      </c>
      <c r="H7" s="58">
        <v>1</v>
      </c>
      <c r="I7" s="63" t="s">
        <v>308</v>
      </c>
    </row>
    <row r="8" spans="1:9" s="64" customFormat="1" ht="14.5" x14ac:dyDescent="0.3">
      <c r="A8" s="55">
        <v>56109</v>
      </c>
      <c r="B8" s="56">
        <v>1</v>
      </c>
      <c r="C8" s="57" t="s">
        <v>338</v>
      </c>
      <c r="D8" s="58">
        <v>3200</v>
      </c>
      <c r="E8" s="56">
        <v>20031</v>
      </c>
      <c r="F8" s="58">
        <v>0</v>
      </c>
      <c r="G8" s="59">
        <v>0.02</v>
      </c>
      <c r="H8" s="58">
        <v>1</v>
      </c>
      <c r="I8" s="60" t="s">
        <v>47</v>
      </c>
    </row>
    <row r="9" spans="1:9" s="64" customFormat="1" ht="14.5" x14ac:dyDescent="0.3">
      <c r="A9" s="60"/>
      <c r="B9" s="56">
        <v>2</v>
      </c>
      <c r="C9" s="57" t="s">
        <v>339</v>
      </c>
      <c r="D9" s="58">
        <v>4800</v>
      </c>
      <c r="E9" s="56">
        <v>20001</v>
      </c>
      <c r="F9" s="58">
        <v>0</v>
      </c>
      <c r="G9" s="59">
        <v>0.03</v>
      </c>
      <c r="H9" s="58">
        <v>1</v>
      </c>
      <c r="I9" s="61" t="s">
        <v>52</v>
      </c>
    </row>
    <row r="10" spans="1:9" s="64" customFormat="1" ht="14.5" x14ac:dyDescent="0.3">
      <c r="A10" s="60"/>
      <c r="B10" s="56">
        <v>3</v>
      </c>
      <c r="C10" s="57" t="s">
        <v>340</v>
      </c>
      <c r="D10" s="58">
        <v>9600</v>
      </c>
      <c r="E10" s="56">
        <v>20061</v>
      </c>
      <c r="F10" s="58">
        <v>0</v>
      </c>
      <c r="G10" s="59">
        <v>0.02</v>
      </c>
      <c r="H10" s="58">
        <v>1</v>
      </c>
      <c r="I10" s="61" t="s">
        <v>48</v>
      </c>
    </row>
    <row r="11" spans="1:9" s="64" customFormat="1" ht="14.5" x14ac:dyDescent="0.3">
      <c r="A11" s="60"/>
      <c r="B11" s="56">
        <v>4</v>
      </c>
      <c r="C11" s="57" t="s">
        <v>341</v>
      </c>
      <c r="D11" s="58">
        <v>19200</v>
      </c>
      <c r="E11" s="56">
        <v>30200</v>
      </c>
      <c r="F11" s="58">
        <v>3</v>
      </c>
      <c r="G11" s="62" t="s">
        <v>375</v>
      </c>
      <c r="H11" s="58">
        <v>1</v>
      </c>
      <c r="I11" s="63" t="s">
        <v>308</v>
      </c>
    </row>
    <row r="12" spans="1:9" s="64" customFormat="1" ht="14.5" x14ac:dyDescent="0.3">
      <c r="A12" s="55">
        <v>56110</v>
      </c>
      <c r="B12" s="56">
        <v>1</v>
      </c>
      <c r="C12" s="57" t="s">
        <v>338</v>
      </c>
      <c r="D12" s="58">
        <v>3200</v>
      </c>
      <c r="E12" s="56">
        <v>20031</v>
      </c>
      <c r="F12" s="58">
        <v>0</v>
      </c>
      <c r="G12" s="59">
        <v>0.02</v>
      </c>
      <c r="H12" s="58">
        <v>1</v>
      </c>
      <c r="I12" s="60" t="s">
        <v>47</v>
      </c>
    </row>
    <row r="13" spans="1:9" s="64" customFormat="1" ht="14.5" x14ac:dyDescent="0.3">
      <c r="A13" s="60"/>
      <c r="B13" s="56">
        <v>2</v>
      </c>
      <c r="C13" s="57" t="s">
        <v>339</v>
      </c>
      <c r="D13" s="58">
        <v>4800</v>
      </c>
      <c r="E13" s="56">
        <v>20001</v>
      </c>
      <c r="F13" s="58">
        <v>0</v>
      </c>
      <c r="G13" s="59">
        <v>0.03</v>
      </c>
      <c r="H13" s="58">
        <v>1</v>
      </c>
      <c r="I13" s="61" t="s">
        <v>52</v>
      </c>
    </row>
    <row r="14" spans="1:9" s="64" customFormat="1" ht="14.5" x14ac:dyDescent="0.3">
      <c r="A14" s="60"/>
      <c r="B14" s="56">
        <v>3</v>
      </c>
      <c r="C14" s="57" t="s">
        <v>340</v>
      </c>
      <c r="D14" s="58">
        <v>9600</v>
      </c>
      <c r="E14" s="56">
        <v>20061</v>
      </c>
      <c r="F14" s="58">
        <v>0</v>
      </c>
      <c r="G14" s="59">
        <v>0.02</v>
      </c>
      <c r="H14" s="58">
        <v>1</v>
      </c>
      <c r="I14" s="61" t="s">
        <v>48</v>
      </c>
    </row>
    <row r="15" spans="1:9" s="64" customFormat="1" ht="14.5" x14ac:dyDescent="0.3">
      <c r="A15" s="60"/>
      <c r="B15" s="56">
        <v>4</v>
      </c>
      <c r="C15" s="57" t="s">
        <v>341</v>
      </c>
      <c r="D15" s="58">
        <v>19200</v>
      </c>
      <c r="E15" s="56">
        <v>30200</v>
      </c>
      <c r="F15" s="58">
        <v>3</v>
      </c>
      <c r="G15" s="62" t="s">
        <v>375</v>
      </c>
      <c r="H15" s="58">
        <v>1</v>
      </c>
      <c r="I15" s="63" t="s">
        <v>308</v>
      </c>
    </row>
    <row r="16" spans="1:9" s="64" customFormat="1" ht="14.5" x14ac:dyDescent="0.3">
      <c r="A16" s="55">
        <v>56111</v>
      </c>
      <c r="B16" s="56">
        <v>1</v>
      </c>
      <c r="C16" s="57" t="s">
        <v>338</v>
      </c>
      <c r="D16" s="58">
        <v>3200</v>
      </c>
      <c r="E16" s="56">
        <v>20031</v>
      </c>
      <c r="F16" s="58">
        <v>0</v>
      </c>
      <c r="G16" s="59">
        <v>0.02</v>
      </c>
      <c r="H16" s="58">
        <v>1</v>
      </c>
      <c r="I16" s="60" t="s">
        <v>47</v>
      </c>
    </row>
    <row r="17" spans="1:9" s="64" customFormat="1" ht="14.5" x14ac:dyDescent="0.3">
      <c r="A17" s="60"/>
      <c r="B17" s="56">
        <v>2</v>
      </c>
      <c r="C17" s="57" t="s">
        <v>339</v>
      </c>
      <c r="D17" s="58">
        <v>4800</v>
      </c>
      <c r="E17" s="56">
        <v>20001</v>
      </c>
      <c r="F17" s="58">
        <v>0</v>
      </c>
      <c r="G17" s="59">
        <v>0.03</v>
      </c>
      <c r="H17" s="58">
        <v>1</v>
      </c>
      <c r="I17" s="61" t="s">
        <v>52</v>
      </c>
    </row>
    <row r="18" spans="1:9" s="64" customFormat="1" ht="14.5" x14ac:dyDescent="0.3">
      <c r="A18" s="60"/>
      <c r="B18" s="56">
        <v>3</v>
      </c>
      <c r="C18" s="57" t="s">
        <v>340</v>
      </c>
      <c r="D18" s="58">
        <v>9600</v>
      </c>
      <c r="E18" s="56">
        <v>20061</v>
      </c>
      <c r="F18" s="58">
        <v>0</v>
      </c>
      <c r="G18" s="59">
        <v>0.02</v>
      </c>
      <c r="H18" s="58">
        <v>1</v>
      </c>
      <c r="I18" s="61" t="s">
        <v>48</v>
      </c>
    </row>
    <row r="19" spans="1:9" s="64" customFormat="1" ht="14.5" x14ac:dyDescent="0.3">
      <c r="A19" s="60"/>
      <c r="B19" s="56">
        <v>4</v>
      </c>
      <c r="C19" s="57" t="s">
        <v>341</v>
      </c>
      <c r="D19" s="58">
        <v>19200</v>
      </c>
      <c r="E19" s="56">
        <v>30200</v>
      </c>
      <c r="F19" s="58">
        <v>3</v>
      </c>
      <c r="G19" s="65" t="s">
        <v>375</v>
      </c>
      <c r="H19" s="58">
        <v>1</v>
      </c>
      <c r="I19" s="63" t="s">
        <v>308</v>
      </c>
    </row>
    <row r="20" spans="1:9" ht="14.5" x14ac:dyDescent="0.3">
      <c r="A20" s="15">
        <v>56120</v>
      </c>
      <c r="B20" s="8">
        <v>1</v>
      </c>
      <c r="C20" s="51" t="s">
        <v>338</v>
      </c>
      <c r="D20" s="16">
        <v>3200</v>
      </c>
      <c r="E20" s="14">
        <v>20034</v>
      </c>
      <c r="F20" s="16">
        <v>0</v>
      </c>
      <c r="G20" s="20">
        <v>0.02</v>
      </c>
      <c r="H20" s="16">
        <v>1</v>
      </c>
      <c r="I20" s="1" t="s">
        <v>376</v>
      </c>
    </row>
    <row r="21" spans="1:9" ht="14.5" x14ac:dyDescent="0.3">
      <c r="B21" s="8">
        <v>2</v>
      </c>
      <c r="C21" s="51" t="s">
        <v>339</v>
      </c>
      <c r="D21" s="16">
        <v>4800</v>
      </c>
      <c r="E21" s="14">
        <v>20004</v>
      </c>
      <c r="F21" s="16">
        <v>0</v>
      </c>
      <c r="G21" s="20">
        <v>0.03</v>
      </c>
      <c r="H21" s="16">
        <v>1</v>
      </c>
      <c r="I21" s="1" t="s">
        <v>377</v>
      </c>
    </row>
    <row r="22" spans="1:9" ht="14.5" x14ac:dyDescent="0.3">
      <c r="B22" s="8">
        <v>3</v>
      </c>
      <c r="C22" s="51" t="s">
        <v>340</v>
      </c>
      <c r="D22" s="16">
        <v>9600</v>
      </c>
      <c r="E22" s="14">
        <v>20064</v>
      </c>
      <c r="F22" s="16">
        <v>0</v>
      </c>
      <c r="G22" s="20">
        <v>0.02</v>
      </c>
      <c r="H22" s="16">
        <v>1</v>
      </c>
      <c r="I22" s="1" t="s">
        <v>378</v>
      </c>
    </row>
    <row r="23" spans="1:9" ht="14.5" x14ac:dyDescent="0.3">
      <c r="B23" s="8">
        <v>4</v>
      </c>
      <c r="C23" s="51" t="s">
        <v>341</v>
      </c>
      <c r="D23" s="16">
        <v>19200</v>
      </c>
      <c r="E23" s="8">
        <v>30200</v>
      </c>
      <c r="F23" s="16">
        <v>3</v>
      </c>
      <c r="G23" s="66" t="s">
        <v>375</v>
      </c>
      <c r="H23" s="16">
        <v>1</v>
      </c>
      <c r="I23" s="1" t="s">
        <v>379</v>
      </c>
    </row>
    <row r="24" spans="1:9" ht="14.5" x14ac:dyDescent="0.3">
      <c r="A24" s="15">
        <v>56121</v>
      </c>
      <c r="B24" s="8">
        <v>1</v>
      </c>
      <c r="C24" s="51" t="s">
        <v>338</v>
      </c>
      <c r="D24" s="16">
        <v>3200</v>
      </c>
      <c r="E24" s="14">
        <v>20034</v>
      </c>
      <c r="F24" s="16">
        <v>0</v>
      </c>
      <c r="G24" s="20">
        <v>0.02</v>
      </c>
      <c r="H24" s="16">
        <v>1</v>
      </c>
      <c r="I24" s="1" t="s">
        <v>376</v>
      </c>
    </row>
    <row r="25" spans="1:9" ht="14.5" x14ac:dyDescent="0.3">
      <c r="B25" s="8">
        <v>2</v>
      </c>
      <c r="C25" s="51" t="s">
        <v>339</v>
      </c>
      <c r="D25" s="16">
        <v>4800</v>
      </c>
      <c r="E25" s="14">
        <v>20004</v>
      </c>
      <c r="F25" s="16">
        <v>0</v>
      </c>
      <c r="G25" s="20">
        <v>0.03</v>
      </c>
      <c r="H25" s="16">
        <v>1</v>
      </c>
      <c r="I25" s="1" t="s">
        <v>377</v>
      </c>
    </row>
    <row r="26" spans="1:9" ht="14.5" x14ac:dyDescent="0.3">
      <c r="B26" s="8">
        <v>3</v>
      </c>
      <c r="C26" s="51" t="s">
        <v>340</v>
      </c>
      <c r="D26" s="16">
        <v>9600</v>
      </c>
      <c r="E26" s="14">
        <v>20064</v>
      </c>
      <c r="F26" s="16">
        <v>0</v>
      </c>
      <c r="G26" s="20">
        <v>0.02</v>
      </c>
      <c r="H26" s="16">
        <v>1</v>
      </c>
      <c r="I26" s="1" t="s">
        <v>378</v>
      </c>
    </row>
    <row r="27" spans="1:9" ht="14.5" x14ac:dyDescent="0.3">
      <c r="B27" s="8">
        <v>4</v>
      </c>
      <c r="C27" s="51" t="s">
        <v>341</v>
      </c>
      <c r="D27" s="16">
        <v>19200</v>
      </c>
      <c r="E27" s="8">
        <v>30200</v>
      </c>
      <c r="F27" s="16">
        <v>3</v>
      </c>
      <c r="G27" s="66" t="s">
        <v>375</v>
      </c>
      <c r="H27" s="16">
        <v>1</v>
      </c>
      <c r="I27" s="1" t="s">
        <v>379</v>
      </c>
    </row>
    <row r="28" spans="1:9" ht="14.5" x14ac:dyDescent="0.3">
      <c r="A28" s="15">
        <v>56122</v>
      </c>
      <c r="B28" s="8">
        <v>1</v>
      </c>
      <c r="C28" s="51" t="s">
        <v>338</v>
      </c>
      <c r="D28" s="16">
        <v>3200</v>
      </c>
      <c r="E28" s="14">
        <v>20034</v>
      </c>
      <c r="F28" s="16">
        <v>0</v>
      </c>
      <c r="G28" s="20">
        <v>0.02</v>
      </c>
      <c r="H28" s="16">
        <v>1</v>
      </c>
      <c r="I28" s="1" t="s">
        <v>376</v>
      </c>
    </row>
    <row r="29" spans="1:9" ht="14.5" x14ac:dyDescent="0.3">
      <c r="B29" s="8">
        <v>2</v>
      </c>
      <c r="C29" s="51" t="s">
        <v>339</v>
      </c>
      <c r="D29" s="16">
        <v>4800</v>
      </c>
      <c r="E29" s="14">
        <v>20004</v>
      </c>
      <c r="F29" s="16">
        <v>0</v>
      </c>
      <c r="G29" s="20">
        <v>0.03</v>
      </c>
      <c r="H29" s="16">
        <v>1</v>
      </c>
      <c r="I29" s="1" t="s">
        <v>377</v>
      </c>
    </row>
    <row r="30" spans="1:9" ht="14.5" x14ac:dyDescent="0.3">
      <c r="B30" s="8">
        <v>3</v>
      </c>
      <c r="C30" s="51" t="s">
        <v>340</v>
      </c>
      <c r="D30" s="16">
        <v>9600</v>
      </c>
      <c r="E30" s="14">
        <v>20064</v>
      </c>
      <c r="F30" s="16">
        <v>0</v>
      </c>
      <c r="G30" s="20">
        <v>0.02</v>
      </c>
      <c r="H30" s="16">
        <v>1</v>
      </c>
      <c r="I30" s="1" t="s">
        <v>378</v>
      </c>
    </row>
    <row r="31" spans="1:9" ht="14.5" x14ac:dyDescent="0.3">
      <c r="B31" s="8">
        <v>4</v>
      </c>
      <c r="C31" s="51" t="s">
        <v>341</v>
      </c>
      <c r="D31" s="16">
        <v>19200</v>
      </c>
      <c r="E31" s="8">
        <v>30200</v>
      </c>
      <c r="F31" s="16">
        <v>3</v>
      </c>
      <c r="G31" s="66" t="s">
        <v>375</v>
      </c>
      <c r="H31" s="16">
        <v>1</v>
      </c>
      <c r="I31" s="1" t="s">
        <v>379</v>
      </c>
    </row>
    <row r="32" spans="1:9" ht="14.5" x14ac:dyDescent="0.3">
      <c r="A32" s="15">
        <v>56123</v>
      </c>
      <c r="B32" s="8">
        <v>1</v>
      </c>
      <c r="C32" s="51" t="s">
        <v>338</v>
      </c>
      <c r="D32" s="16">
        <v>3200</v>
      </c>
      <c r="E32" s="14">
        <v>20034</v>
      </c>
      <c r="F32" s="16">
        <v>0</v>
      </c>
      <c r="G32" s="20">
        <v>0.02</v>
      </c>
      <c r="H32" s="16">
        <v>1</v>
      </c>
      <c r="I32" s="1" t="s">
        <v>376</v>
      </c>
    </row>
    <row r="33" spans="1:9" ht="14.5" x14ac:dyDescent="0.3">
      <c r="B33" s="8">
        <v>2</v>
      </c>
      <c r="C33" s="51" t="s">
        <v>339</v>
      </c>
      <c r="D33" s="16">
        <v>4800</v>
      </c>
      <c r="E33" s="14">
        <v>20004</v>
      </c>
      <c r="F33" s="16">
        <v>0</v>
      </c>
      <c r="G33" s="20">
        <v>0.03</v>
      </c>
      <c r="H33" s="16">
        <v>1</v>
      </c>
      <c r="I33" s="1" t="s">
        <v>377</v>
      </c>
    </row>
    <row r="34" spans="1:9" ht="14.5" x14ac:dyDescent="0.3">
      <c r="B34" s="8">
        <v>3</v>
      </c>
      <c r="C34" s="51" t="s">
        <v>340</v>
      </c>
      <c r="D34" s="16">
        <v>9600</v>
      </c>
      <c r="E34" s="14">
        <v>20064</v>
      </c>
      <c r="F34" s="16">
        <v>0</v>
      </c>
      <c r="G34" s="20">
        <v>0.02</v>
      </c>
      <c r="H34" s="16">
        <v>1</v>
      </c>
      <c r="I34" s="1" t="s">
        <v>378</v>
      </c>
    </row>
    <row r="35" spans="1:9" ht="14.5" x14ac:dyDescent="0.3">
      <c r="B35" s="8">
        <v>4</v>
      </c>
      <c r="C35" s="51" t="s">
        <v>341</v>
      </c>
      <c r="D35" s="16">
        <v>19200</v>
      </c>
      <c r="E35" s="8">
        <v>30200</v>
      </c>
      <c r="F35" s="16">
        <v>3</v>
      </c>
      <c r="G35" s="66" t="s">
        <v>375</v>
      </c>
      <c r="H35" s="16">
        <v>1</v>
      </c>
      <c r="I35" s="1" t="s">
        <v>379</v>
      </c>
    </row>
    <row r="36" spans="1:9" s="60" customFormat="1" ht="14.5" x14ac:dyDescent="0.3">
      <c r="A36" s="55">
        <v>56132</v>
      </c>
      <c r="B36" s="56">
        <v>1</v>
      </c>
      <c r="C36" s="57" t="s">
        <v>338</v>
      </c>
      <c r="D36" s="58">
        <v>3200</v>
      </c>
      <c r="E36" s="67">
        <v>20033</v>
      </c>
      <c r="F36" s="58">
        <v>0</v>
      </c>
      <c r="G36" s="59">
        <v>0.02</v>
      </c>
      <c r="H36" s="58">
        <v>1</v>
      </c>
      <c r="I36" s="63" t="s">
        <v>380</v>
      </c>
    </row>
    <row r="37" spans="1:9" s="60" customFormat="1" ht="14.5" x14ac:dyDescent="0.3">
      <c r="B37" s="56">
        <v>2</v>
      </c>
      <c r="C37" s="57" t="s">
        <v>339</v>
      </c>
      <c r="D37" s="58">
        <v>4800</v>
      </c>
      <c r="E37" s="67">
        <v>20003</v>
      </c>
      <c r="F37" s="58">
        <v>0</v>
      </c>
      <c r="G37" s="59">
        <v>0.03</v>
      </c>
      <c r="H37" s="58">
        <v>1</v>
      </c>
      <c r="I37" s="63" t="s">
        <v>381</v>
      </c>
    </row>
    <row r="38" spans="1:9" s="60" customFormat="1" ht="14.5" x14ac:dyDescent="0.3">
      <c r="B38" s="56">
        <v>3</v>
      </c>
      <c r="C38" s="57" t="s">
        <v>340</v>
      </c>
      <c r="D38" s="58">
        <v>9600</v>
      </c>
      <c r="E38" s="67">
        <v>20063</v>
      </c>
      <c r="F38" s="58">
        <v>0</v>
      </c>
      <c r="G38" s="59">
        <v>0.02</v>
      </c>
      <c r="H38" s="58">
        <v>1</v>
      </c>
      <c r="I38" s="63" t="s">
        <v>382</v>
      </c>
    </row>
    <row r="39" spans="1:9" s="60" customFormat="1" ht="14.5" x14ac:dyDescent="0.3">
      <c r="B39" s="56">
        <v>4</v>
      </c>
      <c r="C39" s="57" t="s">
        <v>341</v>
      </c>
      <c r="D39" s="58">
        <v>19200</v>
      </c>
      <c r="E39" s="56">
        <v>30200</v>
      </c>
      <c r="F39" s="58">
        <v>3</v>
      </c>
      <c r="G39" s="62" t="s">
        <v>375</v>
      </c>
      <c r="H39" s="58">
        <v>1</v>
      </c>
      <c r="I39" s="63" t="s">
        <v>379</v>
      </c>
    </row>
    <row r="40" spans="1:9" s="60" customFormat="1" ht="14.5" x14ac:dyDescent="0.3">
      <c r="A40" s="55">
        <v>56133</v>
      </c>
      <c r="B40" s="56">
        <v>1</v>
      </c>
      <c r="C40" s="57" t="s">
        <v>338</v>
      </c>
      <c r="D40" s="58">
        <v>3200</v>
      </c>
      <c r="E40" s="67">
        <v>20033</v>
      </c>
      <c r="F40" s="58">
        <v>0</v>
      </c>
      <c r="G40" s="59">
        <v>0.02</v>
      </c>
      <c r="H40" s="58">
        <v>1</v>
      </c>
      <c r="I40" s="63" t="s">
        <v>380</v>
      </c>
    </row>
    <row r="41" spans="1:9" s="60" customFormat="1" ht="14.5" x14ac:dyDescent="0.3">
      <c r="B41" s="56">
        <v>2</v>
      </c>
      <c r="C41" s="57" t="s">
        <v>339</v>
      </c>
      <c r="D41" s="58">
        <v>4800</v>
      </c>
      <c r="E41" s="67">
        <v>20003</v>
      </c>
      <c r="F41" s="58">
        <v>0</v>
      </c>
      <c r="G41" s="59">
        <v>0.03</v>
      </c>
      <c r="H41" s="58">
        <v>1</v>
      </c>
      <c r="I41" s="63" t="s">
        <v>381</v>
      </c>
    </row>
    <row r="42" spans="1:9" s="60" customFormat="1" ht="14.5" x14ac:dyDescent="0.3">
      <c r="B42" s="56">
        <v>3</v>
      </c>
      <c r="C42" s="57" t="s">
        <v>340</v>
      </c>
      <c r="D42" s="58">
        <v>9600</v>
      </c>
      <c r="E42" s="67">
        <v>20063</v>
      </c>
      <c r="F42" s="58">
        <v>0</v>
      </c>
      <c r="G42" s="59">
        <v>0.02</v>
      </c>
      <c r="H42" s="58">
        <v>1</v>
      </c>
      <c r="I42" s="63" t="s">
        <v>382</v>
      </c>
    </row>
    <row r="43" spans="1:9" s="60" customFormat="1" ht="14.5" x14ac:dyDescent="0.3">
      <c r="B43" s="56">
        <v>4</v>
      </c>
      <c r="C43" s="57" t="s">
        <v>341</v>
      </c>
      <c r="D43" s="58">
        <v>19200</v>
      </c>
      <c r="E43" s="56">
        <v>30200</v>
      </c>
      <c r="F43" s="58">
        <v>3</v>
      </c>
      <c r="G43" s="62" t="s">
        <v>375</v>
      </c>
      <c r="H43" s="58">
        <v>1</v>
      </c>
      <c r="I43" s="63" t="s">
        <v>379</v>
      </c>
    </row>
    <row r="44" spans="1:9" s="60" customFormat="1" ht="14.5" x14ac:dyDescent="0.3">
      <c r="A44" s="55">
        <v>56134</v>
      </c>
      <c r="B44" s="56">
        <v>1</v>
      </c>
      <c r="C44" s="57" t="s">
        <v>338</v>
      </c>
      <c r="D44" s="58">
        <v>3200</v>
      </c>
      <c r="E44" s="67">
        <v>20033</v>
      </c>
      <c r="F44" s="58">
        <v>0</v>
      </c>
      <c r="G44" s="59">
        <v>0.02</v>
      </c>
      <c r="H44" s="58">
        <v>1</v>
      </c>
      <c r="I44" s="63" t="s">
        <v>380</v>
      </c>
    </row>
    <row r="45" spans="1:9" s="60" customFormat="1" ht="14.5" x14ac:dyDescent="0.3">
      <c r="B45" s="56">
        <v>2</v>
      </c>
      <c r="C45" s="57" t="s">
        <v>339</v>
      </c>
      <c r="D45" s="58">
        <v>4800</v>
      </c>
      <c r="E45" s="67">
        <v>20003</v>
      </c>
      <c r="F45" s="58">
        <v>0</v>
      </c>
      <c r="G45" s="59">
        <v>0.03</v>
      </c>
      <c r="H45" s="58">
        <v>1</v>
      </c>
      <c r="I45" s="63" t="s">
        <v>381</v>
      </c>
    </row>
    <row r="46" spans="1:9" s="60" customFormat="1" ht="14.5" x14ac:dyDescent="0.3">
      <c r="B46" s="56">
        <v>3</v>
      </c>
      <c r="C46" s="57" t="s">
        <v>340</v>
      </c>
      <c r="D46" s="58">
        <v>9600</v>
      </c>
      <c r="E46" s="67">
        <v>20063</v>
      </c>
      <c r="F46" s="58">
        <v>0</v>
      </c>
      <c r="G46" s="59">
        <v>0.02</v>
      </c>
      <c r="H46" s="58">
        <v>1</v>
      </c>
      <c r="I46" s="63" t="s">
        <v>382</v>
      </c>
    </row>
    <row r="47" spans="1:9" s="60" customFormat="1" ht="14.5" x14ac:dyDescent="0.3">
      <c r="B47" s="56">
        <v>4</v>
      </c>
      <c r="C47" s="57" t="s">
        <v>341</v>
      </c>
      <c r="D47" s="58">
        <v>19200</v>
      </c>
      <c r="E47" s="56">
        <v>30200</v>
      </c>
      <c r="F47" s="58">
        <v>3</v>
      </c>
      <c r="G47" s="62" t="s">
        <v>375</v>
      </c>
      <c r="H47" s="58">
        <v>1</v>
      </c>
      <c r="I47" s="63" t="s">
        <v>379</v>
      </c>
    </row>
    <row r="48" spans="1:9" s="60" customFormat="1" ht="14.5" x14ac:dyDescent="0.3">
      <c r="A48" s="55">
        <v>56135</v>
      </c>
      <c r="B48" s="56">
        <v>1</v>
      </c>
      <c r="C48" s="57" t="s">
        <v>338</v>
      </c>
      <c r="D48" s="58">
        <v>3200</v>
      </c>
      <c r="E48" s="67">
        <v>20033</v>
      </c>
      <c r="F48" s="58">
        <v>0</v>
      </c>
      <c r="G48" s="59">
        <v>0.02</v>
      </c>
      <c r="H48" s="58">
        <v>1</v>
      </c>
      <c r="I48" s="63" t="s">
        <v>380</v>
      </c>
    </row>
    <row r="49" spans="1:9" s="60" customFormat="1" ht="14.5" x14ac:dyDescent="0.3">
      <c r="B49" s="56">
        <v>2</v>
      </c>
      <c r="C49" s="57" t="s">
        <v>339</v>
      </c>
      <c r="D49" s="58">
        <v>4800</v>
      </c>
      <c r="E49" s="67">
        <v>20003</v>
      </c>
      <c r="F49" s="58">
        <v>0</v>
      </c>
      <c r="G49" s="59">
        <v>0.03</v>
      </c>
      <c r="H49" s="58">
        <v>1</v>
      </c>
      <c r="I49" s="63" t="s">
        <v>381</v>
      </c>
    </row>
    <row r="50" spans="1:9" s="60" customFormat="1" ht="14.5" x14ac:dyDescent="0.3">
      <c r="B50" s="56">
        <v>3</v>
      </c>
      <c r="C50" s="57" t="s">
        <v>340</v>
      </c>
      <c r="D50" s="58">
        <v>9600</v>
      </c>
      <c r="E50" s="67">
        <v>20063</v>
      </c>
      <c r="F50" s="58">
        <v>0</v>
      </c>
      <c r="G50" s="59">
        <v>0.02</v>
      </c>
      <c r="H50" s="58">
        <v>1</v>
      </c>
      <c r="I50" s="63" t="s">
        <v>382</v>
      </c>
    </row>
    <row r="51" spans="1:9" s="60" customFormat="1" ht="14.5" x14ac:dyDescent="0.3">
      <c r="B51" s="56">
        <v>4</v>
      </c>
      <c r="C51" s="57" t="s">
        <v>341</v>
      </c>
      <c r="D51" s="58">
        <v>19200</v>
      </c>
      <c r="E51" s="56">
        <v>30200</v>
      </c>
      <c r="F51" s="58">
        <v>3</v>
      </c>
      <c r="G51" s="65" t="s">
        <v>375</v>
      </c>
      <c r="H51" s="58">
        <v>1</v>
      </c>
      <c r="I51" s="63" t="s">
        <v>379</v>
      </c>
    </row>
    <row r="52" spans="1:9" ht="14.5" x14ac:dyDescent="0.3">
      <c r="A52" s="15">
        <v>56144</v>
      </c>
      <c r="B52" s="8">
        <v>1</v>
      </c>
      <c r="C52" s="51" t="s">
        <v>338</v>
      </c>
      <c r="D52" s="16">
        <v>3200</v>
      </c>
      <c r="E52" s="14">
        <v>20032</v>
      </c>
      <c r="F52" s="16">
        <v>0</v>
      </c>
      <c r="G52" s="20">
        <v>0.02</v>
      </c>
      <c r="H52" s="16">
        <v>1</v>
      </c>
      <c r="I52" s="1" t="s">
        <v>383</v>
      </c>
    </row>
    <row r="53" spans="1:9" ht="14.5" x14ac:dyDescent="0.3">
      <c r="B53" s="8">
        <v>2</v>
      </c>
      <c r="C53" s="51" t="s">
        <v>339</v>
      </c>
      <c r="D53" s="16">
        <v>4800</v>
      </c>
      <c r="E53" s="14">
        <v>20002</v>
      </c>
      <c r="F53" s="16">
        <v>0</v>
      </c>
      <c r="G53" s="20">
        <v>0.03</v>
      </c>
      <c r="H53" s="16">
        <v>1</v>
      </c>
      <c r="I53" s="1" t="s">
        <v>384</v>
      </c>
    </row>
    <row r="54" spans="1:9" ht="14.5" x14ac:dyDescent="0.3">
      <c r="B54" s="8">
        <v>3</v>
      </c>
      <c r="C54" s="51" t="s">
        <v>340</v>
      </c>
      <c r="D54" s="16">
        <v>9600</v>
      </c>
      <c r="E54" s="14">
        <v>20062</v>
      </c>
      <c r="F54" s="16">
        <v>0</v>
      </c>
      <c r="G54" s="20">
        <v>0.02</v>
      </c>
      <c r="H54" s="16">
        <v>1</v>
      </c>
      <c r="I54" s="1" t="s">
        <v>385</v>
      </c>
    </row>
    <row r="55" spans="1:9" ht="14.5" x14ac:dyDescent="0.3">
      <c r="B55" s="8">
        <v>4</v>
      </c>
      <c r="C55" s="51" t="s">
        <v>341</v>
      </c>
      <c r="D55" s="16">
        <v>19200</v>
      </c>
      <c r="E55" s="8">
        <v>30200</v>
      </c>
      <c r="F55" s="16">
        <v>3</v>
      </c>
      <c r="G55" s="66" t="s">
        <v>375</v>
      </c>
      <c r="H55" s="16">
        <v>1</v>
      </c>
      <c r="I55" s="1" t="s">
        <v>379</v>
      </c>
    </row>
    <row r="56" spans="1:9" ht="14.5" x14ac:dyDescent="0.3">
      <c r="A56" s="15">
        <v>56145</v>
      </c>
      <c r="B56" s="8">
        <v>1</v>
      </c>
      <c r="C56" s="51" t="s">
        <v>338</v>
      </c>
      <c r="D56" s="16">
        <v>3200</v>
      </c>
      <c r="E56" s="14">
        <v>20032</v>
      </c>
      <c r="F56" s="16">
        <v>0</v>
      </c>
      <c r="G56" s="20">
        <v>0.02</v>
      </c>
      <c r="H56" s="16">
        <v>1</v>
      </c>
      <c r="I56" s="1" t="s">
        <v>383</v>
      </c>
    </row>
    <row r="57" spans="1:9" ht="14.5" x14ac:dyDescent="0.3">
      <c r="B57" s="8">
        <v>2</v>
      </c>
      <c r="C57" s="51" t="s">
        <v>339</v>
      </c>
      <c r="D57" s="16">
        <v>4800</v>
      </c>
      <c r="E57" s="14">
        <v>20002</v>
      </c>
      <c r="F57" s="16">
        <v>0</v>
      </c>
      <c r="G57" s="20">
        <v>0.03</v>
      </c>
      <c r="H57" s="16">
        <v>1</v>
      </c>
      <c r="I57" s="1" t="s">
        <v>384</v>
      </c>
    </row>
    <row r="58" spans="1:9" ht="14.5" x14ac:dyDescent="0.3">
      <c r="B58" s="8">
        <v>3</v>
      </c>
      <c r="C58" s="51" t="s">
        <v>340</v>
      </c>
      <c r="D58" s="16">
        <v>9600</v>
      </c>
      <c r="E58" s="14">
        <v>20062</v>
      </c>
      <c r="F58" s="16">
        <v>0</v>
      </c>
      <c r="G58" s="20">
        <v>0.02</v>
      </c>
      <c r="H58" s="16">
        <v>1</v>
      </c>
      <c r="I58" s="1" t="s">
        <v>385</v>
      </c>
    </row>
    <row r="59" spans="1:9" ht="14.5" x14ac:dyDescent="0.3">
      <c r="B59" s="8">
        <v>4</v>
      </c>
      <c r="C59" s="51" t="s">
        <v>341</v>
      </c>
      <c r="D59" s="16">
        <v>19200</v>
      </c>
      <c r="E59" s="8">
        <v>30200</v>
      </c>
      <c r="F59" s="16">
        <v>3</v>
      </c>
      <c r="G59" s="66" t="s">
        <v>375</v>
      </c>
      <c r="H59" s="16">
        <v>1</v>
      </c>
      <c r="I59" s="1" t="s">
        <v>379</v>
      </c>
    </row>
    <row r="60" spans="1:9" ht="14.5" x14ac:dyDescent="0.3">
      <c r="A60" s="15">
        <v>56146</v>
      </c>
      <c r="B60" s="8">
        <v>1</v>
      </c>
      <c r="C60" s="51" t="s">
        <v>338</v>
      </c>
      <c r="D60" s="16">
        <v>3200</v>
      </c>
      <c r="E60" s="14">
        <v>20032</v>
      </c>
      <c r="F60" s="16">
        <v>0</v>
      </c>
      <c r="G60" s="20">
        <v>0.02</v>
      </c>
      <c r="H60" s="16">
        <v>1</v>
      </c>
      <c r="I60" s="1" t="s">
        <v>383</v>
      </c>
    </row>
    <row r="61" spans="1:9" ht="14.5" x14ac:dyDescent="0.3">
      <c r="B61" s="8">
        <v>2</v>
      </c>
      <c r="C61" s="51" t="s">
        <v>339</v>
      </c>
      <c r="D61" s="16">
        <v>4800</v>
      </c>
      <c r="E61" s="14">
        <v>20002</v>
      </c>
      <c r="F61" s="16">
        <v>0</v>
      </c>
      <c r="G61" s="20">
        <v>0.03</v>
      </c>
      <c r="H61" s="16">
        <v>1</v>
      </c>
      <c r="I61" s="1" t="s">
        <v>384</v>
      </c>
    </row>
    <row r="62" spans="1:9" ht="14.5" x14ac:dyDescent="0.3">
      <c r="B62" s="8">
        <v>3</v>
      </c>
      <c r="C62" s="51" t="s">
        <v>340</v>
      </c>
      <c r="D62" s="16">
        <v>9600</v>
      </c>
      <c r="E62" s="14">
        <v>20062</v>
      </c>
      <c r="F62" s="16">
        <v>0</v>
      </c>
      <c r="G62" s="20">
        <v>0.02</v>
      </c>
      <c r="H62" s="16">
        <v>1</v>
      </c>
      <c r="I62" s="1" t="s">
        <v>385</v>
      </c>
    </row>
    <row r="63" spans="1:9" ht="14.5" x14ac:dyDescent="0.3">
      <c r="B63" s="8">
        <v>4</v>
      </c>
      <c r="C63" s="51" t="s">
        <v>341</v>
      </c>
      <c r="D63" s="16">
        <v>19200</v>
      </c>
      <c r="E63" s="8">
        <v>30200</v>
      </c>
      <c r="F63" s="16">
        <v>3</v>
      </c>
      <c r="G63" s="66" t="s">
        <v>375</v>
      </c>
      <c r="H63" s="16">
        <v>1</v>
      </c>
      <c r="I63" s="1" t="s">
        <v>379</v>
      </c>
    </row>
    <row r="64" spans="1:9" ht="14.5" x14ac:dyDescent="0.3">
      <c r="A64" s="15">
        <v>56147</v>
      </c>
      <c r="B64" s="8">
        <v>1</v>
      </c>
      <c r="C64" s="51" t="s">
        <v>338</v>
      </c>
      <c r="D64" s="16">
        <v>3200</v>
      </c>
      <c r="E64" s="14">
        <v>20032</v>
      </c>
      <c r="F64" s="16">
        <v>0</v>
      </c>
      <c r="G64" s="20">
        <v>0.02</v>
      </c>
      <c r="H64" s="16">
        <v>1</v>
      </c>
      <c r="I64" s="1" t="s">
        <v>383</v>
      </c>
    </row>
    <row r="65" spans="2:9" ht="14.5" x14ac:dyDescent="0.3">
      <c r="B65" s="8">
        <v>2</v>
      </c>
      <c r="C65" s="51" t="s">
        <v>339</v>
      </c>
      <c r="D65" s="16">
        <v>4800</v>
      </c>
      <c r="E65" s="14">
        <v>20002</v>
      </c>
      <c r="F65" s="16">
        <v>0</v>
      </c>
      <c r="G65" s="20">
        <v>0.03</v>
      </c>
      <c r="H65" s="16">
        <v>1</v>
      </c>
      <c r="I65" s="1" t="s">
        <v>384</v>
      </c>
    </row>
    <row r="66" spans="2:9" ht="14.5" x14ac:dyDescent="0.3">
      <c r="B66" s="8">
        <v>3</v>
      </c>
      <c r="C66" s="51" t="s">
        <v>340</v>
      </c>
      <c r="D66" s="16">
        <v>9600</v>
      </c>
      <c r="E66" s="14">
        <v>20062</v>
      </c>
      <c r="F66" s="16">
        <v>0</v>
      </c>
      <c r="G66" s="20">
        <v>0.02</v>
      </c>
      <c r="H66" s="16">
        <v>1</v>
      </c>
      <c r="I66" s="1" t="s">
        <v>385</v>
      </c>
    </row>
    <row r="67" spans="2:9" ht="14.5" x14ac:dyDescent="0.3">
      <c r="B67" s="8">
        <v>4</v>
      </c>
      <c r="C67" s="51" t="s">
        <v>341</v>
      </c>
      <c r="D67" s="16">
        <v>19200</v>
      </c>
      <c r="E67" s="8">
        <v>30200</v>
      </c>
      <c r="F67" s="16">
        <v>3</v>
      </c>
      <c r="G67" s="66" t="s">
        <v>375</v>
      </c>
      <c r="H67" s="16">
        <v>1</v>
      </c>
      <c r="I67" s="1" t="s">
        <v>379</v>
      </c>
    </row>
  </sheetData>
  <phoneticPr fontId="10" type="noConversion"/>
  <conditionalFormatting sqref="A4">
    <cfRule type="duplicateValues" dxfId="159" priority="102"/>
  </conditionalFormatting>
  <conditionalFormatting sqref="A8">
    <cfRule type="duplicateValues" dxfId="158" priority="101"/>
  </conditionalFormatting>
  <conditionalFormatting sqref="A12">
    <cfRule type="duplicateValues" dxfId="157" priority="100"/>
  </conditionalFormatting>
  <conditionalFormatting sqref="A16">
    <cfRule type="duplicateValues" dxfId="156" priority="99"/>
  </conditionalFormatting>
  <conditionalFormatting sqref="A20">
    <cfRule type="duplicateValues" dxfId="155" priority="68"/>
  </conditionalFormatting>
  <conditionalFormatting sqref="A24">
    <cfRule type="duplicateValues" dxfId="154" priority="67"/>
  </conditionalFormatting>
  <conditionalFormatting sqref="A28">
    <cfRule type="duplicateValues" dxfId="153" priority="66"/>
  </conditionalFormatting>
  <conditionalFormatting sqref="A32">
    <cfRule type="duplicateValues" dxfId="152" priority="65"/>
  </conditionalFormatting>
  <conditionalFormatting sqref="A36">
    <cfRule type="duplicateValues" dxfId="151" priority="36"/>
  </conditionalFormatting>
  <conditionalFormatting sqref="A40">
    <cfRule type="duplicateValues" dxfId="150" priority="35"/>
  </conditionalFormatting>
  <conditionalFormatting sqref="A44">
    <cfRule type="duplicateValues" dxfId="149" priority="34"/>
  </conditionalFormatting>
  <conditionalFormatting sqref="A48">
    <cfRule type="duplicateValues" dxfId="148" priority="33"/>
  </conditionalFormatting>
  <conditionalFormatting sqref="A52">
    <cfRule type="duplicateValues" dxfId="147" priority="4"/>
  </conditionalFormatting>
  <conditionalFormatting sqref="A56">
    <cfRule type="duplicateValues" dxfId="146" priority="3"/>
  </conditionalFormatting>
  <conditionalFormatting sqref="A60">
    <cfRule type="duplicateValues" dxfId="145" priority="2"/>
  </conditionalFormatting>
  <conditionalFormatting sqref="A64">
    <cfRule type="duplicateValues" dxfId="144" priority="1"/>
  </conditionalFormatting>
  <conditionalFormatting sqref="E4">
    <cfRule type="duplicateValues" dxfId="143" priority="150"/>
    <cfRule type="duplicateValues" dxfId="142" priority="148"/>
    <cfRule type="duplicateValues" dxfId="141" priority="149"/>
  </conditionalFormatting>
  <conditionalFormatting sqref="E5">
    <cfRule type="duplicateValues" dxfId="140" priority="156"/>
    <cfRule type="duplicateValues" dxfId="139" priority="155"/>
    <cfRule type="duplicateValues" dxfId="138" priority="154"/>
  </conditionalFormatting>
  <conditionalFormatting sqref="E6">
    <cfRule type="duplicateValues" dxfId="137" priority="153"/>
    <cfRule type="duplicateValues" dxfId="136" priority="152"/>
    <cfRule type="duplicateValues" dxfId="135" priority="151"/>
  </conditionalFormatting>
  <conditionalFormatting sqref="E7">
    <cfRule type="duplicateValues" dxfId="134" priority="159"/>
    <cfRule type="duplicateValues" dxfId="133" priority="157"/>
    <cfRule type="duplicateValues" dxfId="132" priority="158"/>
  </conditionalFormatting>
  <conditionalFormatting sqref="E8">
    <cfRule type="duplicateValues" dxfId="131" priority="136"/>
    <cfRule type="duplicateValues" dxfId="130" priority="135"/>
    <cfRule type="duplicateValues" dxfId="129" priority="134"/>
  </conditionalFormatting>
  <conditionalFormatting sqref="E9">
    <cfRule type="duplicateValues" dxfId="128" priority="142"/>
    <cfRule type="duplicateValues" dxfId="127" priority="141"/>
    <cfRule type="duplicateValues" dxfId="126" priority="140"/>
  </conditionalFormatting>
  <conditionalFormatting sqref="E10">
    <cfRule type="duplicateValues" dxfId="125" priority="138"/>
    <cfRule type="duplicateValues" dxfId="124" priority="137"/>
    <cfRule type="duplicateValues" dxfId="123" priority="139"/>
  </conditionalFormatting>
  <conditionalFormatting sqref="E11">
    <cfRule type="duplicateValues" dxfId="122" priority="143"/>
    <cfRule type="duplicateValues" dxfId="121" priority="144"/>
    <cfRule type="duplicateValues" dxfId="120" priority="145"/>
  </conditionalFormatting>
  <conditionalFormatting sqref="E12">
    <cfRule type="duplicateValues" dxfId="119" priority="121"/>
    <cfRule type="duplicateValues" dxfId="118" priority="122"/>
    <cfRule type="duplicateValues" dxfId="117" priority="120"/>
  </conditionalFormatting>
  <conditionalFormatting sqref="E13">
    <cfRule type="duplicateValues" dxfId="116" priority="127"/>
    <cfRule type="duplicateValues" dxfId="115" priority="126"/>
    <cfRule type="duplicateValues" dxfId="114" priority="128"/>
  </conditionalFormatting>
  <conditionalFormatting sqref="E14">
    <cfRule type="duplicateValues" dxfId="113" priority="125"/>
    <cfRule type="duplicateValues" dxfId="112" priority="124"/>
    <cfRule type="duplicateValues" dxfId="111" priority="123"/>
  </conditionalFormatting>
  <conditionalFormatting sqref="E15">
    <cfRule type="duplicateValues" dxfId="110" priority="130"/>
    <cfRule type="duplicateValues" dxfId="109" priority="131"/>
    <cfRule type="duplicateValues" dxfId="108" priority="129"/>
  </conditionalFormatting>
  <conditionalFormatting sqref="E16">
    <cfRule type="duplicateValues" dxfId="107" priority="108"/>
    <cfRule type="duplicateValues" dxfId="106" priority="107"/>
    <cfRule type="duplicateValues" dxfId="105" priority="106"/>
  </conditionalFormatting>
  <conditionalFormatting sqref="E17">
    <cfRule type="duplicateValues" dxfId="104" priority="112"/>
    <cfRule type="duplicateValues" dxfId="103" priority="114"/>
    <cfRule type="duplicateValues" dxfId="102" priority="113"/>
  </conditionalFormatting>
  <conditionalFormatting sqref="E18">
    <cfRule type="duplicateValues" dxfId="101" priority="111"/>
    <cfRule type="duplicateValues" dxfId="100" priority="109"/>
    <cfRule type="duplicateValues" dxfId="99" priority="110"/>
  </conditionalFormatting>
  <conditionalFormatting sqref="E19">
    <cfRule type="duplicateValues" dxfId="98" priority="117"/>
    <cfRule type="duplicateValues" dxfId="97" priority="116"/>
    <cfRule type="duplicateValues" dxfId="96" priority="115"/>
  </conditionalFormatting>
  <conditionalFormatting sqref="E23">
    <cfRule type="duplicateValues" dxfId="95" priority="83"/>
    <cfRule type="duplicateValues" dxfId="94" priority="82"/>
    <cfRule type="duplicateValues" dxfId="93" priority="81"/>
  </conditionalFormatting>
  <conditionalFormatting sqref="E27">
    <cfRule type="duplicateValues" dxfId="92" priority="80"/>
    <cfRule type="duplicateValues" dxfId="91" priority="79"/>
    <cfRule type="duplicateValues" dxfId="90" priority="78"/>
  </conditionalFormatting>
  <conditionalFormatting sqref="E31">
    <cfRule type="duplicateValues" dxfId="89" priority="77"/>
    <cfRule type="duplicateValues" dxfId="88" priority="75"/>
    <cfRule type="duplicateValues" dxfId="87" priority="76"/>
  </conditionalFormatting>
  <conditionalFormatting sqref="E35">
    <cfRule type="duplicateValues" dxfId="86" priority="74"/>
    <cfRule type="duplicateValues" dxfId="85" priority="73"/>
    <cfRule type="duplicateValues" dxfId="84" priority="72"/>
  </conditionalFormatting>
  <conditionalFormatting sqref="E39">
    <cfRule type="duplicateValues" dxfId="83" priority="49"/>
    <cfRule type="duplicateValues" dxfId="82" priority="51"/>
    <cfRule type="duplicateValues" dxfId="81" priority="50"/>
  </conditionalFormatting>
  <conditionalFormatting sqref="E43">
    <cfRule type="duplicateValues" dxfId="80" priority="47"/>
    <cfRule type="duplicateValues" dxfId="79" priority="48"/>
    <cfRule type="duplicateValues" dxfId="78" priority="46"/>
  </conditionalFormatting>
  <conditionalFormatting sqref="E47">
    <cfRule type="duplicateValues" dxfId="77" priority="44"/>
    <cfRule type="duplicateValues" dxfId="76" priority="43"/>
    <cfRule type="duplicateValues" dxfId="75" priority="45"/>
  </conditionalFormatting>
  <conditionalFormatting sqref="E51">
    <cfRule type="duplicateValues" dxfId="74" priority="42"/>
    <cfRule type="duplicateValues" dxfId="73" priority="41"/>
    <cfRule type="duplicateValues" dxfId="72" priority="40"/>
  </conditionalFormatting>
  <conditionalFormatting sqref="E55">
    <cfRule type="duplicateValues" dxfId="71" priority="19"/>
    <cfRule type="duplicateValues" dxfId="70" priority="18"/>
    <cfRule type="duplicateValues" dxfId="69" priority="17"/>
  </conditionalFormatting>
  <conditionalFormatting sqref="E59">
    <cfRule type="duplicateValues" dxfId="68" priority="16"/>
    <cfRule type="duplicateValues" dxfId="67" priority="15"/>
    <cfRule type="duplicateValues" dxfId="66" priority="14"/>
  </conditionalFormatting>
  <conditionalFormatting sqref="E63">
    <cfRule type="duplicateValues" dxfId="65" priority="13"/>
    <cfRule type="duplicateValues" dxfId="64" priority="12"/>
    <cfRule type="duplicateValues" dxfId="63" priority="11"/>
  </conditionalFormatting>
  <conditionalFormatting sqref="E67">
    <cfRule type="duplicateValues" dxfId="62" priority="10"/>
    <cfRule type="duplicateValues" dxfId="61" priority="9"/>
    <cfRule type="duplicateValues" dxfId="60" priority="8"/>
  </conditionalFormatting>
  <conditionalFormatting sqref="I5">
    <cfRule type="duplicateValues" dxfId="59" priority="147"/>
  </conditionalFormatting>
  <conditionalFormatting sqref="I6">
    <cfRule type="duplicateValues" dxfId="58" priority="146"/>
  </conditionalFormatting>
  <conditionalFormatting sqref="I9">
    <cfRule type="duplicateValues" dxfId="57" priority="133"/>
  </conditionalFormatting>
  <conditionalFormatting sqref="I10">
    <cfRule type="duplicateValues" dxfId="56" priority="132"/>
  </conditionalFormatting>
  <conditionalFormatting sqref="I13">
    <cfRule type="duplicateValues" dxfId="55" priority="119"/>
  </conditionalFormatting>
  <conditionalFormatting sqref="I14">
    <cfRule type="duplicateValues" dxfId="54" priority="118"/>
  </conditionalFormatting>
  <conditionalFormatting sqref="I17">
    <cfRule type="duplicateValues" dxfId="53" priority="105"/>
  </conditionalFormatting>
  <conditionalFormatting sqref="I18">
    <cfRule type="duplicateValues" dxfId="52" priority="104"/>
  </conditionalFormatting>
  <dataValidations count="1">
    <dataValidation showErrorMessage="1" errorTitle="范围错误" error="buffid只能在1~65535范围内" promptTitle="范围" prompt="1~65535" sqref="E5:E7 E9:E11 E13:E15 E17:E19 E21:E23 E25:E27 E29:E31 E33:E35 E37:E39 E41:E43 E45:E47 E49:E51 E53:E55 E57:E59 E61:E63 E65:E67" xr:uid="{9192282E-0C9F-4685-82BD-AE6D255417D9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839A-6C83-4C5D-87EA-6BB66F2E6521}">
  <dimension ref="A1:J51"/>
  <sheetViews>
    <sheetView topLeftCell="A13" workbookViewId="0">
      <selection activeCell="J7" sqref="J7"/>
    </sheetView>
  </sheetViews>
  <sheetFormatPr defaultRowHeight="14" x14ac:dyDescent="0.3"/>
  <cols>
    <col min="1" max="2" width="23" customWidth="1"/>
    <col min="3" max="3" width="27.58203125" customWidth="1"/>
    <col min="4" max="4" width="30.5" customWidth="1"/>
    <col min="5" max="5" width="34" customWidth="1"/>
    <col min="6" max="6" width="32.58203125" customWidth="1"/>
    <col min="7" max="7" width="40.25" customWidth="1"/>
    <col min="8" max="8" width="29.08203125" customWidth="1"/>
    <col min="9" max="9" width="18.33203125" customWidth="1"/>
    <col min="10" max="10" width="38.25" customWidth="1"/>
    <col min="11" max="11" width="93.5" customWidth="1"/>
  </cols>
  <sheetData>
    <row r="1" spans="1:10" s="14" customFormat="1" x14ac:dyDescent="0.3">
      <c r="A1" s="51" t="s">
        <v>342</v>
      </c>
      <c r="B1" s="51"/>
    </row>
    <row r="2" spans="1:10" s="14" customFormat="1" ht="16.5" x14ac:dyDescent="0.3">
      <c r="A2" s="14" t="s">
        <v>0</v>
      </c>
      <c r="B2" s="51" t="s">
        <v>410</v>
      </c>
      <c r="C2" s="52" t="s">
        <v>343</v>
      </c>
      <c r="D2" s="52" t="s">
        <v>344</v>
      </c>
      <c r="E2" s="51" t="s">
        <v>366</v>
      </c>
      <c r="F2" s="2" t="s">
        <v>11</v>
      </c>
      <c r="G2" s="2" t="s">
        <v>12</v>
      </c>
      <c r="H2" s="2" t="s">
        <v>13</v>
      </c>
      <c r="I2" s="2" t="s">
        <v>15</v>
      </c>
      <c r="J2" s="2" t="s">
        <v>16</v>
      </c>
    </row>
    <row r="3" spans="1:10" s="14" customFormat="1" ht="27" customHeight="1" x14ac:dyDescent="0.3">
      <c r="A3" s="14" t="s">
        <v>0</v>
      </c>
      <c r="B3" s="51" t="s">
        <v>411</v>
      </c>
      <c r="C3" s="51" t="s">
        <v>386</v>
      </c>
      <c r="D3" s="51" t="s">
        <v>345</v>
      </c>
      <c r="E3" s="51" t="s">
        <v>387</v>
      </c>
      <c r="F3" s="2" t="s">
        <v>388</v>
      </c>
      <c r="G3" s="2" t="s">
        <v>389</v>
      </c>
      <c r="H3" s="2" t="s">
        <v>390</v>
      </c>
      <c r="I3" s="2" t="s">
        <v>391</v>
      </c>
      <c r="J3" s="2" t="s">
        <v>392</v>
      </c>
    </row>
    <row r="4" spans="1:10" s="14" customFormat="1" ht="14.5" x14ac:dyDescent="0.3">
      <c r="A4" s="15">
        <v>4101</v>
      </c>
      <c r="B4" s="69">
        <v>101</v>
      </c>
      <c r="C4" s="8">
        <v>1</v>
      </c>
      <c r="D4" s="51">
        <v>20</v>
      </c>
      <c r="E4" s="16">
        <v>12800</v>
      </c>
      <c r="F4" s="16">
        <v>20031</v>
      </c>
      <c r="G4" s="16">
        <v>0</v>
      </c>
      <c r="H4" s="20">
        <v>0.08</v>
      </c>
      <c r="I4" s="16">
        <v>1</v>
      </c>
      <c r="J4" s="16" t="s">
        <v>47</v>
      </c>
    </row>
    <row r="5" spans="1:10" s="14" customFormat="1" ht="14.5" x14ac:dyDescent="0.3">
      <c r="A5" s="15"/>
      <c r="B5" s="69">
        <v>101</v>
      </c>
      <c r="C5" s="8">
        <v>2</v>
      </c>
      <c r="D5" s="51">
        <v>40</v>
      </c>
      <c r="E5" s="16">
        <v>19200</v>
      </c>
      <c r="F5" s="16">
        <v>20001</v>
      </c>
      <c r="G5" s="16">
        <v>0</v>
      </c>
      <c r="H5" s="20">
        <v>0.12</v>
      </c>
      <c r="I5" s="16">
        <v>1</v>
      </c>
      <c r="J5" s="16" t="s">
        <v>52</v>
      </c>
    </row>
    <row r="6" spans="1:10" s="14" customFormat="1" ht="14.5" x14ac:dyDescent="0.3">
      <c r="A6" s="15"/>
      <c r="B6" s="69">
        <v>101</v>
      </c>
      <c r="C6" s="8">
        <v>3</v>
      </c>
      <c r="D6" s="51">
        <v>60</v>
      </c>
      <c r="E6" s="16">
        <v>38400</v>
      </c>
      <c r="F6" s="16">
        <v>20061</v>
      </c>
      <c r="G6" s="16">
        <v>0</v>
      </c>
      <c r="H6" s="20">
        <v>0.08</v>
      </c>
      <c r="I6" s="16">
        <v>1</v>
      </c>
      <c r="J6" s="16" t="s">
        <v>48</v>
      </c>
    </row>
    <row r="7" spans="1:10" s="14" customFormat="1" ht="14.5" x14ac:dyDescent="0.3">
      <c r="A7" s="15"/>
      <c r="B7" s="69">
        <v>101</v>
      </c>
      <c r="C7" s="8">
        <v>4</v>
      </c>
      <c r="D7" s="51">
        <v>80</v>
      </c>
      <c r="E7" s="16">
        <v>76800</v>
      </c>
      <c r="F7" s="16">
        <v>30200</v>
      </c>
      <c r="G7" s="16">
        <v>3</v>
      </c>
      <c r="H7" s="68">
        <v>20</v>
      </c>
      <c r="I7" s="16">
        <v>1</v>
      </c>
      <c r="J7" s="16" t="s">
        <v>308</v>
      </c>
    </row>
    <row r="8" spans="1:10" s="14" customFormat="1" ht="14.5" x14ac:dyDescent="0.3">
      <c r="A8" s="15">
        <v>5101</v>
      </c>
      <c r="B8" s="69">
        <v>101</v>
      </c>
      <c r="C8" s="8">
        <v>1</v>
      </c>
      <c r="D8" s="51">
        <v>20</v>
      </c>
      <c r="E8" s="16">
        <v>12800</v>
      </c>
      <c r="F8" s="16">
        <v>20031</v>
      </c>
      <c r="G8" s="16">
        <v>0</v>
      </c>
      <c r="H8" s="20">
        <v>0.08</v>
      </c>
      <c r="I8" s="16">
        <v>1</v>
      </c>
      <c r="J8" s="16" t="s">
        <v>47</v>
      </c>
    </row>
    <row r="9" spans="1:10" s="14" customFormat="1" ht="14.5" x14ac:dyDescent="0.3">
      <c r="A9" s="15"/>
      <c r="B9" s="69">
        <v>101</v>
      </c>
      <c r="C9" s="8">
        <v>2</v>
      </c>
      <c r="D9" s="51">
        <v>40</v>
      </c>
      <c r="E9" s="16">
        <v>19200</v>
      </c>
      <c r="F9" s="16">
        <v>20001</v>
      </c>
      <c r="G9" s="16">
        <v>0</v>
      </c>
      <c r="H9" s="20">
        <v>0.12</v>
      </c>
      <c r="I9" s="16">
        <v>1</v>
      </c>
      <c r="J9" s="16" t="s">
        <v>52</v>
      </c>
    </row>
    <row r="10" spans="1:10" s="14" customFormat="1" ht="14.5" x14ac:dyDescent="0.3">
      <c r="A10" s="15"/>
      <c r="B10" s="69">
        <v>101</v>
      </c>
      <c r="C10" s="8">
        <v>3</v>
      </c>
      <c r="D10" s="51">
        <v>60</v>
      </c>
      <c r="E10" s="16">
        <v>38400</v>
      </c>
      <c r="F10" s="16">
        <v>20061</v>
      </c>
      <c r="G10" s="16">
        <v>0</v>
      </c>
      <c r="H10" s="20">
        <v>0.08</v>
      </c>
      <c r="I10" s="16">
        <v>1</v>
      </c>
      <c r="J10" s="16" t="s">
        <v>48</v>
      </c>
    </row>
    <row r="11" spans="1:10" s="14" customFormat="1" ht="14.5" x14ac:dyDescent="0.3">
      <c r="A11" s="15"/>
      <c r="B11" s="69">
        <v>101</v>
      </c>
      <c r="C11" s="8">
        <v>4</v>
      </c>
      <c r="D11" s="51">
        <v>80</v>
      </c>
      <c r="E11" s="16">
        <v>76800</v>
      </c>
      <c r="F11" s="16">
        <v>30200</v>
      </c>
      <c r="G11" s="16">
        <v>3</v>
      </c>
      <c r="H11" s="68">
        <v>20</v>
      </c>
      <c r="I11" s="16">
        <v>1</v>
      </c>
      <c r="J11" s="16" t="s">
        <v>308</v>
      </c>
    </row>
    <row r="12" spans="1:10" s="14" customFormat="1" ht="14.5" x14ac:dyDescent="0.3">
      <c r="A12" s="15">
        <v>6101</v>
      </c>
      <c r="B12" s="69">
        <v>101</v>
      </c>
      <c r="C12" s="8">
        <v>1</v>
      </c>
      <c r="D12" s="51">
        <v>20</v>
      </c>
      <c r="E12" s="16">
        <v>12800</v>
      </c>
      <c r="F12" s="16">
        <v>20031</v>
      </c>
      <c r="G12" s="16">
        <v>0</v>
      </c>
      <c r="H12" s="20">
        <v>0.08</v>
      </c>
      <c r="I12" s="16">
        <v>1</v>
      </c>
      <c r="J12" s="16" t="s">
        <v>47</v>
      </c>
    </row>
    <row r="13" spans="1:10" s="14" customFormat="1" ht="14.5" x14ac:dyDescent="0.3">
      <c r="A13" s="15"/>
      <c r="B13" s="69">
        <v>101</v>
      </c>
      <c r="C13" s="8">
        <v>2</v>
      </c>
      <c r="D13" s="51">
        <v>40</v>
      </c>
      <c r="E13" s="16">
        <v>19200</v>
      </c>
      <c r="F13" s="16">
        <v>20001</v>
      </c>
      <c r="G13" s="16">
        <v>0</v>
      </c>
      <c r="H13" s="20">
        <v>0.12</v>
      </c>
      <c r="I13" s="16">
        <v>1</v>
      </c>
      <c r="J13" s="16" t="s">
        <v>52</v>
      </c>
    </row>
    <row r="14" spans="1:10" s="14" customFormat="1" ht="14.5" x14ac:dyDescent="0.3">
      <c r="A14" s="15"/>
      <c r="B14" s="69">
        <v>101</v>
      </c>
      <c r="C14" s="8">
        <v>3</v>
      </c>
      <c r="D14" s="51">
        <v>60</v>
      </c>
      <c r="E14" s="16">
        <v>38400</v>
      </c>
      <c r="F14" s="16">
        <v>20061</v>
      </c>
      <c r="G14" s="16">
        <v>0</v>
      </c>
      <c r="H14" s="20">
        <v>0.08</v>
      </c>
      <c r="I14" s="16">
        <v>1</v>
      </c>
      <c r="J14" s="16" t="s">
        <v>48</v>
      </c>
    </row>
    <row r="15" spans="1:10" s="14" customFormat="1" ht="14.5" x14ac:dyDescent="0.3">
      <c r="A15" s="15"/>
      <c r="B15" s="69">
        <v>101</v>
      </c>
      <c r="C15" s="8">
        <v>4</v>
      </c>
      <c r="D15" s="51">
        <v>80</v>
      </c>
      <c r="E15" s="16">
        <v>76800</v>
      </c>
      <c r="F15" s="16">
        <v>30200</v>
      </c>
      <c r="G15" s="16">
        <v>3</v>
      </c>
      <c r="H15" s="68">
        <v>20</v>
      </c>
      <c r="I15" s="16">
        <v>1</v>
      </c>
      <c r="J15" s="16" t="s">
        <v>308</v>
      </c>
    </row>
    <row r="16" spans="1:10" s="14" customFormat="1" ht="14.5" x14ac:dyDescent="0.3">
      <c r="A16" s="15">
        <v>4102</v>
      </c>
      <c r="B16" s="69">
        <v>102</v>
      </c>
      <c r="C16" s="8">
        <v>1</v>
      </c>
      <c r="D16" s="51">
        <v>20</v>
      </c>
      <c r="E16" s="16">
        <v>12800</v>
      </c>
      <c r="F16" s="14">
        <v>20032</v>
      </c>
      <c r="G16" s="16">
        <v>0</v>
      </c>
      <c r="H16" s="20">
        <v>0.08</v>
      </c>
      <c r="I16" s="16">
        <v>1</v>
      </c>
      <c r="J16" s="1" t="s">
        <v>383</v>
      </c>
    </row>
    <row r="17" spans="1:10" s="14" customFormat="1" ht="14.5" x14ac:dyDescent="0.3">
      <c r="A17" s="15"/>
      <c r="B17" s="69">
        <v>102</v>
      </c>
      <c r="C17" s="8">
        <v>2</v>
      </c>
      <c r="D17" s="51">
        <v>40</v>
      </c>
      <c r="E17" s="16">
        <v>19200</v>
      </c>
      <c r="F17" s="14">
        <v>20002</v>
      </c>
      <c r="G17" s="16">
        <v>0</v>
      </c>
      <c r="H17" s="20">
        <v>0.12</v>
      </c>
      <c r="I17" s="16">
        <v>1</v>
      </c>
      <c r="J17" s="1" t="s">
        <v>384</v>
      </c>
    </row>
    <row r="18" spans="1:10" s="14" customFormat="1" ht="14.5" x14ac:dyDescent="0.3">
      <c r="A18" s="15"/>
      <c r="B18" s="69">
        <v>102</v>
      </c>
      <c r="C18" s="8">
        <v>3</v>
      </c>
      <c r="D18" s="51">
        <v>60</v>
      </c>
      <c r="E18" s="16">
        <v>38400</v>
      </c>
      <c r="F18" s="14">
        <v>20062</v>
      </c>
      <c r="G18" s="16">
        <v>0</v>
      </c>
      <c r="H18" s="20">
        <v>0.08</v>
      </c>
      <c r="I18" s="16">
        <v>1</v>
      </c>
      <c r="J18" s="1" t="s">
        <v>385</v>
      </c>
    </row>
    <row r="19" spans="1:10" s="14" customFormat="1" ht="14.5" x14ac:dyDescent="0.3">
      <c r="A19" s="15"/>
      <c r="B19" s="69">
        <v>102</v>
      </c>
      <c r="C19" s="8">
        <v>4</v>
      </c>
      <c r="D19" s="51">
        <v>80</v>
      </c>
      <c r="E19" s="16">
        <v>76800</v>
      </c>
      <c r="F19" s="8">
        <v>30200</v>
      </c>
      <c r="G19" s="16">
        <v>3</v>
      </c>
      <c r="H19" s="68">
        <v>20</v>
      </c>
      <c r="I19" s="16">
        <v>1</v>
      </c>
      <c r="J19" s="1" t="s">
        <v>379</v>
      </c>
    </row>
    <row r="20" spans="1:10" ht="14.5" x14ac:dyDescent="0.3">
      <c r="A20">
        <v>5102</v>
      </c>
      <c r="B20" s="69">
        <v>102</v>
      </c>
      <c r="C20" s="8">
        <v>1</v>
      </c>
      <c r="D20" s="51">
        <v>20</v>
      </c>
      <c r="E20" s="16">
        <v>12800</v>
      </c>
      <c r="F20" s="14">
        <v>20032</v>
      </c>
      <c r="G20" s="16">
        <v>0</v>
      </c>
      <c r="H20" s="20">
        <v>0.08</v>
      </c>
      <c r="I20" s="16">
        <v>1</v>
      </c>
      <c r="J20" s="1" t="s">
        <v>383</v>
      </c>
    </row>
    <row r="21" spans="1:10" ht="14.5" x14ac:dyDescent="0.3">
      <c r="B21" s="69">
        <v>102</v>
      </c>
      <c r="C21" s="8">
        <v>2</v>
      </c>
      <c r="D21" s="51">
        <v>40</v>
      </c>
      <c r="E21" s="16">
        <v>19200</v>
      </c>
      <c r="F21" s="14">
        <v>20002</v>
      </c>
      <c r="G21" s="16">
        <v>0</v>
      </c>
      <c r="H21" s="20">
        <v>0.12</v>
      </c>
      <c r="I21" s="16">
        <v>1</v>
      </c>
      <c r="J21" s="1" t="s">
        <v>384</v>
      </c>
    </row>
    <row r="22" spans="1:10" ht="14.5" x14ac:dyDescent="0.3">
      <c r="B22" s="69">
        <v>102</v>
      </c>
      <c r="C22" s="8">
        <v>3</v>
      </c>
      <c r="D22" s="51">
        <v>60</v>
      </c>
      <c r="E22" s="16">
        <v>38400</v>
      </c>
      <c r="F22" s="14">
        <v>20062</v>
      </c>
      <c r="G22" s="16">
        <v>0</v>
      </c>
      <c r="H22" s="20">
        <v>0.08</v>
      </c>
      <c r="I22" s="16">
        <v>1</v>
      </c>
      <c r="J22" s="1" t="s">
        <v>385</v>
      </c>
    </row>
    <row r="23" spans="1:10" ht="14.5" x14ac:dyDescent="0.3">
      <c r="B23" s="69">
        <v>102</v>
      </c>
      <c r="C23" s="8">
        <v>4</v>
      </c>
      <c r="D23" s="51">
        <v>80</v>
      </c>
      <c r="E23" s="16">
        <v>76800</v>
      </c>
      <c r="F23" s="8">
        <v>30200</v>
      </c>
      <c r="G23" s="16">
        <v>3</v>
      </c>
      <c r="H23" s="68">
        <v>20</v>
      </c>
      <c r="I23" s="16">
        <v>1</v>
      </c>
      <c r="J23" s="1" t="s">
        <v>379</v>
      </c>
    </row>
    <row r="24" spans="1:10" ht="14.5" x14ac:dyDescent="0.3">
      <c r="A24">
        <v>6102</v>
      </c>
      <c r="B24" s="69">
        <v>102</v>
      </c>
      <c r="C24" s="8">
        <v>1</v>
      </c>
      <c r="D24" s="51">
        <v>20</v>
      </c>
      <c r="E24" s="16">
        <v>12800</v>
      </c>
      <c r="F24" s="14">
        <v>20032</v>
      </c>
      <c r="G24" s="16">
        <v>0</v>
      </c>
      <c r="H24" s="20">
        <v>0.08</v>
      </c>
      <c r="I24" s="16">
        <v>1</v>
      </c>
      <c r="J24" s="1" t="s">
        <v>383</v>
      </c>
    </row>
    <row r="25" spans="1:10" ht="14.5" x14ac:dyDescent="0.3">
      <c r="B25" s="69">
        <v>102</v>
      </c>
      <c r="C25" s="8">
        <v>2</v>
      </c>
      <c r="D25" s="51">
        <v>40</v>
      </c>
      <c r="E25" s="16">
        <v>19200</v>
      </c>
      <c r="F25" s="14">
        <v>20002</v>
      </c>
      <c r="G25" s="16">
        <v>0</v>
      </c>
      <c r="H25" s="20">
        <v>0.12</v>
      </c>
      <c r="I25" s="16">
        <v>1</v>
      </c>
      <c r="J25" s="1" t="s">
        <v>384</v>
      </c>
    </row>
    <row r="26" spans="1:10" ht="14.5" x14ac:dyDescent="0.3">
      <c r="B26" s="69">
        <v>102</v>
      </c>
      <c r="C26" s="8">
        <v>3</v>
      </c>
      <c r="D26" s="51">
        <v>60</v>
      </c>
      <c r="E26" s="16">
        <v>38400</v>
      </c>
      <c r="F26" s="14">
        <v>20062</v>
      </c>
      <c r="G26" s="16">
        <v>0</v>
      </c>
      <c r="H26" s="20">
        <v>0.08</v>
      </c>
      <c r="I26" s="16">
        <v>1</v>
      </c>
      <c r="J26" s="1" t="s">
        <v>385</v>
      </c>
    </row>
    <row r="27" spans="1:10" ht="14.5" x14ac:dyDescent="0.3">
      <c r="B27" s="69">
        <v>102</v>
      </c>
      <c r="C27" s="8">
        <v>4</v>
      </c>
      <c r="D27" s="51">
        <v>80</v>
      </c>
      <c r="E27" s="16">
        <v>76800</v>
      </c>
      <c r="F27" s="8">
        <v>30200</v>
      </c>
      <c r="G27" s="16">
        <v>3</v>
      </c>
      <c r="H27" s="68">
        <v>20</v>
      </c>
      <c r="I27" s="16">
        <v>1</v>
      </c>
      <c r="J27" s="1" t="s">
        <v>379</v>
      </c>
    </row>
    <row r="28" spans="1:10" ht="14.5" x14ac:dyDescent="0.3">
      <c r="A28">
        <v>4103</v>
      </c>
      <c r="B28" s="70">
        <v>103</v>
      </c>
      <c r="C28" s="8">
        <v>1</v>
      </c>
      <c r="D28" s="51">
        <v>20</v>
      </c>
      <c r="E28" s="16">
        <v>12800</v>
      </c>
      <c r="F28" s="14">
        <v>20033</v>
      </c>
      <c r="G28" s="16">
        <v>0</v>
      </c>
      <c r="H28" s="20">
        <v>0.08</v>
      </c>
      <c r="I28" s="16">
        <v>1</v>
      </c>
      <c r="J28" s="1" t="s">
        <v>113</v>
      </c>
    </row>
    <row r="29" spans="1:10" ht="14.5" x14ac:dyDescent="0.3">
      <c r="B29" s="70">
        <v>103</v>
      </c>
      <c r="C29" s="8">
        <v>2</v>
      </c>
      <c r="D29" s="51">
        <v>40</v>
      </c>
      <c r="E29" s="16">
        <v>19200</v>
      </c>
      <c r="F29" s="14">
        <v>20003</v>
      </c>
      <c r="G29" s="16">
        <v>0</v>
      </c>
      <c r="H29" s="20">
        <v>0.12</v>
      </c>
      <c r="I29" s="16">
        <v>1</v>
      </c>
      <c r="J29" s="1" t="s">
        <v>117</v>
      </c>
    </row>
    <row r="30" spans="1:10" ht="14.5" x14ac:dyDescent="0.3">
      <c r="B30" s="70">
        <v>103</v>
      </c>
      <c r="C30" s="8">
        <v>3</v>
      </c>
      <c r="D30" s="51">
        <v>60</v>
      </c>
      <c r="E30" s="16">
        <v>38400</v>
      </c>
      <c r="F30" s="14">
        <v>20063</v>
      </c>
      <c r="G30" s="16">
        <v>0</v>
      </c>
      <c r="H30" s="20">
        <v>0.08</v>
      </c>
      <c r="I30" s="16">
        <v>1</v>
      </c>
      <c r="J30" s="1" t="s">
        <v>114</v>
      </c>
    </row>
    <row r="31" spans="1:10" ht="14.5" x14ac:dyDescent="0.3">
      <c r="B31" s="70">
        <v>103</v>
      </c>
      <c r="C31" s="8">
        <v>4</v>
      </c>
      <c r="D31" s="51">
        <v>80</v>
      </c>
      <c r="E31" s="16">
        <v>76800</v>
      </c>
      <c r="F31" s="8">
        <v>30200</v>
      </c>
      <c r="G31" s="16">
        <v>3</v>
      </c>
      <c r="H31" s="68">
        <v>20</v>
      </c>
      <c r="I31" s="16">
        <v>1</v>
      </c>
      <c r="J31" s="1" t="s">
        <v>308</v>
      </c>
    </row>
    <row r="32" spans="1:10" ht="14.5" x14ac:dyDescent="0.3">
      <c r="A32">
        <v>5103</v>
      </c>
      <c r="B32" s="70">
        <v>103</v>
      </c>
      <c r="C32" s="8">
        <v>1</v>
      </c>
      <c r="D32" s="51">
        <v>20</v>
      </c>
      <c r="E32" s="16">
        <v>12800</v>
      </c>
      <c r="F32" s="14">
        <v>20033</v>
      </c>
      <c r="G32" s="16">
        <v>0</v>
      </c>
      <c r="H32" s="20">
        <v>0.08</v>
      </c>
      <c r="I32" s="16">
        <v>1</v>
      </c>
      <c r="J32" s="1" t="s">
        <v>113</v>
      </c>
    </row>
    <row r="33" spans="1:10" ht="14.5" x14ac:dyDescent="0.3">
      <c r="B33" s="70">
        <v>103</v>
      </c>
      <c r="C33" s="8">
        <v>2</v>
      </c>
      <c r="D33" s="51">
        <v>40</v>
      </c>
      <c r="E33" s="16">
        <v>19200</v>
      </c>
      <c r="F33" s="14">
        <v>20003</v>
      </c>
      <c r="G33" s="16">
        <v>0</v>
      </c>
      <c r="H33" s="20">
        <v>0.12</v>
      </c>
      <c r="I33" s="16">
        <v>1</v>
      </c>
      <c r="J33" s="1" t="s">
        <v>117</v>
      </c>
    </row>
    <row r="34" spans="1:10" ht="14.5" x14ac:dyDescent="0.3">
      <c r="B34" s="70">
        <v>103</v>
      </c>
      <c r="C34" s="8">
        <v>3</v>
      </c>
      <c r="D34" s="51">
        <v>60</v>
      </c>
      <c r="E34" s="16">
        <v>38400</v>
      </c>
      <c r="F34" s="14">
        <v>20063</v>
      </c>
      <c r="G34" s="16">
        <v>0</v>
      </c>
      <c r="H34" s="20">
        <v>0.08</v>
      </c>
      <c r="I34" s="16">
        <v>1</v>
      </c>
      <c r="J34" s="1" t="s">
        <v>114</v>
      </c>
    </row>
    <row r="35" spans="1:10" ht="14.5" x14ac:dyDescent="0.3">
      <c r="B35" s="70">
        <v>103</v>
      </c>
      <c r="C35" s="8">
        <v>4</v>
      </c>
      <c r="D35" s="51">
        <v>80</v>
      </c>
      <c r="E35" s="16">
        <v>76800</v>
      </c>
      <c r="F35" s="8">
        <v>30200</v>
      </c>
      <c r="G35" s="16">
        <v>3</v>
      </c>
      <c r="H35" s="68">
        <v>20</v>
      </c>
      <c r="I35" s="16">
        <v>1</v>
      </c>
      <c r="J35" s="1" t="s">
        <v>308</v>
      </c>
    </row>
    <row r="36" spans="1:10" ht="14.5" x14ac:dyDescent="0.3">
      <c r="A36">
        <v>6103</v>
      </c>
      <c r="B36" s="70">
        <v>103</v>
      </c>
      <c r="C36" s="8">
        <v>1</v>
      </c>
      <c r="D36" s="51">
        <v>20</v>
      </c>
      <c r="E36" s="16">
        <v>12800</v>
      </c>
      <c r="F36" s="14">
        <v>20033</v>
      </c>
      <c r="G36" s="16">
        <v>0</v>
      </c>
      <c r="H36" s="20">
        <v>0.08</v>
      </c>
      <c r="I36" s="16">
        <v>1</v>
      </c>
      <c r="J36" s="1" t="s">
        <v>113</v>
      </c>
    </row>
    <row r="37" spans="1:10" ht="14.5" x14ac:dyDescent="0.3">
      <c r="B37" s="70">
        <v>103</v>
      </c>
      <c r="C37" s="8">
        <v>2</v>
      </c>
      <c r="D37" s="51">
        <v>40</v>
      </c>
      <c r="E37" s="16">
        <v>19200</v>
      </c>
      <c r="F37" s="14">
        <v>20003</v>
      </c>
      <c r="G37" s="16">
        <v>0</v>
      </c>
      <c r="H37" s="20">
        <v>0.12</v>
      </c>
      <c r="I37" s="16">
        <v>1</v>
      </c>
      <c r="J37" s="1" t="s">
        <v>117</v>
      </c>
    </row>
    <row r="38" spans="1:10" ht="14.5" x14ac:dyDescent="0.3">
      <c r="B38" s="70">
        <v>103</v>
      </c>
      <c r="C38" s="8">
        <v>3</v>
      </c>
      <c r="D38" s="51">
        <v>60</v>
      </c>
      <c r="E38" s="16">
        <v>38400</v>
      </c>
      <c r="F38" s="14">
        <v>20063</v>
      </c>
      <c r="G38" s="16">
        <v>0</v>
      </c>
      <c r="H38" s="20">
        <v>0.08</v>
      </c>
      <c r="I38" s="16">
        <v>1</v>
      </c>
      <c r="J38" s="1" t="s">
        <v>114</v>
      </c>
    </row>
    <row r="39" spans="1:10" ht="14.5" x14ac:dyDescent="0.3">
      <c r="B39" s="70">
        <v>103</v>
      </c>
      <c r="C39" s="8">
        <v>4</v>
      </c>
      <c r="D39" s="51">
        <v>80</v>
      </c>
      <c r="E39" s="16">
        <v>76800</v>
      </c>
      <c r="F39" s="8">
        <v>30200</v>
      </c>
      <c r="G39" s="16">
        <v>3</v>
      </c>
      <c r="H39" s="68">
        <v>20</v>
      </c>
      <c r="I39" s="16">
        <v>1</v>
      </c>
      <c r="J39" s="1" t="s">
        <v>308</v>
      </c>
    </row>
    <row r="40" spans="1:10" ht="14.5" x14ac:dyDescent="0.3">
      <c r="A40">
        <v>4104</v>
      </c>
      <c r="B40" s="70">
        <v>104</v>
      </c>
      <c r="C40" s="8">
        <v>1</v>
      </c>
      <c r="D40" s="51">
        <v>20</v>
      </c>
      <c r="E40" s="16">
        <v>12800</v>
      </c>
      <c r="F40" s="14">
        <v>20034</v>
      </c>
      <c r="G40" s="16">
        <v>0</v>
      </c>
      <c r="H40" s="20">
        <v>0.08</v>
      </c>
      <c r="I40" s="16">
        <v>1</v>
      </c>
      <c r="J40" s="1" t="s">
        <v>376</v>
      </c>
    </row>
    <row r="41" spans="1:10" ht="14.5" x14ac:dyDescent="0.3">
      <c r="B41" s="70">
        <v>104</v>
      </c>
      <c r="C41" s="8">
        <v>2</v>
      </c>
      <c r="D41" s="51">
        <v>40</v>
      </c>
      <c r="E41" s="16">
        <v>19200</v>
      </c>
      <c r="F41" s="14">
        <v>20004</v>
      </c>
      <c r="G41" s="16">
        <v>0</v>
      </c>
      <c r="H41" s="20">
        <v>0.12</v>
      </c>
      <c r="I41" s="16">
        <v>1</v>
      </c>
      <c r="J41" s="1" t="s">
        <v>377</v>
      </c>
    </row>
    <row r="42" spans="1:10" ht="14.5" x14ac:dyDescent="0.3">
      <c r="B42" s="70">
        <v>104</v>
      </c>
      <c r="C42" s="8">
        <v>3</v>
      </c>
      <c r="D42" s="51">
        <v>60</v>
      </c>
      <c r="E42" s="16">
        <v>38400</v>
      </c>
      <c r="F42" s="14">
        <v>20064</v>
      </c>
      <c r="G42" s="16">
        <v>0</v>
      </c>
      <c r="H42" s="20">
        <v>0.08</v>
      </c>
      <c r="I42" s="16">
        <v>1</v>
      </c>
      <c r="J42" s="1" t="s">
        <v>378</v>
      </c>
    </row>
    <row r="43" spans="1:10" ht="14.5" x14ac:dyDescent="0.3">
      <c r="B43" s="70">
        <v>104</v>
      </c>
      <c r="C43" s="8">
        <v>4</v>
      </c>
      <c r="D43" s="51">
        <v>80</v>
      </c>
      <c r="E43" s="16">
        <v>76800</v>
      </c>
      <c r="F43" s="8">
        <v>30200</v>
      </c>
      <c r="G43" s="16">
        <v>3</v>
      </c>
      <c r="H43" s="68">
        <v>20</v>
      </c>
      <c r="I43" s="16">
        <v>1</v>
      </c>
      <c r="J43" s="1" t="s">
        <v>379</v>
      </c>
    </row>
    <row r="44" spans="1:10" ht="14.5" x14ac:dyDescent="0.3">
      <c r="A44">
        <v>5104</v>
      </c>
      <c r="B44" s="70">
        <v>104</v>
      </c>
      <c r="C44" s="8">
        <v>1</v>
      </c>
      <c r="D44" s="51">
        <v>20</v>
      </c>
      <c r="E44" s="16">
        <v>12800</v>
      </c>
      <c r="F44" s="14">
        <v>20034</v>
      </c>
      <c r="G44" s="16">
        <v>0</v>
      </c>
      <c r="H44" s="20">
        <v>0.08</v>
      </c>
      <c r="I44" s="16">
        <v>1</v>
      </c>
      <c r="J44" s="1" t="s">
        <v>376</v>
      </c>
    </row>
    <row r="45" spans="1:10" ht="14.5" x14ac:dyDescent="0.3">
      <c r="B45" s="70">
        <v>104</v>
      </c>
      <c r="C45" s="8">
        <v>2</v>
      </c>
      <c r="D45" s="51">
        <v>40</v>
      </c>
      <c r="E45" s="16">
        <v>19200</v>
      </c>
      <c r="F45" s="14">
        <v>20004</v>
      </c>
      <c r="G45" s="16">
        <v>0</v>
      </c>
      <c r="H45" s="20">
        <v>0.12</v>
      </c>
      <c r="I45" s="16">
        <v>1</v>
      </c>
      <c r="J45" s="1" t="s">
        <v>377</v>
      </c>
    </row>
    <row r="46" spans="1:10" ht="14.5" x14ac:dyDescent="0.3">
      <c r="B46" s="70">
        <v>104</v>
      </c>
      <c r="C46" s="8">
        <v>3</v>
      </c>
      <c r="D46" s="51">
        <v>60</v>
      </c>
      <c r="E46" s="16">
        <v>38400</v>
      </c>
      <c r="F46" s="14">
        <v>20064</v>
      </c>
      <c r="G46" s="16">
        <v>0</v>
      </c>
      <c r="H46" s="20">
        <v>0.08</v>
      </c>
      <c r="I46" s="16">
        <v>1</v>
      </c>
      <c r="J46" s="1" t="s">
        <v>378</v>
      </c>
    </row>
    <row r="47" spans="1:10" ht="14.5" x14ac:dyDescent="0.3">
      <c r="B47" s="70">
        <v>104</v>
      </c>
      <c r="C47" s="8">
        <v>4</v>
      </c>
      <c r="D47" s="51">
        <v>80</v>
      </c>
      <c r="E47" s="16">
        <v>76800</v>
      </c>
      <c r="F47" s="8">
        <v>30200</v>
      </c>
      <c r="G47" s="16">
        <v>3</v>
      </c>
      <c r="H47" s="68">
        <v>20</v>
      </c>
      <c r="I47" s="16">
        <v>1</v>
      </c>
      <c r="J47" s="1" t="s">
        <v>379</v>
      </c>
    </row>
    <row r="48" spans="1:10" ht="14.5" x14ac:dyDescent="0.3">
      <c r="A48">
        <v>6104</v>
      </c>
      <c r="B48" s="70">
        <v>104</v>
      </c>
      <c r="C48" s="8">
        <v>1</v>
      </c>
      <c r="D48" s="51">
        <v>20</v>
      </c>
      <c r="E48" s="16">
        <v>12800</v>
      </c>
      <c r="F48" s="14">
        <v>20034</v>
      </c>
      <c r="G48" s="16">
        <v>0</v>
      </c>
      <c r="H48" s="20">
        <v>0.08</v>
      </c>
      <c r="I48" s="16">
        <v>1</v>
      </c>
      <c r="J48" s="1" t="s">
        <v>376</v>
      </c>
    </row>
    <row r="49" spans="2:10" ht="14.5" x14ac:dyDescent="0.3">
      <c r="B49" s="70">
        <v>104</v>
      </c>
      <c r="C49" s="8">
        <v>2</v>
      </c>
      <c r="D49" s="51">
        <v>40</v>
      </c>
      <c r="E49" s="16">
        <v>19200</v>
      </c>
      <c r="F49" s="14">
        <v>20004</v>
      </c>
      <c r="G49" s="16">
        <v>0</v>
      </c>
      <c r="H49" s="20">
        <v>0.12</v>
      </c>
      <c r="I49" s="16">
        <v>1</v>
      </c>
      <c r="J49" s="1" t="s">
        <v>377</v>
      </c>
    </row>
    <row r="50" spans="2:10" ht="14.5" x14ac:dyDescent="0.3">
      <c r="B50" s="70">
        <v>104</v>
      </c>
      <c r="C50" s="8">
        <v>3</v>
      </c>
      <c r="D50" s="51">
        <v>60</v>
      </c>
      <c r="E50" s="16">
        <v>38400</v>
      </c>
      <c r="F50" s="14">
        <v>20064</v>
      </c>
      <c r="G50" s="16">
        <v>0</v>
      </c>
      <c r="H50" s="20">
        <v>0.08</v>
      </c>
      <c r="I50" s="16">
        <v>1</v>
      </c>
      <c r="J50" s="1" t="s">
        <v>378</v>
      </c>
    </row>
    <row r="51" spans="2:10" ht="14.5" x14ac:dyDescent="0.3">
      <c r="B51" s="70">
        <v>104</v>
      </c>
      <c r="C51" s="8">
        <v>4</v>
      </c>
      <c r="D51" s="51">
        <v>80</v>
      </c>
      <c r="E51" s="16">
        <v>76800</v>
      </c>
      <c r="F51" s="8">
        <v>30200</v>
      </c>
      <c r="G51" s="16">
        <v>3</v>
      </c>
      <c r="H51" s="68">
        <v>20</v>
      </c>
      <c r="I51" s="16">
        <v>1</v>
      </c>
      <c r="J51" s="1" t="s">
        <v>379</v>
      </c>
    </row>
  </sheetData>
  <phoneticPr fontId="8" type="noConversion"/>
  <conditionalFormatting sqref="A4:A19">
    <cfRule type="duplicateValues" dxfId="51" priority="28"/>
  </conditionalFormatting>
  <conditionalFormatting sqref="F19">
    <cfRule type="duplicateValues" dxfId="50" priority="25"/>
    <cfRule type="duplicateValues" dxfId="49" priority="26"/>
    <cfRule type="duplicateValues" dxfId="48" priority="27"/>
  </conditionalFormatting>
  <conditionalFormatting sqref="F23">
    <cfRule type="duplicateValues" dxfId="47" priority="22"/>
    <cfRule type="duplicateValues" dxfId="46" priority="23"/>
    <cfRule type="duplicateValues" dxfId="45" priority="24"/>
  </conditionalFormatting>
  <conditionalFormatting sqref="F27">
    <cfRule type="duplicateValues" dxfId="44" priority="19"/>
    <cfRule type="duplicateValues" dxfId="43" priority="20"/>
    <cfRule type="duplicateValues" dxfId="42" priority="21"/>
  </conditionalFormatting>
  <conditionalFormatting sqref="F31">
    <cfRule type="duplicateValues" dxfId="41" priority="16"/>
    <cfRule type="duplicateValues" dxfId="40" priority="17"/>
    <cfRule type="duplicateValues" dxfId="39" priority="18"/>
  </conditionalFormatting>
  <conditionalFormatting sqref="F35">
    <cfRule type="duplicateValues" dxfId="38" priority="13"/>
    <cfRule type="duplicateValues" dxfId="37" priority="14"/>
    <cfRule type="duplicateValues" dxfId="36" priority="15"/>
  </conditionalFormatting>
  <conditionalFormatting sqref="F39">
    <cfRule type="duplicateValues" dxfId="35" priority="10"/>
    <cfRule type="duplicateValues" dxfId="34" priority="11"/>
    <cfRule type="duplicateValues" dxfId="33" priority="12"/>
  </conditionalFormatting>
  <conditionalFormatting sqref="F43">
    <cfRule type="duplicateValues" dxfId="32" priority="7"/>
    <cfRule type="duplicateValues" dxfId="31" priority="8"/>
    <cfRule type="duplicateValues" dxfId="30" priority="9"/>
  </conditionalFormatting>
  <conditionalFormatting sqref="F47">
    <cfRule type="duplicateValues" dxfId="29" priority="4"/>
    <cfRule type="duplicateValues" dxfId="28" priority="5"/>
    <cfRule type="duplicateValues" dxfId="27" priority="6"/>
  </conditionalFormatting>
  <conditionalFormatting sqref="F51">
    <cfRule type="duplicateValues" dxfId="26" priority="1"/>
    <cfRule type="duplicateValues" dxfId="25" priority="2"/>
    <cfRule type="duplicateValues" dxfId="24" priority="3"/>
  </conditionalFormatting>
  <dataValidations count="1">
    <dataValidation showErrorMessage="1" errorTitle="范围错误" error="buffid只能在1~65535范围内" promptTitle="范围" prompt="1~65535" sqref="F17:F19 F21:F23 F25:F27 F29:F31 F33:F35 F37:F39 F41:F43 F45:F47 F49:F51" xr:uid="{45E2498F-D0C6-4C2D-AA2D-D50688AB7E23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50AD-5F90-487F-9E05-7E4554EEE2E6}">
  <dimension ref="A1:R8"/>
  <sheetViews>
    <sheetView topLeftCell="F1" workbookViewId="0">
      <selection activeCell="G7" sqref="G7"/>
    </sheetView>
  </sheetViews>
  <sheetFormatPr defaultRowHeight="14" x14ac:dyDescent="0.3"/>
  <cols>
    <col min="1" max="1" width="22.08203125" customWidth="1"/>
    <col min="2" max="4" width="36.33203125" customWidth="1"/>
    <col min="5" max="5" width="31.5" customWidth="1"/>
    <col min="6" max="6" width="25.83203125" customWidth="1"/>
    <col min="7" max="7" width="21.5" customWidth="1"/>
    <col min="8" max="8" width="24" customWidth="1"/>
    <col min="9" max="9" width="30.25" customWidth="1"/>
    <col min="10" max="10" width="36" customWidth="1"/>
    <col min="11" max="11" width="42.75" customWidth="1"/>
    <col min="12" max="12" width="23.58203125" customWidth="1"/>
    <col min="13" max="13" width="25.08203125" customWidth="1"/>
    <col min="14" max="14" width="13.58203125" customWidth="1"/>
    <col min="15" max="15" width="22.08203125" customWidth="1"/>
    <col min="16" max="16" width="21.25" bestFit="1" customWidth="1"/>
    <col min="17" max="18" width="22.08203125" customWidth="1"/>
  </cols>
  <sheetData>
    <row r="1" spans="1:18" s="14" customFormat="1" x14ac:dyDescent="0.3">
      <c r="A1" s="51" t="s">
        <v>362</v>
      </c>
    </row>
    <row r="2" spans="1:18" s="14" customFormat="1" ht="16.5" x14ac:dyDescent="0.3">
      <c r="A2" s="14" t="s">
        <v>0</v>
      </c>
      <c r="B2" s="51" t="s">
        <v>347</v>
      </c>
      <c r="C2" s="51" t="s">
        <v>350</v>
      </c>
      <c r="D2" s="51" t="s">
        <v>351</v>
      </c>
      <c r="E2" s="51" t="s">
        <v>352</v>
      </c>
      <c r="F2" s="51" t="s">
        <v>334</v>
      </c>
      <c r="G2" s="2" t="s">
        <v>11</v>
      </c>
      <c r="H2" s="2" t="s">
        <v>12</v>
      </c>
      <c r="I2" s="2" t="s">
        <v>13</v>
      </c>
      <c r="J2" s="2" t="s">
        <v>15</v>
      </c>
      <c r="K2" s="2" t="s">
        <v>16</v>
      </c>
      <c r="L2" s="51" t="s">
        <v>356</v>
      </c>
      <c r="M2" s="51" t="s">
        <v>394</v>
      </c>
      <c r="N2" s="51" t="s">
        <v>395</v>
      </c>
      <c r="O2" s="51" t="s">
        <v>396</v>
      </c>
      <c r="P2" s="51" t="s">
        <v>404</v>
      </c>
      <c r="Q2" s="51" t="s">
        <v>406</v>
      </c>
      <c r="R2" s="51" t="s">
        <v>407</v>
      </c>
    </row>
    <row r="3" spans="1:18" s="14" customFormat="1" ht="27" customHeight="1" x14ac:dyDescent="0.3">
      <c r="A3" s="14" t="s">
        <v>0</v>
      </c>
      <c r="B3" s="51" t="s">
        <v>346</v>
      </c>
      <c r="C3" s="51" t="s">
        <v>349</v>
      </c>
      <c r="D3" s="51" t="s">
        <v>348</v>
      </c>
      <c r="E3" s="51" t="s">
        <v>353</v>
      </c>
      <c r="F3" s="51" t="s">
        <v>354</v>
      </c>
      <c r="G3" s="2" t="s">
        <v>357</v>
      </c>
      <c r="H3" s="2" t="s">
        <v>358</v>
      </c>
      <c r="I3" s="2" t="s">
        <v>359</v>
      </c>
      <c r="J3" s="2" t="s">
        <v>360</v>
      </c>
      <c r="K3" s="2" t="s">
        <v>361</v>
      </c>
      <c r="L3" s="51" t="s">
        <v>355</v>
      </c>
      <c r="M3" s="51" t="s">
        <v>393</v>
      </c>
      <c r="N3" s="51" t="s">
        <v>397</v>
      </c>
      <c r="O3" s="51" t="s">
        <v>398</v>
      </c>
      <c r="P3" s="51" t="s">
        <v>405</v>
      </c>
      <c r="Q3" s="51" t="s">
        <v>408</v>
      </c>
      <c r="R3" s="51" t="s">
        <v>409</v>
      </c>
    </row>
    <row r="4" spans="1:18" s="14" customFormat="1" ht="14.5" x14ac:dyDescent="0.3">
      <c r="A4" s="15">
        <v>1</v>
      </c>
      <c r="B4" s="8">
        <v>1</v>
      </c>
      <c r="C4" s="8" t="b">
        <v>1</v>
      </c>
      <c r="D4" s="8">
        <v>3</v>
      </c>
      <c r="E4" s="51">
        <v>12</v>
      </c>
      <c r="F4" s="16">
        <v>38400</v>
      </c>
      <c r="G4" s="16">
        <v>29101</v>
      </c>
      <c r="H4" s="16">
        <v>0</v>
      </c>
      <c r="I4" s="20">
        <v>0.05</v>
      </c>
      <c r="J4" s="16">
        <v>1</v>
      </c>
      <c r="K4" s="16" t="s">
        <v>415</v>
      </c>
      <c r="N4" s="51" t="s">
        <v>399</v>
      </c>
      <c r="O4" s="51" t="s">
        <v>400</v>
      </c>
      <c r="P4" s="51"/>
      <c r="Q4" s="51"/>
      <c r="R4" s="51"/>
    </row>
    <row r="5" spans="1:18" s="14" customFormat="1" ht="14.5" x14ac:dyDescent="0.3">
      <c r="A5" s="15">
        <v>2</v>
      </c>
      <c r="B5" s="8">
        <v>2</v>
      </c>
      <c r="C5" s="8" t="b">
        <v>1</v>
      </c>
      <c r="D5" s="8">
        <v>6</v>
      </c>
      <c r="E5" s="51">
        <v>24</v>
      </c>
      <c r="F5" s="16">
        <v>57600</v>
      </c>
      <c r="G5" s="16"/>
      <c r="H5" s="16"/>
      <c r="I5" s="20"/>
      <c r="J5" s="16"/>
      <c r="K5" s="16"/>
      <c r="M5" s="14">
        <v>720101</v>
      </c>
      <c r="N5" s="51" t="s">
        <v>399</v>
      </c>
      <c r="O5" s="51" t="s">
        <v>401</v>
      </c>
      <c r="P5" s="51"/>
      <c r="Q5" s="51"/>
      <c r="R5" s="51"/>
    </row>
    <row r="6" spans="1:18" s="14" customFormat="1" ht="14.5" x14ac:dyDescent="0.3">
      <c r="A6" s="15">
        <v>3</v>
      </c>
      <c r="B6" s="8">
        <v>3</v>
      </c>
      <c r="C6" s="8" t="b">
        <v>1</v>
      </c>
      <c r="D6" s="8">
        <v>9</v>
      </c>
      <c r="E6" s="51">
        <v>36</v>
      </c>
      <c r="F6" s="16">
        <v>76800</v>
      </c>
      <c r="G6" s="16"/>
      <c r="H6" s="16"/>
      <c r="I6" s="20"/>
      <c r="J6" s="16"/>
      <c r="K6" s="16"/>
      <c r="M6" s="14">
        <v>720102</v>
      </c>
      <c r="N6" s="51" t="s">
        <v>399</v>
      </c>
      <c r="O6" s="51" t="s">
        <v>402</v>
      </c>
      <c r="P6" s="51"/>
      <c r="Q6" s="51"/>
      <c r="R6" s="51"/>
    </row>
    <row r="7" spans="1:18" s="14" customFormat="1" ht="14.5" x14ac:dyDescent="0.3">
      <c r="A7" s="15">
        <v>4</v>
      </c>
      <c r="B7" s="8">
        <v>4</v>
      </c>
      <c r="C7" s="8" t="b">
        <v>1</v>
      </c>
      <c r="D7" s="8">
        <v>12</v>
      </c>
      <c r="E7" s="51">
        <v>48</v>
      </c>
      <c r="F7" s="16">
        <v>115200</v>
      </c>
      <c r="G7">
        <v>6001</v>
      </c>
      <c r="H7" s="16">
        <v>3</v>
      </c>
      <c r="I7" s="71" t="s">
        <v>424</v>
      </c>
      <c r="J7" s="16">
        <v>1</v>
      </c>
      <c r="K7" t="s">
        <v>418</v>
      </c>
      <c r="L7" s="14">
        <v>54000</v>
      </c>
      <c r="N7" s="51" t="s">
        <v>399</v>
      </c>
      <c r="O7" s="51" t="s">
        <v>403</v>
      </c>
      <c r="P7" s="51" t="s">
        <v>416</v>
      </c>
      <c r="Q7" s="51" t="s">
        <v>419</v>
      </c>
      <c r="R7" s="51" t="s">
        <v>420</v>
      </c>
    </row>
    <row r="8" spans="1:18" x14ac:dyDescent="0.3">
      <c r="G8">
        <v>2755</v>
      </c>
      <c r="H8">
        <v>0</v>
      </c>
      <c r="I8" s="20">
        <v>0.05</v>
      </c>
      <c r="J8">
        <v>1</v>
      </c>
      <c r="K8" s="46" t="s">
        <v>417</v>
      </c>
    </row>
  </sheetData>
  <phoneticPr fontId="8" type="noConversion"/>
  <conditionalFormatting sqref="A4:A7">
    <cfRule type="duplicateValues" dxfId="23" priority="4"/>
  </conditionalFormatting>
  <dataValidations count="1">
    <dataValidation showErrorMessage="1" errorTitle="范围错误" error="buffid只能在1~65535范围内" promptTitle="范围" prompt="1~65535" sqref="G7" xr:uid="{CC35E777-90A4-4948-BBFD-F43A4C4AB226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2"/>
  <sheetViews>
    <sheetView workbookViewId="0">
      <selection activeCell="D14" sqref="D14"/>
    </sheetView>
  </sheetViews>
  <sheetFormatPr defaultColWidth="9" defaultRowHeight="14" x14ac:dyDescent="0.3"/>
  <cols>
    <col min="2" max="2" width="12.33203125" style="10" customWidth="1"/>
    <col min="3" max="3" width="35.58203125" customWidth="1"/>
    <col min="4" max="4" width="29.83203125" customWidth="1"/>
    <col min="5" max="5" width="28.33203125" customWidth="1"/>
    <col min="6" max="7" width="30.25" customWidth="1"/>
    <col min="8" max="8" width="22.83203125" customWidth="1"/>
  </cols>
  <sheetData>
    <row r="1" spans="1:11" x14ac:dyDescent="0.3">
      <c r="A1" t="s">
        <v>169</v>
      </c>
    </row>
    <row r="2" spans="1:11" x14ac:dyDescent="0.3">
      <c r="A2" t="s">
        <v>0</v>
      </c>
      <c r="B2" s="10" t="s">
        <v>170</v>
      </c>
      <c r="C2" t="s">
        <v>171</v>
      </c>
      <c r="D2" t="s">
        <v>172</v>
      </c>
      <c r="E2" t="s">
        <v>173</v>
      </c>
      <c r="F2" t="s">
        <v>174</v>
      </c>
      <c r="G2" s="3" t="s">
        <v>175</v>
      </c>
    </row>
    <row r="3" spans="1:11" x14ac:dyDescent="0.3">
      <c r="A3" t="s">
        <v>0</v>
      </c>
      <c r="C3" t="s">
        <v>176</v>
      </c>
      <c r="D3" t="s">
        <v>177</v>
      </c>
      <c r="E3" s="3" t="s">
        <v>178</v>
      </c>
      <c r="F3" s="3" t="s">
        <v>179</v>
      </c>
      <c r="G3" s="3" t="s">
        <v>180</v>
      </c>
    </row>
    <row r="4" spans="1:11" ht="16.5" x14ac:dyDescent="0.3">
      <c r="A4" s="12">
        <v>3</v>
      </c>
      <c r="C4">
        <v>1</v>
      </c>
      <c r="D4">
        <v>1</v>
      </c>
      <c r="E4">
        <v>0</v>
      </c>
      <c r="F4" s="3">
        <v>0</v>
      </c>
      <c r="G4" s="4">
        <v>0</v>
      </c>
    </row>
    <row r="5" spans="1:11" ht="16.5" x14ac:dyDescent="0.3">
      <c r="A5" s="13"/>
      <c r="C5">
        <v>2</v>
      </c>
      <c r="D5">
        <v>2</v>
      </c>
      <c r="E5">
        <v>0</v>
      </c>
      <c r="F5" s="3" t="str">
        <f>H5&amp;":"&amp;K5</f>
        <v>56002:20</v>
      </c>
      <c r="G5" s="3">
        <v>40</v>
      </c>
      <c r="H5" s="4">
        <v>56002</v>
      </c>
      <c r="I5" s="4">
        <v>40</v>
      </c>
      <c r="K5">
        <v>20</v>
      </c>
    </row>
    <row r="6" spans="1:11" ht="16.5" x14ac:dyDescent="0.3">
      <c r="A6" s="13"/>
      <c r="C6">
        <v>3</v>
      </c>
      <c r="D6">
        <v>3</v>
      </c>
      <c r="E6">
        <v>0</v>
      </c>
      <c r="F6" s="3" t="str">
        <f t="shared" ref="F6:F69" si="0">H6&amp;":"&amp;K6</f>
        <v>56002:30</v>
      </c>
      <c r="G6" s="3">
        <v>60</v>
      </c>
      <c r="H6" s="4">
        <v>56002</v>
      </c>
      <c r="I6" s="4">
        <v>60</v>
      </c>
      <c r="K6">
        <v>30</v>
      </c>
    </row>
    <row r="7" spans="1:11" ht="16.5" x14ac:dyDescent="0.3">
      <c r="A7" s="13"/>
      <c r="C7">
        <v>4</v>
      </c>
      <c r="D7">
        <v>4</v>
      </c>
      <c r="E7">
        <v>0</v>
      </c>
      <c r="F7" s="3" t="str">
        <f t="shared" si="0"/>
        <v>56002:40</v>
      </c>
      <c r="G7" s="3">
        <v>80</v>
      </c>
      <c r="H7" s="4">
        <v>56002</v>
      </c>
      <c r="I7" s="4">
        <v>80</v>
      </c>
      <c r="K7">
        <v>40</v>
      </c>
    </row>
    <row r="8" spans="1:11" ht="16.5" x14ac:dyDescent="0.3">
      <c r="A8" s="13"/>
      <c r="C8">
        <v>5</v>
      </c>
      <c r="D8">
        <v>5</v>
      </c>
      <c r="E8">
        <v>0</v>
      </c>
      <c r="F8" s="3" t="str">
        <f t="shared" si="0"/>
        <v>56002:50</v>
      </c>
      <c r="G8" s="3">
        <v>100</v>
      </c>
      <c r="H8" s="4">
        <v>56002</v>
      </c>
      <c r="I8" s="4">
        <v>100</v>
      </c>
      <c r="K8">
        <v>50</v>
      </c>
    </row>
    <row r="9" spans="1:11" ht="16.5" x14ac:dyDescent="0.3">
      <c r="A9" s="13"/>
      <c r="C9">
        <v>6</v>
      </c>
      <c r="D9">
        <v>6</v>
      </c>
      <c r="E9">
        <v>0</v>
      </c>
      <c r="F9" s="3" t="str">
        <f t="shared" si="0"/>
        <v>56002:60</v>
      </c>
      <c r="G9" s="3">
        <v>120</v>
      </c>
      <c r="H9" s="4">
        <v>56002</v>
      </c>
      <c r="I9" s="4">
        <v>120</v>
      </c>
      <c r="K9">
        <v>60</v>
      </c>
    </row>
    <row r="10" spans="1:11" ht="16.5" x14ac:dyDescent="0.3">
      <c r="A10" s="13"/>
      <c r="C10">
        <v>7</v>
      </c>
      <c r="D10">
        <v>7</v>
      </c>
      <c r="E10">
        <v>0</v>
      </c>
      <c r="F10" s="3" t="str">
        <f t="shared" si="0"/>
        <v>56002:70</v>
      </c>
      <c r="G10" s="3">
        <v>140</v>
      </c>
      <c r="H10" s="4">
        <v>56002</v>
      </c>
      <c r="I10" s="4">
        <v>140</v>
      </c>
      <c r="K10">
        <v>70</v>
      </c>
    </row>
    <row r="11" spans="1:11" ht="16.5" x14ac:dyDescent="0.3">
      <c r="A11" s="13"/>
      <c r="C11">
        <v>8</v>
      </c>
      <c r="D11">
        <v>8</v>
      </c>
      <c r="E11">
        <v>0</v>
      </c>
      <c r="F11" s="3" t="str">
        <f t="shared" si="0"/>
        <v>56002:80</v>
      </c>
      <c r="G11" s="3">
        <v>160</v>
      </c>
      <c r="H11" s="4">
        <v>56002</v>
      </c>
      <c r="I11" s="4">
        <v>160</v>
      </c>
      <c r="K11">
        <v>80</v>
      </c>
    </row>
    <row r="12" spans="1:11" ht="16.5" x14ac:dyDescent="0.3">
      <c r="A12" s="13"/>
      <c r="C12">
        <v>9</v>
      </c>
      <c r="D12">
        <v>9</v>
      </c>
      <c r="E12">
        <v>0</v>
      </c>
      <c r="F12" s="3" t="str">
        <f t="shared" si="0"/>
        <v>56002:90</v>
      </c>
      <c r="G12" s="3">
        <v>180</v>
      </c>
      <c r="H12" s="4">
        <v>56002</v>
      </c>
      <c r="I12" s="4">
        <v>180</v>
      </c>
      <c r="K12">
        <v>90</v>
      </c>
    </row>
    <row r="13" spans="1:11" ht="16.5" x14ac:dyDescent="0.3">
      <c r="A13" s="13"/>
      <c r="C13">
        <v>10</v>
      </c>
      <c r="D13">
        <v>10</v>
      </c>
      <c r="E13">
        <v>0</v>
      </c>
      <c r="F13" s="3" t="str">
        <f t="shared" si="0"/>
        <v>56002:100</v>
      </c>
      <c r="G13" s="3">
        <v>200</v>
      </c>
      <c r="H13" s="4">
        <v>56002</v>
      </c>
      <c r="I13" s="4">
        <v>200</v>
      </c>
      <c r="K13">
        <v>100</v>
      </c>
    </row>
    <row r="14" spans="1:11" ht="16.5" x14ac:dyDescent="0.3">
      <c r="A14" s="13"/>
      <c r="C14">
        <v>11</v>
      </c>
      <c r="D14">
        <v>11</v>
      </c>
      <c r="E14">
        <v>0</v>
      </c>
      <c r="F14" s="3" t="str">
        <f t="shared" si="0"/>
        <v>56002:110</v>
      </c>
      <c r="G14" s="3">
        <v>220</v>
      </c>
      <c r="H14" s="4">
        <v>56002</v>
      </c>
      <c r="I14" s="4">
        <v>220</v>
      </c>
      <c r="K14">
        <v>110</v>
      </c>
    </row>
    <row r="15" spans="1:11" ht="16.5" x14ac:dyDescent="0.3">
      <c r="A15" s="13"/>
      <c r="C15">
        <v>12</v>
      </c>
      <c r="D15">
        <v>12</v>
      </c>
      <c r="E15">
        <v>0</v>
      </c>
      <c r="F15" s="3" t="str">
        <f t="shared" si="0"/>
        <v>56002:120</v>
      </c>
      <c r="G15" s="3">
        <v>240</v>
      </c>
      <c r="H15" s="4">
        <v>56002</v>
      </c>
      <c r="I15" s="4">
        <v>240</v>
      </c>
      <c r="K15">
        <v>120</v>
      </c>
    </row>
    <row r="16" spans="1:11" ht="16.5" x14ac:dyDescent="0.3">
      <c r="A16" s="13"/>
      <c r="C16">
        <v>13</v>
      </c>
      <c r="D16">
        <v>13</v>
      </c>
      <c r="E16">
        <v>0</v>
      </c>
      <c r="F16" s="3" t="str">
        <f t="shared" si="0"/>
        <v>56002:130</v>
      </c>
      <c r="G16" s="3">
        <v>260</v>
      </c>
      <c r="H16" s="4">
        <v>56002</v>
      </c>
      <c r="I16" s="4">
        <v>260</v>
      </c>
      <c r="K16">
        <v>130</v>
      </c>
    </row>
    <row r="17" spans="1:11" ht="16.5" x14ac:dyDescent="0.3">
      <c r="A17" s="13"/>
      <c r="C17">
        <v>14</v>
      </c>
      <c r="D17">
        <v>14</v>
      </c>
      <c r="E17">
        <v>0</v>
      </c>
      <c r="F17" s="3" t="str">
        <f t="shared" si="0"/>
        <v>56002:140</v>
      </c>
      <c r="G17" s="3">
        <v>280</v>
      </c>
      <c r="H17" s="4">
        <v>56002</v>
      </c>
      <c r="I17" s="4">
        <v>280</v>
      </c>
      <c r="K17">
        <v>140</v>
      </c>
    </row>
    <row r="18" spans="1:11" ht="16.5" x14ac:dyDescent="0.3">
      <c r="A18" s="13"/>
      <c r="C18">
        <v>15</v>
      </c>
      <c r="D18">
        <v>15</v>
      </c>
      <c r="E18">
        <v>0</v>
      </c>
      <c r="F18" s="3" t="str">
        <f t="shared" si="0"/>
        <v>56002:150</v>
      </c>
      <c r="G18" s="3">
        <v>300</v>
      </c>
      <c r="H18" s="4">
        <v>56002</v>
      </c>
      <c r="I18" s="4">
        <v>300</v>
      </c>
      <c r="K18">
        <v>150</v>
      </c>
    </row>
    <row r="19" spans="1:11" ht="16.5" x14ac:dyDescent="0.3">
      <c r="A19" s="13"/>
      <c r="C19">
        <v>16</v>
      </c>
      <c r="D19">
        <v>16</v>
      </c>
      <c r="E19">
        <v>0</v>
      </c>
      <c r="F19" s="3" t="str">
        <f t="shared" si="0"/>
        <v>56002:160</v>
      </c>
      <c r="G19" s="3">
        <v>320</v>
      </c>
      <c r="H19" s="4">
        <v>56002</v>
      </c>
      <c r="I19" s="4">
        <v>320</v>
      </c>
      <c r="K19">
        <v>160</v>
      </c>
    </row>
    <row r="20" spans="1:11" ht="16.5" x14ac:dyDescent="0.3">
      <c r="A20" s="13"/>
      <c r="C20">
        <v>17</v>
      </c>
      <c r="D20">
        <v>17</v>
      </c>
      <c r="E20">
        <v>0</v>
      </c>
      <c r="F20" s="3" t="str">
        <f t="shared" si="0"/>
        <v>56002:170</v>
      </c>
      <c r="G20" s="3">
        <v>340</v>
      </c>
      <c r="H20" s="4">
        <v>56002</v>
      </c>
      <c r="I20" s="4">
        <v>340</v>
      </c>
      <c r="K20">
        <v>170</v>
      </c>
    </row>
    <row r="21" spans="1:11" ht="16.5" x14ac:dyDescent="0.3">
      <c r="A21" s="13"/>
      <c r="C21">
        <v>18</v>
      </c>
      <c r="D21">
        <v>18</v>
      </c>
      <c r="E21">
        <v>0</v>
      </c>
      <c r="F21" s="3" t="str">
        <f t="shared" si="0"/>
        <v>56002:180</v>
      </c>
      <c r="G21" s="3">
        <v>360</v>
      </c>
      <c r="H21" s="4">
        <v>56002</v>
      </c>
      <c r="I21" s="4">
        <v>360</v>
      </c>
      <c r="K21">
        <v>180</v>
      </c>
    </row>
    <row r="22" spans="1:11" ht="16.5" x14ac:dyDescent="0.3">
      <c r="A22" s="13"/>
      <c r="C22">
        <v>19</v>
      </c>
      <c r="D22">
        <v>19</v>
      </c>
      <c r="E22">
        <v>0</v>
      </c>
      <c r="F22" s="3" t="str">
        <f t="shared" si="0"/>
        <v>56002:190</v>
      </c>
      <c r="G22" s="3">
        <v>380</v>
      </c>
      <c r="H22" s="4">
        <v>56002</v>
      </c>
      <c r="I22" s="4">
        <v>380</v>
      </c>
      <c r="K22">
        <v>190</v>
      </c>
    </row>
    <row r="23" spans="1:11" ht="16.5" x14ac:dyDescent="0.3">
      <c r="A23" s="13"/>
      <c r="C23">
        <v>20</v>
      </c>
      <c r="D23">
        <v>20</v>
      </c>
      <c r="E23">
        <v>0</v>
      </c>
      <c r="F23" s="3" t="str">
        <f t="shared" si="0"/>
        <v>56002:200</v>
      </c>
      <c r="G23" s="3">
        <v>400</v>
      </c>
      <c r="H23" s="4">
        <v>56002</v>
      </c>
      <c r="I23" s="4">
        <v>400</v>
      </c>
      <c r="K23">
        <v>200</v>
      </c>
    </row>
    <row r="24" spans="1:11" ht="16.5" x14ac:dyDescent="0.3">
      <c r="A24" s="13"/>
      <c r="C24">
        <v>21</v>
      </c>
      <c r="D24">
        <v>21</v>
      </c>
      <c r="E24">
        <v>0</v>
      </c>
      <c r="F24" s="3" t="str">
        <f t="shared" si="0"/>
        <v>56002:210</v>
      </c>
      <c r="G24" s="3">
        <v>420</v>
      </c>
      <c r="H24" s="4">
        <v>56002</v>
      </c>
      <c r="I24" s="4">
        <v>420</v>
      </c>
      <c r="K24">
        <v>210</v>
      </c>
    </row>
    <row r="25" spans="1:11" ht="16.5" x14ac:dyDescent="0.3">
      <c r="A25" s="13"/>
      <c r="C25">
        <v>22</v>
      </c>
      <c r="D25">
        <v>22</v>
      </c>
      <c r="E25">
        <v>0</v>
      </c>
      <c r="F25" s="3" t="str">
        <f t="shared" si="0"/>
        <v>56002:220</v>
      </c>
      <c r="G25" s="3">
        <v>440</v>
      </c>
      <c r="H25" s="4">
        <v>56002</v>
      </c>
      <c r="I25" s="4">
        <v>440</v>
      </c>
      <c r="K25">
        <v>220</v>
      </c>
    </row>
    <row r="26" spans="1:11" ht="16.5" x14ac:dyDescent="0.3">
      <c r="A26" s="13"/>
      <c r="C26">
        <v>23</v>
      </c>
      <c r="D26">
        <v>23</v>
      </c>
      <c r="E26">
        <v>0</v>
      </c>
      <c r="F26" s="3" t="str">
        <f t="shared" si="0"/>
        <v>56002:230</v>
      </c>
      <c r="G26" s="3">
        <v>460</v>
      </c>
      <c r="H26" s="4">
        <v>56002</v>
      </c>
      <c r="I26" s="4">
        <v>460</v>
      </c>
      <c r="K26">
        <v>230</v>
      </c>
    </row>
    <row r="27" spans="1:11" ht="16.5" x14ac:dyDescent="0.3">
      <c r="A27" s="13"/>
      <c r="C27">
        <v>24</v>
      </c>
      <c r="D27">
        <v>24</v>
      </c>
      <c r="E27">
        <v>0</v>
      </c>
      <c r="F27" s="3" t="str">
        <f t="shared" si="0"/>
        <v>56002:240</v>
      </c>
      <c r="G27" s="3">
        <v>480</v>
      </c>
      <c r="H27" s="4">
        <v>56002</v>
      </c>
      <c r="I27" s="4">
        <v>480</v>
      </c>
      <c r="K27">
        <v>240</v>
      </c>
    </row>
    <row r="28" spans="1:11" ht="16.5" x14ac:dyDescent="0.3">
      <c r="A28" s="13"/>
      <c r="C28">
        <v>25</v>
      </c>
      <c r="D28">
        <v>25</v>
      </c>
      <c r="E28">
        <v>0</v>
      </c>
      <c r="F28" s="3" t="str">
        <f t="shared" si="0"/>
        <v>56002:250</v>
      </c>
      <c r="G28" s="3">
        <v>500</v>
      </c>
      <c r="H28" s="4">
        <v>56002</v>
      </c>
      <c r="I28" s="4">
        <v>500</v>
      </c>
      <c r="K28">
        <v>250</v>
      </c>
    </row>
    <row r="29" spans="1:11" ht="16.5" x14ac:dyDescent="0.3">
      <c r="A29" s="13"/>
      <c r="C29">
        <v>26</v>
      </c>
      <c r="D29">
        <v>26</v>
      </c>
      <c r="E29">
        <v>0</v>
      </c>
      <c r="F29" s="3" t="str">
        <f t="shared" si="0"/>
        <v>56002:260</v>
      </c>
      <c r="G29" s="3">
        <v>520</v>
      </c>
      <c r="H29" s="4">
        <v>56002</v>
      </c>
      <c r="I29" s="4">
        <v>520</v>
      </c>
      <c r="K29">
        <v>260</v>
      </c>
    </row>
    <row r="30" spans="1:11" ht="16.5" x14ac:dyDescent="0.3">
      <c r="A30" s="13"/>
      <c r="C30">
        <v>27</v>
      </c>
      <c r="D30">
        <v>27</v>
      </c>
      <c r="E30">
        <v>0</v>
      </c>
      <c r="F30" s="3" t="str">
        <f t="shared" si="0"/>
        <v>56002:270</v>
      </c>
      <c r="G30" s="3">
        <v>540</v>
      </c>
      <c r="H30" s="4">
        <v>56002</v>
      </c>
      <c r="I30" s="4">
        <v>540</v>
      </c>
      <c r="K30">
        <v>270</v>
      </c>
    </row>
    <row r="31" spans="1:11" ht="16.5" x14ac:dyDescent="0.3">
      <c r="A31" s="13"/>
      <c r="C31">
        <v>28</v>
      </c>
      <c r="D31">
        <v>28</v>
      </c>
      <c r="E31">
        <v>0</v>
      </c>
      <c r="F31" s="3" t="str">
        <f t="shared" si="0"/>
        <v>56002:280</v>
      </c>
      <c r="G31" s="3">
        <v>560</v>
      </c>
      <c r="H31" s="4">
        <v>56002</v>
      </c>
      <c r="I31" s="4">
        <v>560</v>
      </c>
      <c r="K31">
        <v>280</v>
      </c>
    </row>
    <row r="32" spans="1:11" ht="16.5" x14ac:dyDescent="0.3">
      <c r="A32" s="13"/>
      <c r="C32">
        <v>29</v>
      </c>
      <c r="D32">
        <v>29</v>
      </c>
      <c r="E32">
        <v>0</v>
      </c>
      <c r="F32" s="3" t="str">
        <f t="shared" si="0"/>
        <v>56002:290</v>
      </c>
      <c r="G32" s="3">
        <v>580</v>
      </c>
      <c r="H32" s="4">
        <v>56002</v>
      </c>
      <c r="I32" s="4">
        <v>580</v>
      </c>
      <c r="K32">
        <v>290</v>
      </c>
    </row>
    <row r="33" spans="1:11" ht="16.5" x14ac:dyDescent="0.3">
      <c r="A33" s="13"/>
      <c r="C33">
        <v>30</v>
      </c>
      <c r="D33">
        <v>30</v>
      </c>
      <c r="E33">
        <v>0</v>
      </c>
      <c r="F33" s="3" t="str">
        <f t="shared" si="0"/>
        <v>56002:300</v>
      </c>
      <c r="G33" s="3">
        <v>600</v>
      </c>
      <c r="H33" s="4">
        <v>56002</v>
      </c>
      <c r="I33" s="4">
        <v>600</v>
      </c>
      <c r="K33">
        <v>300</v>
      </c>
    </row>
    <row r="34" spans="1:11" ht="16.5" x14ac:dyDescent="0.3">
      <c r="A34" s="13"/>
      <c r="C34">
        <v>31</v>
      </c>
      <c r="D34">
        <v>31</v>
      </c>
      <c r="E34">
        <v>0</v>
      </c>
      <c r="F34" s="3" t="str">
        <f t="shared" si="0"/>
        <v>56002:310</v>
      </c>
      <c r="G34" s="3">
        <v>620</v>
      </c>
      <c r="H34" s="4">
        <v>56002</v>
      </c>
      <c r="I34" s="4">
        <v>620</v>
      </c>
      <c r="K34">
        <v>310</v>
      </c>
    </row>
    <row r="35" spans="1:11" ht="16.5" x14ac:dyDescent="0.3">
      <c r="A35" s="13"/>
      <c r="C35">
        <v>32</v>
      </c>
      <c r="D35">
        <v>32</v>
      </c>
      <c r="E35">
        <v>0</v>
      </c>
      <c r="F35" s="3" t="str">
        <f t="shared" si="0"/>
        <v>56002:320</v>
      </c>
      <c r="G35" s="3">
        <v>640</v>
      </c>
      <c r="H35" s="4">
        <v>56002</v>
      </c>
      <c r="I35" s="4">
        <v>640</v>
      </c>
      <c r="K35">
        <v>320</v>
      </c>
    </row>
    <row r="36" spans="1:11" ht="16.5" x14ac:dyDescent="0.3">
      <c r="A36" s="13"/>
      <c r="C36">
        <v>33</v>
      </c>
      <c r="D36">
        <v>33</v>
      </c>
      <c r="E36">
        <v>0</v>
      </c>
      <c r="F36" s="3" t="str">
        <f t="shared" si="0"/>
        <v>56002:330</v>
      </c>
      <c r="G36" s="3">
        <v>660</v>
      </c>
      <c r="H36" s="4">
        <v>56002</v>
      </c>
      <c r="I36" s="4">
        <v>660</v>
      </c>
      <c r="K36">
        <v>330</v>
      </c>
    </row>
    <row r="37" spans="1:11" ht="16.5" x14ac:dyDescent="0.3">
      <c r="A37" s="13"/>
      <c r="C37">
        <v>34</v>
      </c>
      <c r="D37">
        <v>34</v>
      </c>
      <c r="E37">
        <v>0</v>
      </c>
      <c r="F37" s="3" t="str">
        <f t="shared" si="0"/>
        <v>56002:340</v>
      </c>
      <c r="G37" s="3">
        <v>680</v>
      </c>
      <c r="H37" s="4">
        <v>56002</v>
      </c>
      <c r="I37" s="4">
        <v>680</v>
      </c>
      <c r="K37">
        <v>340</v>
      </c>
    </row>
    <row r="38" spans="1:11" ht="16.5" x14ac:dyDescent="0.3">
      <c r="A38" s="13"/>
      <c r="C38">
        <v>35</v>
      </c>
      <c r="D38">
        <v>35</v>
      </c>
      <c r="E38">
        <v>0</v>
      </c>
      <c r="F38" s="3" t="str">
        <f t="shared" si="0"/>
        <v>56002:350</v>
      </c>
      <c r="G38" s="3">
        <v>700</v>
      </c>
      <c r="H38" s="4">
        <v>56002</v>
      </c>
      <c r="I38" s="4">
        <v>700</v>
      </c>
      <c r="K38">
        <v>350</v>
      </c>
    </row>
    <row r="39" spans="1:11" ht="16.5" x14ac:dyDescent="0.3">
      <c r="A39" s="13"/>
      <c r="C39">
        <v>36</v>
      </c>
      <c r="D39">
        <v>36</v>
      </c>
      <c r="E39">
        <v>0</v>
      </c>
      <c r="F39" s="3" t="str">
        <f t="shared" si="0"/>
        <v>56002:360</v>
      </c>
      <c r="G39" s="3">
        <v>720</v>
      </c>
      <c r="H39" s="4">
        <v>56002</v>
      </c>
      <c r="I39" s="4">
        <v>720</v>
      </c>
      <c r="K39">
        <v>360</v>
      </c>
    </row>
    <row r="40" spans="1:11" ht="16.5" x14ac:dyDescent="0.3">
      <c r="A40" s="13"/>
      <c r="C40">
        <v>37</v>
      </c>
      <c r="D40">
        <v>37</v>
      </c>
      <c r="E40">
        <v>0</v>
      </c>
      <c r="F40" s="3" t="str">
        <f t="shared" si="0"/>
        <v>56002:370</v>
      </c>
      <c r="G40" s="3">
        <v>740</v>
      </c>
      <c r="H40" s="4">
        <v>56002</v>
      </c>
      <c r="I40" s="4">
        <v>740</v>
      </c>
      <c r="K40">
        <v>370</v>
      </c>
    </row>
    <row r="41" spans="1:11" x14ac:dyDescent="0.3">
      <c r="C41">
        <v>38</v>
      </c>
      <c r="D41">
        <v>38</v>
      </c>
      <c r="E41">
        <v>0</v>
      </c>
      <c r="F41" s="3" t="str">
        <f t="shared" si="0"/>
        <v>56002:380</v>
      </c>
      <c r="G41" s="3">
        <v>760</v>
      </c>
      <c r="H41" s="4">
        <v>56002</v>
      </c>
      <c r="I41" s="4">
        <v>760</v>
      </c>
      <c r="K41">
        <v>380</v>
      </c>
    </row>
    <row r="42" spans="1:11" x14ac:dyDescent="0.3">
      <c r="C42">
        <v>39</v>
      </c>
      <c r="D42">
        <v>39</v>
      </c>
      <c r="E42">
        <v>0</v>
      </c>
      <c r="F42" s="3" t="str">
        <f t="shared" si="0"/>
        <v>56002:390</v>
      </c>
      <c r="G42" s="3">
        <v>780</v>
      </c>
      <c r="H42" s="4">
        <v>56002</v>
      </c>
      <c r="I42" s="4">
        <v>780</v>
      </c>
      <c r="K42">
        <v>390</v>
      </c>
    </row>
    <row r="43" spans="1:11" x14ac:dyDescent="0.3">
      <c r="C43">
        <v>40</v>
      </c>
      <c r="D43">
        <v>40</v>
      </c>
      <c r="E43">
        <v>0</v>
      </c>
      <c r="F43" s="3" t="str">
        <f t="shared" si="0"/>
        <v>56002:400</v>
      </c>
      <c r="G43" s="3">
        <v>800</v>
      </c>
      <c r="H43" s="4">
        <v>56002</v>
      </c>
      <c r="I43" s="4">
        <v>800</v>
      </c>
      <c r="K43">
        <v>400</v>
      </c>
    </row>
    <row r="44" spans="1:11" x14ac:dyDescent="0.3">
      <c r="C44">
        <v>41</v>
      </c>
      <c r="D44">
        <v>41</v>
      </c>
      <c r="E44">
        <v>0</v>
      </c>
      <c r="F44" s="3" t="str">
        <f t="shared" si="0"/>
        <v>56002:410</v>
      </c>
      <c r="G44" s="3">
        <v>820</v>
      </c>
      <c r="H44" s="4">
        <v>56002</v>
      </c>
      <c r="I44" s="4">
        <v>820</v>
      </c>
      <c r="K44">
        <v>410</v>
      </c>
    </row>
    <row r="45" spans="1:11" x14ac:dyDescent="0.3">
      <c r="C45">
        <v>42</v>
      </c>
      <c r="D45">
        <v>42</v>
      </c>
      <c r="E45">
        <v>0</v>
      </c>
      <c r="F45" s="3" t="str">
        <f t="shared" si="0"/>
        <v>56002:420</v>
      </c>
      <c r="G45" s="3">
        <v>840</v>
      </c>
      <c r="H45" s="4">
        <v>56002</v>
      </c>
      <c r="I45" s="4">
        <v>840</v>
      </c>
      <c r="K45">
        <v>420</v>
      </c>
    </row>
    <row r="46" spans="1:11" x14ac:dyDescent="0.3">
      <c r="C46">
        <v>43</v>
      </c>
      <c r="D46">
        <v>43</v>
      </c>
      <c r="E46">
        <v>0</v>
      </c>
      <c r="F46" s="3" t="str">
        <f t="shared" si="0"/>
        <v>56002:430</v>
      </c>
      <c r="G46" s="3">
        <v>860</v>
      </c>
      <c r="H46" s="4">
        <v>56002</v>
      </c>
      <c r="I46" s="4">
        <v>860</v>
      </c>
      <c r="K46">
        <v>430</v>
      </c>
    </row>
    <row r="47" spans="1:11" x14ac:dyDescent="0.3">
      <c r="C47">
        <v>44</v>
      </c>
      <c r="D47">
        <v>44</v>
      </c>
      <c r="E47">
        <v>0</v>
      </c>
      <c r="F47" s="3" t="str">
        <f t="shared" si="0"/>
        <v>56002:440</v>
      </c>
      <c r="G47" s="3">
        <v>880</v>
      </c>
      <c r="H47" s="4">
        <v>56002</v>
      </c>
      <c r="I47" s="4">
        <v>880</v>
      </c>
      <c r="K47">
        <v>440</v>
      </c>
    </row>
    <row r="48" spans="1:11" x14ac:dyDescent="0.3">
      <c r="C48">
        <v>45</v>
      </c>
      <c r="D48">
        <v>45</v>
      </c>
      <c r="E48">
        <v>0</v>
      </c>
      <c r="F48" s="3" t="str">
        <f t="shared" si="0"/>
        <v>56002:450</v>
      </c>
      <c r="G48" s="3">
        <v>900</v>
      </c>
      <c r="H48" s="4">
        <v>56002</v>
      </c>
      <c r="I48" s="4">
        <v>900</v>
      </c>
      <c r="K48">
        <v>450</v>
      </c>
    </row>
    <row r="49" spans="3:11" x14ac:dyDescent="0.3">
      <c r="C49">
        <v>46</v>
      </c>
      <c r="D49">
        <v>46</v>
      </c>
      <c r="E49">
        <v>0</v>
      </c>
      <c r="F49" s="3" t="str">
        <f t="shared" si="0"/>
        <v>56002:460</v>
      </c>
      <c r="G49" s="3">
        <v>920</v>
      </c>
      <c r="H49" s="4">
        <v>56002</v>
      </c>
      <c r="I49" s="4">
        <v>920</v>
      </c>
      <c r="K49">
        <v>460</v>
      </c>
    </row>
    <row r="50" spans="3:11" x14ac:dyDescent="0.3">
      <c r="C50">
        <v>47</v>
      </c>
      <c r="D50">
        <v>47</v>
      </c>
      <c r="E50">
        <v>0</v>
      </c>
      <c r="F50" s="3" t="str">
        <f t="shared" si="0"/>
        <v>56002:470</v>
      </c>
      <c r="G50" s="3">
        <v>940</v>
      </c>
      <c r="H50" s="4">
        <v>56002</v>
      </c>
      <c r="I50" s="4">
        <v>940</v>
      </c>
      <c r="K50">
        <v>470</v>
      </c>
    </row>
    <row r="51" spans="3:11" x14ac:dyDescent="0.3">
      <c r="C51">
        <v>48</v>
      </c>
      <c r="D51">
        <v>48</v>
      </c>
      <c r="E51">
        <v>0</v>
      </c>
      <c r="F51" s="3" t="str">
        <f t="shared" si="0"/>
        <v>56002:480</v>
      </c>
      <c r="G51" s="3">
        <v>960</v>
      </c>
      <c r="H51" s="4">
        <v>56002</v>
      </c>
      <c r="I51" s="4">
        <v>960</v>
      </c>
      <c r="K51">
        <v>480</v>
      </c>
    </row>
    <row r="52" spans="3:11" x14ac:dyDescent="0.3">
      <c r="C52">
        <v>49</v>
      </c>
      <c r="D52">
        <v>49</v>
      </c>
      <c r="E52">
        <v>0</v>
      </c>
      <c r="F52" s="3" t="str">
        <f t="shared" si="0"/>
        <v>56002:490</v>
      </c>
      <c r="G52" s="3">
        <v>980</v>
      </c>
      <c r="H52" s="4">
        <v>56002</v>
      </c>
      <c r="I52" s="4">
        <v>980</v>
      </c>
      <c r="K52">
        <v>490</v>
      </c>
    </row>
    <row r="53" spans="3:11" x14ac:dyDescent="0.3">
      <c r="C53">
        <v>50</v>
      </c>
      <c r="D53">
        <v>50</v>
      </c>
      <c r="E53">
        <v>0</v>
      </c>
      <c r="F53" s="3" t="str">
        <f t="shared" si="0"/>
        <v>56002:500</v>
      </c>
      <c r="G53" s="3">
        <v>1000</v>
      </c>
      <c r="H53" s="4">
        <v>56002</v>
      </c>
      <c r="I53" s="4">
        <v>1000</v>
      </c>
      <c r="K53">
        <v>500</v>
      </c>
    </row>
    <row r="54" spans="3:11" x14ac:dyDescent="0.3">
      <c r="C54">
        <v>51</v>
      </c>
      <c r="D54">
        <v>51</v>
      </c>
      <c r="E54">
        <v>0</v>
      </c>
      <c r="F54" s="3" t="str">
        <f t="shared" si="0"/>
        <v>56002:510</v>
      </c>
      <c r="G54" s="3">
        <v>1020</v>
      </c>
      <c r="H54" s="4">
        <v>56002</v>
      </c>
      <c r="I54" s="4">
        <v>1020</v>
      </c>
      <c r="K54">
        <v>510</v>
      </c>
    </row>
    <row r="55" spans="3:11" x14ac:dyDescent="0.3">
      <c r="C55">
        <v>52</v>
      </c>
      <c r="D55">
        <v>52</v>
      </c>
      <c r="E55">
        <v>0</v>
      </c>
      <c r="F55" s="3" t="str">
        <f t="shared" si="0"/>
        <v>56002:520</v>
      </c>
      <c r="G55" s="3">
        <v>1040</v>
      </c>
      <c r="H55" s="4">
        <v>56002</v>
      </c>
      <c r="I55" s="4">
        <v>1040</v>
      </c>
      <c r="K55">
        <v>520</v>
      </c>
    </row>
    <row r="56" spans="3:11" x14ac:dyDescent="0.3">
      <c r="C56">
        <v>53</v>
      </c>
      <c r="D56">
        <v>53</v>
      </c>
      <c r="E56">
        <v>0</v>
      </c>
      <c r="F56" s="3" t="str">
        <f t="shared" si="0"/>
        <v>56002:530</v>
      </c>
      <c r="G56" s="3">
        <v>1060</v>
      </c>
      <c r="H56" s="4">
        <v>56002</v>
      </c>
      <c r="I56" s="4">
        <v>1060</v>
      </c>
      <c r="K56">
        <v>530</v>
      </c>
    </row>
    <row r="57" spans="3:11" x14ac:dyDescent="0.3">
      <c r="C57">
        <v>54</v>
      </c>
      <c r="D57">
        <v>54</v>
      </c>
      <c r="E57">
        <v>0</v>
      </c>
      <c r="F57" s="3" t="str">
        <f t="shared" si="0"/>
        <v>56002:540</v>
      </c>
      <c r="G57" s="3">
        <v>1080</v>
      </c>
      <c r="H57" s="4">
        <v>56002</v>
      </c>
      <c r="I57" s="4">
        <v>1080</v>
      </c>
      <c r="K57">
        <v>540</v>
      </c>
    </row>
    <row r="58" spans="3:11" x14ac:dyDescent="0.3">
      <c r="C58">
        <v>55</v>
      </c>
      <c r="D58">
        <v>55</v>
      </c>
      <c r="E58">
        <v>0</v>
      </c>
      <c r="F58" s="3" t="str">
        <f t="shared" si="0"/>
        <v>56002:550</v>
      </c>
      <c r="G58" s="3">
        <v>1100</v>
      </c>
      <c r="H58" s="4">
        <v>56002</v>
      </c>
      <c r="I58" s="4">
        <v>1100</v>
      </c>
      <c r="K58">
        <v>550</v>
      </c>
    </row>
    <row r="59" spans="3:11" x14ac:dyDescent="0.3">
      <c r="C59">
        <v>56</v>
      </c>
      <c r="D59">
        <v>56</v>
      </c>
      <c r="E59">
        <v>0</v>
      </c>
      <c r="F59" s="3" t="str">
        <f t="shared" si="0"/>
        <v>56002:560</v>
      </c>
      <c r="G59" s="3">
        <v>1120</v>
      </c>
      <c r="H59" s="4">
        <v>56002</v>
      </c>
      <c r="I59" s="4">
        <v>1120</v>
      </c>
      <c r="K59">
        <v>560</v>
      </c>
    </row>
    <row r="60" spans="3:11" x14ac:dyDescent="0.3">
      <c r="C60">
        <v>57</v>
      </c>
      <c r="D60">
        <v>57</v>
      </c>
      <c r="E60">
        <v>0</v>
      </c>
      <c r="F60" s="3" t="str">
        <f t="shared" si="0"/>
        <v>56002:570</v>
      </c>
      <c r="G60" s="3">
        <v>1140</v>
      </c>
      <c r="H60" s="4">
        <v>56002</v>
      </c>
      <c r="I60" s="4">
        <v>1140</v>
      </c>
      <c r="K60">
        <v>570</v>
      </c>
    </row>
    <row r="61" spans="3:11" x14ac:dyDescent="0.3">
      <c r="C61">
        <v>58</v>
      </c>
      <c r="D61">
        <v>58</v>
      </c>
      <c r="E61">
        <v>0</v>
      </c>
      <c r="F61" s="3" t="str">
        <f t="shared" si="0"/>
        <v>56002:580</v>
      </c>
      <c r="G61" s="3">
        <v>1160</v>
      </c>
      <c r="H61" s="4">
        <v>56002</v>
      </c>
      <c r="I61" s="4">
        <v>1160</v>
      </c>
      <c r="K61">
        <v>580</v>
      </c>
    </row>
    <row r="62" spans="3:11" x14ac:dyDescent="0.3">
      <c r="C62">
        <v>59</v>
      </c>
      <c r="D62">
        <v>59</v>
      </c>
      <c r="E62">
        <v>0</v>
      </c>
      <c r="F62" s="3" t="str">
        <f t="shared" si="0"/>
        <v>56002:590</v>
      </c>
      <c r="G62" s="3">
        <v>1180</v>
      </c>
      <c r="H62" s="4">
        <v>56002</v>
      </c>
      <c r="I62" s="4">
        <v>1180</v>
      </c>
      <c r="K62">
        <v>590</v>
      </c>
    </row>
    <row r="63" spans="3:11" x14ac:dyDescent="0.3">
      <c r="C63">
        <v>60</v>
      </c>
      <c r="D63">
        <v>60</v>
      </c>
      <c r="E63">
        <v>0</v>
      </c>
      <c r="F63" s="3" t="str">
        <f t="shared" si="0"/>
        <v>56002:600</v>
      </c>
      <c r="G63" s="3">
        <v>1200</v>
      </c>
      <c r="H63" s="4">
        <v>56002</v>
      </c>
      <c r="I63" s="4">
        <v>1200</v>
      </c>
      <c r="K63">
        <v>600</v>
      </c>
    </row>
    <row r="64" spans="3:11" x14ac:dyDescent="0.3">
      <c r="C64">
        <v>61</v>
      </c>
      <c r="D64">
        <v>61</v>
      </c>
      <c r="E64">
        <v>0</v>
      </c>
      <c r="F64" s="3" t="str">
        <f t="shared" si="0"/>
        <v>56002:610</v>
      </c>
      <c r="G64" s="3">
        <v>1220</v>
      </c>
      <c r="H64" s="4">
        <v>56002</v>
      </c>
      <c r="I64" s="4">
        <v>1220</v>
      </c>
      <c r="K64">
        <v>610</v>
      </c>
    </row>
    <row r="65" spans="3:11" x14ac:dyDescent="0.3">
      <c r="C65">
        <v>62</v>
      </c>
      <c r="D65">
        <v>62</v>
      </c>
      <c r="E65">
        <v>0</v>
      </c>
      <c r="F65" s="3" t="str">
        <f t="shared" si="0"/>
        <v>56002:620</v>
      </c>
      <c r="G65" s="3">
        <v>1240</v>
      </c>
      <c r="H65" s="4">
        <v>56002</v>
      </c>
      <c r="I65" s="4">
        <v>1240</v>
      </c>
      <c r="K65">
        <v>620</v>
      </c>
    </row>
    <row r="66" spans="3:11" x14ac:dyDescent="0.3">
      <c r="C66">
        <v>63</v>
      </c>
      <c r="D66">
        <v>63</v>
      </c>
      <c r="E66">
        <v>0</v>
      </c>
      <c r="F66" s="3" t="str">
        <f t="shared" si="0"/>
        <v>56002:630</v>
      </c>
      <c r="G66" s="3">
        <v>1260</v>
      </c>
      <c r="H66" s="4">
        <v>56002</v>
      </c>
      <c r="I66" s="4">
        <v>1260</v>
      </c>
      <c r="K66">
        <v>630</v>
      </c>
    </row>
    <row r="67" spans="3:11" x14ac:dyDescent="0.3">
      <c r="C67">
        <v>64</v>
      </c>
      <c r="D67">
        <v>64</v>
      </c>
      <c r="E67">
        <v>0</v>
      </c>
      <c r="F67" s="3" t="str">
        <f t="shared" si="0"/>
        <v>56002:640</v>
      </c>
      <c r="G67" s="3">
        <v>1280</v>
      </c>
      <c r="H67" s="4">
        <v>56002</v>
      </c>
      <c r="I67" s="4">
        <v>1280</v>
      </c>
      <c r="K67">
        <v>640</v>
      </c>
    </row>
    <row r="68" spans="3:11" x14ac:dyDescent="0.3">
      <c r="C68">
        <v>65</v>
      </c>
      <c r="D68">
        <v>65</v>
      </c>
      <c r="E68">
        <v>0</v>
      </c>
      <c r="F68" s="3" t="str">
        <f t="shared" si="0"/>
        <v>56002:650</v>
      </c>
      <c r="G68" s="3">
        <v>1300</v>
      </c>
      <c r="H68" s="4">
        <v>56002</v>
      </c>
      <c r="I68" s="4">
        <v>1300</v>
      </c>
      <c r="K68">
        <v>650</v>
      </c>
    </row>
    <row r="69" spans="3:11" x14ac:dyDescent="0.3">
      <c r="C69">
        <v>66</v>
      </c>
      <c r="D69">
        <v>66</v>
      </c>
      <c r="E69">
        <v>0</v>
      </c>
      <c r="F69" s="3" t="str">
        <f t="shared" si="0"/>
        <v>56002:660</v>
      </c>
      <c r="G69" s="3">
        <v>1320</v>
      </c>
      <c r="H69" s="4">
        <v>56002</v>
      </c>
      <c r="I69" s="4">
        <v>1320</v>
      </c>
      <c r="K69">
        <v>660</v>
      </c>
    </row>
    <row r="70" spans="3:11" x14ac:dyDescent="0.3">
      <c r="C70">
        <v>67</v>
      </c>
      <c r="D70">
        <v>67</v>
      </c>
      <c r="E70">
        <v>0</v>
      </c>
      <c r="F70" s="3" t="str">
        <f t="shared" ref="F70:F83" si="1">H70&amp;":"&amp;K70</f>
        <v>56002:670</v>
      </c>
      <c r="G70" s="3">
        <v>1340</v>
      </c>
      <c r="H70" s="4">
        <v>56002</v>
      </c>
      <c r="I70" s="4">
        <v>1340</v>
      </c>
      <c r="K70">
        <v>670</v>
      </c>
    </row>
    <row r="71" spans="3:11" x14ac:dyDescent="0.3">
      <c r="C71">
        <v>68</v>
      </c>
      <c r="D71">
        <v>68</v>
      </c>
      <c r="E71">
        <v>0</v>
      </c>
      <c r="F71" s="3" t="str">
        <f t="shared" si="1"/>
        <v>56002:680</v>
      </c>
      <c r="G71" s="3">
        <v>1360</v>
      </c>
      <c r="H71" s="4">
        <v>56002</v>
      </c>
      <c r="I71" s="4">
        <v>1360</v>
      </c>
      <c r="K71">
        <v>680</v>
      </c>
    </row>
    <row r="72" spans="3:11" x14ac:dyDescent="0.3">
      <c r="C72">
        <v>69</v>
      </c>
      <c r="D72">
        <v>69</v>
      </c>
      <c r="E72">
        <v>0</v>
      </c>
      <c r="F72" s="3" t="str">
        <f t="shared" si="1"/>
        <v>56002:690</v>
      </c>
      <c r="G72" s="3">
        <v>1380</v>
      </c>
      <c r="H72" s="4">
        <v>56002</v>
      </c>
      <c r="I72" s="4">
        <v>1380</v>
      </c>
      <c r="K72">
        <v>690</v>
      </c>
    </row>
    <row r="73" spans="3:11" x14ac:dyDescent="0.3">
      <c r="C73">
        <v>70</v>
      </c>
      <c r="D73">
        <v>70</v>
      </c>
      <c r="E73">
        <v>0</v>
      </c>
      <c r="F73" s="3" t="str">
        <f t="shared" si="1"/>
        <v>56002:700</v>
      </c>
      <c r="G73" s="3">
        <v>1400</v>
      </c>
      <c r="H73" s="4">
        <v>56002</v>
      </c>
      <c r="I73" s="4">
        <v>1400</v>
      </c>
      <c r="K73">
        <v>700</v>
      </c>
    </row>
    <row r="74" spans="3:11" x14ac:dyDescent="0.3">
      <c r="C74">
        <v>71</v>
      </c>
      <c r="D74">
        <v>71</v>
      </c>
      <c r="E74">
        <v>0</v>
      </c>
      <c r="F74" s="3" t="str">
        <f t="shared" si="1"/>
        <v>56002:710</v>
      </c>
      <c r="G74" s="3">
        <v>1420</v>
      </c>
      <c r="H74" s="4">
        <v>56002</v>
      </c>
      <c r="I74" s="4">
        <v>1420</v>
      </c>
      <c r="K74">
        <v>710</v>
      </c>
    </row>
    <row r="75" spans="3:11" x14ac:dyDescent="0.3">
      <c r="C75">
        <v>72</v>
      </c>
      <c r="D75">
        <v>72</v>
      </c>
      <c r="E75">
        <v>0</v>
      </c>
      <c r="F75" s="3" t="str">
        <f t="shared" si="1"/>
        <v>56002:720</v>
      </c>
      <c r="G75" s="3">
        <v>1440</v>
      </c>
      <c r="H75" s="4">
        <v>56002</v>
      </c>
      <c r="I75" s="4">
        <v>1440</v>
      </c>
      <c r="K75">
        <v>720</v>
      </c>
    </row>
    <row r="76" spans="3:11" x14ac:dyDescent="0.3">
      <c r="C76">
        <v>73</v>
      </c>
      <c r="D76">
        <v>73</v>
      </c>
      <c r="E76">
        <v>0</v>
      </c>
      <c r="F76" s="3" t="str">
        <f t="shared" si="1"/>
        <v>56002:730</v>
      </c>
      <c r="G76" s="3">
        <v>1460</v>
      </c>
      <c r="H76" s="4">
        <v>56002</v>
      </c>
      <c r="I76" s="4">
        <v>1460</v>
      </c>
      <c r="K76">
        <v>730</v>
      </c>
    </row>
    <row r="77" spans="3:11" x14ac:dyDescent="0.3">
      <c r="C77">
        <v>74</v>
      </c>
      <c r="D77">
        <v>74</v>
      </c>
      <c r="E77">
        <v>0</v>
      </c>
      <c r="F77" s="3" t="str">
        <f t="shared" si="1"/>
        <v>56002:740</v>
      </c>
      <c r="G77" s="3">
        <v>1480</v>
      </c>
      <c r="H77" s="4">
        <v>56002</v>
      </c>
      <c r="I77" s="4">
        <v>1480</v>
      </c>
      <c r="K77">
        <v>740</v>
      </c>
    </row>
    <row r="78" spans="3:11" x14ac:dyDescent="0.3">
      <c r="C78">
        <v>75</v>
      </c>
      <c r="D78">
        <v>75</v>
      </c>
      <c r="E78">
        <v>0</v>
      </c>
      <c r="F78" s="3" t="str">
        <f t="shared" si="1"/>
        <v>56002:750</v>
      </c>
      <c r="G78" s="3">
        <v>1500</v>
      </c>
      <c r="H78" s="4">
        <v>56002</v>
      </c>
      <c r="I78" s="4">
        <v>1500</v>
      </c>
      <c r="K78">
        <v>750</v>
      </c>
    </row>
    <row r="79" spans="3:11" x14ac:dyDescent="0.3">
      <c r="C79">
        <v>76</v>
      </c>
      <c r="D79">
        <v>76</v>
      </c>
      <c r="E79">
        <v>0</v>
      </c>
      <c r="F79" s="3" t="str">
        <f t="shared" si="1"/>
        <v>56002:760</v>
      </c>
      <c r="G79" s="3">
        <v>1520</v>
      </c>
      <c r="H79" s="4">
        <v>56002</v>
      </c>
      <c r="I79" s="4">
        <v>1520</v>
      </c>
      <c r="K79">
        <v>760</v>
      </c>
    </row>
    <row r="80" spans="3:11" x14ac:dyDescent="0.3">
      <c r="C80">
        <v>77</v>
      </c>
      <c r="D80">
        <v>77</v>
      </c>
      <c r="E80">
        <v>0</v>
      </c>
      <c r="F80" s="3" t="str">
        <f t="shared" si="1"/>
        <v>56002:770</v>
      </c>
      <c r="G80" s="3">
        <v>1540</v>
      </c>
      <c r="H80" s="4">
        <v>56002</v>
      </c>
      <c r="I80" s="4">
        <v>1540</v>
      </c>
      <c r="K80">
        <v>770</v>
      </c>
    </row>
    <row r="81" spans="1:11" x14ac:dyDescent="0.3">
      <c r="C81">
        <v>78</v>
      </c>
      <c r="D81">
        <v>78</v>
      </c>
      <c r="E81">
        <v>0</v>
      </c>
      <c r="F81" s="3" t="str">
        <f t="shared" si="1"/>
        <v>56002:780</v>
      </c>
      <c r="G81" s="3">
        <v>1560</v>
      </c>
      <c r="H81" s="4">
        <v>56002</v>
      </c>
      <c r="I81" s="4">
        <v>1560</v>
      </c>
      <c r="K81">
        <v>780</v>
      </c>
    </row>
    <row r="82" spans="1:11" x14ac:dyDescent="0.3">
      <c r="C82">
        <v>79</v>
      </c>
      <c r="D82">
        <v>79</v>
      </c>
      <c r="E82">
        <v>0</v>
      </c>
      <c r="F82" s="3" t="str">
        <f t="shared" si="1"/>
        <v>56002:790</v>
      </c>
      <c r="G82" s="3">
        <v>1580</v>
      </c>
      <c r="H82" s="4">
        <v>56002</v>
      </c>
      <c r="I82" s="4">
        <v>1580</v>
      </c>
      <c r="K82">
        <v>790</v>
      </c>
    </row>
    <row r="83" spans="1:11" x14ac:dyDescent="0.3">
      <c r="C83">
        <v>80</v>
      </c>
      <c r="D83">
        <v>80</v>
      </c>
      <c r="E83">
        <v>0</v>
      </c>
      <c r="F83" s="3" t="str">
        <f t="shared" si="1"/>
        <v>56002:800</v>
      </c>
      <c r="G83" s="3">
        <v>1600</v>
      </c>
      <c r="H83" s="4">
        <v>56002</v>
      </c>
      <c r="I83" s="4">
        <v>1600</v>
      </c>
      <c r="K83">
        <v>800</v>
      </c>
    </row>
    <row r="89" spans="1:11" ht="16.5" x14ac:dyDescent="0.3">
      <c r="A89" s="12">
        <v>2</v>
      </c>
      <c r="C89">
        <v>1</v>
      </c>
      <c r="D89">
        <v>1</v>
      </c>
      <c r="E89">
        <v>0</v>
      </c>
      <c r="F89" s="3">
        <v>0</v>
      </c>
      <c r="G89" s="4">
        <v>0</v>
      </c>
    </row>
    <row r="90" spans="1:11" ht="16.5" x14ac:dyDescent="0.3">
      <c r="A90" s="13"/>
      <c r="C90">
        <v>2</v>
      </c>
      <c r="D90">
        <v>2</v>
      </c>
      <c r="E90">
        <v>0</v>
      </c>
      <c r="F90" s="3" t="str">
        <f>H90&amp;":"&amp;K5</f>
        <v>56002:20</v>
      </c>
      <c r="G90" s="3">
        <v>24</v>
      </c>
      <c r="H90" s="4">
        <v>56002</v>
      </c>
      <c r="I90" s="4">
        <v>24</v>
      </c>
    </row>
    <row r="91" spans="1:11" ht="16.5" x14ac:dyDescent="0.3">
      <c r="A91" s="13"/>
      <c r="C91">
        <v>3</v>
      </c>
      <c r="D91">
        <v>3</v>
      </c>
      <c r="E91">
        <v>0</v>
      </c>
      <c r="F91" s="3" t="str">
        <f t="shared" ref="F91:F148" si="2">H91&amp;":"&amp;K6</f>
        <v>56002:30</v>
      </c>
      <c r="G91" s="3">
        <v>36</v>
      </c>
      <c r="H91" s="4">
        <v>56002</v>
      </c>
      <c r="I91" s="4">
        <v>36</v>
      </c>
    </row>
    <row r="92" spans="1:11" ht="16.5" x14ac:dyDescent="0.3">
      <c r="A92" s="13"/>
      <c r="C92">
        <v>4</v>
      </c>
      <c r="D92">
        <v>4</v>
      </c>
      <c r="E92">
        <v>0</v>
      </c>
      <c r="F92" s="3" t="str">
        <f t="shared" si="2"/>
        <v>56002:40</v>
      </c>
      <c r="G92" s="3">
        <v>48</v>
      </c>
      <c r="H92" s="4">
        <v>56002</v>
      </c>
      <c r="I92" s="4">
        <v>48</v>
      </c>
    </row>
    <row r="93" spans="1:11" ht="16.5" x14ac:dyDescent="0.3">
      <c r="A93" s="13"/>
      <c r="C93">
        <v>5</v>
      </c>
      <c r="D93">
        <v>5</v>
      </c>
      <c r="E93">
        <v>0</v>
      </c>
      <c r="F93" s="3" t="str">
        <f t="shared" si="2"/>
        <v>56002:50</v>
      </c>
      <c r="G93" s="3">
        <v>60</v>
      </c>
      <c r="H93" s="4">
        <v>56002</v>
      </c>
      <c r="I93" s="4">
        <v>60</v>
      </c>
    </row>
    <row r="94" spans="1:11" ht="16.5" x14ac:dyDescent="0.3">
      <c r="A94" s="13"/>
      <c r="C94">
        <v>6</v>
      </c>
      <c r="D94">
        <v>6</v>
      </c>
      <c r="E94">
        <v>0</v>
      </c>
      <c r="F94" s="3" t="str">
        <f t="shared" si="2"/>
        <v>56002:60</v>
      </c>
      <c r="G94" s="3">
        <v>72</v>
      </c>
      <c r="H94" s="4">
        <v>56002</v>
      </c>
      <c r="I94" s="4">
        <v>72</v>
      </c>
    </row>
    <row r="95" spans="1:11" ht="16.5" x14ac:dyDescent="0.3">
      <c r="A95" s="13"/>
      <c r="C95">
        <v>7</v>
      </c>
      <c r="D95">
        <v>7</v>
      </c>
      <c r="E95">
        <v>0</v>
      </c>
      <c r="F95" s="3" t="str">
        <f t="shared" si="2"/>
        <v>56002:70</v>
      </c>
      <c r="G95" s="3">
        <v>84</v>
      </c>
      <c r="H95" s="4">
        <v>56002</v>
      </c>
      <c r="I95" s="4">
        <v>84</v>
      </c>
    </row>
    <row r="96" spans="1:11" ht="16.5" x14ac:dyDescent="0.3">
      <c r="A96" s="13"/>
      <c r="C96">
        <v>8</v>
      </c>
      <c r="D96">
        <v>8</v>
      </c>
      <c r="E96">
        <v>0</v>
      </c>
      <c r="F96" s="3" t="str">
        <f t="shared" si="2"/>
        <v>56002:80</v>
      </c>
      <c r="G96" s="3">
        <v>96</v>
      </c>
      <c r="H96" s="4">
        <v>56002</v>
      </c>
      <c r="I96" s="4">
        <v>96</v>
      </c>
    </row>
    <row r="97" spans="1:9" ht="16.5" x14ac:dyDescent="0.3">
      <c r="A97" s="13"/>
      <c r="C97">
        <v>9</v>
      </c>
      <c r="D97">
        <v>9</v>
      </c>
      <c r="E97">
        <v>0</v>
      </c>
      <c r="F97" s="3" t="str">
        <f t="shared" si="2"/>
        <v>56002:90</v>
      </c>
      <c r="G97" s="3">
        <v>108</v>
      </c>
      <c r="H97" s="4">
        <v>56002</v>
      </c>
      <c r="I97" s="4">
        <v>108</v>
      </c>
    </row>
    <row r="98" spans="1:9" ht="16.5" x14ac:dyDescent="0.3">
      <c r="A98" s="13"/>
      <c r="C98">
        <v>10</v>
      </c>
      <c r="D98">
        <v>10</v>
      </c>
      <c r="E98">
        <v>0</v>
      </c>
      <c r="F98" s="3" t="str">
        <f t="shared" si="2"/>
        <v>56002:100</v>
      </c>
      <c r="G98" s="3">
        <v>120</v>
      </c>
      <c r="H98" s="4">
        <v>56002</v>
      </c>
      <c r="I98" s="4">
        <v>120</v>
      </c>
    </row>
    <row r="99" spans="1:9" ht="16.5" x14ac:dyDescent="0.3">
      <c r="A99" s="13"/>
      <c r="C99">
        <v>11</v>
      </c>
      <c r="D99">
        <v>11</v>
      </c>
      <c r="E99">
        <v>0</v>
      </c>
      <c r="F99" s="3" t="str">
        <f t="shared" si="2"/>
        <v>56002:110</v>
      </c>
      <c r="G99" s="3">
        <v>132</v>
      </c>
      <c r="H99" s="4">
        <v>56002</v>
      </c>
      <c r="I99" s="4">
        <v>132</v>
      </c>
    </row>
    <row r="100" spans="1:9" ht="16.5" x14ac:dyDescent="0.3">
      <c r="A100" s="13"/>
      <c r="C100">
        <v>12</v>
      </c>
      <c r="D100">
        <v>12</v>
      </c>
      <c r="E100">
        <v>0</v>
      </c>
      <c r="F100" s="3" t="str">
        <f t="shared" si="2"/>
        <v>56002:120</v>
      </c>
      <c r="G100" s="3">
        <v>144</v>
      </c>
      <c r="H100" s="4">
        <v>56002</v>
      </c>
      <c r="I100" s="4">
        <v>144</v>
      </c>
    </row>
    <row r="101" spans="1:9" ht="16.5" x14ac:dyDescent="0.3">
      <c r="A101" s="13"/>
      <c r="C101">
        <v>13</v>
      </c>
      <c r="D101">
        <v>13</v>
      </c>
      <c r="E101">
        <v>0</v>
      </c>
      <c r="F101" s="3" t="str">
        <f t="shared" si="2"/>
        <v>56002:130</v>
      </c>
      <c r="G101" s="3">
        <v>156</v>
      </c>
      <c r="H101" s="4">
        <v>56002</v>
      </c>
      <c r="I101" s="4">
        <v>156</v>
      </c>
    </row>
    <row r="102" spans="1:9" ht="16.5" x14ac:dyDescent="0.3">
      <c r="A102" s="13"/>
      <c r="C102">
        <v>14</v>
      </c>
      <c r="D102">
        <v>14</v>
      </c>
      <c r="E102">
        <v>0</v>
      </c>
      <c r="F102" s="3" t="str">
        <f t="shared" si="2"/>
        <v>56002:140</v>
      </c>
      <c r="G102" s="3">
        <v>168</v>
      </c>
      <c r="H102" s="4">
        <v>56002</v>
      </c>
      <c r="I102" s="4">
        <v>168</v>
      </c>
    </row>
    <row r="103" spans="1:9" ht="16.5" x14ac:dyDescent="0.3">
      <c r="A103" s="13"/>
      <c r="C103">
        <v>15</v>
      </c>
      <c r="D103">
        <v>15</v>
      </c>
      <c r="E103">
        <v>0</v>
      </c>
      <c r="F103" s="3" t="str">
        <f t="shared" si="2"/>
        <v>56002:150</v>
      </c>
      <c r="G103" s="3">
        <v>180</v>
      </c>
      <c r="H103" s="4">
        <v>56002</v>
      </c>
      <c r="I103" s="4">
        <v>180</v>
      </c>
    </row>
    <row r="104" spans="1:9" ht="16.5" x14ac:dyDescent="0.3">
      <c r="A104" s="13"/>
      <c r="C104">
        <v>16</v>
      </c>
      <c r="D104">
        <v>16</v>
      </c>
      <c r="E104">
        <v>0</v>
      </c>
      <c r="F104" s="3" t="str">
        <f t="shared" si="2"/>
        <v>56002:160</v>
      </c>
      <c r="G104" s="3">
        <v>192</v>
      </c>
      <c r="H104" s="4">
        <v>56002</v>
      </c>
      <c r="I104" s="4">
        <v>192</v>
      </c>
    </row>
    <row r="105" spans="1:9" ht="16.5" x14ac:dyDescent="0.3">
      <c r="A105" s="13"/>
      <c r="C105">
        <v>17</v>
      </c>
      <c r="D105">
        <v>17</v>
      </c>
      <c r="E105">
        <v>0</v>
      </c>
      <c r="F105" s="3" t="str">
        <f t="shared" si="2"/>
        <v>56002:170</v>
      </c>
      <c r="G105" s="3">
        <v>204</v>
      </c>
      <c r="H105" s="4">
        <v>56002</v>
      </c>
      <c r="I105" s="4">
        <v>204</v>
      </c>
    </row>
    <row r="106" spans="1:9" ht="16.5" x14ac:dyDescent="0.3">
      <c r="A106" s="13"/>
      <c r="C106">
        <v>18</v>
      </c>
      <c r="D106">
        <v>18</v>
      </c>
      <c r="E106">
        <v>0</v>
      </c>
      <c r="F106" s="3" t="str">
        <f t="shared" si="2"/>
        <v>56002:180</v>
      </c>
      <c r="G106" s="3">
        <v>216</v>
      </c>
      <c r="H106" s="4">
        <v>56002</v>
      </c>
      <c r="I106" s="4">
        <v>216</v>
      </c>
    </row>
    <row r="107" spans="1:9" ht="16.5" x14ac:dyDescent="0.3">
      <c r="A107" s="13"/>
      <c r="C107">
        <v>19</v>
      </c>
      <c r="D107">
        <v>19</v>
      </c>
      <c r="E107">
        <v>0</v>
      </c>
      <c r="F107" s="3" t="str">
        <f t="shared" si="2"/>
        <v>56002:190</v>
      </c>
      <c r="G107" s="3">
        <v>228</v>
      </c>
      <c r="H107" s="4">
        <v>56002</v>
      </c>
      <c r="I107" s="4">
        <v>228</v>
      </c>
    </row>
    <row r="108" spans="1:9" ht="16.5" x14ac:dyDescent="0.3">
      <c r="A108" s="13"/>
      <c r="C108">
        <v>20</v>
      </c>
      <c r="D108">
        <v>20</v>
      </c>
      <c r="E108">
        <v>0</v>
      </c>
      <c r="F108" s="3" t="str">
        <f t="shared" si="2"/>
        <v>56002:200</v>
      </c>
      <c r="G108" s="3">
        <v>240</v>
      </c>
      <c r="H108" s="4">
        <v>56002</v>
      </c>
      <c r="I108" s="4">
        <v>240</v>
      </c>
    </row>
    <row r="109" spans="1:9" ht="16.5" x14ac:dyDescent="0.3">
      <c r="A109" s="13"/>
      <c r="C109">
        <v>21</v>
      </c>
      <c r="D109">
        <v>21</v>
      </c>
      <c r="E109">
        <v>0</v>
      </c>
      <c r="F109" s="3" t="str">
        <f t="shared" si="2"/>
        <v>56002:210</v>
      </c>
      <c r="G109" s="3">
        <v>252</v>
      </c>
      <c r="H109" s="4">
        <v>56002</v>
      </c>
      <c r="I109" s="4">
        <v>252</v>
      </c>
    </row>
    <row r="110" spans="1:9" ht="16.5" x14ac:dyDescent="0.3">
      <c r="A110" s="13"/>
      <c r="C110">
        <v>22</v>
      </c>
      <c r="D110">
        <v>22</v>
      </c>
      <c r="E110">
        <v>0</v>
      </c>
      <c r="F110" s="3" t="str">
        <f t="shared" si="2"/>
        <v>56002:220</v>
      </c>
      <c r="G110" s="3">
        <v>264</v>
      </c>
      <c r="H110" s="4">
        <v>56002</v>
      </c>
      <c r="I110" s="4">
        <v>264</v>
      </c>
    </row>
    <row r="111" spans="1:9" ht="16.5" x14ac:dyDescent="0.3">
      <c r="A111" s="13"/>
      <c r="C111">
        <v>23</v>
      </c>
      <c r="D111">
        <v>23</v>
      </c>
      <c r="E111">
        <v>0</v>
      </c>
      <c r="F111" s="3" t="str">
        <f t="shared" si="2"/>
        <v>56002:230</v>
      </c>
      <c r="G111" s="3">
        <v>276</v>
      </c>
      <c r="H111" s="4">
        <v>56002</v>
      </c>
      <c r="I111" s="4">
        <v>276</v>
      </c>
    </row>
    <row r="112" spans="1:9" ht="16.5" x14ac:dyDescent="0.3">
      <c r="A112" s="13"/>
      <c r="C112">
        <v>24</v>
      </c>
      <c r="D112">
        <v>24</v>
      </c>
      <c r="E112">
        <v>0</v>
      </c>
      <c r="F112" s="3" t="str">
        <f t="shared" si="2"/>
        <v>56002:240</v>
      </c>
      <c r="G112" s="3">
        <v>288</v>
      </c>
      <c r="H112" s="4">
        <v>56002</v>
      </c>
      <c r="I112" s="4">
        <v>288</v>
      </c>
    </row>
    <row r="113" spans="1:9" ht="16.5" x14ac:dyDescent="0.3">
      <c r="A113" s="13"/>
      <c r="C113">
        <v>25</v>
      </c>
      <c r="D113">
        <v>25</v>
      </c>
      <c r="E113">
        <v>0</v>
      </c>
      <c r="F113" s="3" t="str">
        <f t="shared" si="2"/>
        <v>56002:250</v>
      </c>
      <c r="G113" s="3">
        <v>300</v>
      </c>
      <c r="H113" s="4">
        <v>56002</v>
      </c>
      <c r="I113" s="4">
        <v>300</v>
      </c>
    </row>
    <row r="114" spans="1:9" ht="16.5" x14ac:dyDescent="0.3">
      <c r="A114" s="13"/>
      <c r="C114">
        <v>26</v>
      </c>
      <c r="D114">
        <v>26</v>
      </c>
      <c r="E114">
        <v>0</v>
      </c>
      <c r="F114" s="3" t="str">
        <f t="shared" si="2"/>
        <v>56002:260</v>
      </c>
      <c r="G114" s="3">
        <v>312</v>
      </c>
      <c r="H114" s="4">
        <v>56002</v>
      </c>
      <c r="I114" s="4">
        <v>312</v>
      </c>
    </row>
    <row r="115" spans="1:9" ht="16.5" x14ac:dyDescent="0.3">
      <c r="A115" s="13"/>
      <c r="C115">
        <v>27</v>
      </c>
      <c r="D115">
        <v>27</v>
      </c>
      <c r="E115">
        <v>0</v>
      </c>
      <c r="F115" s="3" t="str">
        <f t="shared" si="2"/>
        <v>56002:270</v>
      </c>
      <c r="G115" s="3">
        <v>324</v>
      </c>
      <c r="H115" s="4">
        <v>56002</v>
      </c>
      <c r="I115" s="4">
        <v>324</v>
      </c>
    </row>
    <row r="116" spans="1:9" ht="16.5" x14ac:dyDescent="0.3">
      <c r="A116" s="13"/>
      <c r="C116">
        <v>28</v>
      </c>
      <c r="D116">
        <v>28</v>
      </c>
      <c r="E116">
        <v>0</v>
      </c>
      <c r="F116" s="3" t="str">
        <f t="shared" si="2"/>
        <v>56002:280</v>
      </c>
      <c r="G116" s="3">
        <v>336</v>
      </c>
      <c r="H116" s="4">
        <v>56002</v>
      </c>
      <c r="I116" s="4">
        <v>336</v>
      </c>
    </row>
    <row r="117" spans="1:9" ht="16.5" x14ac:dyDescent="0.3">
      <c r="A117" s="13"/>
      <c r="C117">
        <v>29</v>
      </c>
      <c r="D117">
        <v>29</v>
      </c>
      <c r="E117">
        <v>0</v>
      </c>
      <c r="F117" s="3" t="str">
        <f t="shared" si="2"/>
        <v>56002:290</v>
      </c>
      <c r="G117" s="3">
        <v>348</v>
      </c>
      <c r="H117" s="4">
        <v>56002</v>
      </c>
      <c r="I117" s="4">
        <v>348</v>
      </c>
    </row>
    <row r="118" spans="1:9" ht="16.5" x14ac:dyDescent="0.3">
      <c r="A118" s="13"/>
      <c r="C118">
        <v>30</v>
      </c>
      <c r="D118">
        <v>30</v>
      </c>
      <c r="E118">
        <v>0</v>
      </c>
      <c r="F118" s="3" t="str">
        <f t="shared" si="2"/>
        <v>56002:300</v>
      </c>
      <c r="G118" s="3">
        <v>360</v>
      </c>
      <c r="H118" s="4">
        <v>56002</v>
      </c>
      <c r="I118" s="4">
        <v>360</v>
      </c>
    </row>
    <row r="119" spans="1:9" ht="16.5" x14ac:dyDescent="0.3">
      <c r="A119" s="13"/>
      <c r="C119">
        <v>31</v>
      </c>
      <c r="D119">
        <v>31</v>
      </c>
      <c r="E119">
        <v>0</v>
      </c>
      <c r="F119" s="3" t="str">
        <f t="shared" si="2"/>
        <v>56002:310</v>
      </c>
      <c r="G119" s="3">
        <v>372</v>
      </c>
      <c r="H119" s="4">
        <v>56002</v>
      </c>
      <c r="I119" s="4">
        <v>372</v>
      </c>
    </row>
    <row r="120" spans="1:9" ht="16.5" x14ac:dyDescent="0.3">
      <c r="A120" s="13"/>
      <c r="C120">
        <v>32</v>
      </c>
      <c r="D120">
        <v>32</v>
      </c>
      <c r="E120">
        <v>0</v>
      </c>
      <c r="F120" s="3" t="str">
        <f t="shared" si="2"/>
        <v>56002:320</v>
      </c>
      <c r="G120" s="3">
        <v>384</v>
      </c>
      <c r="H120" s="4">
        <v>56002</v>
      </c>
      <c r="I120" s="4">
        <v>384</v>
      </c>
    </row>
    <row r="121" spans="1:9" ht="16.5" x14ac:dyDescent="0.3">
      <c r="A121" s="13"/>
      <c r="C121">
        <v>33</v>
      </c>
      <c r="D121">
        <v>33</v>
      </c>
      <c r="E121">
        <v>0</v>
      </c>
      <c r="F121" s="3" t="str">
        <f t="shared" si="2"/>
        <v>56002:330</v>
      </c>
      <c r="G121" s="3">
        <v>396</v>
      </c>
      <c r="H121" s="4">
        <v>56002</v>
      </c>
      <c r="I121" s="4">
        <v>396</v>
      </c>
    </row>
    <row r="122" spans="1:9" ht="16.5" x14ac:dyDescent="0.3">
      <c r="A122" s="13"/>
      <c r="C122">
        <v>34</v>
      </c>
      <c r="D122">
        <v>34</v>
      </c>
      <c r="E122">
        <v>0</v>
      </c>
      <c r="F122" s="3" t="str">
        <f t="shared" si="2"/>
        <v>56002:340</v>
      </c>
      <c r="G122" s="3">
        <v>408</v>
      </c>
      <c r="H122" s="4">
        <v>56002</v>
      </c>
      <c r="I122" s="4">
        <v>408</v>
      </c>
    </row>
    <row r="123" spans="1:9" ht="16.5" x14ac:dyDescent="0.3">
      <c r="A123" s="13"/>
      <c r="C123">
        <v>35</v>
      </c>
      <c r="D123">
        <v>35</v>
      </c>
      <c r="E123">
        <v>0</v>
      </c>
      <c r="F123" s="3" t="str">
        <f t="shared" si="2"/>
        <v>56002:350</v>
      </c>
      <c r="G123" s="3">
        <v>420</v>
      </c>
      <c r="H123" s="4">
        <v>56002</v>
      </c>
      <c r="I123" s="4">
        <v>420</v>
      </c>
    </row>
    <row r="124" spans="1:9" ht="16.5" x14ac:dyDescent="0.3">
      <c r="A124" s="13"/>
      <c r="C124">
        <v>36</v>
      </c>
      <c r="D124">
        <v>36</v>
      </c>
      <c r="E124">
        <v>0</v>
      </c>
      <c r="F124" s="3" t="str">
        <f t="shared" si="2"/>
        <v>56002:360</v>
      </c>
      <c r="G124" s="3">
        <v>432</v>
      </c>
      <c r="H124" s="4">
        <v>56002</v>
      </c>
      <c r="I124" s="4">
        <v>432</v>
      </c>
    </row>
    <row r="125" spans="1:9" ht="16.5" x14ac:dyDescent="0.3">
      <c r="A125" s="13"/>
      <c r="C125">
        <v>37</v>
      </c>
      <c r="D125">
        <v>37</v>
      </c>
      <c r="E125">
        <v>0</v>
      </c>
      <c r="F125" s="3" t="str">
        <f t="shared" si="2"/>
        <v>56002:370</v>
      </c>
      <c r="G125" s="3">
        <v>444</v>
      </c>
      <c r="H125" s="4">
        <v>56002</v>
      </c>
      <c r="I125" s="4">
        <v>444</v>
      </c>
    </row>
    <row r="126" spans="1:9" x14ac:dyDescent="0.3">
      <c r="C126">
        <v>38</v>
      </c>
      <c r="D126">
        <v>38</v>
      </c>
      <c r="E126">
        <v>0</v>
      </c>
      <c r="F126" s="3" t="str">
        <f t="shared" si="2"/>
        <v>56002:380</v>
      </c>
      <c r="G126" s="3">
        <v>456</v>
      </c>
      <c r="H126" s="4">
        <v>56002</v>
      </c>
      <c r="I126" s="4">
        <v>456</v>
      </c>
    </row>
    <row r="127" spans="1:9" x14ac:dyDescent="0.3">
      <c r="C127">
        <v>39</v>
      </c>
      <c r="D127">
        <v>39</v>
      </c>
      <c r="E127">
        <v>0</v>
      </c>
      <c r="F127" s="3" t="str">
        <f t="shared" si="2"/>
        <v>56002:390</v>
      </c>
      <c r="G127" s="3">
        <v>468</v>
      </c>
      <c r="H127" s="4">
        <v>56002</v>
      </c>
      <c r="I127" s="4">
        <v>468</v>
      </c>
    </row>
    <row r="128" spans="1:9" x14ac:dyDescent="0.3">
      <c r="C128">
        <v>40</v>
      </c>
      <c r="D128">
        <v>40</v>
      </c>
      <c r="E128">
        <v>0</v>
      </c>
      <c r="F128" s="3" t="str">
        <f t="shared" si="2"/>
        <v>56002:400</v>
      </c>
      <c r="G128" s="3">
        <v>480</v>
      </c>
      <c r="H128" s="4">
        <v>56002</v>
      </c>
      <c r="I128" s="4">
        <v>480</v>
      </c>
    </row>
    <row r="129" spans="3:9" x14ac:dyDescent="0.3">
      <c r="C129">
        <v>41</v>
      </c>
      <c r="D129">
        <v>41</v>
      </c>
      <c r="E129">
        <v>0</v>
      </c>
      <c r="F129" s="3" t="str">
        <f t="shared" si="2"/>
        <v>56002:410</v>
      </c>
      <c r="G129" s="3">
        <v>492</v>
      </c>
      <c r="H129" s="4">
        <v>56002</v>
      </c>
      <c r="I129" s="4">
        <v>492</v>
      </c>
    </row>
    <row r="130" spans="3:9" x14ac:dyDescent="0.3">
      <c r="C130">
        <v>42</v>
      </c>
      <c r="D130">
        <v>42</v>
      </c>
      <c r="E130">
        <v>0</v>
      </c>
      <c r="F130" s="3" t="str">
        <f t="shared" si="2"/>
        <v>56002:420</v>
      </c>
      <c r="G130" s="3">
        <v>504</v>
      </c>
      <c r="H130" s="4">
        <v>56002</v>
      </c>
      <c r="I130" s="4">
        <v>504</v>
      </c>
    </row>
    <row r="131" spans="3:9" x14ac:dyDescent="0.3">
      <c r="C131">
        <v>43</v>
      </c>
      <c r="D131">
        <v>43</v>
      </c>
      <c r="E131">
        <v>0</v>
      </c>
      <c r="F131" s="3" t="str">
        <f t="shared" si="2"/>
        <v>56002:430</v>
      </c>
      <c r="G131" s="3">
        <v>516</v>
      </c>
      <c r="H131" s="4">
        <v>56002</v>
      </c>
      <c r="I131" s="4">
        <v>516</v>
      </c>
    </row>
    <row r="132" spans="3:9" x14ac:dyDescent="0.3">
      <c r="C132">
        <v>44</v>
      </c>
      <c r="D132">
        <v>44</v>
      </c>
      <c r="E132">
        <v>0</v>
      </c>
      <c r="F132" s="3" t="str">
        <f t="shared" si="2"/>
        <v>56002:440</v>
      </c>
      <c r="G132" s="3">
        <v>528</v>
      </c>
      <c r="H132" s="4">
        <v>56002</v>
      </c>
      <c r="I132" s="4">
        <v>528</v>
      </c>
    </row>
    <row r="133" spans="3:9" x14ac:dyDescent="0.3">
      <c r="C133">
        <v>45</v>
      </c>
      <c r="D133">
        <v>45</v>
      </c>
      <c r="E133">
        <v>0</v>
      </c>
      <c r="F133" s="3" t="str">
        <f t="shared" si="2"/>
        <v>56002:450</v>
      </c>
      <c r="G133" s="3">
        <v>540</v>
      </c>
      <c r="H133" s="4">
        <v>56002</v>
      </c>
      <c r="I133" s="4">
        <v>540</v>
      </c>
    </row>
    <row r="134" spans="3:9" x14ac:dyDescent="0.3">
      <c r="C134">
        <v>46</v>
      </c>
      <c r="D134">
        <v>46</v>
      </c>
      <c r="E134">
        <v>0</v>
      </c>
      <c r="F134" s="3" t="str">
        <f t="shared" si="2"/>
        <v>56002:460</v>
      </c>
      <c r="G134" s="3">
        <v>552</v>
      </c>
      <c r="H134" s="4">
        <v>56002</v>
      </c>
      <c r="I134" s="4">
        <v>552</v>
      </c>
    </row>
    <row r="135" spans="3:9" x14ac:dyDescent="0.3">
      <c r="C135">
        <v>47</v>
      </c>
      <c r="D135">
        <v>47</v>
      </c>
      <c r="E135">
        <v>0</v>
      </c>
      <c r="F135" s="3" t="str">
        <f t="shared" si="2"/>
        <v>56002:470</v>
      </c>
      <c r="G135" s="3">
        <v>564</v>
      </c>
      <c r="H135" s="4">
        <v>56002</v>
      </c>
      <c r="I135" s="4">
        <v>564</v>
      </c>
    </row>
    <row r="136" spans="3:9" x14ac:dyDescent="0.3">
      <c r="C136">
        <v>48</v>
      </c>
      <c r="D136">
        <v>48</v>
      </c>
      <c r="E136">
        <v>0</v>
      </c>
      <c r="F136" s="3" t="str">
        <f t="shared" si="2"/>
        <v>56002:480</v>
      </c>
      <c r="G136" s="3">
        <v>576</v>
      </c>
      <c r="H136" s="4">
        <v>56002</v>
      </c>
      <c r="I136" s="4">
        <v>576</v>
      </c>
    </row>
    <row r="137" spans="3:9" x14ac:dyDescent="0.3">
      <c r="C137">
        <v>49</v>
      </c>
      <c r="D137">
        <v>49</v>
      </c>
      <c r="E137">
        <v>0</v>
      </c>
      <c r="F137" s="3" t="str">
        <f t="shared" si="2"/>
        <v>56002:490</v>
      </c>
      <c r="G137" s="3">
        <v>588</v>
      </c>
      <c r="H137" s="4">
        <v>56002</v>
      </c>
      <c r="I137" s="4">
        <v>588</v>
      </c>
    </row>
    <row r="138" spans="3:9" x14ac:dyDescent="0.3">
      <c r="C138">
        <v>50</v>
      </c>
      <c r="D138">
        <v>50</v>
      </c>
      <c r="E138">
        <v>0</v>
      </c>
      <c r="F138" s="3" t="str">
        <f t="shared" si="2"/>
        <v>56002:500</v>
      </c>
      <c r="G138" s="3">
        <v>600</v>
      </c>
      <c r="H138" s="4">
        <v>56002</v>
      </c>
      <c r="I138" s="4">
        <v>600</v>
      </c>
    </row>
    <row r="139" spans="3:9" x14ac:dyDescent="0.3">
      <c r="C139">
        <v>51</v>
      </c>
      <c r="D139">
        <v>51</v>
      </c>
      <c r="E139">
        <v>0</v>
      </c>
      <c r="F139" s="3" t="str">
        <f t="shared" si="2"/>
        <v>56002:510</v>
      </c>
      <c r="G139" s="3">
        <v>612</v>
      </c>
      <c r="H139" s="4">
        <v>56002</v>
      </c>
      <c r="I139" s="4">
        <v>612</v>
      </c>
    </row>
    <row r="140" spans="3:9" x14ac:dyDescent="0.3">
      <c r="C140">
        <v>52</v>
      </c>
      <c r="D140">
        <v>52</v>
      </c>
      <c r="E140">
        <v>0</v>
      </c>
      <c r="F140" s="3" t="str">
        <f t="shared" si="2"/>
        <v>56002:520</v>
      </c>
      <c r="G140" s="3">
        <v>624</v>
      </c>
      <c r="H140" s="4">
        <v>56002</v>
      </c>
      <c r="I140" s="4">
        <v>624</v>
      </c>
    </row>
    <row r="141" spans="3:9" x14ac:dyDescent="0.3">
      <c r="C141">
        <v>53</v>
      </c>
      <c r="D141">
        <v>53</v>
      </c>
      <c r="E141">
        <v>0</v>
      </c>
      <c r="F141" s="3" t="str">
        <f t="shared" si="2"/>
        <v>56002:530</v>
      </c>
      <c r="G141" s="3">
        <v>636</v>
      </c>
      <c r="H141" s="4">
        <v>56002</v>
      </c>
      <c r="I141" s="4">
        <v>636</v>
      </c>
    </row>
    <row r="142" spans="3:9" x14ac:dyDescent="0.3">
      <c r="C142">
        <v>54</v>
      </c>
      <c r="D142">
        <v>54</v>
      </c>
      <c r="E142">
        <v>0</v>
      </c>
      <c r="F142" s="3" t="str">
        <f t="shared" si="2"/>
        <v>56002:540</v>
      </c>
      <c r="G142" s="3">
        <v>648</v>
      </c>
      <c r="H142" s="4">
        <v>56002</v>
      </c>
      <c r="I142" s="4">
        <v>648</v>
      </c>
    </row>
    <row r="143" spans="3:9" x14ac:dyDescent="0.3">
      <c r="C143">
        <v>55</v>
      </c>
      <c r="D143">
        <v>55</v>
      </c>
      <c r="E143">
        <v>0</v>
      </c>
      <c r="F143" s="3" t="str">
        <f t="shared" si="2"/>
        <v>56002:550</v>
      </c>
      <c r="G143" s="3">
        <v>660</v>
      </c>
      <c r="H143" s="4">
        <v>56002</v>
      </c>
      <c r="I143" s="4">
        <v>660</v>
      </c>
    </row>
    <row r="144" spans="3:9" x14ac:dyDescent="0.3">
      <c r="C144">
        <v>56</v>
      </c>
      <c r="D144">
        <v>56</v>
      </c>
      <c r="E144">
        <v>0</v>
      </c>
      <c r="F144" s="3" t="str">
        <f t="shared" si="2"/>
        <v>56002:560</v>
      </c>
      <c r="G144" s="3">
        <v>672</v>
      </c>
      <c r="H144" s="4">
        <v>56002</v>
      </c>
      <c r="I144" s="4">
        <v>672</v>
      </c>
    </row>
    <row r="145" spans="1:9" x14ac:dyDescent="0.3">
      <c r="C145">
        <v>57</v>
      </c>
      <c r="D145">
        <v>57</v>
      </c>
      <c r="E145">
        <v>0</v>
      </c>
      <c r="F145" s="3" t="str">
        <f t="shared" si="2"/>
        <v>56002:570</v>
      </c>
      <c r="G145" s="3">
        <v>684</v>
      </c>
      <c r="H145" s="4">
        <v>56002</v>
      </c>
      <c r="I145" s="4">
        <v>684</v>
      </c>
    </row>
    <row r="146" spans="1:9" x14ac:dyDescent="0.3">
      <c r="C146">
        <v>58</v>
      </c>
      <c r="D146">
        <v>58</v>
      </c>
      <c r="E146">
        <v>0</v>
      </c>
      <c r="F146" s="3" t="str">
        <f t="shared" si="2"/>
        <v>56002:580</v>
      </c>
      <c r="G146" s="3">
        <v>696</v>
      </c>
      <c r="H146" s="4">
        <v>56002</v>
      </c>
      <c r="I146" s="4">
        <v>696</v>
      </c>
    </row>
    <row r="147" spans="1:9" x14ac:dyDescent="0.3">
      <c r="C147">
        <v>59</v>
      </c>
      <c r="D147">
        <v>59</v>
      </c>
      <c r="E147">
        <v>0</v>
      </c>
      <c r="F147" s="3" t="str">
        <f t="shared" si="2"/>
        <v>56002:590</v>
      </c>
      <c r="G147" s="3">
        <v>708</v>
      </c>
      <c r="H147" s="4">
        <v>56002</v>
      </c>
      <c r="I147" s="4">
        <v>708</v>
      </c>
    </row>
    <row r="148" spans="1:9" x14ac:dyDescent="0.3">
      <c r="C148">
        <v>60</v>
      </c>
      <c r="D148">
        <v>60</v>
      </c>
      <c r="E148">
        <v>0</v>
      </c>
      <c r="F148" s="3" t="str">
        <f t="shared" si="2"/>
        <v>56002:600</v>
      </c>
      <c r="G148" s="3">
        <v>720</v>
      </c>
      <c r="H148" s="4">
        <v>56002</v>
      </c>
      <c r="I148" s="4">
        <v>720</v>
      </c>
    </row>
    <row r="153" spans="1:9" ht="16.5" x14ac:dyDescent="0.3">
      <c r="A153" s="12">
        <v>1</v>
      </c>
      <c r="C153">
        <v>1</v>
      </c>
      <c r="D153">
        <v>1</v>
      </c>
      <c r="E153">
        <v>0</v>
      </c>
      <c r="F153" s="3">
        <v>0</v>
      </c>
      <c r="G153" s="4">
        <v>0</v>
      </c>
    </row>
    <row r="154" spans="1:9" ht="16.5" x14ac:dyDescent="0.3">
      <c r="A154" s="13"/>
      <c r="C154">
        <v>2</v>
      </c>
      <c r="D154">
        <v>2</v>
      </c>
      <c r="E154">
        <v>0</v>
      </c>
      <c r="F154" s="3" t="str">
        <f>H154&amp;":"&amp;K5</f>
        <v>56002:20</v>
      </c>
      <c r="G154" s="3">
        <v>12</v>
      </c>
      <c r="H154" s="4">
        <v>56002</v>
      </c>
      <c r="I154" s="4">
        <v>12</v>
      </c>
    </row>
    <row r="155" spans="1:9" ht="16.5" x14ac:dyDescent="0.3">
      <c r="A155" s="13"/>
      <c r="C155">
        <v>3</v>
      </c>
      <c r="D155">
        <v>3</v>
      </c>
      <c r="E155">
        <v>0</v>
      </c>
      <c r="F155" s="3" t="str">
        <f t="shared" ref="F155:F192" si="3">H155&amp;":"&amp;K6</f>
        <v>56002:30</v>
      </c>
      <c r="G155" s="3">
        <v>18</v>
      </c>
      <c r="H155" s="4">
        <v>56002</v>
      </c>
      <c r="I155" s="4">
        <v>18</v>
      </c>
    </row>
    <row r="156" spans="1:9" ht="16.5" x14ac:dyDescent="0.3">
      <c r="A156" s="13"/>
      <c r="C156">
        <v>4</v>
      </c>
      <c r="D156">
        <v>4</v>
      </c>
      <c r="E156">
        <v>0</v>
      </c>
      <c r="F156" s="3" t="str">
        <f t="shared" si="3"/>
        <v>56002:40</v>
      </c>
      <c r="G156" s="3">
        <v>24</v>
      </c>
      <c r="H156" s="4">
        <v>56002</v>
      </c>
      <c r="I156" s="4">
        <v>24</v>
      </c>
    </row>
    <row r="157" spans="1:9" ht="16.5" x14ac:dyDescent="0.3">
      <c r="A157" s="13"/>
      <c r="C157">
        <v>5</v>
      </c>
      <c r="D157">
        <v>5</v>
      </c>
      <c r="E157">
        <v>0</v>
      </c>
      <c r="F157" s="3" t="str">
        <f t="shared" si="3"/>
        <v>56002:50</v>
      </c>
      <c r="G157" s="3">
        <v>30</v>
      </c>
      <c r="H157" s="4">
        <v>56002</v>
      </c>
      <c r="I157" s="4">
        <v>30</v>
      </c>
    </row>
    <row r="158" spans="1:9" ht="16.5" x14ac:dyDescent="0.3">
      <c r="A158" s="13"/>
      <c r="C158">
        <v>6</v>
      </c>
      <c r="D158">
        <v>6</v>
      </c>
      <c r="E158">
        <v>0</v>
      </c>
      <c r="F158" s="3" t="str">
        <f t="shared" si="3"/>
        <v>56002:60</v>
      </c>
      <c r="G158" s="3">
        <v>36</v>
      </c>
      <c r="H158" s="4">
        <v>56002</v>
      </c>
      <c r="I158" s="4">
        <v>36</v>
      </c>
    </row>
    <row r="159" spans="1:9" ht="16.5" x14ac:dyDescent="0.3">
      <c r="A159" s="13"/>
      <c r="C159">
        <v>7</v>
      </c>
      <c r="D159">
        <v>7</v>
      </c>
      <c r="E159">
        <v>0</v>
      </c>
      <c r="F159" s="3" t="str">
        <f t="shared" si="3"/>
        <v>56002:70</v>
      </c>
      <c r="G159" s="3">
        <v>42</v>
      </c>
      <c r="H159" s="4">
        <v>56002</v>
      </c>
      <c r="I159" s="4">
        <v>42</v>
      </c>
    </row>
    <row r="160" spans="1:9" ht="16.5" x14ac:dyDescent="0.3">
      <c r="A160" s="13"/>
      <c r="C160">
        <v>8</v>
      </c>
      <c r="D160">
        <v>8</v>
      </c>
      <c r="E160">
        <v>0</v>
      </c>
      <c r="F160" s="3" t="str">
        <f t="shared" si="3"/>
        <v>56002:80</v>
      </c>
      <c r="G160" s="3">
        <v>48</v>
      </c>
      <c r="H160" s="4">
        <v>56002</v>
      </c>
      <c r="I160" s="4">
        <v>48</v>
      </c>
    </row>
    <row r="161" spans="1:9" ht="16.5" x14ac:dyDescent="0.3">
      <c r="A161" s="13"/>
      <c r="C161">
        <v>9</v>
      </c>
      <c r="D161">
        <v>9</v>
      </c>
      <c r="E161">
        <v>0</v>
      </c>
      <c r="F161" s="3" t="str">
        <f t="shared" si="3"/>
        <v>56002:90</v>
      </c>
      <c r="G161" s="3">
        <v>54</v>
      </c>
      <c r="H161" s="4">
        <v>56002</v>
      </c>
      <c r="I161" s="4">
        <v>54</v>
      </c>
    </row>
    <row r="162" spans="1:9" ht="16.5" x14ac:dyDescent="0.3">
      <c r="A162" s="13"/>
      <c r="C162">
        <v>10</v>
      </c>
      <c r="D162">
        <v>10</v>
      </c>
      <c r="E162">
        <v>0</v>
      </c>
      <c r="F162" s="3" t="str">
        <f t="shared" si="3"/>
        <v>56002:100</v>
      </c>
      <c r="G162" s="3">
        <v>60</v>
      </c>
      <c r="H162" s="4">
        <v>56002</v>
      </c>
      <c r="I162" s="4">
        <v>60</v>
      </c>
    </row>
    <row r="163" spans="1:9" ht="16.5" x14ac:dyDescent="0.3">
      <c r="A163" s="13"/>
      <c r="C163">
        <v>11</v>
      </c>
      <c r="D163">
        <v>11</v>
      </c>
      <c r="E163">
        <v>0</v>
      </c>
      <c r="F163" s="3" t="str">
        <f t="shared" si="3"/>
        <v>56002:110</v>
      </c>
      <c r="G163" s="3">
        <v>66</v>
      </c>
      <c r="H163" s="4">
        <v>56002</v>
      </c>
      <c r="I163" s="4">
        <v>66</v>
      </c>
    </row>
    <row r="164" spans="1:9" ht="16.5" x14ac:dyDescent="0.3">
      <c r="A164" s="13"/>
      <c r="C164">
        <v>12</v>
      </c>
      <c r="D164">
        <v>12</v>
      </c>
      <c r="E164">
        <v>0</v>
      </c>
      <c r="F164" s="3" t="str">
        <f t="shared" si="3"/>
        <v>56002:120</v>
      </c>
      <c r="G164" s="3">
        <v>72</v>
      </c>
      <c r="H164" s="4">
        <v>56002</v>
      </c>
      <c r="I164" s="4">
        <v>72</v>
      </c>
    </row>
    <row r="165" spans="1:9" ht="16.5" x14ac:dyDescent="0.3">
      <c r="A165" s="13"/>
      <c r="C165">
        <v>13</v>
      </c>
      <c r="D165">
        <v>13</v>
      </c>
      <c r="E165">
        <v>0</v>
      </c>
      <c r="F165" s="3" t="str">
        <f t="shared" si="3"/>
        <v>56002:130</v>
      </c>
      <c r="G165" s="3">
        <v>78</v>
      </c>
      <c r="H165" s="4">
        <v>56002</v>
      </c>
      <c r="I165" s="4">
        <v>78</v>
      </c>
    </row>
    <row r="166" spans="1:9" ht="16.5" x14ac:dyDescent="0.3">
      <c r="A166" s="13"/>
      <c r="C166">
        <v>14</v>
      </c>
      <c r="D166">
        <v>14</v>
      </c>
      <c r="E166">
        <v>0</v>
      </c>
      <c r="F166" s="3" t="str">
        <f t="shared" si="3"/>
        <v>56002:140</v>
      </c>
      <c r="G166" s="3">
        <v>84</v>
      </c>
      <c r="H166" s="4">
        <v>56002</v>
      </c>
      <c r="I166" s="4">
        <v>84</v>
      </c>
    </row>
    <row r="167" spans="1:9" ht="16.5" x14ac:dyDescent="0.3">
      <c r="A167" s="13"/>
      <c r="C167">
        <v>15</v>
      </c>
      <c r="D167">
        <v>15</v>
      </c>
      <c r="E167">
        <v>0</v>
      </c>
      <c r="F167" s="3" t="str">
        <f t="shared" si="3"/>
        <v>56002:150</v>
      </c>
      <c r="G167" s="3">
        <v>90</v>
      </c>
      <c r="H167" s="4">
        <v>56002</v>
      </c>
      <c r="I167" s="4">
        <v>90</v>
      </c>
    </row>
    <row r="168" spans="1:9" ht="16.5" x14ac:dyDescent="0.3">
      <c r="A168" s="13"/>
      <c r="C168">
        <v>16</v>
      </c>
      <c r="D168">
        <v>16</v>
      </c>
      <c r="E168">
        <v>0</v>
      </c>
      <c r="F168" s="3" t="str">
        <f t="shared" si="3"/>
        <v>56002:160</v>
      </c>
      <c r="G168" s="3">
        <v>96</v>
      </c>
      <c r="H168" s="4">
        <v>56002</v>
      </c>
      <c r="I168" s="4">
        <v>96</v>
      </c>
    </row>
    <row r="169" spans="1:9" ht="16.5" x14ac:dyDescent="0.3">
      <c r="A169" s="13"/>
      <c r="C169">
        <v>17</v>
      </c>
      <c r="D169">
        <v>17</v>
      </c>
      <c r="E169">
        <v>0</v>
      </c>
      <c r="F169" s="3" t="str">
        <f t="shared" si="3"/>
        <v>56002:170</v>
      </c>
      <c r="G169" s="3">
        <v>102</v>
      </c>
      <c r="H169" s="4">
        <v>56002</v>
      </c>
      <c r="I169" s="4">
        <v>102</v>
      </c>
    </row>
    <row r="170" spans="1:9" ht="16.5" x14ac:dyDescent="0.3">
      <c r="A170" s="13"/>
      <c r="C170">
        <v>18</v>
      </c>
      <c r="D170">
        <v>18</v>
      </c>
      <c r="E170">
        <v>0</v>
      </c>
      <c r="F170" s="3" t="str">
        <f t="shared" si="3"/>
        <v>56002:180</v>
      </c>
      <c r="G170" s="3">
        <v>108</v>
      </c>
      <c r="H170" s="4">
        <v>56002</v>
      </c>
      <c r="I170" s="4">
        <v>108</v>
      </c>
    </row>
    <row r="171" spans="1:9" ht="16.5" x14ac:dyDescent="0.3">
      <c r="A171" s="13"/>
      <c r="C171">
        <v>19</v>
      </c>
      <c r="D171">
        <v>19</v>
      </c>
      <c r="E171">
        <v>0</v>
      </c>
      <c r="F171" s="3" t="str">
        <f t="shared" si="3"/>
        <v>56002:190</v>
      </c>
      <c r="G171" s="3">
        <v>114</v>
      </c>
      <c r="H171" s="4">
        <v>56002</v>
      </c>
      <c r="I171" s="4">
        <v>114</v>
      </c>
    </row>
    <row r="172" spans="1:9" ht="16.5" x14ac:dyDescent="0.3">
      <c r="A172" s="13"/>
      <c r="C172">
        <v>20</v>
      </c>
      <c r="D172">
        <v>20</v>
      </c>
      <c r="E172">
        <v>0</v>
      </c>
      <c r="F172" s="3" t="str">
        <f t="shared" si="3"/>
        <v>56002:200</v>
      </c>
      <c r="G172" s="3">
        <v>120</v>
      </c>
      <c r="H172" s="4">
        <v>56002</v>
      </c>
      <c r="I172" s="4">
        <v>120</v>
      </c>
    </row>
    <row r="173" spans="1:9" ht="16.5" x14ac:dyDescent="0.3">
      <c r="A173" s="13"/>
      <c r="C173">
        <v>21</v>
      </c>
      <c r="D173">
        <v>21</v>
      </c>
      <c r="E173">
        <v>0</v>
      </c>
      <c r="F173" s="3" t="str">
        <f t="shared" si="3"/>
        <v>56002:210</v>
      </c>
      <c r="G173" s="3">
        <v>126</v>
      </c>
      <c r="H173" s="4">
        <v>56002</v>
      </c>
      <c r="I173" s="4">
        <v>126</v>
      </c>
    </row>
    <row r="174" spans="1:9" ht="16.5" x14ac:dyDescent="0.3">
      <c r="A174" s="13"/>
      <c r="C174">
        <v>22</v>
      </c>
      <c r="D174">
        <v>22</v>
      </c>
      <c r="E174">
        <v>0</v>
      </c>
      <c r="F174" s="3" t="str">
        <f t="shared" si="3"/>
        <v>56002:220</v>
      </c>
      <c r="G174" s="3">
        <v>132</v>
      </c>
      <c r="H174" s="4">
        <v>56002</v>
      </c>
      <c r="I174" s="4">
        <v>132</v>
      </c>
    </row>
    <row r="175" spans="1:9" ht="16.5" x14ac:dyDescent="0.3">
      <c r="A175" s="13"/>
      <c r="C175">
        <v>23</v>
      </c>
      <c r="D175">
        <v>23</v>
      </c>
      <c r="E175">
        <v>0</v>
      </c>
      <c r="F175" s="3" t="str">
        <f t="shared" si="3"/>
        <v>56002:230</v>
      </c>
      <c r="G175" s="3">
        <v>138</v>
      </c>
      <c r="H175" s="4">
        <v>56002</v>
      </c>
      <c r="I175" s="4">
        <v>138</v>
      </c>
    </row>
    <row r="176" spans="1:9" ht="16.5" x14ac:dyDescent="0.3">
      <c r="A176" s="13"/>
      <c r="C176">
        <v>24</v>
      </c>
      <c r="D176">
        <v>24</v>
      </c>
      <c r="E176">
        <v>0</v>
      </c>
      <c r="F176" s="3" t="str">
        <f t="shared" si="3"/>
        <v>56002:240</v>
      </c>
      <c r="G176" s="3">
        <v>144</v>
      </c>
      <c r="H176" s="4">
        <v>56002</v>
      </c>
      <c r="I176" s="4">
        <v>144</v>
      </c>
    </row>
    <row r="177" spans="1:9" ht="16.5" x14ac:dyDescent="0.3">
      <c r="A177" s="13"/>
      <c r="C177">
        <v>25</v>
      </c>
      <c r="D177">
        <v>25</v>
      </c>
      <c r="E177">
        <v>0</v>
      </c>
      <c r="F177" s="3" t="str">
        <f t="shared" si="3"/>
        <v>56002:250</v>
      </c>
      <c r="G177" s="3">
        <v>150</v>
      </c>
      <c r="H177" s="4">
        <v>56002</v>
      </c>
      <c r="I177" s="4">
        <v>150</v>
      </c>
    </row>
    <row r="178" spans="1:9" ht="16.5" x14ac:dyDescent="0.3">
      <c r="A178" s="13"/>
      <c r="C178">
        <v>26</v>
      </c>
      <c r="D178">
        <v>26</v>
      </c>
      <c r="E178">
        <v>0</v>
      </c>
      <c r="F178" s="3" t="str">
        <f t="shared" si="3"/>
        <v>56002:260</v>
      </c>
      <c r="G178" s="3">
        <v>156</v>
      </c>
      <c r="H178" s="4">
        <v>56002</v>
      </c>
      <c r="I178" s="4">
        <v>156</v>
      </c>
    </row>
    <row r="179" spans="1:9" ht="16.5" x14ac:dyDescent="0.3">
      <c r="A179" s="13"/>
      <c r="C179">
        <v>27</v>
      </c>
      <c r="D179">
        <v>27</v>
      </c>
      <c r="E179">
        <v>0</v>
      </c>
      <c r="F179" s="3" t="str">
        <f t="shared" si="3"/>
        <v>56002:270</v>
      </c>
      <c r="G179" s="3">
        <v>162</v>
      </c>
      <c r="H179" s="4">
        <v>56002</v>
      </c>
      <c r="I179" s="4">
        <v>162</v>
      </c>
    </row>
    <row r="180" spans="1:9" ht="16.5" x14ac:dyDescent="0.3">
      <c r="A180" s="13"/>
      <c r="C180">
        <v>28</v>
      </c>
      <c r="D180">
        <v>28</v>
      </c>
      <c r="E180">
        <v>0</v>
      </c>
      <c r="F180" s="3" t="str">
        <f t="shared" si="3"/>
        <v>56002:280</v>
      </c>
      <c r="G180" s="3">
        <v>168</v>
      </c>
      <c r="H180" s="4">
        <v>56002</v>
      </c>
      <c r="I180" s="4">
        <v>168</v>
      </c>
    </row>
    <row r="181" spans="1:9" ht="16.5" x14ac:dyDescent="0.3">
      <c r="A181" s="13"/>
      <c r="C181">
        <v>29</v>
      </c>
      <c r="D181">
        <v>29</v>
      </c>
      <c r="E181">
        <v>0</v>
      </c>
      <c r="F181" s="3" t="str">
        <f t="shared" si="3"/>
        <v>56002:290</v>
      </c>
      <c r="G181" s="3">
        <v>174</v>
      </c>
      <c r="H181" s="4">
        <v>56002</v>
      </c>
      <c r="I181" s="4">
        <v>174</v>
      </c>
    </row>
    <row r="182" spans="1:9" ht="16.5" x14ac:dyDescent="0.3">
      <c r="A182" s="13"/>
      <c r="C182">
        <v>30</v>
      </c>
      <c r="D182">
        <v>30</v>
      </c>
      <c r="E182">
        <v>0</v>
      </c>
      <c r="F182" s="3" t="str">
        <f t="shared" si="3"/>
        <v>56002:300</v>
      </c>
      <c r="G182" s="3">
        <v>180</v>
      </c>
      <c r="H182" s="4">
        <v>56002</v>
      </c>
      <c r="I182" s="4">
        <v>180</v>
      </c>
    </row>
    <row r="183" spans="1:9" ht="16.5" x14ac:dyDescent="0.3">
      <c r="A183" s="13"/>
      <c r="C183">
        <v>31</v>
      </c>
      <c r="D183">
        <v>31</v>
      </c>
      <c r="E183">
        <v>0</v>
      </c>
      <c r="F183" s="3" t="str">
        <f t="shared" si="3"/>
        <v>56002:310</v>
      </c>
      <c r="G183" s="3">
        <v>186</v>
      </c>
      <c r="H183" s="4">
        <v>56002</v>
      </c>
      <c r="I183" s="4">
        <v>186</v>
      </c>
    </row>
    <row r="184" spans="1:9" ht="16.5" x14ac:dyDescent="0.3">
      <c r="A184" s="13"/>
      <c r="C184">
        <v>32</v>
      </c>
      <c r="D184">
        <v>32</v>
      </c>
      <c r="E184">
        <v>0</v>
      </c>
      <c r="F184" s="3" t="str">
        <f t="shared" si="3"/>
        <v>56002:320</v>
      </c>
      <c r="G184" s="3">
        <v>192</v>
      </c>
      <c r="H184" s="4">
        <v>56002</v>
      </c>
      <c r="I184" s="4">
        <v>192</v>
      </c>
    </row>
    <row r="185" spans="1:9" ht="16.5" x14ac:dyDescent="0.3">
      <c r="A185" s="13"/>
      <c r="C185">
        <v>33</v>
      </c>
      <c r="D185">
        <v>33</v>
      </c>
      <c r="E185">
        <v>0</v>
      </c>
      <c r="F185" s="3" t="str">
        <f t="shared" si="3"/>
        <v>56002:330</v>
      </c>
      <c r="G185" s="3">
        <v>198</v>
      </c>
      <c r="H185" s="4">
        <v>56002</v>
      </c>
      <c r="I185" s="4">
        <v>198</v>
      </c>
    </row>
    <row r="186" spans="1:9" ht="16.5" x14ac:dyDescent="0.3">
      <c r="A186" s="13"/>
      <c r="C186">
        <v>34</v>
      </c>
      <c r="D186">
        <v>34</v>
      </c>
      <c r="E186">
        <v>0</v>
      </c>
      <c r="F186" s="3" t="str">
        <f t="shared" si="3"/>
        <v>56002:340</v>
      </c>
      <c r="G186" s="3">
        <v>204</v>
      </c>
      <c r="H186" s="4">
        <v>56002</v>
      </c>
      <c r="I186" s="4">
        <v>204</v>
      </c>
    </row>
    <row r="187" spans="1:9" ht="16.5" x14ac:dyDescent="0.3">
      <c r="A187" s="13"/>
      <c r="C187">
        <v>35</v>
      </c>
      <c r="D187">
        <v>35</v>
      </c>
      <c r="E187">
        <v>0</v>
      </c>
      <c r="F187" s="3" t="str">
        <f t="shared" si="3"/>
        <v>56002:350</v>
      </c>
      <c r="G187" s="3">
        <v>210</v>
      </c>
      <c r="H187" s="4">
        <v>56002</v>
      </c>
      <c r="I187" s="4">
        <v>210</v>
      </c>
    </row>
    <row r="188" spans="1:9" ht="16.5" x14ac:dyDescent="0.3">
      <c r="A188" s="13"/>
      <c r="C188">
        <v>36</v>
      </c>
      <c r="D188">
        <v>36</v>
      </c>
      <c r="E188">
        <v>0</v>
      </c>
      <c r="F188" s="3" t="str">
        <f t="shared" si="3"/>
        <v>56002:360</v>
      </c>
      <c r="G188" s="3">
        <v>216</v>
      </c>
      <c r="H188" s="4">
        <v>56002</v>
      </c>
      <c r="I188" s="4">
        <v>216</v>
      </c>
    </row>
    <row r="189" spans="1:9" ht="16.5" x14ac:dyDescent="0.3">
      <c r="A189" s="13"/>
      <c r="C189">
        <v>37</v>
      </c>
      <c r="D189">
        <v>37</v>
      </c>
      <c r="E189">
        <v>0</v>
      </c>
      <c r="F189" s="3" t="str">
        <f t="shared" si="3"/>
        <v>56002:370</v>
      </c>
      <c r="G189" s="3">
        <v>222</v>
      </c>
      <c r="H189" s="4">
        <v>56002</v>
      </c>
      <c r="I189" s="4">
        <v>222</v>
      </c>
    </row>
    <row r="190" spans="1:9" x14ac:dyDescent="0.3">
      <c r="C190">
        <v>38</v>
      </c>
      <c r="D190">
        <v>38</v>
      </c>
      <c r="E190">
        <v>0</v>
      </c>
      <c r="F190" s="3" t="str">
        <f t="shared" si="3"/>
        <v>56002:380</v>
      </c>
      <c r="G190" s="3">
        <v>228</v>
      </c>
      <c r="H190" s="4">
        <v>56002</v>
      </c>
      <c r="I190" s="4">
        <v>228</v>
      </c>
    </row>
    <row r="191" spans="1:9" x14ac:dyDescent="0.3">
      <c r="C191">
        <v>39</v>
      </c>
      <c r="D191">
        <v>39</v>
      </c>
      <c r="E191">
        <v>0</v>
      </c>
      <c r="F191" s="3" t="str">
        <f t="shared" si="3"/>
        <v>56002:390</v>
      </c>
      <c r="G191" s="3">
        <v>234</v>
      </c>
      <c r="H191" s="4">
        <v>56002</v>
      </c>
      <c r="I191" s="4">
        <v>234</v>
      </c>
    </row>
    <row r="192" spans="1:9" x14ac:dyDescent="0.3">
      <c r="C192">
        <v>40</v>
      </c>
      <c r="D192">
        <v>40</v>
      </c>
      <c r="E192">
        <v>0</v>
      </c>
      <c r="F192" s="3" t="str">
        <f t="shared" si="3"/>
        <v>56002:400</v>
      </c>
      <c r="G192" s="3">
        <v>240</v>
      </c>
      <c r="H192" s="4">
        <v>56002</v>
      </c>
      <c r="I192" s="4">
        <v>240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/>
  </sheetViews>
  <sheetFormatPr defaultColWidth="9" defaultRowHeight="14" x14ac:dyDescent="0.3"/>
  <cols>
    <col min="3" max="3" width="18.83203125" customWidth="1"/>
    <col min="4" max="4" width="21.33203125" customWidth="1"/>
    <col min="5" max="5" width="26.83203125" customWidth="1"/>
    <col min="6" max="6" width="91.25" customWidth="1"/>
    <col min="7" max="7" width="39" customWidth="1"/>
    <col min="8" max="8" width="34.75" customWidth="1"/>
    <col min="9" max="9" width="25.08203125" customWidth="1"/>
  </cols>
  <sheetData>
    <row r="1" spans="1:9" x14ac:dyDescent="0.3">
      <c r="A1" s="1" t="s">
        <v>336</v>
      </c>
    </row>
    <row r="2" spans="1:9" x14ac:dyDescent="0.3">
      <c r="A2" t="s">
        <v>0</v>
      </c>
      <c r="B2" s="10" t="s">
        <v>170</v>
      </c>
      <c r="C2" s="3" t="s">
        <v>171</v>
      </c>
      <c r="D2" t="s">
        <v>172</v>
      </c>
      <c r="E2" s="3" t="s">
        <v>181</v>
      </c>
      <c r="F2" s="3" t="s">
        <v>182</v>
      </c>
      <c r="G2" t="s">
        <v>174</v>
      </c>
      <c r="H2" s="3" t="s">
        <v>183</v>
      </c>
      <c r="I2" s="3" t="s">
        <v>175</v>
      </c>
    </row>
    <row r="3" spans="1:9" x14ac:dyDescent="0.3">
      <c r="A3" t="s">
        <v>0</v>
      </c>
      <c r="B3" s="10"/>
      <c r="C3" t="s">
        <v>184</v>
      </c>
      <c r="D3" s="3" t="s">
        <v>185</v>
      </c>
      <c r="E3" s="3" t="s">
        <v>186</v>
      </c>
      <c r="F3" s="3" t="s">
        <v>187</v>
      </c>
      <c r="G3" t="s">
        <v>188</v>
      </c>
      <c r="H3" s="3" t="s">
        <v>189</v>
      </c>
      <c r="I3" s="3" t="s">
        <v>190</v>
      </c>
    </row>
    <row r="4" spans="1:9" x14ac:dyDescent="0.3">
      <c r="A4">
        <v>1</v>
      </c>
      <c r="B4" s="10"/>
      <c r="C4">
        <v>0</v>
      </c>
      <c r="D4" s="3">
        <v>1</v>
      </c>
      <c r="E4" s="3">
        <v>20</v>
      </c>
      <c r="F4" s="11" t="s">
        <v>191</v>
      </c>
      <c r="H4">
        <v>1</v>
      </c>
      <c r="I4">
        <v>2500</v>
      </c>
    </row>
    <row r="5" spans="1:9" ht="16.5" x14ac:dyDescent="0.3">
      <c r="A5" s="12"/>
      <c r="B5" s="10"/>
      <c r="C5">
        <v>2</v>
      </c>
      <c r="D5">
        <v>5</v>
      </c>
      <c r="E5">
        <v>0</v>
      </c>
      <c r="F5" s="11"/>
      <c r="G5" s="3" t="s">
        <v>192</v>
      </c>
      <c r="H5">
        <v>1</v>
      </c>
      <c r="I5">
        <v>1200</v>
      </c>
    </row>
    <row r="6" spans="1:9" x14ac:dyDescent="0.3">
      <c r="C6">
        <v>6</v>
      </c>
      <c r="D6">
        <v>6</v>
      </c>
      <c r="E6">
        <v>40</v>
      </c>
      <c r="F6" s="11" t="s">
        <v>193</v>
      </c>
      <c r="G6" s="3"/>
      <c r="H6">
        <v>1</v>
      </c>
      <c r="I6">
        <v>7500</v>
      </c>
    </row>
    <row r="7" spans="1:9" x14ac:dyDescent="0.3">
      <c r="C7">
        <v>7</v>
      </c>
      <c r="D7">
        <v>10</v>
      </c>
      <c r="E7">
        <v>0</v>
      </c>
      <c r="F7" s="11"/>
      <c r="G7" s="3" t="s">
        <v>194</v>
      </c>
      <c r="H7">
        <v>1</v>
      </c>
      <c r="I7">
        <v>3600</v>
      </c>
    </row>
    <row r="8" spans="1:9" x14ac:dyDescent="0.3">
      <c r="C8">
        <v>11</v>
      </c>
      <c r="D8">
        <v>11</v>
      </c>
      <c r="E8">
        <v>60</v>
      </c>
      <c r="F8" s="11" t="s">
        <v>195</v>
      </c>
      <c r="G8" s="3"/>
      <c r="H8">
        <v>1</v>
      </c>
      <c r="I8">
        <v>15000</v>
      </c>
    </row>
    <row r="9" spans="1:9" x14ac:dyDescent="0.3">
      <c r="C9">
        <v>12</v>
      </c>
      <c r="D9">
        <v>12</v>
      </c>
      <c r="E9">
        <v>0</v>
      </c>
      <c r="F9" s="11"/>
      <c r="G9" s="3" t="s">
        <v>196</v>
      </c>
      <c r="H9">
        <v>1</v>
      </c>
      <c r="I9">
        <v>7200</v>
      </c>
    </row>
    <row r="10" spans="1:9" x14ac:dyDescent="0.3">
      <c r="C10">
        <v>13</v>
      </c>
      <c r="D10">
        <v>13</v>
      </c>
      <c r="E10">
        <v>0</v>
      </c>
      <c r="F10" s="11"/>
      <c r="G10" s="3" t="s">
        <v>196</v>
      </c>
      <c r="H10">
        <v>1</v>
      </c>
      <c r="I10">
        <v>7200</v>
      </c>
    </row>
    <row r="11" spans="1:9" x14ac:dyDescent="0.3">
      <c r="C11">
        <v>14</v>
      </c>
      <c r="D11">
        <v>14</v>
      </c>
      <c r="E11">
        <v>0</v>
      </c>
      <c r="F11" s="11"/>
      <c r="G11" s="3" t="s">
        <v>196</v>
      </c>
      <c r="H11">
        <v>1</v>
      </c>
      <c r="I11">
        <v>7200</v>
      </c>
    </row>
    <row r="12" spans="1:9" x14ac:dyDescent="0.3">
      <c r="C12">
        <v>15</v>
      </c>
      <c r="D12">
        <v>15</v>
      </c>
      <c r="E12">
        <v>0</v>
      </c>
      <c r="F12" s="11"/>
      <c r="G12" s="3" t="s">
        <v>197</v>
      </c>
      <c r="H12">
        <v>1</v>
      </c>
      <c r="I12">
        <v>12000</v>
      </c>
    </row>
    <row r="13" spans="1:9" x14ac:dyDescent="0.3">
      <c r="C13">
        <v>16</v>
      </c>
      <c r="D13">
        <v>16</v>
      </c>
      <c r="E13">
        <v>80</v>
      </c>
      <c r="F13" s="11" t="s">
        <v>198</v>
      </c>
      <c r="G13" s="3"/>
      <c r="H13">
        <v>1</v>
      </c>
      <c r="I13">
        <v>25000</v>
      </c>
    </row>
    <row r="14" spans="1:9" x14ac:dyDescent="0.3">
      <c r="C14">
        <v>17</v>
      </c>
      <c r="D14">
        <v>20</v>
      </c>
      <c r="E14">
        <v>0</v>
      </c>
      <c r="G14" s="3" t="s">
        <v>199</v>
      </c>
      <c r="H14">
        <v>1</v>
      </c>
      <c r="I14">
        <v>20000</v>
      </c>
    </row>
    <row r="18" spans="1:9" x14ac:dyDescent="0.3">
      <c r="A18">
        <v>2</v>
      </c>
      <c r="C18">
        <v>0</v>
      </c>
      <c r="D18" s="3">
        <v>1</v>
      </c>
      <c r="E18" s="3">
        <v>20</v>
      </c>
      <c r="F18" s="11" t="s">
        <v>191</v>
      </c>
      <c r="H18">
        <v>1</v>
      </c>
      <c r="I18">
        <v>1000</v>
      </c>
    </row>
    <row r="19" spans="1:9" x14ac:dyDescent="0.3">
      <c r="C19">
        <v>2</v>
      </c>
      <c r="D19">
        <v>5</v>
      </c>
      <c r="E19">
        <v>0</v>
      </c>
      <c r="F19" s="11"/>
      <c r="G19" s="3" t="s">
        <v>200</v>
      </c>
      <c r="H19">
        <v>1</v>
      </c>
      <c r="I19">
        <v>400</v>
      </c>
    </row>
    <row r="20" spans="1:9" x14ac:dyDescent="0.3">
      <c r="C20">
        <v>6</v>
      </c>
      <c r="D20">
        <v>6</v>
      </c>
      <c r="E20">
        <v>40</v>
      </c>
      <c r="F20" s="11" t="s">
        <v>193</v>
      </c>
      <c r="G20" s="3"/>
      <c r="H20">
        <v>1</v>
      </c>
      <c r="I20">
        <v>3000</v>
      </c>
    </row>
    <row r="21" spans="1:9" x14ac:dyDescent="0.3">
      <c r="C21">
        <v>7</v>
      </c>
      <c r="D21">
        <v>10</v>
      </c>
      <c r="E21">
        <v>0</v>
      </c>
      <c r="F21" s="11"/>
      <c r="G21" s="3" t="s">
        <v>201</v>
      </c>
      <c r="H21">
        <v>1</v>
      </c>
      <c r="I21">
        <v>1200</v>
      </c>
    </row>
    <row r="22" spans="1:9" x14ac:dyDescent="0.3">
      <c r="C22">
        <v>11</v>
      </c>
      <c r="D22">
        <v>11</v>
      </c>
      <c r="E22">
        <v>60</v>
      </c>
      <c r="F22" s="11" t="s">
        <v>195</v>
      </c>
      <c r="G22" s="3"/>
      <c r="H22">
        <v>1</v>
      </c>
      <c r="I22">
        <v>6000</v>
      </c>
    </row>
    <row r="23" spans="1:9" x14ac:dyDescent="0.3">
      <c r="C23">
        <v>12</v>
      </c>
      <c r="D23">
        <v>15</v>
      </c>
      <c r="E23">
        <v>0</v>
      </c>
      <c r="G23" s="3" t="s">
        <v>202</v>
      </c>
      <c r="H23">
        <v>1</v>
      </c>
      <c r="I23">
        <v>2400</v>
      </c>
    </row>
    <row r="27" spans="1:9" x14ac:dyDescent="0.3">
      <c r="A27">
        <v>3</v>
      </c>
      <c r="C27">
        <v>0</v>
      </c>
      <c r="D27" s="3">
        <v>1</v>
      </c>
      <c r="E27" s="3">
        <v>20</v>
      </c>
      <c r="F27" s="11" t="s">
        <v>191</v>
      </c>
      <c r="H27">
        <v>1</v>
      </c>
      <c r="I27">
        <v>200</v>
      </c>
    </row>
    <row r="28" spans="1:9" x14ac:dyDescent="0.3">
      <c r="C28">
        <v>2</v>
      </c>
      <c r="D28">
        <v>5</v>
      </c>
      <c r="E28">
        <v>0</v>
      </c>
      <c r="F28" s="11"/>
      <c r="G28" s="3" t="s">
        <v>203</v>
      </c>
      <c r="H28" s="3">
        <v>1</v>
      </c>
      <c r="I28">
        <v>80</v>
      </c>
    </row>
    <row r="29" spans="1:9" x14ac:dyDescent="0.3">
      <c r="C29">
        <v>6</v>
      </c>
      <c r="D29">
        <v>6</v>
      </c>
      <c r="E29">
        <v>40</v>
      </c>
      <c r="F29" s="11" t="s">
        <v>193</v>
      </c>
      <c r="G29" s="3"/>
      <c r="H29" s="3">
        <v>1</v>
      </c>
      <c r="I29" s="3">
        <v>600</v>
      </c>
    </row>
    <row r="30" spans="1:9" x14ac:dyDescent="0.3">
      <c r="C30">
        <v>7</v>
      </c>
      <c r="D30">
        <v>10</v>
      </c>
      <c r="E30">
        <v>0</v>
      </c>
      <c r="G30" s="3" t="s">
        <v>204</v>
      </c>
      <c r="H30" s="3">
        <v>1</v>
      </c>
      <c r="I30" s="3">
        <v>240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8"/>
  <sheetViews>
    <sheetView workbookViewId="0">
      <selection activeCell="I18" sqref="I18"/>
    </sheetView>
  </sheetViews>
  <sheetFormatPr defaultColWidth="9.08203125" defaultRowHeight="14" x14ac:dyDescent="0.3"/>
  <cols>
    <col min="1" max="1" width="25.58203125" customWidth="1"/>
    <col min="2" max="2" width="15.58203125" customWidth="1"/>
    <col min="3" max="3" width="11.5" customWidth="1"/>
    <col min="4" max="4" width="14.08203125" customWidth="1"/>
    <col min="5" max="5" width="19.08203125" customWidth="1"/>
    <col min="6" max="6" width="19.58203125" customWidth="1"/>
    <col min="7" max="7" width="15.5" customWidth="1"/>
    <col min="8" max="8" width="18.33203125" customWidth="1"/>
    <col min="9" max="9" width="77.08203125" customWidth="1"/>
    <col min="10" max="10" width="22" customWidth="1"/>
    <col min="11" max="11" width="36.33203125" customWidth="1"/>
    <col min="12" max="12" width="36.08203125" customWidth="1"/>
    <col min="13" max="13" width="23.58203125" customWidth="1"/>
  </cols>
  <sheetData>
    <row r="1" spans="1:20" x14ac:dyDescent="0.3">
      <c r="A1" s="3" t="s">
        <v>205</v>
      </c>
    </row>
    <row r="2" spans="1:20" ht="32.15" customHeight="1" x14ac:dyDescent="0.3">
      <c r="A2" t="s">
        <v>206</v>
      </c>
      <c r="B2" t="s">
        <v>1</v>
      </c>
      <c r="C2" t="s">
        <v>6</v>
      </c>
      <c r="D2" t="s">
        <v>7</v>
      </c>
      <c r="E2" t="s">
        <v>207</v>
      </c>
      <c r="F2" t="s">
        <v>208</v>
      </c>
      <c r="G2" t="s">
        <v>209</v>
      </c>
      <c r="H2" t="s">
        <v>210</v>
      </c>
      <c r="I2" t="s">
        <v>211</v>
      </c>
      <c r="J2" t="s">
        <v>212</v>
      </c>
      <c r="K2" t="s">
        <v>213</v>
      </c>
      <c r="L2" s="3" t="s">
        <v>214</v>
      </c>
      <c r="M2" s="3" t="s">
        <v>215</v>
      </c>
    </row>
    <row r="3" spans="1:20" x14ac:dyDescent="0.3">
      <c r="A3" t="s">
        <v>0</v>
      </c>
      <c r="B3" s="3" t="s">
        <v>22</v>
      </c>
      <c r="C3" s="3" t="s">
        <v>216</v>
      </c>
      <c r="D3" t="s">
        <v>28</v>
      </c>
      <c r="E3" t="s">
        <v>217</v>
      </c>
      <c r="F3" t="s">
        <v>218</v>
      </c>
      <c r="G3" t="s">
        <v>219</v>
      </c>
      <c r="H3" t="s">
        <v>220</v>
      </c>
      <c r="I3" s="3" t="s">
        <v>221</v>
      </c>
      <c r="J3" t="s">
        <v>222</v>
      </c>
      <c r="K3" t="s">
        <v>223</v>
      </c>
      <c r="L3" s="3" t="s">
        <v>224</v>
      </c>
      <c r="M3" s="3" t="s">
        <v>225</v>
      </c>
      <c r="P3" s="29" t="s">
        <v>287</v>
      </c>
      <c r="Q3" s="29" t="s">
        <v>226</v>
      </c>
      <c r="R3" s="29" t="s">
        <v>227</v>
      </c>
      <c r="S3" s="30" t="s">
        <v>288</v>
      </c>
      <c r="T3" s="29" t="s">
        <v>228</v>
      </c>
    </row>
    <row r="4" spans="1:20" x14ac:dyDescent="0.3">
      <c r="D4" s="3"/>
      <c r="E4" s="3"/>
      <c r="F4" s="3"/>
      <c r="G4" s="3"/>
      <c r="H4" s="3"/>
      <c r="I4" s="3"/>
      <c r="J4" s="3"/>
      <c r="K4" s="6"/>
      <c r="P4" s="31">
        <v>56108</v>
      </c>
      <c r="Q4" s="31">
        <v>15</v>
      </c>
      <c r="R4" s="31">
        <v>16</v>
      </c>
      <c r="S4" s="32" t="s">
        <v>289</v>
      </c>
      <c r="T4" s="33" t="str">
        <f>P4&amp;";"&amp;Q4/R4&amp;";"&amp;S4</f>
        <v>56108;0.9375;true</v>
      </c>
    </row>
    <row r="5" spans="1:20" ht="14.5" x14ac:dyDescent="0.3">
      <c r="A5">
        <v>56200</v>
      </c>
      <c r="B5" s="3" t="s">
        <v>229</v>
      </c>
      <c r="C5" s="3" t="s">
        <v>230</v>
      </c>
      <c r="D5" s="3" t="s">
        <v>46</v>
      </c>
      <c r="E5" s="4">
        <v>7200</v>
      </c>
      <c r="F5" s="3">
        <v>0</v>
      </c>
      <c r="G5" s="3"/>
      <c r="H5" s="3"/>
      <c r="I5" s="1" t="s">
        <v>423</v>
      </c>
      <c r="J5" s="3"/>
      <c r="K5" s="6" t="str">
        <f>A5&amp;";1|56001;150"</f>
        <v>56200;1|56001;150</v>
      </c>
      <c r="L5">
        <v>56200</v>
      </c>
      <c r="M5" s="5">
        <v>56025</v>
      </c>
      <c r="P5" s="31">
        <v>56109</v>
      </c>
      <c r="Q5" s="31">
        <v>15</v>
      </c>
      <c r="R5" s="31">
        <v>16</v>
      </c>
      <c r="S5" s="32" t="s">
        <v>289</v>
      </c>
      <c r="T5" s="33" t="str">
        <f t="shared" ref="T5:T15" si="0">P5&amp;";"&amp;Q5/R5&amp;";"&amp;S5</f>
        <v>56109;0.9375;true</v>
      </c>
    </row>
    <row r="6" spans="1:20" ht="14.5" x14ac:dyDescent="0.3">
      <c r="A6">
        <v>56201</v>
      </c>
      <c r="B6" s="3" t="s">
        <v>229</v>
      </c>
      <c r="C6" s="3" t="s">
        <v>230</v>
      </c>
      <c r="D6" s="3" t="s">
        <v>62</v>
      </c>
      <c r="E6" s="4">
        <v>21600</v>
      </c>
      <c r="F6" s="3">
        <v>0</v>
      </c>
      <c r="G6" s="3"/>
      <c r="H6" s="3"/>
      <c r="I6" s="1" t="s">
        <v>422</v>
      </c>
      <c r="J6" s="3"/>
      <c r="K6" s="6" t="str">
        <f>A6&amp;";1|56001;400"</f>
        <v>56201;1|56001;400</v>
      </c>
      <c r="L6">
        <v>56201</v>
      </c>
      <c r="M6" s="5">
        <v>56025</v>
      </c>
      <c r="P6" s="31">
        <v>56110</v>
      </c>
      <c r="Q6" s="31">
        <v>15</v>
      </c>
      <c r="R6" s="31">
        <v>16</v>
      </c>
      <c r="S6" s="32" t="s">
        <v>289</v>
      </c>
      <c r="T6" s="33" t="str">
        <f t="shared" si="0"/>
        <v>56110;0.9375;true</v>
      </c>
    </row>
    <row r="7" spans="1:20" ht="14.5" x14ac:dyDescent="0.3">
      <c r="A7">
        <v>56202</v>
      </c>
      <c r="B7" s="3" t="s">
        <v>229</v>
      </c>
      <c r="C7" s="3" t="s">
        <v>230</v>
      </c>
      <c r="D7" s="3" t="s">
        <v>73</v>
      </c>
      <c r="E7" s="4">
        <v>144000</v>
      </c>
      <c r="F7" s="3">
        <v>0</v>
      </c>
      <c r="G7" s="3"/>
      <c r="H7" s="3"/>
      <c r="I7" s="1" t="s">
        <v>421</v>
      </c>
      <c r="J7" s="3"/>
      <c r="K7" s="6" t="str">
        <f>A7&amp;";1|56001;3000"</f>
        <v>56202;1|56001;3000</v>
      </c>
      <c r="L7">
        <v>56202</v>
      </c>
      <c r="M7" s="5">
        <v>56025</v>
      </c>
      <c r="P7" s="31">
        <v>56111</v>
      </c>
      <c r="Q7" s="31">
        <v>15</v>
      </c>
      <c r="R7" s="31">
        <v>16</v>
      </c>
      <c r="S7" s="32" t="s">
        <v>289</v>
      </c>
      <c r="T7" s="33" t="str">
        <f t="shared" si="0"/>
        <v>56111;0.9375;true</v>
      </c>
    </row>
    <row r="8" spans="1:20" ht="14.5" x14ac:dyDescent="0.3">
      <c r="A8">
        <v>56203</v>
      </c>
      <c r="B8" s="3" t="s">
        <v>229</v>
      </c>
      <c r="C8" s="3" t="s">
        <v>230</v>
      </c>
      <c r="D8" s="3" t="s">
        <v>231</v>
      </c>
      <c r="E8" s="3">
        <v>36000</v>
      </c>
      <c r="F8" s="3">
        <v>0</v>
      </c>
      <c r="G8" s="3"/>
      <c r="H8" s="3"/>
      <c r="I8" s="43" t="str">
        <f>_xlfn.TEXTJOIN("|",TRUE,T4:T57)</f>
        <v>56108;0.9375;true|56109;0.9375;true|56110;0.9375;true|56111;0.9375;true|56104;1.875;true|56105;1.875;true|56106;1.875;true|56107;1.875;true|56100;3.4375;true|56101;3.4375;true|56102;3.4375;true|56103;3.4375;true|56120;0.9375;true|56121;0.9375;true|56122;0.9375;true|56123;0.9375;true|56116;1.875;true|56117;1.875;true|56118;1.875;true|56119;1.875;true|56112;3.4375;true|56113;3.4375;true|56114;3.4375;true|56115;3.4375;true|56132;0.9375;true|56133;0.9375;true|56134;0.9375;true|56135;0.9375;true|56128;1.875;true|56129;1.875;true|56130;1.875;true|56131;1.875;true|56124;3.4375;true|56125;3.4375;true|56126;3.4375;true|56127;3.4375;true|56144;0.9375;true|56145;0.9375;true|56146;0.9375;true|56147;0.9375;true|56140;1.875;true|56141;1.875;true|56142;1.875;true|56143;1.875;true|56136;3.4375;true|56137;3.4375;true|56138;3.4375;true|56139;3.4375;true</v>
      </c>
      <c r="J8" s="3"/>
      <c r="K8" s="6" t="str">
        <f>A8&amp;";1|56001;500"</f>
        <v>56203;1|56001;500</v>
      </c>
      <c r="L8">
        <v>56203</v>
      </c>
      <c r="M8" s="5">
        <v>56025</v>
      </c>
      <c r="P8" s="31">
        <v>56104</v>
      </c>
      <c r="Q8" s="31">
        <v>30</v>
      </c>
      <c r="R8" s="31">
        <v>16</v>
      </c>
      <c r="S8" s="32" t="s">
        <v>289</v>
      </c>
      <c r="T8" s="33" t="str">
        <f t="shared" si="0"/>
        <v>56104;1.875;true</v>
      </c>
    </row>
    <row r="9" spans="1:20" ht="14.5" x14ac:dyDescent="0.3">
      <c r="A9">
        <v>56204</v>
      </c>
      <c r="B9">
        <v>101</v>
      </c>
      <c r="C9" s="3" t="s">
        <v>230</v>
      </c>
      <c r="D9" s="3" t="s">
        <v>73</v>
      </c>
      <c r="E9" s="4">
        <v>144000</v>
      </c>
      <c r="F9" s="3">
        <v>0</v>
      </c>
      <c r="G9" s="3"/>
      <c r="H9" s="3"/>
      <c r="I9" s="3" t="s">
        <v>232</v>
      </c>
      <c r="J9" s="3"/>
      <c r="K9" s="6" t="str">
        <f>A9&amp;";1|56001;3000"</f>
        <v>56204;1|56001;3000</v>
      </c>
      <c r="L9">
        <v>56020</v>
      </c>
      <c r="M9" s="5">
        <v>56025</v>
      </c>
      <c r="P9" s="31">
        <v>56105</v>
      </c>
      <c r="Q9" s="31">
        <v>30</v>
      </c>
      <c r="R9" s="31">
        <v>16</v>
      </c>
      <c r="S9" s="32" t="s">
        <v>289</v>
      </c>
      <c r="T9" s="33" t="str">
        <f t="shared" si="0"/>
        <v>56105;1.875;true</v>
      </c>
    </row>
    <row r="10" spans="1:20" ht="14.5" x14ac:dyDescent="0.3">
      <c r="A10">
        <v>56205</v>
      </c>
      <c r="B10">
        <v>102</v>
      </c>
      <c r="C10" s="3" t="s">
        <v>230</v>
      </c>
      <c r="D10" s="3" t="s">
        <v>73</v>
      </c>
      <c r="E10" s="4">
        <v>144000</v>
      </c>
      <c r="F10" s="3">
        <v>0</v>
      </c>
      <c r="G10" s="3"/>
      <c r="H10" s="3"/>
      <c r="I10" s="3" t="s">
        <v>233</v>
      </c>
      <c r="J10" s="3"/>
      <c r="K10" s="6" t="str">
        <f>A10&amp;";1|56001;3000"</f>
        <v>56205;1|56001;3000</v>
      </c>
      <c r="L10">
        <v>56020</v>
      </c>
      <c r="M10" s="5">
        <v>56025</v>
      </c>
      <c r="P10" s="31">
        <v>56106</v>
      </c>
      <c r="Q10" s="31">
        <v>30</v>
      </c>
      <c r="R10" s="31">
        <v>16</v>
      </c>
      <c r="S10" s="32" t="s">
        <v>289</v>
      </c>
      <c r="T10" s="33" t="str">
        <f t="shared" si="0"/>
        <v>56106;1.875;true</v>
      </c>
    </row>
    <row r="11" spans="1:20" ht="14.5" x14ac:dyDescent="0.3">
      <c r="A11">
        <v>56206</v>
      </c>
      <c r="B11">
        <v>103</v>
      </c>
      <c r="C11" s="3" t="s">
        <v>230</v>
      </c>
      <c r="D11" s="3" t="s">
        <v>73</v>
      </c>
      <c r="E11" s="4">
        <v>144000</v>
      </c>
      <c r="F11" s="3">
        <v>0</v>
      </c>
      <c r="G11" s="3"/>
      <c r="H11" s="3"/>
      <c r="I11" s="3" t="s">
        <v>234</v>
      </c>
      <c r="J11" s="3"/>
      <c r="K11" s="6" t="str">
        <f>A11&amp;";1|56001;3000"</f>
        <v>56206;1|56001;3000</v>
      </c>
      <c r="L11">
        <v>56020</v>
      </c>
      <c r="M11" s="5">
        <v>56025</v>
      </c>
      <c r="P11" s="31">
        <v>56107</v>
      </c>
      <c r="Q11" s="31">
        <v>30</v>
      </c>
      <c r="R11" s="31">
        <v>16</v>
      </c>
      <c r="S11" s="32" t="s">
        <v>289</v>
      </c>
      <c r="T11" s="33" t="str">
        <f t="shared" si="0"/>
        <v>56107;1.875;true</v>
      </c>
    </row>
    <row r="12" spans="1:20" ht="14.5" x14ac:dyDescent="0.3">
      <c r="A12">
        <v>56207</v>
      </c>
      <c r="B12">
        <v>104</v>
      </c>
      <c r="C12" s="3" t="s">
        <v>230</v>
      </c>
      <c r="D12" s="3" t="s">
        <v>73</v>
      </c>
      <c r="E12" s="4">
        <v>144000</v>
      </c>
      <c r="F12" s="3">
        <v>0</v>
      </c>
      <c r="G12" s="3"/>
      <c r="H12" s="3"/>
      <c r="I12" s="3" t="s">
        <v>235</v>
      </c>
      <c r="J12" s="3"/>
      <c r="K12" s="6" t="str">
        <f>A12&amp;";1|56001;3000"</f>
        <v>56207;1|56001;3000</v>
      </c>
      <c r="L12">
        <v>56020</v>
      </c>
      <c r="M12" s="5">
        <v>56025</v>
      </c>
      <c r="P12" s="33">
        <v>56100</v>
      </c>
      <c r="Q12" s="33">
        <v>55</v>
      </c>
      <c r="R12" s="33">
        <v>16</v>
      </c>
      <c r="S12" s="32" t="s">
        <v>289</v>
      </c>
      <c r="T12" s="33" t="str">
        <f t="shared" si="0"/>
        <v>56100;3.4375;true</v>
      </c>
    </row>
    <row r="13" spans="1:20" x14ac:dyDescent="0.3">
      <c r="D13" s="3"/>
      <c r="E13" s="3"/>
      <c r="F13" s="3"/>
      <c r="G13" s="3"/>
      <c r="H13" s="3"/>
      <c r="I13" s="3"/>
      <c r="J13" s="3"/>
      <c r="K13" s="6"/>
      <c r="P13" s="33">
        <v>56101</v>
      </c>
      <c r="Q13" s="33">
        <v>55</v>
      </c>
      <c r="R13" s="33">
        <v>16</v>
      </c>
      <c r="S13" s="32" t="s">
        <v>289</v>
      </c>
      <c r="T13" s="33" t="str">
        <f t="shared" si="0"/>
        <v>56101;3.4375;true</v>
      </c>
    </row>
    <row r="14" spans="1:20" x14ac:dyDescent="0.3">
      <c r="D14" s="3"/>
      <c r="E14" s="3"/>
      <c r="F14" s="3"/>
      <c r="G14" s="3"/>
      <c r="H14" s="3"/>
      <c r="I14" s="3"/>
      <c r="J14" s="3"/>
      <c r="K14" s="6"/>
      <c r="P14" s="33">
        <v>56102</v>
      </c>
      <c r="Q14" s="33">
        <v>55</v>
      </c>
      <c r="R14" s="33">
        <v>16</v>
      </c>
      <c r="S14" s="32" t="s">
        <v>289</v>
      </c>
      <c r="T14" s="33" t="str">
        <f t="shared" si="0"/>
        <v>56102;3.4375;true</v>
      </c>
    </row>
    <row r="15" spans="1:20" x14ac:dyDescent="0.3">
      <c r="D15" s="3"/>
      <c r="E15" s="3"/>
      <c r="F15" s="3"/>
      <c r="G15" s="3"/>
      <c r="H15" s="3"/>
      <c r="I15" s="3"/>
      <c r="J15" s="3"/>
      <c r="K15" s="6"/>
      <c r="P15" s="33">
        <v>56103</v>
      </c>
      <c r="Q15" s="33">
        <v>55</v>
      </c>
      <c r="R15" s="33">
        <v>16</v>
      </c>
      <c r="S15" s="32" t="s">
        <v>289</v>
      </c>
      <c r="T15" s="33" t="str">
        <f t="shared" si="0"/>
        <v>56103;3.4375;true</v>
      </c>
    </row>
    <row r="16" spans="1:20" ht="14.5" x14ac:dyDescent="0.3">
      <c r="A16" s="5">
        <v>56148</v>
      </c>
      <c r="B16">
        <v>101</v>
      </c>
      <c r="C16">
        <v>1</v>
      </c>
      <c r="D16" s="3" t="s">
        <v>46</v>
      </c>
      <c r="E16" s="4">
        <v>7200</v>
      </c>
      <c r="F16" s="4">
        <v>0</v>
      </c>
      <c r="I16" s="7" t="str">
        <f>L16&amp;";100"</f>
        <v>56100;100</v>
      </c>
      <c r="K16" s="6" t="str">
        <f>A16&amp;";1|56001;150"</f>
        <v>56148;1|56001;150</v>
      </c>
      <c r="L16">
        <v>56100</v>
      </c>
      <c r="M16">
        <v>56100</v>
      </c>
      <c r="P16" s="28"/>
      <c r="Q16" s="28"/>
      <c r="R16" s="28"/>
      <c r="S16" s="28"/>
      <c r="T16" s="28"/>
    </row>
    <row r="17" spans="1:20" ht="14.5" x14ac:dyDescent="0.3">
      <c r="A17" s="5">
        <v>56149</v>
      </c>
      <c r="B17">
        <v>101</v>
      </c>
      <c r="C17">
        <v>2</v>
      </c>
      <c r="D17" s="3" t="s">
        <v>46</v>
      </c>
      <c r="E17" s="4">
        <v>7200</v>
      </c>
      <c r="F17" s="4">
        <v>0</v>
      </c>
      <c r="I17" s="7" t="str">
        <f t="shared" ref="I17:I63" si="1">L17&amp;";100"</f>
        <v>56101;100</v>
      </c>
      <c r="K17" s="6" t="str">
        <f>A17&amp;";1|56001;150"</f>
        <v>56149;1|56001;150</v>
      </c>
      <c r="L17">
        <v>56101</v>
      </c>
      <c r="M17">
        <v>56101</v>
      </c>
      <c r="P17" s="29" t="s">
        <v>290</v>
      </c>
      <c r="Q17" s="28"/>
      <c r="R17" s="28"/>
      <c r="S17" s="28"/>
      <c r="T17" s="28"/>
    </row>
    <row r="18" spans="1:20" ht="14.5" x14ac:dyDescent="0.3">
      <c r="A18" s="5">
        <v>56150</v>
      </c>
      <c r="B18">
        <v>101</v>
      </c>
      <c r="C18">
        <v>3</v>
      </c>
      <c r="D18" s="3" t="s">
        <v>46</v>
      </c>
      <c r="E18" s="4">
        <v>7200</v>
      </c>
      <c r="F18" s="4">
        <v>0</v>
      </c>
      <c r="I18" s="7" t="str">
        <f t="shared" si="1"/>
        <v>56102;100</v>
      </c>
      <c r="K18" s="6" t="str">
        <f>A18&amp;";1|56001;150"</f>
        <v>56150;1|56001;150</v>
      </c>
      <c r="L18">
        <v>56102</v>
      </c>
      <c r="M18">
        <v>56102</v>
      </c>
      <c r="P18" s="34">
        <v>56120</v>
      </c>
      <c r="Q18" s="34">
        <v>15</v>
      </c>
      <c r="R18" s="34">
        <v>16</v>
      </c>
      <c r="S18" s="35" t="s">
        <v>289</v>
      </c>
      <c r="T18" s="34" t="str">
        <f>P18&amp;";"&amp;Q18/R18&amp;";"&amp;S18</f>
        <v>56120;0.9375;true</v>
      </c>
    </row>
    <row r="19" spans="1:20" ht="14.5" x14ac:dyDescent="0.3">
      <c r="A19" s="5">
        <v>56151</v>
      </c>
      <c r="B19">
        <v>101</v>
      </c>
      <c r="C19">
        <v>4</v>
      </c>
      <c r="D19" s="3" t="s">
        <v>46</v>
      </c>
      <c r="E19" s="4">
        <v>7200</v>
      </c>
      <c r="F19" s="4">
        <v>0</v>
      </c>
      <c r="I19" s="7" t="str">
        <f t="shared" si="1"/>
        <v>56103;100</v>
      </c>
      <c r="K19" s="6" t="str">
        <f>A19&amp;";1|56001;150"</f>
        <v>56151;1|56001;150</v>
      </c>
      <c r="L19">
        <v>56103</v>
      </c>
      <c r="M19">
        <v>56103</v>
      </c>
      <c r="P19" s="34">
        <v>56121</v>
      </c>
      <c r="Q19" s="34">
        <v>15</v>
      </c>
      <c r="R19" s="34">
        <v>16</v>
      </c>
      <c r="S19" s="35" t="s">
        <v>289</v>
      </c>
      <c r="T19" s="34" t="str">
        <f t="shared" ref="T19:T29" si="2">P19&amp;";"&amp;Q19/R19&amp;";"&amp;S19</f>
        <v>56121;0.9375;true</v>
      </c>
    </row>
    <row r="20" spans="1:20" ht="14.5" x14ac:dyDescent="0.3">
      <c r="A20" s="5">
        <v>56152</v>
      </c>
      <c r="B20">
        <v>101</v>
      </c>
      <c r="C20">
        <v>1</v>
      </c>
      <c r="D20" s="3" t="s">
        <v>62</v>
      </c>
      <c r="E20" s="4">
        <v>21600</v>
      </c>
      <c r="F20" s="4">
        <v>0</v>
      </c>
      <c r="I20" s="7" t="str">
        <f t="shared" si="1"/>
        <v>56104;100</v>
      </c>
      <c r="K20" s="6" t="str">
        <f>A20&amp;";1|56001;400"</f>
        <v>56152;1|56001;400</v>
      </c>
      <c r="L20">
        <v>56104</v>
      </c>
      <c r="M20">
        <v>56104</v>
      </c>
      <c r="P20" s="34">
        <v>56122</v>
      </c>
      <c r="Q20" s="34">
        <v>15</v>
      </c>
      <c r="R20" s="34">
        <v>16</v>
      </c>
      <c r="S20" s="35" t="s">
        <v>289</v>
      </c>
      <c r="T20" s="34" t="str">
        <f t="shared" si="2"/>
        <v>56122;0.9375;true</v>
      </c>
    </row>
    <row r="21" spans="1:20" ht="14.5" x14ac:dyDescent="0.3">
      <c r="A21" s="5">
        <v>56153</v>
      </c>
      <c r="B21">
        <v>101</v>
      </c>
      <c r="C21">
        <v>2</v>
      </c>
      <c r="D21" s="3" t="s">
        <v>62</v>
      </c>
      <c r="E21" s="4">
        <v>21600</v>
      </c>
      <c r="F21" s="4">
        <v>0</v>
      </c>
      <c r="I21" s="7" t="str">
        <f t="shared" si="1"/>
        <v>56105;100</v>
      </c>
      <c r="K21" s="6" t="str">
        <f>A21&amp;";1|56001;400"</f>
        <v>56153;1|56001;400</v>
      </c>
      <c r="L21">
        <v>56105</v>
      </c>
      <c r="M21">
        <v>56105</v>
      </c>
      <c r="P21" s="34">
        <v>56123</v>
      </c>
      <c r="Q21" s="34">
        <v>15</v>
      </c>
      <c r="R21" s="34">
        <v>16</v>
      </c>
      <c r="S21" s="35" t="s">
        <v>289</v>
      </c>
      <c r="T21" s="34" t="str">
        <f t="shared" si="2"/>
        <v>56123;0.9375;true</v>
      </c>
    </row>
    <row r="22" spans="1:20" ht="14.5" x14ac:dyDescent="0.3">
      <c r="A22" s="5">
        <v>56154</v>
      </c>
      <c r="B22">
        <v>101</v>
      </c>
      <c r="C22">
        <v>3</v>
      </c>
      <c r="D22" s="3" t="s">
        <v>62</v>
      </c>
      <c r="E22" s="4">
        <v>21600</v>
      </c>
      <c r="F22" s="4">
        <v>0</v>
      </c>
      <c r="I22" s="7" t="str">
        <f t="shared" si="1"/>
        <v>56106;100</v>
      </c>
      <c r="K22" s="6" t="str">
        <f>A22&amp;";1|56001;400"</f>
        <v>56154;1|56001;400</v>
      </c>
      <c r="L22">
        <v>56106</v>
      </c>
      <c r="M22">
        <v>56106</v>
      </c>
      <c r="P22" s="34">
        <v>56116</v>
      </c>
      <c r="Q22" s="34">
        <v>30</v>
      </c>
      <c r="R22" s="34">
        <v>16</v>
      </c>
      <c r="S22" s="35" t="s">
        <v>289</v>
      </c>
      <c r="T22" s="34" t="str">
        <f t="shared" si="2"/>
        <v>56116;1.875;true</v>
      </c>
    </row>
    <row r="23" spans="1:20" ht="14.5" x14ac:dyDescent="0.3">
      <c r="A23" s="5">
        <v>56155</v>
      </c>
      <c r="B23">
        <v>101</v>
      </c>
      <c r="C23">
        <v>4</v>
      </c>
      <c r="D23" s="3" t="s">
        <v>62</v>
      </c>
      <c r="E23" s="4">
        <v>21600</v>
      </c>
      <c r="F23" s="4">
        <v>0</v>
      </c>
      <c r="I23" s="7" t="str">
        <f t="shared" si="1"/>
        <v>56107;100</v>
      </c>
      <c r="K23" s="6" t="str">
        <f>A23&amp;";1|56001;400"</f>
        <v>56155;1|56001;400</v>
      </c>
      <c r="L23">
        <v>56107</v>
      </c>
      <c r="M23">
        <v>56107</v>
      </c>
      <c r="P23" s="34">
        <v>56117</v>
      </c>
      <c r="Q23" s="34">
        <v>30</v>
      </c>
      <c r="R23" s="34">
        <v>16</v>
      </c>
      <c r="S23" s="35" t="s">
        <v>289</v>
      </c>
      <c r="T23" s="34" t="str">
        <f t="shared" si="2"/>
        <v>56117;1.875;true</v>
      </c>
    </row>
    <row r="24" spans="1:20" ht="14.5" x14ac:dyDescent="0.3">
      <c r="A24" s="5">
        <v>56156</v>
      </c>
      <c r="B24">
        <v>101</v>
      </c>
      <c r="C24">
        <v>1</v>
      </c>
      <c r="D24" s="3" t="s">
        <v>73</v>
      </c>
      <c r="E24" s="4">
        <v>144000</v>
      </c>
      <c r="F24" s="4">
        <v>0</v>
      </c>
      <c r="I24" s="7" t="str">
        <f t="shared" si="1"/>
        <v>56108;100</v>
      </c>
      <c r="K24" s="6" t="str">
        <f>A24&amp;";1|56001;3000"</f>
        <v>56156;1|56001;3000</v>
      </c>
      <c r="L24">
        <v>56108</v>
      </c>
      <c r="M24">
        <v>56108</v>
      </c>
      <c r="P24" s="34">
        <v>56118</v>
      </c>
      <c r="Q24" s="34">
        <v>30</v>
      </c>
      <c r="R24" s="34">
        <v>16</v>
      </c>
      <c r="S24" s="35" t="s">
        <v>289</v>
      </c>
      <c r="T24" s="34" t="str">
        <f t="shared" si="2"/>
        <v>56118;1.875;true</v>
      </c>
    </row>
    <row r="25" spans="1:20" ht="14.5" x14ac:dyDescent="0.3">
      <c r="A25" s="5">
        <v>56157</v>
      </c>
      <c r="B25">
        <v>101</v>
      </c>
      <c r="C25">
        <v>2</v>
      </c>
      <c r="D25" s="3" t="s">
        <v>73</v>
      </c>
      <c r="E25" s="4">
        <v>144000</v>
      </c>
      <c r="F25" s="4">
        <v>0</v>
      </c>
      <c r="I25" s="7" t="str">
        <f t="shared" si="1"/>
        <v>56109;100</v>
      </c>
      <c r="K25" s="6" t="str">
        <f t="shared" ref="K25:K27" si="3">A25&amp;";1|56001;3000"</f>
        <v>56157;1|56001;3000</v>
      </c>
      <c r="L25">
        <v>56109</v>
      </c>
      <c r="M25">
        <v>56109</v>
      </c>
      <c r="P25" s="34">
        <v>56119</v>
      </c>
      <c r="Q25" s="34">
        <v>30</v>
      </c>
      <c r="R25" s="34">
        <v>16</v>
      </c>
      <c r="S25" s="35" t="s">
        <v>289</v>
      </c>
      <c r="T25" s="34" t="str">
        <f t="shared" si="2"/>
        <v>56119;1.875;true</v>
      </c>
    </row>
    <row r="26" spans="1:20" ht="14.5" x14ac:dyDescent="0.3">
      <c r="A26" s="5">
        <v>56158</v>
      </c>
      <c r="B26">
        <v>101</v>
      </c>
      <c r="C26">
        <v>3</v>
      </c>
      <c r="D26" s="3" t="s">
        <v>73</v>
      </c>
      <c r="E26" s="4">
        <v>144000</v>
      </c>
      <c r="F26" s="4">
        <v>0</v>
      </c>
      <c r="I26" s="7" t="str">
        <f t="shared" si="1"/>
        <v>56110;100</v>
      </c>
      <c r="K26" s="6" t="str">
        <f t="shared" si="3"/>
        <v>56158;1|56001;3000</v>
      </c>
      <c r="L26">
        <v>56110</v>
      </c>
      <c r="M26">
        <v>56110</v>
      </c>
      <c r="P26" s="36">
        <v>56112</v>
      </c>
      <c r="Q26" s="36">
        <v>55</v>
      </c>
      <c r="R26" s="36">
        <v>16</v>
      </c>
      <c r="S26" s="35" t="s">
        <v>289</v>
      </c>
      <c r="T26" s="34" t="str">
        <f t="shared" si="2"/>
        <v>56112;3.4375;true</v>
      </c>
    </row>
    <row r="27" spans="1:20" ht="14.5" x14ac:dyDescent="0.3">
      <c r="A27" s="5">
        <v>56159</v>
      </c>
      <c r="B27">
        <v>101</v>
      </c>
      <c r="C27">
        <v>4</v>
      </c>
      <c r="D27" s="3" t="s">
        <v>73</v>
      </c>
      <c r="E27" s="4">
        <v>144000</v>
      </c>
      <c r="F27" s="4">
        <v>0</v>
      </c>
      <c r="I27" s="7" t="str">
        <f t="shared" si="1"/>
        <v>56111;100</v>
      </c>
      <c r="K27" s="6" t="str">
        <f t="shared" si="3"/>
        <v>56159;1|56001;3000</v>
      </c>
      <c r="L27">
        <v>56111</v>
      </c>
      <c r="M27">
        <v>56111</v>
      </c>
      <c r="P27" s="36">
        <v>56113</v>
      </c>
      <c r="Q27" s="36">
        <v>55</v>
      </c>
      <c r="R27" s="36">
        <v>16</v>
      </c>
      <c r="S27" s="35" t="s">
        <v>289</v>
      </c>
      <c r="T27" s="34" t="str">
        <f t="shared" si="2"/>
        <v>56113;3.4375;true</v>
      </c>
    </row>
    <row r="28" spans="1:20" ht="14.5" x14ac:dyDescent="0.3">
      <c r="A28" s="5">
        <v>56160</v>
      </c>
      <c r="B28">
        <v>104</v>
      </c>
      <c r="C28">
        <v>1</v>
      </c>
      <c r="D28" s="3" t="s">
        <v>46</v>
      </c>
      <c r="E28" s="4">
        <v>7200</v>
      </c>
      <c r="F28" s="4">
        <v>0</v>
      </c>
      <c r="I28" s="7" t="str">
        <f t="shared" si="1"/>
        <v>56112;100</v>
      </c>
      <c r="K28" s="6" t="str">
        <f>A28&amp;";1|56001;150"</f>
        <v>56160;1|56001;150</v>
      </c>
      <c r="L28">
        <v>56112</v>
      </c>
      <c r="M28">
        <v>56112</v>
      </c>
      <c r="P28" s="36">
        <v>56114</v>
      </c>
      <c r="Q28" s="36">
        <v>55</v>
      </c>
      <c r="R28" s="36">
        <v>16</v>
      </c>
      <c r="S28" s="35" t="s">
        <v>289</v>
      </c>
      <c r="T28" s="34" t="str">
        <f t="shared" si="2"/>
        <v>56114;3.4375;true</v>
      </c>
    </row>
    <row r="29" spans="1:20" ht="14.5" x14ac:dyDescent="0.3">
      <c r="A29" s="5">
        <v>56161</v>
      </c>
      <c r="B29">
        <v>104</v>
      </c>
      <c r="C29">
        <v>2</v>
      </c>
      <c r="D29" s="3" t="s">
        <v>46</v>
      </c>
      <c r="E29" s="4">
        <v>7200</v>
      </c>
      <c r="F29" s="4">
        <v>0</v>
      </c>
      <c r="I29" s="7" t="str">
        <f t="shared" si="1"/>
        <v>56113;100</v>
      </c>
      <c r="K29" s="6" t="str">
        <f>A29&amp;";1|56001;150"</f>
        <v>56161;1|56001;150</v>
      </c>
      <c r="L29">
        <v>56113</v>
      </c>
      <c r="M29">
        <v>56113</v>
      </c>
      <c r="P29" s="36">
        <v>56115</v>
      </c>
      <c r="Q29" s="36">
        <v>55</v>
      </c>
      <c r="R29" s="36">
        <v>16</v>
      </c>
      <c r="S29" s="35" t="s">
        <v>289</v>
      </c>
      <c r="T29" s="34" t="str">
        <f t="shared" si="2"/>
        <v>56115;3.4375;true</v>
      </c>
    </row>
    <row r="30" spans="1:20" ht="14.5" x14ac:dyDescent="0.3">
      <c r="A30" s="5">
        <v>56162</v>
      </c>
      <c r="B30">
        <v>104</v>
      </c>
      <c r="C30">
        <v>3</v>
      </c>
      <c r="D30" s="3" t="s">
        <v>46</v>
      </c>
      <c r="E30" s="4">
        <v>7200</v>
      </c>
      <c r="F30" s="4">
        <v>0</v>
      </c>
      <c r="I30" s="7" t="str">
        <f t="shared" si="1"/>
        <v>56114;100</v>
      </c>
      <c r="K30" s="6" t="str">
        <f>A30&amp;";1|56001;150"</f>
        <v>56162;1|56001;150</v>
      </c>
      <c r="L30">
        <v>56114</v>
      </c>
      <c r="M30">
        <v>56114</v>
      </c>
      <c r="P30" s="28"/>
      <c r="Q30" s="28"/>
      <c r="R30" s="28"/>
      <c r="S30" s="28"/>
      <c r="T30" s="28"/>
    </row>
    <row r="31" spans="1:20" ht="14.5" x14ac:dyDescent="0.3">
      <c r="A31" s="5">
        <v>56163</v>
      </c>
      <c r="B31">
        <v>104</v>
      </c>
      <c r="C31">
        <v>4</v>
      </c>
      <c r="D31" s="3" t="s">
        <v>46</v>
      </c>
      <c r="E31" s="4">
        <v>7200</v>
      </c>
      <c r="F31" s="4">
        <v>0</v>
      </c>
      <c r="I31" s="7" t="str">
        <f t="shared" si="1"/>
        <v>56115;100</v>
      </c>
      <c r="K31" s="6" t="str">
        <f>A31&amp;";1|56001;150"</f>
        <v>56163;1|56001;150</v>
      </c>
      <c r="L31">
        <v>56115</v>
      </c>
      <c r="M31">
        <v>56115</v>
      </c>
      <c r="P31" s="29" t="s">
        <v>291</v>
      </c>
      <c r="Q31" s="28"/>
      <c r="R31" s="28"/>
      <c r="S31" s="28"/>
      <c r="T31" s="28"/>
    </row>
    <row r="32" spans="1:20" ht="14.5" x14ac:dyDescent="0.3">
      <c r="A32" s="5">
        <v>56164</v>
      </c>
      <c r="B32">
        <v>104</v>
      </c>
      <c r="C32">
        <v>1</v>
      </c>
      <c r="D32" s="3" t="s">
        <v>62</v>
      </c>
      <c r="E32" s="4">
        <v>21600</v>
      </c>
      <c r="F32" s="4">
        <v>0</v>
      </c>
      <c r="I32" s="7" t="str">
        <f t="shared" si="1"/>
        <v>56116;100</v>
      </c>
      <c r="K32" s="6" t="str">
        <f>A32&amp;";1|56001;400"</f>
        <v>56164;1|56001;400</v>
      </c>
      <c r="L32">
        <v>56116</v>
      </c>
      <c r="M32">
        <v>56116</v>
      </c>
      <c r="P32" s="37">
        <v>56132</v>
      </c>
      <c r="Q32" s="37">
        <v>15</v>
      </c>
      <c r="R32" s="37">
        <v>16</v>
      </c>
      <c r="S32" s="38" t="s">
        <v>289</v>
      </c>
      <c r="T32" s="37" t="str">
        <f>P32&amp;";"&amp;Q32/R32&amp;";"&amp;S32</f>
        <v>56132;0.9375;true</v>
      </c>
    </row>
    <row r="33" spans="1:20" ht="14.5" x14ac:dyDescent="0.3">
      <c r="A33" s="5">
        <v>56165</v>
      </c>
      <c r="B33">
        <v>104</v>
      </c>
      <c r="C33">
        <v>2</v>
      </c>
      <c r="D33" s="3" t="s">
        <v>62</v>
      </c>
      <c r="E33" s="4">
        <v>21600</v>
      </c>
      <c r="F33" s="4">
        <v>0</v>
      </c>
      <c r="I33" s="7" t="str">
        <f t="shared" si="1"/>
        <v>56117;100</v>
      </c>
      <c r="K33" s="6" t="str">
        <f>A33&amp;";1|56001;400"</f>
        <v>56165;1|56001;400</v>
      </c>
      <c r="L33">
        <v>56117</v>
      </c>
      <c r="M33">
        <v>56117</v>
      </c>
      <c r="P33" s="37">
        <v>56133</v>
      </c>
      <c r="Q33" s="37">
        <v>15</v>
      </c>
      <c r="R33" s="37">
        <v>16</v>
      </c>
      <c r="S33" s="38" t="s">
        <v>289</v>
      </c>
      <c r="T33" s="37" t="str">
        <f t="shared" ref="T33:T57" si="4">P33&amp;";"&amp;Q33/R33&amp;";"&amp;S33</f>
        <v>56133;0.9375;true</v>
      </c>
    </row>
    <row r="34" spans="1:20" ht="14.5" x14ac:dyDescent="0.3">
      <c r="A34" s="5">
        <v>56166</v>
      </c>
      <c r="B34">
        <v>104</v>
      </c>
      <c r="C34">
        <v>3</v>
      </c>
      <c r="D34" s="3" t="s">
        <v>62</v>
      </c>
      <c r="E34" s="4">
        <v>21600</v>
      </c>
      <c r="F34" s="4">
        <v>0</v>
      </c>
      <c r="I34" s="7" t="str">
        <f t="shared" si="1"/>
        <v>56118;100</v>
      </c>
      <c r="K34" s="6" t="str">
        <f>A34&amp;";1|56001;400"</f>
        <v>56166;1|56001;400</v>
      </c>
      <c r="L34">
        <v>56118</v>
      </c>
      <c r="M34">
        <v>56118</v>
      </c>
      <c r="P34" s="37">
        <v>56134</v>
      </c>
      <c r="Q34" s="37">
        <v>15</v>
      </c>
      <c r="R34" s="37">
        <v>16</v>
      </c>
      <c r="S34" s="38" t="s">
        <v>289</v>
      </c>
      <c r="T34" s="37" t="str">
        <f t="shared" si="4"/>
        <v>56134;0.9375;true</v>
      </c>
    </row>
    <row r="35" spans="1:20" ht="14.5" x14ac:dyDescent="0.3">
      <c r="A35" s="5">
        <v>56167</v>
      </c>
      <c r="B35">
        <v>104</v>
      </c>
      <c r="C35">
        <v>4</v>
      </c>
      <c r="D35" s="3" t="s">
        <v>62</v>
      </c>
      <c r="E35" s="4">
        <v>21600</v>
      </c>
      <c r="F35" s="4">
        <v>0</v>
      </c>
      <c r="I35" s="7" t="str">
        <f t="shared" si="1"/>
        <v>56119;100</v>
      </c>
      <c r="K35" s="6" t="str">
        <f>A35&amp;";1|56001;400"</f>
        <v>56167;1|56001;400</v>
      </c>
      <c r="L35">
        <v>56119</v>
      </c>
      <c r="M35">
        <v>56119</v>
      </c>
      <c r="P35" s="37">
        <v>56135</v>
      </c>
      <c r="Q35" s="37">
        <v>15</v>
      </c>
      <c r="R35" s="37">
        <v>16</v>
      </c>
      <c r="S35" s="38" t="s">
        <v>289</v>
      </c>
      <c r="T35" s="37" t="str">
        <f t="shared" si="4"/>
        <v>56135;0.9375;true</v>
      </c>
    </row>
    <row r="36" spans="1:20" ht="14.5" x14ac:dyDescent="0.3">
      <c r="A36" s="5">
        <v>56168</v>
      </c>
      <c r="B36">
        <v>104</v>
      </c>
      <c r="C36">
        <v>1</v>
      </c>
      <c r="D36" s="3" t="s">
        <v>73</v>
      </c>
      <c r="E36" s="4">
        <v>144000</v>
      </c>
      <c r="F36" s="4">
        <v>0</v>
      </c>
      <c r="I36" s="7" t="str">
        <f t="shared" si="1"/>
        <v>56120;100</v>
      </c>
      <c r="K36" s="6" t="str">
        <f t="shared" ref="K36:K63" si="5">A36&amp;";1|56001;3000"</f>
        <v>56168;1|56001;3000</v>
      </c>
      <c r="L36">
        <v>56120</v>
      </c>
      <c r="M36">
        <v>56120</v>
      </c>
      <c r="P36" s="37">
        <v>56128</v>
      </c>
      <c r="Q36" s="37">
        <v>30</v>
      </c>
      <c r="R36" s="37">
        <v>16</v>
      </c>
      <c r="S36" s="38" t="s">
        <v>289</v>
      </c>
      <c r="T36" s="37" t="str">
        <f t="shared" si="4"/>
        <v>56128;1.875;true</v>
      </c>
    </row>
    <row r="37" spans="1:20" ht="14.5" x14ac:dyDescent="0.3">
      <c r="A37" s="5">
        <v>56169</v>
      </c>
      <c r="B37">
        <v>104</v>
      </c>
      <c r="C37">
        <v>2</v>
      </c>
      <c r="D37" s="3" t="s">
        <v>73</v>
      </c>
      <c r="E37" s="4">
        <v>144000</v>
      </c>
      <c r="F37" s="4">
        <v>0</v>
      </c>
      <c r="I37" s="7" t="str">
        <f t="shared" si="1"/>
        <v>56121;100</v>
      </c>
      <c r="K37" s="6" t="str">
        <f t="shared" si="5"/>
        <v>56169;1|56001;3000</v>
      </c>
      <c r="L37">
        <v>56121</v>
      </c>
      <c r="M37">
        <v>56121</v>
      </c>
      <c r="P37" s="37">
        <v>56129</v>
      </c>
      <c r="Q37" s="37">
        <v>30</v>
      </c>
      <c r="R37" s="37">
        <v>16</v>
      </c>
      <c r="S37" s="38" t="s">
        <v>289</v>
      </c>
      <c r="T37" s="37" t="str">
        <f t="shared" si="4"/>
        <v>56129;1.875;true</v>
      </c>
    </row>
    <row r="38" spans="1:20" ht="14.5" x14ac:dyDescent="0.3">
      <c r="A38" s="5">
        <v>56170</v>
      </c>
      <c r="B38">
        <v>104</v>
      </c>
      <c r="C38">
        <v>3</v>
      </c>
      <c r="D38" s="3" t="s">
        <v>73</v>
      </c>
      <c r="E38" s="4">
        <v>144000</v>
      </c>
      <c r="F38" s="4">
        <v>0</v>
      </c>
      <c r="I38" s="7" t="str">
        <f t="shared" si="1"/>
        <v>56122;100</v>
      </c>
      <c r="K38" s="6" t="str">
        <f t="shared" si="5"/>
        <v>56170;1|56001;3000</v>
      </c>
      <c r="L38">
        <v>56122</v>
      </c>
      <c r="M38">
        <v>56122</v>
      </c>
      <c r="P38" s="37">
        <v>56130</v>
      </c>
      <c r="Q38" s="37">
        <v>30</v>
      </c>
      <c r="R38" s="37">
        <v>16</v>
      </c>
      <c r="S38" s="38" t="s">
        <v>289</v>
      </c>
      <c r="T38" s="37" t="str">
        <f t="shared" si="4"/>
        <v>56130;1.875;true</v>
      </c>
    </row>
    <row r="39" spans="1:20" ht="14.5" x14ac:dyDescent="0.3">
      <c r="A39" s="5">
        <v>56171</v>
      </c>
      <c r="B39">
        <v>104</v>
      </c>
      <c r="C39">
        <v>4</v>
      </c>
      <c r="D39" s="3" t="s">
        <v>73</v>
      </c>
      <c r="E39" s="4">
        <v>144000</v>
      </c>
      <c r="F39" s="4">
        <v>0</v>
      </c>
      <c r="I39" s="7" t="str">
        <f t="shared" si="1"/>
        <v>56123;100</v>
      </c>
      <c r="K39" s="6" t="str">
        <f t="shared" si="5"/>
        <v>56171;1|56001;3000</v>
      </c>
      <c r="L39">
        <v>56123</v>
      </c>
      <c r="M39">
        <v>56123</v>
      </c>
      <c r="P39" s="37">
        <v>56131</v>
      </c>
      <c r="Q39" s="37">
        <v>30</v>
      </c>
      <c r="R39" s="37">
        <v>16</v>
      </c>
      <c r="S39" s="38" t="s">
        <v>289</v>
      </c>
      <c r="T39" s="37" t="str">
        <f t="shared" si="4"/>
        <v>56131;1.875;true</v>
      </c>
    </row>
    <row r="40" spans="1:20" ht="14.5" x14ac:dyDescent="0.3">
      <c r="A40" s="5">
        <v>56172</v>
      </c>
      <c r="B40">
        <v>103</v>
      </c>
      <c r="C40">
        <v>1</v>
      </c>
      <c r="D40" s="3" t="s">
        <v>46</v>
      </c>
      <c r="E40" s="4">
        <v>7200</v>
      </c>
      <c r="F40" s="4">
        <v>0</v>
      </c>
      <c r="I40" s="7" t="str">
        <f t="shared" si="1"/>
        <v>56124;100</v>
      </c>
      <c r="K40" s="6" t="str">
        <f>A40&amp;";1|56001;150"</f>
        <v>56172;1|56001;150</v>
      </c>
      <c r="L40">
        <v>56124</v>
      </c>
      <c r="M40">
        <v>56124</v>
      </c>
      <c r="P40" s="39">
        <v>56124</v>
      </c>
      <c r="Q40" s="39">
        <v>55</v>
      </c>
      <c r="R40" s="39">
        <v>16</v>
      </c>
      <c r="S40" s="38" t="s">
        <v>289</v>
      </c>
      <c r="T40" s="37" t="str">
        <f t="shared" si="4"/>
        <v>56124;3.4375;true</v>
      </c>
    </row>
    <row r="41" spans="1:20" ht="14.5" x14ac:dyDescent="0.3">
      <c r="A41" s="5">
        <v>56173</v>
      </c>
      <c r="B41">
        <v>103</v>
      </c>
      <c r="C41">
        <v>2</v>
      </c>
      <c r="D41" s="3" t="s">
        <v>46</v>
      </c>
      <c r="E41" s="4">
        <v>7200</v>
      </c>
      <c r="F41" s="4">
        <v>0</v>
      </c>
      <c r="I41" s="7" t="str">
        <f t="shared" si="1"/>
        <v>56125;100</v>
      </c>
      <c r="K41" s="6" t="str">
        <f>A41&amp;";1|56001;150"</f>
        <v>56173;1|56001;150</v>
      </c>
      <c r="L41">
        <v>56125</v>
      </c>
      <c r="M41">
        <v>56125</v>
      </c>
      <c r="P41" s="39">
        <v>56125</v>
      </c>
      <c r="Q41" s="39">
        <v>55</v>
      </c>
      <c r="R41" s="39">
        <v>16</v>
      </c>
      <c r="S41" s="38" t="s">
        <v>289</v>
      </c>
      <c r="T41" s="37" t="str">
        <f t="shared" si="4"/>
        <v>56125;3.4375;true</v>
      </c>
    </row>
    <row r="42" spans="1:20" ht="14.5" x14ac:dyDescent="0.3">
      <c r="A42" s="5">
        <v>56174</v>
      </c>
      <c r="B42">
        <v>103</v>
      </c>
      <c r="C42">
        <v>3</v>
      </c>
      <c r="D42" s="3" t="s">
        <v>46</v>
      </c>
      <c r="E42" s="4">
        <v>7200</v>
      </c>
      <c r="F42" s="4">
        <v>0</v>
      </c>
      <c r="I42" s="7" t="str">
        <f t="shared" si="1"/>
        <v>56126;100</v>
      </c>
      <c r="K42" s="6" t="str">
        <f>A42&amp;";1|56001;150"</f>
        <v>56174;1|56001;150</v>
      </c>
      <c r="L42">
        <v>56126</v>
      </c>
      <c r="M42">
        <v>56126</v>
      </c>
      <c r="P42" s="39">
        <v>56126</v>
      </c>
      <c r="Q42" s="39">
        <v>55</v>
      </c>
      <c r="R42" s="39">
        <v>16</v>
      </c>
      <c r="S42" s="38" t="s">
        <v>289</v>
      </c>
      <c r="T42" s="37" t="str">
        <f t="shared" si="4"/>
        <v>56126;3.4375;true</v>
      </c>
    </row>
    <row r="43" spans="1:20" ht="14.5" x14ac:dyDescent="0.3">
      <c r="A43" s="5">
        <v>56175</v>
      </c>
      <c r="B43">
        <v>103</v>
      </c>
      <c r="C43">
        <v>4</v>
      </c>
      <c r="D43" s="3" t="s">
        <v>46</v>
      </c>
      <c r="E43" s="4">
        <v>7200</v>
      </c>
      <c r="F43" s="4">
        <v>0</v>
      </c>
      <c r="I43" s="7" t="str">
        <f t="shared" si="1"/>
        <v>56127;100</v>
      </c>
      <c r="K43" s="6" t="str">
        <f>A43&amp;";1|56001;150"</f>
        <v>56175;1|56001;150</v>
      </c>
      <c r="L43">
        <v>56127</v>
      </c>
      <c r="M43">
        <v>56127</v>
      </c>
      <c r="P43" s="39">
        <v>56127</v>
      </c>
      <c r="Q43" s="39">
        <v>55</v>
      </c>
      <c r="R43" s="39">
        <v>16</v>
      </c>
      <c r="S43" s="38" t="s">
        <v>289</v>
      </c>
      <c r="T43" s="37" t="str">
        <f t="shared" si="4"/>
        <v>56127;3.4375;true</v>
      </c>
    </row>
    <row r="44" spans="1:20" ht="14.5" x14ac:dyDescent="0.3">
      <c r="A44" s="5">
        <v>56176</v>
      </c>
      <c r="B44">
        <v>103</v>
      </c>
      <c r="C44">
        <v>1</v>
      </c>
      <c r="D44" s="3" t="s">
        <v>62</v>
      </c>
      <c r="E44" s="4">
        <v>21600</v>
      </c>
      <c r="F44" s="4">
        <v>0</v>
      </c>
      <c r="I44" s="7" t="str">
        <f t="shared" si="1"/>
        <v>56128;100</v>
      </c>
      <c r="K44" s="6" t="str">
        <f>A44&amp;";1|56001;400"</f>
        <v>56176;1|56001;400</v>
      </c>
      <c r="L44">
        <v>56128</v>
      </c>
      <c r="M44">
        <v>56128</v>
      </c>
      <c r="P44" s="28"/>
      <c r="Q44" s="28"/>
      <c r="R44" s="28"/>
      <c r="S44" s="28"/>
    </row>
    <row r="45" spans="1:20" ht="14.5" x14ac:dyDescent="0.3">
      <c r="A45" s="5">
        <v>56177</v>
      </c>
      <c r="B45">
        <v>103</v>
      </c>
      <c r="C45">
        <v>2</v>
      </c>
      <c r="D45" s="3" t="s">
        <v>62</v>
      </c>
      <c r="E45" s="4">
        <v>21600</v>
      </c>
      <c r="F45" s="4">
        <v>0</v>
      </c>
      <c r="I45" s="7" t="str">
        <f t="shared" si="1"/>
        <v>56129;100</v>
      </c>
      <c r="K45" s="6" t="str">
        <f>A45&amp;";1|56001;400"</f>
        <v>56177;1|56001;400</v>
      </c>
      <c r="L45">
        <v>56129</v>
      </c>
      <c r="M45">
        <v>56129</v>
      </c>
      <c r="P45" s="29" t="s">
        <v>292</v>
      </c>
      <c r="Q45" s="28"/>
      <c r="R45" s="28"/>
      <c r="S45" s="28"/>
    </row>
    <row r="46" spans="1:20" ht="14.5" x14ac:dyDescent="0.3">
      <c r="A46" s="5">
        <v>56178</v>
      </c>
      <c r="B46">
        <v>103</v>
      </c>
      <c r="C46">
        <v>3</v>
      </c>
      <c r="D46" s="3" t="s">
        <v>62</v>
      </c>
      <c r="E46" s="4">
        <v>21600</v>
      </c>
      <c r="F46" s="4">
        <v>0</v>
      </c>
      <c r="I46" s="7" t="str">
        <f t="shared" si="1"/>
        <v>56130;100</v>
      </c>
      <c r="K46" s="6" t="str">
        <f>A46&amp;";1|56001;400"</f>
        <v>56178;1|56001;400</v>
      </c>
      <c r="L46">
        <v>56130</v>
      </c>
      <c r="M46">
        <v>56130</v>
      </c>
      <c r="P46" s="40">
        <v>56144</v>
      </c>
      <c r="Q46" s="40">
        <v>15</v>
      </c>
      <c r="R46" s="40">
        <v>16</v>
      </c>
      <c r="S46" s="41" t="s">
        <v>289</v>
      </c>
      <c r="T46" s="40" t="str">
        <f t="shared" si="4"/>
        <v>56144;0.9375;true</v>
      </c>
    </row>
    <row r="47" spans="1:20" ht="14.5" x14ac:dyDescent="0.3">
      <c r="A47" s="5">
        <v>56179</v>
      </c>
      <c r="B47">
        <v>103</v>
      </c>
      <c r="C47">
        <v>4</v>
      </c>
      <c r="D47" s="3" t="s">
        <v>62</v>
      </c>
      <c r="E47" s="4">
        <v>21600</v>
      </c>
      <c r="F47" s="4">
        <v>0</v>
      </c>
      <c r="I47" s="7" t="str">
        <f t="shared" si="1"/>
        <v>56131;100</v>
      </c>
      <c r="K47" s="6" t="str">
        <f>A47&amp;";1|56001;400"</f>
        <v>56179;1|56001;400</v>
      </c>
      <c r="L47">
        <v>56131</v>
      </c>
      <c r="M47">
        <v>56131</v>
      </c>
      <c r="P47" s="40">
        <v>56145</v>
      </c>
      <c r="Q47" s="40">
        <v>15</v>
      </c>
      <c r="R47" s="40">
        <v>16</v>
      </c>
      <c r="S47" s="41" t="s">
        <v>289</v>
      </c>
      <c r="T47" s="40" t="str">
        <f t="shared" si="4"/>
        <v>56145;0.9375;true</v>
      </c>
    </row>
    <row r="48" spans="1:20" ht="14.5" x14ac:dyDescent="0.3">
      <c r="A48" s="5">
        <v>56180</v>
      </c>
      <c r="B48">
        <v>103</v>
      </c>
      <c r="C48">
        <v>1</v>
      </c>
      <c r="D48" s="3" t="s">
        <v>73</v>
      </c>
      <c r="E48" s="4">
        <v>144000</v>
      </c>
      <c r="F48" s="4">
        <v>0</v>
      </c>
      <c r="I48" s="7" t="str">
        <f t="shared" si="1"/>
        <v>56132;100</v>
      </c>
      <c r="K48" s="6" t="str">
        <f t="shared" ref="K48" si="6">A48&amp;";1|56001;3000"</f>
        <v>56180;1|56001;3000</v>
      </c>
      <c r="L48">
        <v>56132</v>
      </c>
      <c r="M48">
        <v>56132</v>
      </c>
      <c r="P48" s="40">
        <v>56146</v>
      </c>
      <c r="Q48" s="40">
        <v>15</v>
      </c>
      <c r="R48" s="40">
        <v>16</v>
      </c>
      <c r="S48" s="41" t="s">
        <v>289</v>
      </c>
      <c r="T48" s="40" t="str">
        <f t="shared" si="4"/>
        <v>56146;0.9375;true</v>
      </c>
    </row>
    <row r="49" spans="1:20" ht="14.5" x14ac:dyDescent="0.3">
      <c r="A49" s="5">
        <v>56181</v>
      </c>
      <c r="B49">
        <v>103</v>
      </c>
      <c r="C49">
        <v>2</v>
      </c>
      <c r="D49" s="3" t="s">
        <v>73</v>
      </c>
      <c r="E49" s="4">
        <v>144000</v>
      </c>
      <c r="F49" s="4">
        <v>0</v>
      </c>
      <c r="I49" s="7" t="str">
        <f t="shared" si="1"/>
        <v>56133;100</v>
      </c>
      <c r="K49" s="6" t="str">
        <f t="shared" si="5"/>
        <v>56181;1|56001;3000</v>
      </c>
      <c r="L49">
        <v>56133</v>
      </c>
      <c r="M49">
        <v>56133</v>
      </c>
      <c r="P49" s="40">
        <v>56147</v>
      </c>
      <c r="Q49" s="40">
        <v>15</v>
      </c>
      <c r="R49" s="40">
        <v>16</v>
      </c>
      <c r="S49" s="41" t="s">
        <v>289</v>
      </c>
      <c r="T49" s="40" t="str">
        <f t="shared" si="4"/>
        <v>56147;0.9375;true</v>
      </c>
    </row>
    <row r="50" spans="1:20" ht="14.5" x14ac:dyDescent="0.3">
      <c r="A50" s="5">
        <v>56182</v>
      </c>
      <c r="B50">
        <v>103</v>
      </c>
      <c r="C50">
        <v>3</v>
      </c>
      <c r="D50" s="3" t="s">
        <v>73</v>
      </c>
      <c r="E50" s="4">
        <v>144000</v>
      </c>
      <c r="F50" s="4">
        <v>0</v>
      </c>
      <c r="I50" s="7" t="str">
        <f t="shared" si="1"/>
        <v>56134;100</v>
      </c>
      <c r="K50" s="6" t="str">
        <f t="shared" si="5"/>
        <v>56182;1|56001;3000</v>
      </c>
      <c r="L50">
        <v>56134</v>
      </c>
      <c r="M50">
        <v>56134</v>
      </c>
      <c r="P50" s="40">
        <v>56140</v>
      </c>
      <c r="Q50" s="40">
        <v>30</v>
      </c>
      <c r="R50" s="40">
        <v>16</v>
      </c>
      <c r="S50" s="41" t="s">
        <v>289</v>
      </c>
      <c r="T50" s="40" t="str">
        <f t="shared" si="4"/>
        <v>56140;1.875;true</v>
      </c>
    </row>
    <row r="51" spans="1:20" ht="14.5" x14ac:dyDescent="0.3">
      <c r="A51" s="5">
        <v>56183</v>
      </c>
      <c r="B51">
        <v>103</v>
      </c>
      <c r="C51">
        <v>4</v>
      </c>
      <c r="D51" s="3" t="s">
        <v>73</v>
      </c>
      <c r="E51" s="4">
        <v>144000</v>
      </c>
      <c r="F51" s="4">
        <v>0</v>
      </c>
      <c r="I51" s="7" t="str">
        <f t="shared" si="1"/>
        <v>56135;100</v>
      </c>
      <c r="K51" s="6" t="str">
        <f t="shared" si="5"/>
        <v>56183;1|56001;3000</v>
      </c>
      <c r="L51">
        <v>56135</v>
      </c>
      <c r="M51">
        <v>56135</v>
      </c>
      <c r="P51" s="40">
        <v>56141</v>
      </c>
      <c r="Q51" s="40">
        <v>30</v>
      </c>
      <c r="R51" s="40">
        <v>16</v>
      </c>
      <c r="S51" s="41" t="s">
        <v>289</v>
      </c>
      <c r="T51" s="40" t="str">
        <f t="shared" si="4"/>
        <v>56141;1.875;true</v>
      </c>
    </row>
    <row r="52" spans="1:20" ht="14.5" x14ac:dyDescent="0.3">
      <c r="A52" s="5">
        <v>56184</v>
      </c>
      <c r="B52">
        <v>102</v>
      </c>
      <c r="C52">
        <v>1</v>
      </c>
      <c r="D52" s="3" t="s">
        <v>46</v>
      </c>
      <c r="E52" s="4">
        <v>7200</v>
      </c>
      <c r="F52" s="4">
        <v>0</v>
      </c>
      <c r="I52" s="7" t="str">
        <f t="shared" si="1"/>
        <v>56136;100</v>
      </c>
      <c r="K52" s="6" t="str">
        <f>A52&amp;";1|56001;150"</f>
        <v>56184;1|56001;150</v>
      </c>
      <c r="L52">
        <v>56136</v>
      </c>
      <c r="M52">
        <v>56136</v>
      </c>
      <c r="P52" s="40">
        <v>56142</v>
      </c>
      <c r="Q52" s="40">
        <v>30</v>
      </c>
      <c r="R52" s="40">
        <v>16</v>
      </c>
      <c r="S52" s="41" t="s">
        <v>289</v>
      </c>
      <c r="T52" s="40" t="str">
        <f t="shared" si="4"/>
        <v>56142;1.875;true</v>
      </c>
    </row>
    <row r="53" spans="1:20" ht="14.5" x14ac:dyDescent="0.3">
      <c r="A53" s="5">
        <v>56185</v>
      </c>
      <c r="B53">
        <v>102</v>
      </c>
      <c r="C53">
        <v>2</v>
      </c>
      <c r="D53" s="3" t="s">
        <v>46</v>
      </c>
      <c r="E53" s="4">
        <v>7200</v>
      </c>
      <c r="F53" s="4">
        <v>0</v>
      </c>
      <c r="I53" s="7" t="str">
        <f t="shared" si="1"/>
        <v>56137;100</v>
      </c>
      <c r="K53" s="6" t="str">
        <f>A53&amp;";1|56001;150"</f>
        <v>56185;1|56001;150</v>
      </c>
      <c r="L53">
        <v>56137</v>
      </c>
      <c r="M53">
        <v>56137</v>
      </c>
      <c r="P53" s="40">
        <v>56143</v>
      </c>
      <c r="Q53" s="40">
        <v>30</v>
      </c>
      <c r="R53" s="40">
        <v>16</v>
      </c>
      <c r="S53" s="41" t="s">
        <v>289</v>
      </c>
      <c r="T53" s="40" t="str">
        <f t="shared" si="4"/>
        <v>56143;1.875;true</v>
      </c>
    </row>
    <row r="54" spans="1:20" ht="14.5" x14ac:dyDescent="0.3">
      <c r="A54" s="5">
        <v>56186</v>
      </c>
      <c r="B54">
        <v>102</v>
      </c>
      <c r="C54">
        <v>3</v>
      </c>
      <c r="D54" s="3" t="s">
        <v>46</v>
      </c>
      <c r="E54" s="4">
        <v>7200</v>
      </c>
      <c r="F54" s="4">
        <v>0</v>
      </c>
      <c r="I54" s="7" t="str">
        <f t="shared" si="1"/>
        <v>56138;100</v>
      </c>
      <c r="K54" s="6" t="str">
        <f>A54&amp;";1|56001;150"</f>
        <v>56186;1|56001;150</v>
      </c>
      <c r="L54">
        <v>56138</v>
      </c>
      <c r="M54">
        <v>56138</v>
      </c>
      <c r="P54" s="42">
        <v>56136</v>
      </c>
      <c r="Q54" s="42">
        <v>55</v>
      </c>
      <c r="R54" s="42">
        <v>16</v>
      </c>
      <c r="S54" s="41" t="s">
        <v>289</v>
      </c>
      <c r="T54" s="40" t="str">
        <f t="shared" si="4"/>
        <v>56136;3.4375;true</v>
      </c>
    </row>
    <row r="55" spans="1:20" ht="14.5" x14ac:dyDescent="0.3">
      <c r="A55" s="5">
        <v>56187</v>
      </c>
      <c r="B55">
        <v>102</v>
      </c>
      <c r="C55">
        <v>4</v>
      </c>
      <c r="D55" s="3" t="s">
        <v>46</v>
      </c>
      <c r="E55" s="4">
        <v>7200</v>
      </c>
      <c r="F55" s="4">
        <v>0</v>
      </c>
      <c r="I55" s="7" t="str">
        <f t="shared" si="1"/>
        <v>56139;100</v>
      </c>
      <c r="K55" s="6" t="str">
        <f>A55&amp;";1|56001;150"</f>
        <v>56187;1|56001;150</v>
      </c>
      <c r="L55">
        <v>56139</v>
      </c>
      <c r="M55">
        <v>56139</v>
      </c>
      <c r="P55" s="42">
        <v>56137</v>
      </c>
      <c r="Q55" s="42">
        <v>55</v>
      </c>
      <c r="R55" s="42">
        <v>16</v>
      </c>
      <c r="S55" s="41" t="s">
        <v>289</v>
      </c>
      <c r="T55" s="40" t="str">
        <f t="shared" si="4"/>
        <v>56137;3.4375;true</v>
      </c>
    </row>
    <row r="56" spans="1:20" ht="14.5" x14ac:dyDescent="0.3">
      <c r="A56" s="5">
        <v>56188</v>
      </c>
      <c r="B56">
        <v>102</v>
      </c>
      <c r="C56">
        <v>1</v>
      </c>
      <c r="D56" s="3" t="s">
        <v>62</v>
      </c>
      <c r="E56" s="4">
        <v>21600</v>
      </c>
      <c r="F56" s="4">
        <v>0</v>
      </c>
      <c r="I56" s="7" t="str">
        <f t="shared" si="1"/>
        <v>56140;100</v>
      </c>
      <c r="K56" s="6" t="str">
        <f>A56&amp;";1|56001;400"</f>
        <v>56188;1|56001;400</v>
      </c>
      <c r="L56">
        <v>56140</v>
      </c>
      <c r="M56">
        <v>56140</v>
      </c>
      <c r="P56" s="42">
        <v>56138</v>
      </c>
      <c r="Q56" s="42">
        <v>55</v>
      </c>
      <c r="R56" s="42">
        <v>16</v>
      </c>
      <c r="S56" s="41" t="s">
        <v>289</v>
      </c>
      <c r="T56" s="40" t="str">
        <f t="shared" si="4"/>
        <v>56138;3.4375;true</v>
      </c>
    </row>
    <row r="57" spans="1:20" ht="14.5" x14ac:dyDescent="0.3">
      <c r="A57" s="5">
        <v>56189</v>
      </c>
      <c r="B57">
        <v>102</v>
      </c>
      <c r="C57">
        <v>2</v>
      </c>
      <c r="D57" s="3" t="s">
        <v>62</v>
      </c>
      <c r="E57" s="4">
        <v>21600</v>
      </c>
      <c r="F57" s="4">
        <v>0</v>
      </c>
      <c r="I57" s="7" t="str">
        <f t="shared" si="1"/>
        <v>56141;100</v>
      </c>
      <c r="K57" s="6" t="str">
        <f>A57&amp;";1|56001;400"</f>
        <v>56189;1|56001;400</v>
      </c>
      <c r="L57">
        <v>56141</v>
      </c>
      <c r="M57">
        <v>56141</v>
      </c>
      <c r="P57" s="42">
        <v>56139</v>
      </c>
      <c r="Q57" s="42">
        <v>55</v>
      </c>
      <c r="R57" s="42">
        <v>16</v>
      </c>
      <c r="S57" s="41" t="s">
        <v>289</v>
      </c>
      <c r="T57" s="40" t="str">
        <f t="shared" si="4"/>
        <v>56139;3.4375;true</v>
      </c>
    </row>
    <row r="58" spans="1:20" ht="14.5" x14ac:dyDescent="0.3">
      <c r="A58" s="5">
        <v>56190</v>
      </c>
      <c r="B58">
        <v>102</v>
      </c>
      <c r="C58">
        <v>3</v>
      </c>
      <c r="D58" s="3" t="s">
        <v>62</v>
      </c>
      <c r="E58" s="4">
        <v>21600</v>
      </c>
      <c r="F58" s="4">
        <v>0</v>
      </c>
      <c r="I58" s="7" t="str">
        <f t="shared" si="1"/>
        <v>56142;100</v>
      </c>
      <c r="K58" s="6" t="str">
        <f>A58&amp;";1|56001;400"</f>
        <v>56190;1|56001;400</v>
      </c>
      <c r="L58">
        <v>56142</v>
      </c>
      <c r="M58">
        <v>56142</v>
      </c>
    </row>
    <row r="59" spans="1:20" ht="14.5" x14ac:dyDescent="0.3">
      <c r="A59" s="5">
        <v>56191</v>
      </c>
      <c r="B59">
        <v>102</v>
      </c>
      <c r="C59">
        <v>4</v>
      </c>
      <c r="D59" s="3" t="s">
        <v>62</v>
      </c>
      <c r="E59" s="4">
        <v>21600</v>
      </c>
      <c r="F59" s="4">
        <v>0</v>
      </c>
      <c r="I59" s="7" t="str">
        <f t="shared" si="1"/>
        <v>56143;100</v>
      </c>
      <c r="K59" s="6" t="str">
        <f>A59&amp;";1|56001;400"</f>
        <v>56191;1|56001;400</v>
      </c>
      <c r="L59">
        <v>56143</v>
      </c>
      <c r="M59">
        <v>56143</v>
      </c>
    </row>
    <row r="60" spans="1:20" ht="14.5" x14ac:dyDescent="0.3">
      <c r="A60" s="5">
        <v>56192</v>
      </c>
      <c r="B60">
        <v>102</v>
      </c>
      <c r="C60">
        <v>1</v>
      </c>
      <c r="D60" s="3" t="s">
        <v>73</v>
      </c>
      <c r="E60" s="4">
        <v>144000</v>
      </c>
      <c r="F60" s="4">
        <v>0</v>
      </c>
      <c r="I60" s="7" t="str">
        <f t="shared" si="1"/>
        <v>56144;100</v>
      </c>
      <c r="K60" s="6" t="str">
        <f t="shared" ref="K60" si="7">A60&amp;";1|56001;3000"</f>
        <v>56192;1|56001;3000</v>
      </c>
      <c r="L60">
        <v>56144</v>
      </c>
      <c r="M60">
        <v>56144</v>
      </c>
    </row>
    <row r="61" spans="1:20" ht="14.5" x14ac:dyDescent="0.3">
      <c r="A61" s="5">
        <v>56193</v>
      </c>
      <c r="B61">
        <v>102</v>
      </c>
      <c r="C61">
        <v>2</v>
      </c>
      <c r="D61" s="3" t="s">
        <v>73</v>
      </c>
      <c r="E61" s="4">
        <v>144000</v>
      </c>
      <c r="F61" s="4">
        <v>0</v>
      </c>
      <c r="I61" s="7" t="str">
        <f t="shared" si="1"/>
        <v>56145;100</v>
      </c>
      <c r="K61" s="6" t="str">
        <f t="shared" si="5"/>
        <v>56193;1|56001;3000</v>
      </c>
      <c r="L61">
        <v>56145</v>
      </c>
      <c r="M61">
        <v>56145</v>
      </c>
    </row>
    <row r="62" spans="1:20" ht="14.5" x14ac:dyDescent="0.3">
      <c r="A62" s="5">
        <v>56194</v>
      </c>
      <c r="B62">
        <v>102</v>
      </c>
      <c r="C62">
        <v>3</v>
      </c>
      <c r="D62" s="3" t="s">
        <v>73</v>
      </c>
      <c r="E62" s="4">
        <v>144000</v>
      </c>
      <c r="F62" s="4">
        <v>0</v>
      </c>
      <c r="I62" s="7" t="str">
        <f t="shared" si="1"/>
        <v>56146;100</v>
      </c>
      <c r="K62" s="6" t="str">
        <f t="shared" si="5"/>
        <v>56194;1|56001;3000</v>
      </c>
      <c r="L62">
        <v>56146</v>
      </c>
      <c r="M62">
        <v>56146</v>
      </c>
    </row>
    <row r="63" spans="1:20" ht="14.5" x14ac:dyDescent="0.3">
      <c r="A63" s="5">
        <v>56195</v>
      </c>
      <c r="B63">
        <v>102</v>
      </c>
      <c r="C63">
        <v>4</v>
      </c>
      <c r="D63" s="3" t="s">
        <v>73</v>
      </c>
      <c r="E63" s="4">
        <v>144000</v>
      </c>
      <c r="F63" s="4">
        <v>0</v>
      </c>
      <c r="I63" s="7" t="str">
        <f t="shared" si="1"/>
        <v>56147;100</v>
      </c>
      <c r="K63" s="6" t="str">
        <f t="shared" si="5"/>
        <v>56195;1|56001;3000</v>
      </c>
      <c r="L63">
        <v>56147</v>
      </c>
      <c r="M63">
        <v>56147</v>
      </c>
    </row>
    <row r="65" spans="1:19" ht="14.5" x14ac:dyDescent="0.3">
      <c r="A65" s="8">
        <v>56208</v>
      </c>
      <c r="B65">
        <v>101</v>
      </c>
      <c r="C65" s="3" t="s">
        <v>230</v>
      </c>
      <c r="D65" s="3" t="s">
        <v>62</v>
      </c>
      <c r="E65" s="3">
        <v>21600</v>
      </c>
      <c r="F65" s="3">
        <v>0</v>
      </c>
      <c r="I65" s="3" t="s">
        <v>236</v>
      </c>
      <c r="K65" s="6" t="str">
        <f>A65&amp;";1|56001;400"</f>
        <v>56208;1|56001;400</v>
      </c>
      <c r="L65">
        <v>56020</v>
      </c>
      <c r="M65" s="5">
        <v>56025</v>
      </c>
      <c r="S65" s="9"/>
    </row>
    <row r="66" spans="1:19" ht="14.5" x14ac:dyDescent="0.3">
      <c r="A66" s="8">
        <v>56209</v>
      </c>
      <c r="B66">
        <v>102</v>
      </c>
      <c r="C66" s="3" t="s">
        <v>230</v>
      </c>
      <c r="D66" s="3" t="s">
        <v>62</v>
      </c>
      <c r="E66" s="3">
        <v>21600</v>
      </c>
      <c r="F66" s="3">
        <v>0</v>
      </c>
      <c r="I66" s="3" t="s">
        <v>237</v>
      </c>
      <c r="K66" s="6" t="str">
        <f t="shared" ref="K66:K68" si="8">A66&amp;";1|56001;400"</f>
        <v>56209;1|56001;400</v>
      </c>
      <c r="L66">
        <v>56020</v>
      </c>
      <c r="M66" s="5">
        <v>56025</v>
      </c>
      <c r="S66" s="9"/>
    </row>
    <row r="67" spans="1:19" ht="14.5" x14ac:dyDescent="0.3">
      <c r="A67" s="8">
        <v>56210</v>
      </c>
      <c r="B67">
        <v>103</v>
      </c>
      <c r="C67" s="3" t="s">
        <v>230</v>
      </c>
      <c r="D67" s="3" t="s">
        <v>62</v>
      </c>
      <c r="E67" s="3">
        <v>21600</v>
      </c>
      <c r="F67" s="3">
        <v>0</v>
      </c>
      <c r="I67" s="3" t="s">
        <v>238</v>
      </c>
      <c r="K67" s="6" t="str">
        <f t="shared" si="8"/>
        <v>56210;1|56001;400</v>
      </c>
      <c r="L67">
        <v>56020</v>
      </c>
      <c r="M67" s="5">
        <v>56025</v>
      </c>
      <c r="S67" s="9"/>
    </row>
    <row r="68" spans="1:19" ht="14.5" x14ac:dyDescent="0.3">
      <c r="A68" s="8">
        <v>56211</v>
      </c>
      <c r="B68">
        <v>104</v>
      </c>
      <c r="C68" s="3" t="s">
        <v>230</v>
      </c>
      <c r="D68" s="3" t="s">
        <v>62</v>
      </c>
      <c r="E68" s="3">
        <v>21600</v>
      </c>
      <c r="F68" s="3">
        <v>0</v>
      </c>
      <c r="I68" s="3" t="s">
        <v>239</v>
      </c>
      <c r="K68" s="6" t="str">
        <f t="shared" si="8"/>
        <v>56211;1|56001;400</v>
      </c>
      <c r="L68">
        <v>56020</v>
      </c>
      <c r="M68" s="5">
        <v>56025</v>
      </c>
      <c r="S68" s="9"/>
    </row>
  </sheetData>
  <phoneticPr fontId="8" type="noConversion"/>
  <conditionalFormatting sqref="A16:A63">
    <cfRule type="duplicateValues" dxfId="22" priority="48"/>
  </conditionalFormatting>
  <conditionalFormatting sqref="A65:A68">
    <cfRule type="duplicateValues" dxfId="21" priority="7"/>
  </conditionalFormatting>
  <conditionalFormatting sqref="M5:M8">
    <cfRule type="duplicateValues" dxfId="20" priority="14"/>
    <cfRule type="duplicateValues" dxfId="19" priority="15"/>
    <cfRule type="duplicateValues" dxfId="18" priority="16"/>
    <cfRule type="duplicateValues" dxfId="17" priority="17"/>
    <cfRule type="duplicateValues" dxfId="16" priority="18"/>
    <cfRule type="duplicateValues" dxfId="15" priority="19"/>
  </conditionalFormatting>
  <conditionalFormatting sqref="M9:M12">
    <cfRule type="duplicateValues" dxfId="14" priority="8"/>
    <cfRule type="duplicateValues" dxfId="13" priority="9"/>
    <cfRule type="duplicateValues" dxfId="12" priority="10"/>
    <cfRule type="duplicateValues" dxfId="11" priority="11"/>
    <cfRule type="duplicateValues" dxfId="10" priority="12"/>
    <cfRule type="duplicateValues" dxfId="9" priority="13"/>
  </conditionalFormatting>
  <conditionalFormatting sqref="M65:M68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>
      <selection activeCell="F15" sqref="F15"/>
    </sheetView>
  </sheetViews>
  <sheetFormatPr defaultColWidth="9.08203125" defaultRowHeight="14" x14ac:dyDescent="0.3"/>
  <cols>
    <col min="1" max="1" width="65.08203125" customWidth="1"/>
    <col min="2" max="2" width="21.33203125" customWidth="1"/>
    <col min="3" max="3" width="19.58203125" customWidth="1"/>
    <col min="4" max="4" width="22.08203125" customWidth="1"/>
  </cols>
  <sheetData>
    <row r="1" spans="1:4" x14ac:dyDescent="0.3">
      <c r="A1" t="s">
        <v>240</v>
      </c>
    </row>
    <row r="2" spans="1:4" x14ac:dyDescent="0.3">
      <c r="A2" t="s">
        <v>241</v>
      </c>
      <c r="B2" t="s">
        <v>242</v>
      </c>
      <c r="C2" t="s">
        <v>243</v>
      </c>
      <c r="D2" t="s">
        <v>244</v>
      </c>
    </row>
    <row r="3" spans="1:4" x14ac:dyDescent="0.3">
      <c r="A3" t="s">
        <v>245</v>
      </c>
      <c r="B3" t="s">
        <v>246</v>
      </c>
      <c r="C3" t="s">
        <v>247</v>
      </c>
      <c r="D3" t="s">
        <v>248</v>
      </c>
    </row>
    <row r="4" spans="1:4" x14ac:dyDescent="0.3">
      <c r="A4">
        <v>1</v>
      </c>
      <c r="B4" s="3" t="s">
        <v>73</v>
      </c>
      <c r="C4">
        <v>1</v>
      </c>
    </row>
    <row r="5" spans="1:4" x14ac:dyDescent="0.3">
      <c r="A5">
        <v>2</v>
      </c>
      <c r="B5" s="3" t="s">
        <v>73</v>
      </c>
      <c r="C5">
        <v>1</v>
      </c>
    </row>
    <row r="6" spans="1:4" x14ac:dyDescent="0.3">
      <c r="A6">
        <v>3</v>
      </c>
      <c r="B6" s="3" t="s">
        <v>73</v>
      </c>
      <c r="C6">
        <v>1</v>
      </c>
    </row>
    <row r="7" spans="1:4" x14ac:dyDescent="0.3">
      <c r="A7">
        <v>4</v>
      </c>
      <c r="B7" s="3" t="s">
        <v>73</v>
      </c>
      <c r="C7">
        <v>1</v>
      </c>
    </row>
    <row r="8" spans="1:4" x14ac:dyDescent="0.3">
      <c r="A8">
        <v>5</v>
      </c>
      <c r="B8" s="3" t="s">
        <v>73</v>
      </c>
      <c r="C8">
        <v>1</v>
      </c>
    </row>
    <row r="9" spans="1:4" x14ac:dyDescent="0.3">
      <c r="A9">
        <v>6</v>
      </c>
      <c r="B9" s="3" t="s">
        <v>73</v>
      </c>
      <c r="C9">
        <v>1</v>
      </c>
    </row>
    <row r="10" spans="1:4" x14ac:dyDescent="0.3">
      <c r="A10">
        <v>7</v>
      </c>
      <c r="B10" s="3" t="s">
        <v>73</v>
      </c>
      <c r="C10">
        <v>1</v>
      </c>
    </row>
    <row r="11" spans="1:4" x14ac:dyDescent="0.3">
      <c r="A11">
        <v>8</v>
      </c>
      <c r="B11" s="3" t="s">
        <v>73</v>
      </c>
      <c r="C11">
        <v>1</v>
      </c>
    </row>
    <row r="12" spans="1:4" x14ac:dyDescent="0.3">
      <c r="A12">
        <v>9</v>
      </c>
      <c r="B12" s="3" t="s">
        <v>73</v>
      </c>
      <c r="C12">
        <v>1</v>
      </c>
    </row>
    <row r="13" spans="1:4" x14ac:dyDescent="0.3">
      <c r="A13">
        <v>10</v>
      </c>
      <c r="B13" s="3" t="s">
        <v>73</v>
      </c>
      <c r="C13">
        <v>1</v>
      </c>
    </row>
    <row r="14" spans="1:4" x14ac:dyDescent="0.3">
      <c r="A14">
        <v>11</v>
      </c>
      <c r="B14" s="3" t="s">
        <v>73</v>
      </c>
      <c r="C14">
        <v>1</v>
      </c>
    </row>
    <row r="15" spans="1:4" x14ac:dyDescent="0.3">
      <c r="A15">
        <v>12</v>
      </c>
      <c r="B15" s="3" t="s">
        <v>73</v>
      </c>
      <c r="C15">
        <v>1</v>
      </c>
    </row>
    <row r="16" spans="1:4" x14ac:dyDescent="0.3">
      <c r="A16">
        <v>13</v>
      </c>
      <c r="B16" s="3" t="s">
        <v>73</v>
      </c>
      <c r="C16">
        <v>1</v>
      </c>
    </row>
    <row r="17" spans="1:3" x14ac:dyDescent="0.3">
      <c r="A17">
        <v>14</v>
      </c>
      <c r="B17" s="3" t="s">
        <v>73</v>
      </c>
      <c r="C17">
        <v>1</v>
      </c>
    </row>
    <row r="18" spans="1:3" x14ac:dyDescent="0.3">
      <c r="A18">
        <v>15</v>
      </c>
      <c r="B18" s="3" t="s">
        <v>73</v>
      </c>
      <c r="C18">
        <v>1</v>
      </c>
    </row>
    <row r="19" spans="1:3" x14ac:dyDescent="0.3">
      <c r="A19">
        <v>16</v>
      </c>
      <c r="B19" s="3" t="s">
        <v>73</v>
      </c>
      <c r="C19">
        <v>1</v>
      </c>
    </row>
    <row r="20" spans="1:3" x14ac:dyDescent="0.3">
      <c r="A20">
        <v>17</v>
      </c>
      <c r="B20" s="3" t="s">
        <v>73</v>
      </c>
      <c r="C20">
        <v>1</v>
      </c>
    </row>
    <row r="21" spans="1:3" x14ac:dyDescent="0.3">
      <c r="A21">
        <v>18</v>
      </c>
      <c r="B21" s="3" t="s">
        <v>73</v>
      </c>
      <c r="C21">
        <v>2</v>
      </c>
    </row>
    <row r="22" spans="1:3" x14ac:dyDescent="0.3">
      <c r="A22">
        <v>19</v>
      </c>
      <c r="B22" s="3" t="s">
        <v>73</v>
      </c>
      <c r="C22">
        <v>2</v>
      </c>
    </row>
    <row r="23" spans="1:3" x14ac:dyDescent="0.3">
      <c r="A23">
        <v>20</v>
      </c>
      <c r="B23" s="3" t="s">
        <v>73</v>
      </c>
      <c r="C23">
        <v>2</v>
      </c>
    </row>
    <row r="24" spans="1:3" x14ac:dyDescent="0.3">
      <c r="A24">
        <v>21</v>
      </c>
      <c r="B24" s="3" t="s">
        <v>73</v>
      </c>
      <c r="C24">
        <v>3</v>
      </c>
    </row>
    <row r="25" spans="1:3" x14ac:dyDescent="0.3">
      <c r="A25">
        <v>22</v>
      </c>
      <c r="B25" s="3" t="s">
        <v>73</v>
      </c>
      <c r="C25">
        <v>3</v>
      </c>
    </row>
    <row r="26" spans="1:3" x14ac:dyDescent="0.3">
      <c r="A26">
        <v>23</v>
      </c>
      <c r="B26" s="3" t="s">
        <v>73</v>
      </c>
      <c r="C26">
        <v>3</v>
      </c>
    </row>
    <row r="27" spans="1:3" x14ac:dyDescent="0.3">
      <c r="A27">
        <v>24</v>
      </c>
      <c r="B27" s="3" t="s">
        <v>73</v>
      </c>
      <c r="C27">
        <v>4</v>
      </c>
    </row>
    <row r="28" spans="1:3" x14ac:dyDescent="0.3">
      <c r="A28">
        <v>25</v>
      </c>
      <c r="B28" s="3" t="s">
        <v>73</v>
      </c>
      <c r="C28">
        <v>4</v>
      </c>
    </row>
    <row r="29" spans="1:3" x14ac:dyDescent="0.3">
      <c r="A29">
        <v>26</v>
      </c>
      <c r="B29" s="3" t="s">
        <v>73</v>
      </c>
      <c r="C29">
        <v>4</v>
      </c>
    </row>
    <row r="30" spans="1:3" x14ac:dyDescent="0.3">
      <c r="A30">
        <v>27</v>
      </c>
      <c r="B30" s="3" t="s">
        <v>73</v>
      </c>
      <c r="C30">
        <v>4</v>
      </c>
    </row>
    <row r="31" spans="1:3" x14ac:dyDescent="0.3">
      <c r="A31">
        <v>28</v>
      </c>
      <c r="B31" s="3" t="s">
        <v>73</v>
      </c>
      <c r="C31">
        <v>4</v>
      </c>
    </row>
    <row r="32" spans="1:3" x14ac:dyDescent="0.3">
      <c r="A32">
        <v>29</v>
      </c>
      <c r="B32" s="3" t="s">
        <v>73</v>
      </c>
      <c r="C32">
        <v>4</v>
      </c>
    </row>
    <row r="33" spans="1:3" x14ac:dyDescent="0.3">
      <c r="A33">
        <v>30</v>
      </c>
      <c r="B33" s="3" t="s">
        <v>73</v>
      </c>
      <c r="C33">
        <v>4</v>
      </c>
    </row>
  </sheetData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>
      <selection activeCell="A34" sqref="A34"/>
    </sheetView>
  </sheetViews>
  <sheetFormatPr defaultColWidth="9.08203125" defaultRowHeight="14" x14ac:dyDescent="0.3"/>
  <cols>
    <col min="1" max="1" width="70.83203125" customWidth="1"/>
    <col min="2" max="2" width="46.75" customWidth="1"/>
    <col min="3" max="3" width="24.83203125" customWidth="1"/>
  </cols>
  <sheetData>
    <row r="1" spans="1:3" x14ac:dyDescent="0.3">
      <c r="A1" s="3" t="s">
        <v>249</v>
      </c>
      <c r="C1" t="s">
        <v>250</v>
      </c>
    </row>
    <row r="2" spans="1:3" x14ac:dyDescent="0.3">
      <c r="A2" t="s">
        <v>251</v>
      </c>
      <c r="B2" t="s">
        <v>0</v>
      </c>
      <c r="C2">
        <v>1</v>
      </c>
    </row>
    <row r="3" spans="1:3" x14ac:dyDescent="0.3">
      <c r="A3" t="s">
        <v>252</v>
      </c>
      <c r="B3" t="s">
        <v>253</v>
      </c>
      <c r="C3">
        <v>1</v>
      </c>
    </row>
    <row r="4" spans="1:3" x14ac:dyDescent="0.3">
      <c r="A4" t="s">
        <v>254</v>
      </c>
      <c r="B4" t="s">
        <v>255</v>
      </c>
      <c r="C4">
        <v>1</v>
      </c>
    </row>
    <row r="5" spans="1:3" x14ac:dyDescent="0.3">
      <c r="A5" t="s">
        <v>256</v>
      </c>
      <c r="B5" t="s">
        <v>257</v>
      </c>
      <c r="C5">
        <v>1</v>
      </c>
    </row>
    <row r="6" spans="1:3" x14ac:dyDescent="0.3">
      <c r="A6" t="s">
        <v>258</v>
      </c>
      <c r="B6" t="s">
        <v>259</v>
      </c>
      <c r="C6" s="3" t="s">
        <v>260</v>
      </c>
    </row>
    <row r="7" spans="1:3" x14ac:dyDescent="0.3">
      <c r="A7" t="s">
        <v>261</v>
      </c>
      <c r="B7" t="s">
        <v>262</v>
      </c>
      <c r="C7" s="3" t="s">
        <v>263</v>
      </c>
    </row>
    <row r="8" spans="1:3" x14ac:dyDescent="0.3">
      <c r="A8" t="s">
        <v>264</v>
      </c>
      <c r="B8" t="s">
        <v>265</v>
      </c>
      <c r="C8" s="3" t="s">
        <v>266</v>
      </c>
    </row>
    <row r="9" spans="1:3" x14ac:dyDescent="0.3">
      <c r="A9" t="s">
        <v>267</v>
      </c>
      <c r="B9" t="s">
        <v>268</v>
      </c>
      <c r="C9">
        <v>1000</v>
      </c>
    </row>
    <row r="10" spans="1:3" x14ac:dyDescent="0.3">
      <c r="A10" t="s">
        <v>269</v>
      </c>
      <c r="B10" t="s">
        <v>270</v>
      </c>
      <c r="C10">
        <v>0.8</v>
      </c>
    </row>
    <row r="11" spans="1:3" x14ac:dyDescent="0.3">
      <c r="A11" s="3" t="s">
        <v>271</v>
      </c>
      <c r="B11" s="3" t="s">
        <v>272</v>
      </c>
      <c r="C11">
        <v>4120</v>
      </c>
    </row>
    <row r="12" spans="1:3" x14ac:dyDescent="0.3">
      <c r="A12" s="3" t="s">
        <v>273</v>
      </c>
      <c r="B12" s="3" t="s">
        <v>274</v>
      </c>
      <c r="C12">
        <v>4120</v>
      </c>
    </row>
    <row r="13" spans="1:3" x14ac:dyDescent="0.3">
      <c r="A13" s="3" t="s">
        <v>275</v>
      </c>
      <c r="B13" s="3" t="s">
        <v>276</v>
      </c>
      <c r="C13">
        <v>4120</v>
      </c>
    </row>
    <row r="14" spans="1:3" x14ac:dyDescent="0.3">
      <c r="A14" t="s">
        <v>277</v>
      </c>
      <c r="B14" t="s">
        <v>278</v>
      </c>
      <c r="C14">
        <v>0</v>
      </c>
    </row>
    <row r="15" spans="1:3" x14ac:dyDescent="0.3">
      <c r="A15" t="s">
        <v>279</v>
      </c>
      <c r="B15" t="s">
        <v>280</v>
      </c>
      <c r="C15">
        <v>1</v>
      </c>
    </row>
  </sheetData>
  <phoneticPr fontId="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63"/>
  <sheetViews>
    <sheetView workbookViewId="0">
      <selection activeCell="D142" sqref="D142"/>
    </sheetView>
  </sheetViews>
  <sheetFormatPr defaultColWidth="9.08203125" defaultRowHeight="14" x14ac:dyDescent="0.3"/>
  <cols>
    <col min="1" max="1" width="25.25" customWidth="1"/>
    <col min="2" max="2" width="21.33203125" customWidth="1"/>
    <col min="3" max="3" width="16.08203125" customWidth="1"/>
    <col min="4" max="4" width="39.08203125" customWidth="1"/>
    <col min="5" max="7" width="16.83203125" customWidth="1"/>
    <col min="8" max="8" width="17.08203125" customWidth="1"/>
    <col min="9" max="9" width="20.5" customWidth="1"/>
    <col min="10" max="10" width="16.25" customWidth="1"/>
    <col min="11" max="11" width="25.58203125" customWidth="1"/>
    <col min="12" max="12" width="21.33203125" customWidth="1"/>
  </cols>
  <sheetData>
    <row r="1" spans="1:13" x14ac:dyDescent="0.3">
      <c r="A1" s="1" t="s">
        <v>316</v>
      </c>
    </row>
    <row r="2" spans="1:13" ht="16.5" x14ac:dyDescent="0.3">
      <c r="A2" t="s">
        <v>281</v>
      </c>
      <c r="B2" s="1" t="s">
        <v>318</v>
      </c>
      <c r="C2" t="s">
        <v>282</v>
      </c>
      <c r="D2" t="s">
        <v>283</v>
      </c>
      <c r="E2" t="s">
        <v>284</v>
      </c>
      <c r="F2" s="1" t="s">
        <v>317</v>
      </c>
      <c r="G2" s="1" t="s">
        <v>320</v>
      </c>
      <c r="H2" s="2" t="s">
        <v>11</v>
      </c>
      <c r="I2" s="2" t="s">
        <v>12</v>
      </c>
      <c r="J2" s="2" t="s">
        <v>13</v>
      </c>
      <c r="K2" s="2" t="s">
        <v>15</v>
      </c>
      <c r="L2" s="2" t="s">
        <v>16</v>
      </c>
      <c r="M2" s="45" t="s">
        <v>293</v>
      </c>
    </row>
    <row r="3" spans="1:13" ht="16.5" x14ac:dyDescent="0.3">
      <c r="A3" t="s">
        <v>0</v>
      </c>
      <c r="B3" s="1" t="s">
        <v>285</v>
      </c>
      <c r="C3" s="1" t="s">
        <v>333</v>
      </c>
      <c r="D3" t="s">
        <v>286</v>
      </c>
      <c r="E3" t="s">
        <v>29</v>
      </c>
      <c r="F3" s="1" t="s">
        <v>319</v>
      </c>
      <c r="G3" s="1" t="s">
        <v>321</v>
      </c>
      <c r="H3" s="2" t="s">
        <v>32</v>
      </c>
      <c r="I3" s="2" t="s">
        <v>33</v>
      </c>
      <c r="J3" s="2" t="s">
        <v>34</v>
      </c>
      <c r="K3" s="2" t="s">
        <v>36</v>
      </c>
      <c r="L3" s="2" t="s">
        <v>37</v>
      </c>
    </row>
    <row r="4" spans="1:13" x14ac:dyDescent="0.3">
      <c r="A4">
        <v>56028</v>
      </c>
      <c r="B4">
        <v>1</v>
      </c>
      <c r="C4" s="1" t="s">
        <v>412</v>
      </c>
      <c r="E4">
        <v>40</v>
      </c>
      <c r="F4">
        <v>1</v>
      </c>
      <c r="G4">
        <v>1</v>
      </c>
      <c r="H4" s="16">
        <v>20000</v>
      </c>
      <c r="I4" s="44">
        <v>0</v>
      </c>
      <c r="J4" s="20">
        <v>4.0000000000000001E-3</v>
      </c>
      <c r="K4" s="44">
        <v>1</v>
      </c>
      <c r="L4" s="1" t="s">
        <v>299</v>
      </c>
      <c r="M4" s="1" t="s">
        <v>294</v>
      </c>
    </row>
    <row r="5" spans="1:13" x14ac:dyDescent="0.3">
      <c r="A5">
        <v>56029</v>
      </c>
      <c r="B5">
        <v>1</v>
      </c>
      <c r="C5" s="1" t="s">
        <v>412</v>
      </c>
      <c r="E5">
        <v>40</v>
      </c>
      <c r="F5">
        <v>2</v>
      </c>
      <c r="G5">
        <v>1</v>
      </c>
      <c r="H5" s="16">
        <v>20030</v>
      </c>
      <c r="I5" s="44">
        <v>0</v>
      </c>
      <c r="J5" s="20">
        <v>4.0000000000000001E-3</v>
      </c>
      <c r="K5" s="44">
        <v>1</v>
      </c>
      <c r="L5" s="1" t="s">
        <v>300</v>
      </c>
    </row>
    <row r="6" spans="1:13" x14ac:dyDescent="0.3">
      <c r="A6">
        <v>56030</v>
      </c>
      <c r="B6">
        <v>1</v>
      </c>
      <c r="C6" s="1" t="s">
        <v>412</v>
      </c>
      <c r="E6">
        <v>40</v>
      </c>
      <c r="F6">
        <v>3</v>
      </c>
      <c r="G6">
        <v>1</v>
      </c>
      <c r="H6" s="16">
        <v>20060</v>
      </c>
      <c r="I6" s="44">
        <v>0</v>
      </c>
      <c r="J6" s="20">
        <v>2E-3</v>
      </c>
      <c r="K6" s="44">
        <v>1</v>
      </c>
      <c r="L6" s="1" t="s">
        <v>301</v>
      </c>
    </row>
    <row r="7" spans="1:13" x14ac:dyDescent="0.3">
      <c r="A7">
        <v>56031</v>
      </c>
      <c r="B7">
        <v>1</v>
      </c>
      <c r="C7" s="1" t="s">
        <v>412</v>
      </c>
      <c r="E7">
        <v>40</v>
      </c>
      <c r="F7">
        <v>4</v>
      </c>
      <c r="G7">
        <v>1</v>
      </c>
      <c r="H7" s="16">
        <v>6001</v>
      </c>
      <c r="I7" s="44">
        <v>3</v>
      </c>
      <c r="J7" s="47">
        <v>100</v>
      </c>
      <c r="K7" s="44">
        <v>1</v>
      </c>
      <c r="L7" s="1" t="s">
        <v>302</v>
      </c>
    </row>
    <row r="8" spans="1:13" x14ac:dyDescent="0.3">
      <c r="A8">
        <v>56032</v>
      </c>
      <c r="B8">
        <v>1</v>
      </c>
      <c r="C8" s="1" t="s">
        <v>412</v>
      </c>
      <c r="E8">
        <v>40</v>
      </c>
      <c r="F8">
        <v>5</v>
      </c>
      <c r="G8">
        <v>1</v>
      </c>
      <c r="H8" s="16">
        <v>1061</v>
      </c>
      <c r="I8" s="44">
        <v>0</v>
      </c>
      <c r="J8" s="20">
        <v>4.0000000000000001E-3</v>
      </c>
      <c r="K8" s="44">
        <v>1</v>
      </c>
      <c r="L8" s="1" t="s">
        <v>303</v>
      </c>
    </row>
    <row r="9" spans="1:13" x14ac:dyDescent="0.3">
      <c r="A9">
        <v>56033</v>
      </c>
      <c r="B9">
        <v>2</v>
      </c>
      <c r="C9" s="1" t="s">
        <v>413</v>
      </c>
      <c r="E9">
        <v>40</v>
      </c>
      <c r="F9">
        <v>6</v>
      </c>
      <c r="G9">
        <v>1</v>
      </c>
      <c r="H9" s="16">
        <v>30220</v>
      </c>
      <c r="I9" s="44">
        <v>3</v>
      </c>
      <c r="J9" s="47">
        <v>0.9</v>
      </c>
      <c r="K9" s="44">
        <v>1</v>
      </c>
      <c r="L9" s="1" t="s">
        <v>304</v>
      </c>
    </row>
    <row r="10" spans="1:13" x14ac:dyDescent="0.3">
      <c r="A10">
        <v>56034</v>
      </c>
      <c r="B10">
        <v>2</v>
      </c>
      <c r="C10" s="1" t="s">
        <v>413</v>
      </c>
      <c r="E10">
        <v>40</v>
      </c>
      <c r="F10">
        <v>7</v>
      </c>
      <c r="G10">
        <v>1</v>
      </c>
      <c r="H10" s="16">
        <v>30240</v>
      </c>
      <c r="I10" s="44">
        <v>3</v>
      </c>
      <c r="J10" s="47">
        <v>0.9</v>
      </c>
      <c r="K10" s="44">
        <v>1</v>
      </c>
      <c r="L10" s="1" t="s">
        <v>305</v>
      </c>
    </row>
    <row r="11" spans="1:13" x14ac:dyDescent="0.3">
      <c r="A11">
        <v>56035</v>
      </c>
      <c r="B11">
        <v>2</v>
      </c>
      <c r="C11" s="1" t="s">
        <v>413</v>
      </c>
      <c r="E11">
        <v>40</v>
      </c>
      <c r="F11">
        <v>8</v>
      </c>
      <c r="G11">
        <v>1</v>
      </c>
      <c r="H11" s="16">
        <v>30230</v>
      </c>
      <c r="I11" s="44">
        <v>3</v>
      </c>
      <c r="J11" s="47">
        <v>0.9</v>
      </c>
      <c r="K11" s="44">
        <v>1</v>
      </c>
      <c r="L11" s="1" t="s">
        <v>306</v>
      </c>
    </row>
    <row r="12" spans="1:13" x14ac:dyDescent="0.3">
      <c r="A12">
        <v>56036</v>
      </c>
      <c r="B12">
        <v>2</v>
      </c>
      <c r="C12" s="1" t="s">
        <v>413</v>
      </c>
      <c r="E12">
        <v>40</v>
      </c>
      <c r="F12">
        <v>9</v>
      </c>
      <c r="G12">
        <v>1</v>
      </c>
      <c r="H12" s="16">
        <v>30250</v>
      </c>
      <c r="I12" s="44">
        <v>3</v>
      </c>
      <c r="J12" s="47">
        <v>0.9</v>
      </c>
      <c r="K12" s="44">
        <v>1</v>
      </c>
      <c r="L12" s="1" t="s">
        <v>307</v>
      </c>
    </row>
    <row r="13" spans="1:13" x14ac:dyDescent="0.3">
      <c r="A13">
        <v>56037</v>
      </c>
      <c r="B13">
        <v>2</v>
      </c>
      <c r="C13" s="1" t="s">
        <v>413</v>
      </c>
      <c r="E13">
        <v>40</v>
      </c>
      <c r="F13">
        <v>10</v>
      </c>
      <c r="G13">
        <v>1</v>
      </c>
      <c r="H13" s="16">
        <v>30200</v>
      </c>
      <c r="I13" s="44">
        <v>3</v>
      </c>
      <c r="J13" s="47">
        <v>0.45</v>
      </c>
      <c r="K13" s="44">
        <v>1</v>
      </c>
      <c r="L13" s="1" t="s">
        <v>308</v>
      </c>
    </row>
    <row r="14" spans="1:13" x14ac:dyDescent="0.3">
      <c r="A14">
        <v>56038</v>
      </c>
      <c r="B14">
        <v>3</v>
      </c>
      <c r="C14" s="1" t="s">
        <v>414</v>
      </c>
      <c r="E14">
        <v>40</v>
      </c>
      <c r="F14">
        <v>11</v>
      </c>
      <c r="G14">
        <v>1</v>
      </c>
      <c r="H14" s="16">
        <v>29601</v>
      </c>
      <c r="I14" s="44">
        <v>3</v>
      </c>
      <c r="J14" s="20">
        <v>3.0000000000000001E-3</v>
      </c>
      <c r="K14" s="44">
        <v>1</v>
      </c>
      <c r="L14" s="1" t="s">
        <v>309</v>
      </c>
    </row>
    <row r="15" spans="1:13" x14ac:dyDescent="0.3">
      <c r="A15">
        <v>56039</v>
      </c>
      <c r="B15">
        <v>3</v>
      </c>
      <c r="C15" s="1" t="s">
        <v>414</v>
      </c>
      <c r="E15">
        <v>40</v>
      </c>
      <c r="F15">
        <v>12</v>
      </c>
      <c r="G15">
        <v>1</v>
      </c>
      <c r="H15" s="16">
        <v>29501</v>
      </c>
      <c r="I15" s="44">
        <v>3</v>
      </c>
      <c r="J15" s="20">
        <v>3.0000000000000001E-3</v>
      </c>
      <c r="K15" s="44">
        <v>1</v>
      </c>
      <c r="L15" s="1" t="s">
        <v>310</v>
      </c>
    </row>
    <row r="16" spans="1:13" x14ac:dyDescent="0.3">
      <c r="A16">
        <v>56040</v>
      </c>
      <c r="B16">
        <v>3</v>
      </c>
      <c r="C16" s="1" t="s">
        <v>414</v>
      </c>
      <c r="E16">
        <v>40</v>
      </c>
      <c r="F16">
        <v>13</v>
      </c>
      <c r="G16">
        <v>1</v>
      </c>
      <c r="H16" s="16">
        <v>29401</v>
      </c>
      <c r="I16" s="44">
        <v>3</v>
      </c>
      <c r="J16" s="20">
        <v>3.0000000000000001E-3</v>
      </c>
      <c r="K16" s="44">
        <v>1</v>
      </c>
      <c r="L16" s="1" t="s">
        <v>311</v>
      </c>
    </row>
    <row r="17" spans="1:13" x14ac:dyDescent="0.3">
      <c r="A17">
        <v>56041</v>
      </c>
      <c r="B17">
        <v>3</v>
      </c>
      <c r="C17" s="1" t="s">
        <v>414</v>
      </c>
      <c r="E17">
        <v>40</v>
      </c>
      <c r="F17">
        <v>14</v>
      </c>
      <c r="G17">
        <v>1</v>
      </c>
      <c r="H17" s="16">
        <v>29301</v>
      </c>
      <c r="I17" s="44">
        <v>3</v>
      </c>
      <c r="J17" s="20">
        <v>3.0000000000000001E-3</v>
      </c>
      <c r="K17" s="44">
        <v>1</v>
      </c>
      <c r="L17" s="1" t="s">
        <v>312</v>
      </c>
    </row>
    <row r="18" spans="1:13" x14ac:dyDescent="0.3">
      <c r="A18">
        <v>56042</v>
      </c>
      <c r="B18">
        <v>3</v>
      </c>
      <c r="C18" s="1" t="s">
        <v>414</v>
      </c>
      <c r="E18">
        <v>40</v>
      </c>
      <c r="F18">
        <v>15</v>
      </c>
      <c r="G18">
        <v>1</v>
      </c>
      <c r="H18" s="16">
        <v>29801</v>
      </c>
      <c r="I18" s="44">
        <v>3</v>
      </c>
      <c r="J18" s="20">
        <v>3.0000000000000001E-3</v>
      </c>
      <c r="K18" s="44">
        <v>1</v>
      </c>
      <c r="L18" s="1" t="s">
        <v>313</v>
      </c>
    </row>
    <row r="19" spans="1:13" x14ac:dyDescent="0.3">
      <c r="A19">
        <v>56043</v>
      </c>
      <c r="B19">
        <v>3</v>
      </c>
      <c r="C19" s="1" t="s">
        <v>414</v>
      </c>
      <c r="E19">
        <v>40</v>
      </c>
      <c r="F19">
        <v>16</v>
      </c>
      <c r="G19">
        <v>1</v>
      </c>
      <c r="H19" s="16">
        <v>29201</v>
      </c>
      <c r="I19" s="44">
        <v>0</v>
      </c>
      <c r="J19" s="20">
        <v>3.0000000000000001E-3</v>
      </c>
      <c r="K19" s="44">
        <v>1</v>
      </c>
      <c r="L19" s="1" t="s">
        <v>314</v>
      </c>
    </row>
    <row r="20" spans="1:13" ht="14.5" x14ac:dyDescent="0.3">
      <c r="A20" s="5">
        <v>56044</v>
      </c>
      <c r="B20">
        <v>1</v>
      </c>
      <c r="C20" s="1" t="s">
        <v>412</v>
      </c>
      <c r="D20" s="1" t="str">
        <f>A4&amp;";3"</f>
        <v>56028;3</v>
      </c>
      <c r="E20">
        <v>120</v>
      </c>
      <c r="F20">
        <v>1</v>
      </c>
      <c r="G20">
        <v>2</v>
      </c>
      <c r="H20" s="16">
        <v>20000</v>
      </c>
      <c r="I20" s="44">
        <v>0</v>
      </c>
      <c r="J20" s="20">
        <v>6.0000000000000001E-3</v>
      </c>
      <c r="K20" s="44">
        <v>1</v>
      </c>
      <c r="L20" s="1" t="s">
        <v>299</v>
      </c>
      <c r="M20" s="1" t="s">
        <v>295</v>
      </c>
    </row>
    <row r="21" spans="1:13" ht="14.5" x14ac:dyDescent="0.3">
      <c r="A21" s="5">
        <v>56045</v>
      </c>
      <c r="B21">
        <v>1</v>
      </c>
      <c r="C21" s="1" t="s">
        <v>412</v>
      </c>
      <c r="D21" s="1" t="str">
        <f t="shared" ref="D21:D67" si="0">A5&amp;";3"</f>
        <v>56029;3</v>
      </c>
      <c r="E21">
        <v>120</v>
      </c>
      <c r="F21">
        <v>2</v>
      </c>
      <c r="G21">
        <v>2</v>
      </c>
      <c r="H21" s="16">
        <v>20030</v>
      </c>
      <c r="I21" s="44">
        <v>0</v>
      </c>
      <c r="J21" s="20">
        <v>6.0000000000000001E-3</v>
      </c>
      <c r="K21" s="44">
        <v>1</v>
      </c>
      <c r="L21" s="1" t="s">
        <v>300</v>
      </c>
    </row>
    <row r="22" spans="1:13" ht="14.5" x14ac:dyDescent="0.3">
      <c r="A22" s="5">
        <v>56046</v>
      </c>
      <c r="B22">
        <v>1</v>
      </c>
      <c r="C22" s="1" t="s">
        <v>412</v>
      </c>
      <c r="D22" s="1" t="str">
        <f t="shared" si="0"/>
        <v>56030;3</v>
      </c>
      <c r="E22">
        <v>120</v>
      </c>
      <c r="F22">
        <v>3</v>
      </c>
      <c r="G22">
        <v>2</v>
      </c>
      <c r="H22" s="16">
        <v>20060</v>
      </c>
      <c r="I22" s="44">
        <v>0</v>
      </c>
      <c r="J22" s="20">
        <v>3.0000000000000001E-3</v>
      </c>
      <c r="K22" s="44">
        <v>1</v>
      </c>
      <c r="L22" s="1" t="s">
        <v>301</v>
      </c>
    </row>
    <row r="23" spans="1:13" ht="14.5" x14ac:dyDescent="0.3">
      <c r="A23" s="5">
        <v>56047</v>
      </c>
      <c r="B23">
        <v>1</v>
      </c>
      <c r="C23" s="1" t="s">
        <v>412</v>
      </c>
      <c r="D23" s="1" t="str">
        <f t="shared" si="0"/>
        <v>56031;3</v>
      </c>
      <c r="E23">
        <v>120</v>
      </c>
      <c r="F23">
        <v>4</v>
      </c>
      <c r="G23">
        <v>2</v>
      </c>
      <c r="H23" s="16">
        <v>6001</v>
      </c>
      <c r="I23" s="44">
        <v>3</v>
      </c>
      <c r="J23" s="47">
        <v>150</v>
      </c>
      <c r="K23" s="44">
        <v>1</v>
      </c>
      <c r="L23" s="1" t="s">
        <v>302</v>
      </c>
    </row>
    <row r="24" spans="1:13" ht="14.5" x14ac:dyDescent="0.3">
      <c r="A24" s="5">
        <v>56048</v>
      </c>
      <c r="B24">
        <v>1</v>
      </c>
      <c r="C24" s="1" t="s">
        <v>412</v>
      </c>
      <c r="D24" s="1" t="str">
        <f t="shared" si="0"/>
        <v>56032;3</v>
      </c>
      <c r="E24">
        <v>120</v>
      </c>
      <c r="F24">
        <v>5</v>
      </c>
      <c r="G24">
        <v>2</v>
      </c>
      <c r="H24" s="16">
        <v>1061</v>
      </c>
      <c r="I24" s="44">
        <v>0</v>
      </c>
      <c r="J24" s="20">
        <v>6.0000000000000001E-3</v>
      </c>
      <c r="K24" s="44">
        <v>1</v>
      </c>
      <c r="L24" s="1" t="s">
        <v>303</v>
      </c>
    </row>
    <row r="25" spans="1:13" ht="14.5" x14ac:dyDescent="0.3">
      <c r="A25" s="5">
        <v>56049</v>
      </c>
      <c r="B25">
        <v>2</v>
      </c>
      <c r="C25" s="1" t="s">
        <v>413</v>
      </c>
      <c r="D25" s="1" t="str">
        <f t="shared" si="0"/>
        <v>56033;3</v>
      </c>
      <c r="E25">
        <v>120</v>
      </c>
      <c r="F25">
        <v>6</v>
      </c>
      <c r="G25">
        <v>2</v>
      </c>
      <c r="H25" s="16">
        <v>30220</v>
      </c>
      <c r="I25" s="44">
        <v>3</v>
      </c>
      <c r="J25" s="47">
        <v>1.35</v>
      </c>
      <c r="K25" s="44">
        <v>1</v>
      </c>
      <c r="L25" s="1" t="s">
        <v>304</v>
      </c>
    </row>
    <row r="26" spans="1:13" ht="14.5" x14ac:dyDescent="0.3">
      <c r="A26" s="5">
        <v>56050</v>
      </c>
      <c r="B26">
        <v>2</v>
      </c>
      <c r="C26" s="1" t="s">
        <v>413</v>
      </c>
      <c r="D26" s="1" t="str">
        <f t="shared" si="0"/>
        <v>56034;3</v>
      </c>
      <c r="E26">
        <v>120</v>
      </c>
      <c r="F26">
        <v>7</v>
      </c>
      <c r="G26">
        <v>2</v>
      </c>
      <c r="H26" s="16">
        <v>30240</v>
      </c>
      <c r="I26" s="44">
        <v>3</v>
      </c>
      <c r="J26" s="47">
        <v>1.35</v>
      </c>
      <c r="K26" s="44">
        <v>1</v>
      </c>
      <c r="L26" s="1" t="s">
        <v>305</v>
      </c>
    </row>
    <row r="27" spans="1:13" ht="14.5" x14ac:dyDescent="0.3">
      <c r="A27" s="5">
        <v>56051</v>
      </c>
      <c r="B27">
        <v>2</v>
      </c>
      <c r="C27" s="1" t="s">
        <v>413</v>
      </c>
      <c r="D27" s="1" t="str">
        <f t="shared" si="0"/>
        <v>56035;3</v>
      </c>
      <c r="E27">
        <v>120</v>
      </c>
      <c r="F27">
        <v>8</v>
      </c>
      <c r="G27">
        <v>2</v>
      </c>
      <c r="H27" s="16">
        <v>30230</v>
      </c>
      <c r="I27" s="44">
        <v>3</v>
      </c>
      <c r="J27" s="47">
        <v>1.35</v>
      </c>
      <c r="K27" s="44">
        <v>1</v>
      </c>
      <c r="L27" s="1" t="s">
        <v>306</v>
      </c>
    </row>
    <row r="28" spans="1:13" ht="14.5" x14ac:dyDescent="0.3">
      <c r="A28" s="5">
        <v>56052</v>
      </c>
      <c r="B28">
        <v>2</v>
      </c>
      <c r="C28" s="1" t="s">
        <v>413</v>
      </c>
      <c r="D28" s="1" t="str">
        <f t="shared" si="0"/>
        <v>56036;3</v>
      </c>
      <c r="E28">
        <v>120</v>
      </c>
      <c r="F28">
        <v>9</v>
      </c>
      <c r="G28">
        <v>2</v>
      </c>
      <c r="H28" s="16">
        <v>30250</v>
      </c>
      <c r="I28" s="44">
        <v>3</v>
      </c>
      <c r="J28" s="47">
        <v>1.35</v>
      </c>
      <c r="K28" s="44">
        <v>1</v>
      </c>
      <c r="L28" s="1" t="s">
        <v>307</v>
      </c>
    </row>
    <row r="29" spans="1:13" ht="14.5" x14ac:dyDescent="0.3">
      <c r="A29" s="5">
        <v>56053</v>
      </c>
      <c r="B29">
        <v>2</v>
      </c>
      <c r="C29" s="1" t="s">
        <v>413</v>
      </c>
      <c r="D29" s="1" t="str">
        <f t="shared" si="0"/>
        <v>56037;3</v>
      </c>
      <c r="E29">
        <v>120</v>
      </c>
      <c r="F29">
        <v>10</v>
      </c>
      <c r="G29">
        <v>2</v>
      </c>
      <c r="H29" s="16">
        <v>30200</v>
      </c>
      <c r="I29" s="44">
        <v>3</v>
      </c>
      <c r="J29" s="47">
        <v>0.65</v>
      </c>
      <c r="K29" s="44">
        <v>1</v>
      </c>
      <c r="L29" s="1" t="s">
        <v>308</v>
      </c>
    </row>
    <row r="30" spans="1:13" ht="14.5" x14ac:dyDescent="0.3">
      <c r="A30" s="5">
        <v>56054</v>
      </c>
      <c r="B30">
        <v>3</v>
      </c>
      <c r="C30" s="1" t="s">
        <v>414</v>
      </c>
      <c r="D30" s="1" t="str">
        <f t="shared" si="0"/>
        <v>56038;3</v>
      </c>
      <c r="E30">
        <v>120</v>
      </c>
      <c r="F30">
        <v>11</v>
      </c>
      <c r="G30">
        <v>2</v>
      </c>
      <c r="H30" s="16">
        <v>29601</v>
      </c>
      <c r="I30" s="44">
        <v>3</v>
      </c>
      <c r="J30" s="20">
        <v>4.4999999999999997E-3</v>
      </c>
      <c r="K30" s="44">
        <v>1</v>
      </c>
      <c r="L30" s="1" t="s">
        <v>309</v>
      </c>
    </row>
    <row r="31" spans="1:13" ht="14.5" x14ac:dyDescent="0.3">
      <c r="A31" s="5">
        <v>56055</v>
      </c>
      <c r="B31">
        <v>3</v>
      </c>
      <c r="C31" s="1" t="s">
        <v>414</v>
      </c>
      <c r="D31" s="1" t="str">
        <f t="shared" si="0"/>
        <v>56039;3</v>
      </c>
      <c r="E31">
        <v>120</v>
      </c>
      <c r="F31">
        <v>12</v>
      </c>
      <c r="G31">
        <v>2</v>
      </c>
      <c r="H31" s="16">
        <v>29501</v>
      </c>
      <c r="I31" s="44">
        <v>3</v>
      </c>
      <c r="J31" s="20">
        <v>4.4999999999999997E-3</v>
      </c>
      <c r="K31" s="44">
        <v>1</v>
      </c>
      <c r="L31" s="1" t="s">
        <v>310</v>
      </c>
    </row>
    <row r="32" spans="1:13" ht="14.5" x14ac:dyDescent="0.3">
      <c r="A32" s="5">
        <v>56056</v>
      </c>
      <c r="B32">
        <v>3</v>
      </c>
      <c r="C32" s="1" t="s">
        <v>414</v>
      </c>
      <c r="D32" s="1" t="str">
        <f t="shared" si="0"/>
        <v>56040;3</v>
      </c>
      <c r="E32">
        <v>120</v>
      </c>
      <c r="F32">
        <v>13</v>
      </c>
      <c r="G32">
        <v>2</v>
      </c>
      <c r="H32" s="16">
        <v>29401</v>
      </c>
      <c r="I32" s="44">
        <v>3</v>
      </c>
      <c r="J32" s="20">
        <v>4.4999999999999997E-3</v>
      </c>
      <c r="K32" s="44">
        <v>1</v>
      </c>
      <c r="L32" s="1" t="s">
        <v>311</v>
      </c>
    </row>
    <row r="33" spans="1:13" ht="14.5" x14ac:dyDescent="0.3">
      <c r="A33" s="5">
        <v>56057</v>
      </c>
      <c r="B33">
        <v>3</v>
      </c>
      <c r="C33" s="1" t="s">
        <v>414</v>
      </c>
      <c r="D33" s="1" t="str">
        <f t="shared" si="0"/>
        <v>56041;3</v>
      </c>
      <c r="E33">
        <v>120</v>
      </c>
      <c r="F33">
        <v>14</v>
      </c>
      <c r="G33">
        <v>2</v>
      </c>
      <c r="H33" s="16">
        <v>29301</v>
      </c>
      <c r="I33" s="44">
        <v>3</v>
      </c>
      <c r="J33" s="20">
        <v>4.4999999999999997E-3</v>
      </c>
      <c r="K33" s="44">
        <v>1</v>
      </c>
      <c r="L33" s="1" t="s">
        <v>312</v>
      </c>
    </row>
    <row r="34" spans="1:13" ht="14.5" x14ac:dyDescent="0.3">
      <c r="A34" s="5">
        <v>56058</v>
      </c>
      <c r="B34">
        <v>3</v>
      </c>
      <c r="C34" s="1" t="s">
        <v>414</v>
      </c>
      <c r="D34" s="1" t="str">
        <f t="shared" si="0"/>
        <v>56042;3</v>
      </c>
      <c r="E34">
        <v>120</v>
      </c>
      <c r="F34">
        <v>15</v>
      </c>
      <c r="G34">
        <v>2</v>
      </c>
      <c r="H34" s="16">
        <v>29801</v>
      </c>
      <c r="I34" s="44">
        <v>3</v>
      </c>
      <c r="J34" s="20">
        <v>4.4999999999999997E-3</v>
      </c>
      <c r="K34" s="44">
        <v>1</v>
      </c>
      <c r="L34" s="1" t="s">
        <v>313</v>
      </c>
    </row>
    <row r="35" spans="1:13" ht="14.5" x14ac:dyDescent="0.3">
      <c r="A35" s="5">
        <v>56059</v>
      </c>
      <c r="B35">
        <v>3</v>
      </c>
      <c r="C35" s="1" t="s">
        <v>414</v>
      </c>
      <c r="D35" s="1" t="str">
        <f t="shared" si="0"/>
        <v>56043;3</v>
      </c>
      <c r="E35">
        <v>120</v>
      </c>
      <c r="F35">
        <v>16</v>
      </c>
      <c r="G35">
        <v>2</v>
      </c>
      <c r="H35" s="16">
        <v>29201</v>
      </c>
      <c r="I35" s="44">
        <v>0</v>
      </c>
      <c r="J35" s="20">
        <v>4.4999999999999997E-3</v>
      </c>
      <c r="K35" s="44">
        <v>1</v>
      </c>
      <c r="L35" s="1" t="s">
        <v>314</v>
      </c>
    </row>
    <row r="36" spans="1:13" ht="14.5" x14ac:dyDescent="0.3">
      <c r="A36" s="5">
        <v>56060</v>
      </c>
      <c r="B36">
        <v>1</v>
      </c>
      <c r="C36" s="1" t="s">
        <v>412</v>
      </c>
      <c r="D36" s="1" t="str">
        <f t="shared" si="0"/>
        <v>56044;3</v>
      </c>
      <c r="E36">
        <v>360</v>
      </c>
      <c r="F36">
        <v>1</v>
      </c>
      <c r="G36">
        <v>3</v>
      </c>
      <c r="H36" s="16">
        <v>20000</v>
      </c>
      <c r="I36" s="44">
        <v>0</v>
      </c>
      <c r="J36" s="20">
        <v>8.9999999999999993E-3</v>
      </c>
      <c r="K36" s="44">
        <v>1</v>
      </c>
      <c r="L36" s="1" t="s">
        <v>299</v>
      </c>
      <c r="M36" s="1" t="s">
        <v>296</v>
      </c>
    </row>
    <row r="37" spans="1:13" ht="14.5" x14ac:dyDescent="0.3">
      <c r="A37" s="5">
        <v>56061</v>
      </c>
      <c r="B37">
        <v>1</v>
      </c>
      <c r="C37" s="1" t="s">
        <v>412</v>
      </c>
      <c r="D37" s="1" t="str">
        <f t="shared" si="0"/>
        <v>56045;3</v>
      </c>
      <c r="E37">
        <v>360</v>
      </c>
      <c r="F37">
        <v>2</v>
      </c>
      <c r="G37">
        <v>3</v>
      </c>
      <c r="H37" s="16">
        <v>20030</v>
      </c>
      <c r="I37" s="44">
        <v>0</v>
      </c>
      <c r="J37" s="20">
        <v>8.9999999999999993E-3</v>
      </c>
      <c r="K37" s="44">
        <v>1</v>
      </c>
      <c r="L37" s="1" t="s">
        <v>300</v>
      </c>
      <c r="M37" s="1"/>
    </row>
    <row r="38" spans="1:13" ht="14.5" x14ac:dyDescent="0.3">
      <c r="A38" s="5">
        <v>56062</v>
      </c>
      <c r="B38">
        <v>1</v>
      </c>
      <c r="C38" s="1" t="s">
        <v>412</v>
      </c>
      <c r="D38" s="1" t="str">
        <f t="shared" si="0"/>
        <v>56046;3</v>
      </c>
      <c r="E38">
        <v>360</v>
      </c>
      <c r="F38">
        <v>3</v>
      </c>
      <c r="G38">
        <v>3</v>
      </c>
      <c r="H38" s="16">
        <v>20060</v>
      </c>
      <c r="I38" s="44">
        <v>0</v>
      </c>
      <c r="J38" s="20">
        <v>4.4999999999999997E-3</v>
      </c>
      <c r="K38" s="44">
        <v>1</v>
      </c>
      <c r="L38" s="1" t="s">
        <v>301</v>
      </c>
      <c r="M38" s="1"/>
    </row>
    <row r="39" spans="1:13" ht="14.5" x14ac:dyDescent="0.3">
      <c r="A39" s="5">
        <v>56063</v>
      </c>
      <c r="B39">
        <v>1</v>
      </c>
      <c r="C39" s="1" t="s">
        <v>412</v>
      </c>
      <c r="D39" s="1" t="str">
        <f t="shared" si="0"/>
        <v>56047;3</v>
      </c>
      <c r="E39">
        <v>360</v>
      </c>
      <c r="F39">
        <v>4</v>
      </c>
      <c r="G39">
        <v>3</v>
      </c>
      <c r="H39" s="16">
        <v>6001</v>
      </c>
      <c r="I39" s="44">
        <v>3</v>
      </c>
      <c r="J39" s="47">
        <v>230</v>
      </c>
      <c r="K39" s="44">
        <v>1</v>
      </c>
      <c r="L39" s="1" t="s">
        <v>302</v>
      </c>
    </row>
    <row r="40" spans="1:13" ht="14.5" x14ac:dyDescent="0.3">
      <c r="A40" s="5">
        <v>56064</v>
      </c>
      <c r="B40">
        <v>1</v>
      </c>
      <c r="C40" s="1" t="s">
        <v>412</v>
      </c>
      <c r="D40" s="1" t="str">
        <f t="shared" si="0"/>
        <v>56048;3</v>
      </c>
      <c r="E40">
        <v>360</v>
      </c>
      <c r="F40">
        <v>5</v>
      </c>
      <c r="G40">
        <v>3</v>
      </c>
      <c r="H40" s="16">
        <v>1061</v>
      </c>
      <c r="I40" s="44">
        <v>0</v>
      </c>
      <c r="J40" s="20">
        <v>8.9999999999999993E-3</v>
      </c>
      <c r="K40" s="44">
        <v>1</v>
      </c>
      <c r="L40" s="1" t="s">
        <v>303</v>
      </c>
    </row>
    <row r="41" spans="1:13" ht="14.5" x14ac:dyDescent="0.3">
      <c r="A41" s="5">
        <v>56065</v>
      </c>
      <c r="B41">
        <v>2</v>
      </c>
      <c r="C41" s="1" t="s">
        <v>413</v>
      </c>
      <c r="D41" s="1" t="str">
        <f t="shared" si="0"/>
        <v>56049;3</v>
      </c>
      <c r="E41">
        <v>360</v>
      </c>
      <c r="F41">
        <v>6</v>
      </c>
      <c r="G41">
        <v>3</v>
      </c>
      <c r="H41" s="16">
        <v>30220</v>
      </c>
      <c r="I41" s="44">
        <v>3</v>
      </c>
      <c r="J41" s="47">
        <v>2</v>
      </c>
      <c r="K41" s="44">
        <v>1</v>
      </c>
      <c r="L41" s="1" t="s">
        <v>304</v>
      </c>
    </row>
    <row r="42" spans="1:13" ht="14.5" x14ac:dyDescent="0.3">
      <c r="A42" s="5">
        <v>56066</v>
      </c>
      <c r="B42">
        <v>2</v>
      </c>
      <c r="C42" s="1" t="s">
        <v>413</v>
      </c>
      <c r="D42" s="1" t="str">
        <f t="shared" si="0"/>
        <v>56050;3</v>
      </c>
      <c r="E42">
        <v>360</v>
      </c>
      <c r="F42">
        <v>7</v>
      </c>
      <c r="G42">
        <v>3</v>
      </c>
      <c r="H42" s="16">
        <v>30240</v>
      </c>
      <c r="I42" s="44">
        <v>3</v>
      </c>
      <c r="J42" s="47">
        <v>2</v>
      </c>
      <c r="K42" s="44">
        <v>1</v>
      </c>
      <c r="L42" s="1" t="s">
        <v>305</v>
      </c>
    </row>
    <row r="43" spans="1:13" ht="14.5" x14ac:dyDescent="0.3">
      <c r="A43" s="5">
        <v>56067</v>
      </c>
      <c r="B43">
        <v>2</v>
      </c>
      <c r="C43" s="1" t="s">
        <v>413</v>
      </c>
      <c r="D43" s="1" t="str">
        <f t="shared" si="0"/>
        <v>56051;3</v>
      </c>
      <c r="E43">
        <v>360</v>
      </c>
      <c r="F43">
        <v>8</v>
      </c>
      <c r="G43">
        <v>3</v>
      </c>
      <c r="H43" s="16">
        <v>30230</v>
      </c>
      <c r="I43" s="44">
        <v>3</v>
      </c>
      <c r="J43" s="47">
        <v>2</v>
      </c>
      <c r="K43" s="44">
        <v>1</v>
      </c>
      <c r="L43" s="1" t="s">
        <v>306</v>
      </c>
    </row>
    <row r="44" spans="1:13" ht="14.5" x14ac:dyDescent="0.3">
      <c r="A44" s="5">
        <v>56068</v>
      </c>
      <c r="B44">
        <v>2</v>
      </c>
      <c r="C44" s="1" t="s">
        <v>413</v>
      </c>
      <c r="D44" s="1" t="str">
        <f t="shared" si="0"/>
        <v>56052;3</v>
      </c>
      <c r="E44">
        <v>360</v>
      </c>
      <c r="F44">
        <v>9</v>
      </c>
      <c r="G44">
        <v>3</v>
      </c>
      <c r="H44" s="16">
        <v>30250</v>
      </c>
      <c r="I44" s="44">
        <v>3</v>
      </c>
      <c r="J44" s="47">
        <v>2</v>
      </c>
      <c r="K44" s="44">
        <v>1</v>
      </c>
      <c r="L44" s="1" t="s">
        <v>307</v>
      </c>
    </row>
    <row r="45" spans="1:13" ht="14.5" x14ac:dyDescent="0.3">
      <c r="A45" s="5">
        <v>56069</v>
      </c>
      <c r="B45">
        <v>2</v>
      </c>
      <c r="C45" s="1" t="s">
        <v>413</v>
      </c>
      <c r="D45" s="1" t="str">
        <f t="shared" si="0"/>
        <v>56053;3</v>
      </c>
      <c r="E45">
        <v>360</v>
      </c>
      <c r="F45">
        <v>10</v>
      </c>
      <c r="G45">
        <v>3</v>
      </c>
      <c r="H45" s="16">
        <v>30200</v>
      </c>
      <c r="I45" s="44">
        <v>3</v>
      </c>
      <c r="J45" s="47">
        <v>1</v>
      </c>
      <c r="K45" s="44">
        <v>1</v>
      </c>
      <c r="L45" s="1" t="s">
        <v>308</v>
      </c>
    </row>
    <row r="46" spans="1:13" ht="14.5" x14ac:dyDescent="0.3">
      <c r="A46" s="5">
        <v>56070</v>
      </c>
      <c r="B46">
        <v>3</v>
      </c>
      <c r="C46" s="1" t="s">
        <v>414</v>
      </c>
      <c r="D46" s="1" t="str">
        <f t="shared" si="0"/>
        <v>56054;3</v>
      </c>
      <c r="E46">
        <v>360</v>
      </c>
      <c r="F46">
        <v>11</v>
      </c>
      <c r="G46">
        <v>3</v>
      </c>
      <c r="H46" s="16">
        <v>29601</v>
      </c>
      <c r="I46" s="44">
        <v>3</v>
      </c>
      <c r="J46" s="20">
        <v>7.0000000000000001E-3</v>
      </c>
      <c r="K46" s="44">
        <v>1</v>
      </c>
      <c r="L46" s="1" t="s">
        <v>309</v>
      </c>
    </row>
    <row r="47" spans="1:13" ht="14.5" x14ac:dyDescent="0.3">
      <c r="A47" s="5">
        <v>56071</v>
      </c>
      <c r="B47">
        <v>3</v>
      </c>
      <c r="C47" s="1" t="s">
        <v>414</v>
      </c>
      <c r="D47" s="1" t="str">
        <f t="shared" si="0"/>
        <v>56055;3</v>
      </c>
      <c r="E47">
        <v>360</v>
      </c>
      <c r="F47">
        <v>12</v>
      </c>
      <c r="G47">
        <v>3</v>
      </c>
      <c r="H47" s="16">
        <v>29501</v>
      </c>
      <c r="I47" s="44">
        <v>3</v>
      </c>
      <c r="J47" s="20">
        <v>7.0000000000000001E-3</v>
      </c>
      <c r="K47" s="44">
        <v>1</v>
      </c>
      <c r="L47" s="1" t="s">
        <v>310</v>
      </c>
    </row>
    <row r="48" spans="1:13" ht="14.5" x14ac:dyDescent="0.3">
      <c r="A48" s="5">
        <v>56072</v>
      </c>
      <c r="B48">
        <v>3</v>
      </c>
      <c r="C48" s="1" t="s">
        <v>414</v>
      </c>
      <c r="D48" s="1" t="str">
        <f t="shared" si="0"/>
        <v>56056;3</v>
      </c>
      <c r="E48">
        <v>360</v>
      </c>
      <c r="F48">
        <v>13</v>
      </c>
      <c r="G48">
        <v>3</v>
      </c>
      <c r="H48" s="16">
        <v>29401</v>
      </c>
      <c r="I48" s="44">
        <v>3</v>
      </c>
      <c r="J48" s="20">
        <v>7.0000000000000001E-3</v>
      </c>
      <c r="K48" s="44">
        <v>1</v>
      </c>
      <c r="L48" s="1" t="s">
        <v>311</v>
      </c>
    </row>
    <row r="49" spans="1:13" ht="14.5" x14ac:dyDescent="0.3">
      <c r="A49" s="5">
        <v>56073</v>
      </c>
      <c r="B49">
        <v>3</v>
      </c>
      <c r="C49" s="1" t="s">
        <v>414</v>
      </c>
      <c r="D49" s="1" t="str">
        <f t="shared" si="0"/>
        <v>56057;3</v>
      </c>
      <c r="E49">
        <v>360</v>
      </c>
      <c r="F49">
        <v>14</v>
      </c>
      <c r="G49">
        <v>3</v>
      </c>
      <c r="H49" s="16">
        <v>29301</v>
      </c>
      <c r="I49" s="44">
        <v>3</v>
      </c>
      <c r="J49" s="20">
        <v>7.0000000000000001E-3</v>
      </c>
      <c r="K49" s="44">
        <v>1</v>
      </c>
      <c r="L49" s="1" t="s">
        <v>312</v>
      </c>
    </row>
    <row r="50" spans="1:13" ht="14.5" x14ac:dyDescent="0.3">
      <c r="A50" s="5">
        <v>56074</v>
      </c>
      <c r="B50">
        <v>3</v>
      </c>
      <c r="C50" s="1" t="s">
        <v>414</v>
      </c>
      <c r="D50" s="1" t="str">
        <f t="shared" si="0"/>
        <v>56058;3</v>
      </c>
      <c r="E50">
        <v>360</v>
      </c>
      <c r="F50">
        <v>15</v>
      </c>
      <c r="G50">
        <v>3</v>
      </c>
      <c r="H50" s="16">
        <v>29801</v>
      </c>
      <c r="I50" s="44">
        <v>3</v>
      </c>
      <c r="J50" s="20">
        <v>7.0000000000000001E-3</v>
      </c>
      <c r="K50" s="44">
        <v>1</v>
      </c>
      <c r="L50" s="1" t="s">
        <v>313</v>
      </c>
    </row>
    <row r="51" spans="1:13" ht="14.5" x14ac:dyDescent="0.3">
      <c r="A51" s="5">
        <v>56075</v>
      </c>
      <c r="B51">
        <v>3</v>
      </c>
      <c r="C51" s="1" t="s">
        <v>414</v>
      </c>
      <c r="D51" s="1" t="str">
        <f t="shared" si="0"/>
        <v>56059;3</v>
      </c>
      <c r="E51">
        <v>360</v>
      </c>
      <c r="F51">
        <v>16</v>
      </c>
      <c r="G51">
        <v>3</v>
      </c>
      <c r="H51" s="16">
        <v>29201</v>
      </c>
      <c r="I51" s="44">
        <v>0</v>
      </c>
      <c r="J51" s="20">
        <v>7.0000000000000001E-3</v>
      </c>
      <c r="K51" s="44">
        <v>1</v>
      </c>
      <c r="L51" s="1" t="s">
        <v>314</v>
      </c>
    </row>
    <row r="52" spans="1:13" ht="14.5" x14ac:dyDescent="0.3">
      <c r="A52" s="5">
        <v>56076</v>
      </c>
      <c r="B52">
        <v>1</v>
      </c>
      <c r="C52" s="1" t="s">
        <v>412</v>
      </c>
      <c r="D52" s="1" t="str">
        <f t="shared" si="0"/>
        <v>56060;3</v>
      </c>
      <c r="E52">
        <v>1100</v>
      </c>
      <c r="F52">
        <v>1</v>
      </c>
      <c r="G52">
        <v>4</v>
      </c>
      <c r="H52" s="16">
        <v>20000</v>
      </c>
      <c r="I52" s="44">
        <v>0</v>
      </c>
      <c r="J52" s="20">
        <v>1.35E-2</v>
      </c>
      <c r="K52" s="44">
        <v>1</v>
      </c>
      <c r="L52" s="1" t="s">
        <v>299</v>
      </c>
      <c r="M52" s="1" t="s">
        <v>297</v>
      </c>
    </row>
    <row r="53" spans="1:13" ht="14.5" x14ac:dyDescent="0.3">
      <c r="A53" s="5">
        <v>56077</v>
      </c>
      <c r="B53">
        <v>1</v>
      </c>
      <c r="C53" s="1" t="s">
        <v>412</v>
      </c>
      <c r="D53" s="1" t="str">
        <f t="shared" si="0"/>
        <v>56061;3</v>
      </c>
      <c r="E53">
        <v>1100</v>
      </c>
      <c r="F53">
        <v>2</v>
      </c>
      <c r="G53">
        <v>4</v>
      </c>
      <c r="H53" s="16">
        <v>20030</v>
      </c>
      <c r="I53" s="44">
        <v>0</v>
      </c>
      <c r="J53" s="20">
        <v>1.35E-2</v>
      </c>
      <c r="K53" s="44">
        <v>1</v>
      </c>
      <c r="L53" s="1" t="s">
        <v>300</v>
      </c>
    </row>
    <row r="54" spans="1:13" ht="14.5" x14ac:dyDescent="0.3">
      <c r="A54" s="5">
        <v>56078</v>
      </c>
      <c r="B54">
        <v>1</v>
      </c>
      <c r="C54" s="1" t="s">
        <v>412</v>
      </c>
      <c r="D54" s="1" t="str">
        <f t="shared" si="0"/>
        <v>56062;3</v>
      </c>
      <c r="E54">
        <v>1100</v>
      </c>
      <c r="F54">
        <v>3</v>
      </c>
      <c r="G54">
        <v>4</v>
      </c>
      <c r="H54" s="16">
        <v>20060</v>
      </c>
      <c r="I54" s="44">
        <v>0</v>
      </c>
      <c r="J54" s="20">
        <v>6.7999999999999996E-3</v>
      </c>
      <c r="K54" s="44">
        <v>1</v>
      </c>
      <c r="L54" s="1" t="s">
        <v>301</v>
      </c>
    </row>
    <row r="55" spans="1:13" ht="14.5" x14ac:dyDescent="0.3">
      <c r="A55" s="5">
        <v>56079</v>
      </c>
      <c r="B55">
        <v>1</v>
      </c>
      <c r="C55" s="1" t="s">
        <v>412</v>
      </c>
      <c r="D55" s="1" t="str">
        <f t="shared" si="0"/>
        <v>56063;3</v>
      </c>
      <c r="E55">
        <v>1100</v>
      </c>
      <c r="F55">
        <v>4</v>
      </c>
      <c r="G55">
        <v>4</v>
      </c>
      <c r="H55" s="16">
        <v>6001</v>
      </c>
      <c r="I55" s="44">
        <v>3</v>
      </c>
      <c r="J55" s="47">
        <v>340</v>
      </c>
      <c r="K55" s="44">
        <v>1</v>
      </c>
      <c r="L55" s="1" t="s">
        <v>302</v>
      </c>
    </row>
    <row r="56" spans="1:13" ht="14.5" x14ac:dyDescent="0.3">
      <c r="A56" s="5">
        <v>56080</v>
      </c>
      <c r="B56">
        <v>1</v>
      </c>
      <c r="C56" s="1" t="s">
        <v>412</v>
      </c>
      <c r="D56" s="1" t="str">
        <f t="shared" si="0"/>
        <v>56064;3</v>
      </c>
      <c r="E56">
        <v>1100</v>
      </c>
      <c r="F56">
        <v>5</v>
      </c>
      <c r="G56">
        <v>4</v>
      </c>
      <c r="H56" s="16">
        <v>1061</v>
      </c>
      <c r="I56" s="44">
        <v>0</v>
      </c>
      <c r="J56" s="20">
        <v>1.35E-2</v>
      </c>
      <c r="K56" s="44">
        <v>1</v>
      </c>
      <c r="L56" s="1" t="s">
        <v>303</v>
      </c>
    </row>
    <row r="57" spans="1:13" ht="14.5" x14ac:dyDescent="0.3">
      <c r="A57" s="5">
        <v>56081</v>
      </c>
      <c r="B57">
        <v>2</v>
      </c>
      <c r="C57" s="1" t="s">
        <v>413</v>
      </c>
      <c r="D57" s="1" t="str">
        <f t="shared" si="0"/>
        <v>56065;3</v>
      </c>
      <c r="E57">
        <v>1100</v>
      </c>
      <c r="F57">
        <v>6</v>
      </c>
      <c r="G57">
        <v>4</v>
      </c>
      <c r="H57" s="16">
        <v>30220</v>
      </c>
      <c r="I57" s="44">
        <v>3</v>
      </c>
      <c r="J57" s="47">
        <v>3</v>
      </c>
      <c r="K57" s="44">
        <v>1</v>
      </c>
      <c r="L57" s="1" t="s">
        <v>304</v>
      </c>
    </row>
    <row r="58" spans="1:13" ht="14.5" x14ac:dyDescent="0.3">
      <c r="A58" s="5">
        <v>56082</v>
      </c>
      <c r="B58">
        <v>2</v>
      </c>
      <c r="C58" s="1" t="s">
        <v>413</v>
      </c>
      <c r="D58" s="1" t="str">
        <f t="shared" si="0"/>
        <v>56066;3</v>
      </c>
      <c r="E58">
        <v>1100</v>
      </c>
      <c r="F58">
        <v>7</v>
      </c>
      <c r="G58">
        <v>4</v>
      </c>
      <c r="H58" s="16">
        <v>30240</v>
      </c>
      <c r="I58" s="44">
        <v>3</v>
      </c>
      <c r="J58" s="47">
        <v>3</v>
      </c>
      <c r="K58" s="44">
        <v>1</v>
      </c>
      <c r="L58" s="1" t="s">
        <v>305</v>
      </c>
    </row>
    <row r="59" spans="1:13" ht="14.5" x14ac:dyDescent="0.3">
      <c r="A59" s="5">
        <v>56083</v>
      </c>
      <c r="B59">
        <v>2</v>
      </c>
      <c r="C59" s="1" t="s">
        <v>413</v>
      </c>
      <c r="D59" s="1" t="str">
        <f t="shared" si="0"/>
        <v>56067;3</v>
      </c>
      <c r="E59">
        <v>1100</v>
      </c>
      <c r="F59">
        <v>8</v>
      </c>
      <c r="G59">
        <v>4</v>
      </c>
      <c r="H59" s="16">
        <v>30230</v>
      </c>
      <c r="I59" s="44">
        <v>3</v>
      </c>
      <c r="J59" s="47">
        <v>3</v>
      </c>
      <c r="K59" s="44">
        <v>1</v>
      </c>
      <c r="L59" s="1" t="s">
        <v>306</v>
      </c>
    </row>
    <row r="60" spans="1:13" ht="14.5" x14ac:dyDescent="0.3">
      <c r="A60" s="5">
        <v>56084</v>
      </c>
      <c r="B60">
        <v>2</v>
      </c>
      <c r="C60" s="1" t="s">
        <v>413</v>
      </c>
      <c r="D60" s="1" t="str">
        <f t="shared" si="0"/>
        <v>56068;3</v>
      </c>
      <c r="E60">
        <v>1100</v>
      </c>
      <c r="F60">
        <v>9</v>
      </c>
      <c r="G60">
        <v>4</v>
      </c>
      <c r="H60" s="16">
        <v>30250</v>
      </c>
      <c r="I60" s="44">
        <v>3</v>
      </c>
      <c r="J60" s="47">
        <v>3</v>
      </c>
      <c r="K60" s="44">
        <v>1</v>
      </c>
      <c r="L60" s="1" t="s">
        <v>307</v>
      </c>
    </row>
    <row r="61" spans="1:13" ht="14.5" x14ac:dyDescent="0.3">
      <c r="A61" s="5">
        <v>56085</v>
      </c>
      <c r="B61">
        <v>2</v>
      </c>
      <c r="C61" s="1" t="s">
        <v>413</v>
      </c>
      <c r="D61" s="1" t="str">
        <f t="shared" si="0"/>
        <v>56069;3</v>
      </c>
      <c r="E61">
        <v>1100</v>
      </c>
      <c r="F61">
        <v>10</v>
      </c>
      <c r="G61">
        <v>4</v>
      </c>
      <c r="H61" s="16">
        <v>30200</v>
      </c>
      <c r="I61" s="44">
        <v>3</v>
      </c>
      <c r="J61" s="47">
        <v>1.5</v>
      </c>
      <c r="K61" s="44">
        <v>1</v>
      </c>
      <c r="L61" s="1" t="s">
        <v>308</v>
      </c>
    </row>
    <row r="62" spans="1:13" ht="14.5" x14ac:dyDescent="0.3">
      <c r="A62" s="5">
        <v>56086</v>
      </c>
      <c r="B62">
        <v>3</v>
      </c>
      <c r="C62" s="1" t="s">
        <v>414</v>
      </c>
      <c r="D62" s="1" t="str">
        <f t="shared" si="0"/>
        <v>56070;3</v>
      </c>
      <c r="E62">
        <v>1100</v>
      </c>
      <c r="F62">
        <v>11</v>
      </c>
      <c r="G62">
        <v>4</v>
      </c>
      <c r="H62" s="16">
        <v>29601</v>
      </c>
      <c r="I62" s="44">
        <v>3</v>
      </c>
      <c r="J62" s="20">
        <v>0.01</v>
      </c>
      <c r="K62" s="44">
        <v>1</v>
      </c>
      <c r="L62" s="1" t="s">
        <v>309</v>
      </c>
    </row>
    <row r="63" spans="1:13" ht="14.5" x14ac:dyDescent="0.3">
      <c r="A63" s="5">
        <v>56087</v>
      </c>
      <c r="B63">
        <v>3</v>
      </c>
      <c r="C63" s="1" t="s">
        <v>414</v>
      </c>
      <c r="D63" s="1" t="str">
        <f t="shared" si="0"/>
        <v>56071;3</v>
      </c>
      <c r="E63">
        <v>1100</v>
      </c>
      <c r="F63">
        <v>12</v>
      </c>
      <c r="G63">
        <v>4</v>
      </c>
      <c r="H63" s="16">
        <v>29501</v>
      </c>
      <c r="I63" s="44">
        <v>3</v>
      </c>
      <c r="J63" s="20">
        <v>0.01</v>
      </c>
      <c r="K63" s="44">
        <v>1</v>
      </c>
      <c r="L63" s="1" t="s">
        <v>310</v>
      </c>
    </row>
    <row r="64" spans="1:13" ht="14.5" x14ac:dyDescent="0.3">
      <c r="A64" s="5">
        <v>56088</v>
      </c>
      <c r="B64">
        <v>3</v>
      </c>
      <c r="C64" s="1" t="s">
        <v>414</v>
      </c>
      <c r="D64" s="1" t="str">
        <f t="shared" si="0"/>
        <v>56072;3</v>
      </c>
      <c r="E64">
        <v>1100</v>
      </c>
      <c r="F64">
        <v>13</v>
      </c>
      <c r="G64">
        <v>4</v>
      </c>
      <c r="H64" s="16">
        <v>29401</v>
      </c>
      <c r="I64" s="44">
        <v>3</v>
      </c>
      <c r="J64" s="20">
        <v>0.01</v>
      </c>
      <c r="K64" s="44">
        <v>1</v>
      </c>
      <c r="L64" s="1" t="s">
        <v>311</v>
      </c>
    </row>
    <row r="65" spans="1:13" ht="14.5" x14ac:dyDescent="0.3">
      <c r="A65" s="5">
        <v>56089</v>
      </c>
      <c r="B65">
        <v>3</v>
      </c>
      <c r="C65" s="1" t="s">
        <v>414</v>
      </c>
      <c r="D65" s="1" t="str">
        <f t="shared" si="0"/>
        <v>56073;3</v>
      </c>
      <c r="E65">
        <v>1100</v>
      </c>
      <c r="F65">
        <v>14</v>
      </c>
      <c r="G65">
        <v>4</v>
      </c>
      <c r="H65" s="16">
        <v>29301</v>
      </c>
      <c r="I65" s="44">
        <v>3</v>
      </c>
      <c r="J65" s="20">
        <v>0.01</v>
      </c>
      <c r="K65" s="44">
        <v>1</v>
      </c>
      <c r="L65" s="1" t="s">
        <v>312</v>
      </c>
    </row>
    <row r="66" spans="1:13" ht="14.5" x14ac:dyDescent="0.3">
      <c r="A66" s="5">
        <v>56090</v>
      </c>
      <c r="B66">
        <v>3</v>
      </c>
      <c r="C66" s="1" t="s">
        <v>414</v>
      </c>
      <c r="D66" s="1" t="str">
        <f t="shared" si="0"/>
        <v>56074;3</v>
      </c>
      <c r="E66">
        <v>1100</v>
      </c>
      <c r="F66">
        <v>15</v>
      </c>
      <c r="G66">
        <v>4</v>
      </c>
      <c r="H66" s="16">
        <v>29801</v>
      </c>
      <c r="I66" s="44">
        <v>3</v>
      </c>
      <c r="J66" s="20">
        <v>0.01</v>
      </c>
      <c r="K66" s="44">
        <v>1</v>
      </c>
      <c r="L66" s="1" t="s">
        <v>313</v>
      </c>
    </row>
    <row r="67" spans="1:13" ht="14.5" x14ac:dyDescent="0.3">
      <c r="A67" s="5">
        <v>56091</v>
      </c>
      <c r="B67">
        <v>3</v>
      </c>
      <c r="C67" s="1" t="s">
        <v>414</v>
      </c>
      <c r="D67" s="1" t="str">
        <f t="shared" si="0"/>
        <v>56075;3</v>
      </c>
      <c r="E67">
        <v>1100</v>
      </c>
      <c r="F67">
        <v>16</v>
      </c>
      <c r="G67">
        <v>4</v>
      </c>
      <c r="H67" s="16">
        <v>29201</v>
      </c>
      <c r="I67" s="44">
        <v>0</v>
      </c>
      <c r="J67" s="20">
        <v>0.01</v>
      </c>
      <c r="K67" s="44">
        <v>1</v>
      </c>
      <c r="L67" s="1" t="s">
        <v>314</v>
      </c>
    </row>
    <row r="68" spans="1:13" ht="14.5" x14ac:dyDescent="0.3">
      <c r="A68" s="5">
        <v>56300</v>
      </c>
      <c r="B68">
        <v>1</v>
      </c>
      <c r="C68" s="1" t="s">
        <v>412</v>
      </c>
      <c r="D68" s="1" t="str">
        <f>A52&amp;";3"</f>
        <v>56076;3</v>
      </c>
      <c r="E68">
        <v>3200</v>
      </c>
      <c r="F68">
        <v>1</v>
      </c>
      <c r="G68">
        <v>5</v>
      </c>
      <c r="H68" s="16">
        <v>20000</v>
      </c>
      <c r="I68" s="44">
        <v>0</v>
      </c>
      <c r="J68" s="48">
        <v>0.02</v>
      </c>
      <c r="K68" s="44">
        <v>1</v>
      </c>
      <c r="L68" s="1" t="s">
        <v>299</v>
      </c>
      <c r="M68" s="1" t="s">
        <v>298</v>
      </c>
    </row>
    <row r="69" spans="1:13" ht="14.5" x14ac:dyDescent="0.3">
      <c r="A69" s="5">
        <v>56301</v>
      </c>
      <c r="B69">
        <v>1</v>
      </c>
      <c r="C69" s="1" t="s">
        <v>412</v>
      </c>
      <c r="D69" s="1" t="str">
        <f t="shared" ref="D69:D132" si="1">A53&amp;";3"</f>
        <v>56077;3</v>
      </c>
      <c r="E69">
        <v>3200</v>
      </c>
      <c r="F69">
        <v>2</v>
      </c>
      <c r="G69">
        <v>5</v>
      </c>
      <c r="H69" s="16">
        <v>20030</v>
      </c>
      <c r="I69" s="44">
        <v>0</v>
      </c>
      <c r="J69" s="20">
        <v>0.02</v>
      </c>
      <c r="K69" s="44">
        <v>1</v>
      </c>
      <c r="L69" s="1" t="s">
        <v>300</v>
      </c>
    </row>
    <row r="70" spans="1:13" ht="14.5" x14ac:dyDescent="0.3">
      <c r="A70" s="5">
        <v>56302</v>
      </c>
      <c r="B70">
        <v>1</v>
      </c>
      <c r="C70" s="1" t="s">
        <v>412</v>
      </c>
      <c r="D70" s="1" t="str">
        <f t="shared" si="1"/>
        <v>56078;3</v>
      </c>
      <c r="E70">
        <v>3200</v>
      </c>
      <c r="F70">
        <v>3</v>
      </c>
      <c r="G70">
        <v>5</v>
      </c>
      <c r="H70" s="16">
        <v>20060</v>
      </c>
      <c r="I70" s="44">
        <v>0</v>
      </c>
      <c r="J70" s="20">
        <v>0.01</v>
      </c>
      <c r="K70" s="44">
        <v>1</v>
      </c>
      <c r="L70" s="1" t="s">
        <v>301</v>
      </c>
    </row>
    <row r="71" spans="1:13" ht="14.5" x14ac:dyDescent="0.3">
      <c r="A71" s="5">
        <v>56303</v>
      </c>
      <c r="B71">
        <v>1</v>
      </c>
      <c r="C71" s="1" t="s">
        <v>412</v>
      </c>
      <c r="D71" s="1" t="str">
        <f t="shared" si="1"/>
        <v>56079;3</v>
      </c>
      <c r="E71">
        <v>3200</v>
      </c>
      <c r="F71">
        <v>4</v>
      </c>
      <c r="G71">
        <v>5</v>
      </c>
      <c r="H71" s="16">
        <v>6001</v>
      </c>
      <c r="I71" s="44">
        <v>3</v>
      </c>
      <c r="J71" s="47">
        <v>500</v>
      </c>
      <c r="K71" s="44">
        <v>1</v>
      </c>
      <c r="L71" s="1" t="s">
        <v>302</v>
      </c>
    </row>
    <row r="72" spans="1:13" ht="14.5" x14ac:dyDescent="0.3">
      <c r="A72" s="5">
        <v>56304</v>
      </c>
      <c r="B72">
        <v>1</v>
      </c>
      <c r="C72" s="1" t="s">
        <v>412</v>
      </c>
      <c r="D72" s="1" t="str">
        <f t="shared" si="1"/>
        <v>56080;3</v>
      </c>
      <c r="E72">
        <v>3200</v>
      </c>
      <c r="F72">
        <v>5</v>
      </c>
      <c r="G72">
        <v>5</v>
      </c>
      <c r="H72" s="16">
        <v>1061</v>
      </c>
      <c r="I72" s="44">
        <v>0</v>
      </c>
      <c r="J72" s="20">
        <v>0.02</v>
      </c>
      <c r="K72" s="44">
        <v>1</v>
      </c>
      <c r="L72" s="1" t="s">
        <v>303</v>
      </c>
    </row>
    <row r="73" spans="1:13" ht="14.5" x14ac:dyDescent="0.3">
      <c r="A73" s="5">
        <v>56305</v>
      </c>
      <c r="B73">
        <v>2</v>
      </c>
      <c r="C73" s="1" t="s">
        <v>413</v>
      </c>
      <c r="D73" s="1" t="str">
        <f t="shared" si="1"/>
        <v>56081;3</v>
      </c>
      <c r="E73">
        <v>3200</v>
      </c>
      <c r="F73">
        <v>6</v>
      </c>
      <c r="G73">
        <v>5</v>
      </c>
      <c r="H73" s="16">
        <v>30220</v>
      </c>
      <c r="I73" s="44">
        <v>3</v>
      </c>
      <c r="J73" s="47">
        <v>4.5</v>
      </c>
      <c r="K73" s="44">
        <v>1</v>
      </c>
      <c r="L73" s="1" t="s">
        <v>304</v>
      </c>
    </row>
    <row r="74" spans="1:13" ht="14.5" x14ac:dyDescent="0.3">
      <c r="A74" s="5">
        <v>56306</v>
      </c>
      <c r="B74">
        <v>2</v>
      </c>
      <c r="C74" s="1" t="s">
        <v>413</v>
      </c>
      <c r="D74" s="1" t="str">
        <f t="shared" si="1"/>
        <v>56082;3</v>
      </c>
      <c r="E74">
        <v>3200</v>
      </c>
      <c r="F74">
        <v>7</v>
      </c>
      <c r="G74">
        <v>5</v>
      </c>
      <c r="H74" s="16">
        <v>30240</v>
      </c>
      <c r="I74" s="44">
        <v>3</v>
      </c>
      <c r="J74" s="47">
        <v>4.5</v>
      </c>
      <c r="K74" s="44">
        <v>1</v>
      </c>
      <c r="L74" s="1" t="s">
        <v>305</v>
      </c>
    </row>
    <row r="75" spans="1:13" ht="14.5" x14ac:dyDescent="0.3">
      <c r="A75" s="5">
        <v>56307</v>
      </c>
      <c r="B75">
        <v>2</v>
      </c>
      <c r="C75" s="1" t="s">
        <v>413</v>
      </c>
      <c r="D75" s="1" t="str">
        <f t="shared" si="1"/>
        <v>56083;3</v>
      </c>
      <c r="E75">
        <v>3200</v>
      </c>
      <c r="F75">
        <v>8</v>
      </c>
      <c r="G75">
        <v>5</v>
      </c>
      <c r="H75" s="16">
        <v>30230</v>
      </c>
      <c r="I75" s="44">
        <v>3</v>
      </c>
      <c r="J75" s="47">
        <v>4.5</v>
      </c>
      <c r="K75" s="44">
        <v>1</v>
      </c>
      <c r="L75" s="1" t="s">
        <v>306</v>
      </c>
    </row>
    <row r="76" spans="1:13" ht="14.5" x14ac:dyDescent="0.3">
      <c r="A76" s="5">
        <v>56308</v>
      </c>
      <c r="B76">
        <v>2</v>
      </c>
      <c r="C76" s="1" t="s">
        <v>413</v>
      </c>
      <c r="D76" s="1" t="str">
        <f t="shared" si="1"/>
        <v>56084;3</v>
      </c>
      <c r="E76">
        <v>3200</v>
      </c>
      <c r="F76">
        <v>9</v>
      </c>
      <c r="G76">
        <v>5</v>
      </c>
      <c r="H76" s="16">
        <v>30250</v>
      </c>
      <c r="I76" s="44">
        <v>3</v>
      </c>
      <c r="J76" s="47">
        <v>4.5</v>
      </c>
      <c r="K76" s="44">
        <v>1</v>
      </c>
      <c r="L76" s="1" t="s">
        <v>307</v>
      </c>
    </row>
    <row r="77" spans="1:13" ht="14.5" x14ac:dyDescent="0.3">
      <c r="A77" s="5">
        <v>56309</v>
      </c>
      <c r="B77">
        <v>2</v>
      </c>
      <c r="C77" s="1" t="s">
        <v>413</v>
      </c>
      <c r="D77" s="1" t="str">
        <f t="shared" si="1"/>
        <v>56085;3</v>
      </c>
      <c r="E77">
        <v>3200</v>
      </c>
      <c r="F77">
        <v>10</v>
      </c>
      <c r="G77">
        <v>5</v>
      </c>
      <c r="H77" s="16">
        <v>30200</v>
      </c>
      <c r="I77" s="44">
        <v>3</v>
      </c>
      <c r="J77" s="47">
        <v>2.25</v>
      </c>
      <c r="K77" s="44">
        <v>1</v>
      </c>
      <c r="L77" s="1" t="s">
        <v>308</v>
      </c>
    </row>
    <row r="78" spans="1:13" ht="14.5" x14ac:dyDescent="0.3">
      <c r="A78" s="5">
        <v>56310</v>
      </c>
      <c r="B78">
        <v>3</v>
      </c>
      <c r="C78" s="1" t="s">
        <v>414</v>
      </c>
      <c r="D78" s="1" t="str">
        <f t="shared" si="1"/>
        <v>56086;3</v>
      </c>
      <c r="E78">
        <v>3200</v>
      </c>
      <c r="F78">
        <v>11</v>
      </c>
      <c r="G78">
        <v>5</v>
      </c>
      <c r="H78" s="16">
        <v>29601</v>
      </c>
      <c r="I78" s="44">
        <v>3</v>
      </c>
      <c r="J78" s="20">
        <v>1.4999999999999999E-2</v>
      </c>
      <c r="K78" s="44">
        <v>1</v>
      </c>
      <c r="L78" s="1" t="s">
        <v>309</v>
      </c>
    </row>
    <row r="79" spans="1:13" ht="14.5" x14ac:dyDescent="0.3">
      <c r="A79" s="5">
        <v>56311</v>
      </c>
      <c r="B79">
        <v>3</v>
      </c>
      <c r="C79" s="1" t="s">
        <v>414</v>
      </c>
      <c r="D79" s="1" t="str">
        <f t="shared" si="1"/>
        <v>56087;3</v>
      </c>
      <c r="E79">
        <v>3200</v>
      </c>
      <c r="F79">
        <v>12</v>
      </c>
      <c r="G79">
        <v>5</v>
      </c>
      <c r="H79" s="16">
        <v>29501</v>
      </c>
      <c r="I79" s="44">
        <v>3</v>
      </c>
      <c r="J79" s="20">
        <v>1.4999999999999999E-2</v>
      </c>
      <c r="K79" s="44">
        <v>1</v>
      </c>
      <c r="L79" s="1" t="s">
        <v>310</v>
      </c>
    </row>
    <row r="80" spans="1:13" ht="14.5" x14ac:dyDescent="0.3">
      <c r="A80" s="5">
        <v>56312</v>
      </c>
      <c r="B80">
        <v>3</v>
      </c>
      <c r="C80" s="1" t="s">
        <v>414</v>
      </c>
      <c r="D80" s="1" t="str">
        <f t="shared" si="1"/>
        <v>56088;3</v>
      </c>
      <c r="E80">
        <v>3200</v>
      </c>
      <c r="F80">
        <v>13</v>
      </c>
      <c r="G80">
        <v>5</v>
      </c>
      <c r="H80" s="16">
        <v>29401</v>
      </c>
      <c r="I80" s="44">
        <v>3</v>
      </c>
      <c r="J80" s="20">
        <v>1.4999999999999999E-2</v>
      </c>
      <c r="K80" s="44">
        <v>1</v>
      </c>
      <c r="L80" s="1" t="s">
        <v>311</v>
      </c>
    </row>
    <row r="81" spans="1:13" ht="14.5" x14ac:dyDescent="0.3">
      <c r="A81" s="5">
        <v>56313</v>
      </c>
      <c r="B81">
        <v>3</v>
      </c>
      <c r="C81" s="1" t="s">
        <v>414</v>
      </c>
      <c r="D81" s="1" t="str">
        <f t="shared" si="1"/>
        <v>56089;3</v>
      </c>
      <c r="E81">
        <v>3200</v>
      </c>
      <c r="F81">
        <v>14</v>
      </c>
      <c r="G81">
        <v>5</v>
      </c>
      <c r="H81" s="16">
        <v>29301</v>
      </c>
      <c r="I81" s="44">
        <v>3</v>
      </c>
      <c r="J81" s="20">
        <v>1.4999999999999999E-2</v>
      </c>
      <c r="K81" s="44">
        <v>1</v>
      </c>
      <c r="L81" s="1" t="s">
        <v>312</v>
      </c>
    </row>
    <row r="82" spans="1:13" ht="14.5" x14ac:dyDescent="0.3">
      <c r="A82" s="5">
        <v>56314</v>
      </c>
      <c r="B82">
        <v>3</v>
      </c>
      <c r="C82" s="1" t="s">
        <v>414</v>
      </c>
      <c r="D82" s="1" t="str">
        <f t="shared" si="1"/>
        <v>56090;3</v>
      </c>
      <c r="E82">
        <v>3200</v>
      </c>
      <c r="F82">
        <v>15</v>
      </c>
      <c r="G82">
        <v>5</v>
      </c>
      <c r="H82" s="16">
        <v>29801</v>
      </c>
      <c r="I82" s="44">
        <v>3</v>
      </c>
      <c r="J82" s="20">
        <v>1.4999999999999999E-2</v>
      </c>
      <c r="K82" s="44">
        <v>1</v>
      </c>
      <c r="L82" s="1" t="s">
        <v>313</v>
      </c>
    </row>
    <row r="83" spans="1:13" ht="14.5" x14ac:dyDescent="0.3">
      <c r="A83" s="5">
        <v>56315</v>
      </c>
      <c r="B83">
        <v>3</v>
      </c>
      <c r="C83" s="1" t="s">
        <v>414</v>
      </c>
      <c r="D83" s="1" t="str">
        <f t="shared" si="1"/>
        <v>56091;3</v>
      </c>
      <c r="E83">
        <v>3200</v>
      </c>
      <c r="F83">
        <v>16</v>
      </c>
      <c r="G83">
        <v>5</v>
      </c>
      <c r="H83" s="16">
        <v>29201</v>
      </c>
      <c r="I83" s="44">
        <v>0</v>
      </c>
      <c r="J83" s="20">
        <v>1.4999999999999999E-2</v>
      </c>
      <c r="K83" s="44">
        <v>1</v>
      </c>
      <c r="L83" s="1" t="s">
        <v>314</v>
      </c>
    </row>
    <row r="84" spans="1:13" ht="14.5" x14ac:dyDescent="0.3">
      <c r="A84" s="5">
        <v>56316</v>
      </c>
      <c r="B84">
        <v>1</v>
      </c>
      <c r="C84" s="1" t="s">
        <v>412</v>
      </c>
      <c r="D84" s="1" t="str">
        <f t="shared" si="1"/>
        <v>56300;3</v>
      </c>
      <c r="E84">
        <v>9700</v>
      </c>
      <c r="F84">
        <v>1</v>
      </c>
      <c r="G84">
        <v>6</v>
      </c>
      <c r="H84" s="16">
        <v>20000</v>
      </c>
      <c r="I84" s="44">
        <v>0</v>
      </c>
      <c r="J84" s="20">
        <v>3.0499999999999999E-2</v>
      </c>
      <c r="K84" s="44">
        <v>1</v>
      </c>
      <c r="L84" s="1" t="s">
        <v>299</v>
      </c>
      <c r="M84" s="1" t="s">
        <v>315</v>
      </c>
    </row>
    <row r="85" spans="1:13" ht="14.5" x14ac:dyDescent="0.3">
      <c r="A85" s="5">
        <v>56317</v>
      </c>
      <c r="B85">
        <v>1</v>
      </c>
      <c r="C85" s="1" t="s">
        <v>412</v>
      </c>
      <c r="D85" s="1" t="str">
        <f t="shared" si="1"/>
        <v>56301;3</v>
      </c>
      <c r="E85">
        <v>9700</v>
      </c>
      <c r="F85">
        <v>2</v>
      </c>
      <c r="G85">
        <v>6</v>
      </c>
      <c r="H85" s="16">
        <v>20030</v>
      </c>
      <c r="I85" s="44">
        <v>0</v>
      </c>
      <c r="J85" s="20">
        <v>3.0499999999999999E-2</v>
      </c>
      <c r="K85" s="44">
        <v>1</v>
      </c>
      <c r="L85" s="1" t="s">
        <v>300</v>
      </c>
    </row>
    <row r="86" spans="1:13" ht="14.5" x14ac:dyDescent="0.3">
      <c r="A86" s="5">
        <v>56318</v>
      </c>
      <c r="B86">
        <v>1</v>
      </c>
      <c r="C86" s="1" t="s">
        <v>412</v>
      </c>
      <c r="D86" s="1" t="str">
        <f t="shared" si="1"/>
        <v>56302;3</v>
      </c>
      <c r="E86">
        <v>9700</v>
      </c>
      <c r="F86">
        <v>3</v>
      </c>
      <c r="G86">
        <v>6</v>
      </c>
      <c r="H86" s="16">
        <v>20060</v>
      </c>
      <c r="I86" s="44">
        <v>0</v>
      </c>
      <c r="J86" s="20">
        <v>1.5299999999999999E-2</v>
      </c>
      <c r="K86" s="44">
        <v>1</v>
      </c>
      <c r="L86" s="1" t="s">
        <v>301</v>
      </c>
    </row>
    <row r="87" spans="1:13" ht="14.5" x14ac:dyDescent="0.3">
      <c r="A87" s="5">
        <v>56319</v>
      </c>
      <c r="B87">
        <v>1</v>
      </c>
      <c r="C87" s="1" t="s">
        <v>412</v>
      </c>
      <c r="D87" s="1" t="str">
        <f t="shared" si="1"/>
        <v>56303;3</v>
      </c>
      <c r="E87">
        <v>9700</v>
      </c>
      <c r="F87">
        <v>4</v>
      </c>
      <c r="G87">
        <v>6</v>
      </c>
      <c r="H87" s="16">
        <v>6001</v>
      </c>
      <c r="I87" s="44">
        <v>3</v>
      </c>
      <c r="J87" s="47">
        <v>760</v>
      </c>
      <c r="K87" s="44">
        <v>1</v>
      </c>
      <c r="L87" s="1" t="s">
        <v>302</v>
      </c>
    </row>
    <row r="88" spans="1:13" ht="14.5" x14ac:dyDescent="0.3">
      <c r="A88" s="5">
        <v>56320</v>
      </c>
      <c r="B88">
        <v>1</v>
      </c>
      <c r="C88" s="1" t="s">
        <v>412</v>
      </c>
      <c r="D88" s="1" t="str">
        <f t="shared" si="1"/>
        <v>56304;3</v>
      </c>
      <c r="E88">
        <v>9700</v>
      </c>
      <c r="F88">
        <v>5</v>
      </c>
      <c r="G88">
        <v>6</v>
      </c>
      <c r="H88" s="16">
        <v>1061</v>
      </c>
      <c r="I88" s="44">
        <v>0</v>
      </c>
      <c r="J88" s="20">
        <v>3.0499999999999999E-2</v>
      </c>
      <c r="K88" s="44">
        <v>1</v>
      </c>
      <c r="L88" s="1" t="s">
        <v>303</v>
      </c>
    </row>
    <row r="89" spans="1:13" ht="14.5" x14ac:dyDescent="0.3">
      <c r="A89" s="5">
        <v>56321</v>
      </c>
      <c r="B89">
        <v>2</v>
      </c>
      <c r="C89" s="1" t="s">
        <v>413</v>
      </c>
      <c r="D89" s="1" t="str">
        <f t="shared" si="1"/>
        <v>56305;3</v>
      </c>
      <c r="E89">
        <v>9700</v>
      </c>
      <c r="F89">
        <v>6</v>
      </c>
      <c r="G89">
        <v>6</v>
      </c>
      <c r="H89" s="16">
        <v>30220</v>
      </c>
      <c r="I89" s="44">
        <v>3</v>
      </c>
      <c r="J89" s="47">
        <v>6.85</v>
      </c>
      <c r="K89" s="44">
        <v>1</v>
      </c>
      <c r="L89" s="1" t="s">
        <v>304</v>
      </c>
    </row>
    <row r="90" spans="1:13" ht="14.5" x14ac:dyDescent="0.3">
      <c r="A90" s="5">
        <v>56322</v>
      </c>
      <c r="B90">
        <v>2</v>
      </c>
      <c r="C90" s="1" t="s">
        <v>413</v>
      </c>
      <c r="D90" s="1" t="str">
        <f t="shared" si="1"/>
        <v>56306;3</v>
      </c>
      <c r="E90">
        <v>9700</v>
      </c>
      <c r="F90">
        <v>7</v>
      </c>
      <c r="G90">
        <v>6</v>
      </c>
      <c r="H90" s="16">
        <v>30240</v>
      </c>
      <c r="I90" s="44">
        <v>3</v>
      </c>
      <c r="J90" s="47">
        <v>6.85</v>
      </c>
      <c r="K90" s="44">
        <v>1</v>
      </c>
      <c r="L90" s="1" t="s">
        <v>305</v>
      </c>
    </row>
    <row r="91" spans="1:13" ht="14.5" x14ac:dyDescent="0.3">
      <c r="A91" s="5">
        <v>56323</v>
      </c>
      <c r="B91">
        <v>2</v>
      </c>
      <c r="C91" s="1" t="s">
        <v>413</v>
      </c>
      <c r="D91" s="1" t="str">
        <f t="shared" si="1"/>
        <v>56307;3</v>
      </c>
      <c r="E91">
        <v>9700</v>
      </c>
      <c r="F91">
        <v>8</v>
      </c>
      <c r="G91">
        <v>6</v>
      </c>
      <c r="H91" s="16">
        <v>30230</v>
      </c>
      <c r="I91" s="44">
        <v>3</v>
      </c>
      <c r="J91" s="47">
        <v>6.85</v>
      </c>
      <c r="K91" s="44">
        <v>1</v>
      </c>
      <c r="L91" s="1" t="s">
        <v>306</v>
      </c>
    </row>
    <row r="92" spans="1:13" ht="14.5" x14ac:dyDescent="0.3">
      <c r="A92" s="5">
        <v>56324</v>
      </c>
      <c r="B92">
        <v>2</v>
      </c>
      <c r="C92" s="1" t="s">
        <v>413</v>
      </c>
      <c r="D92" s="1" t="str">
        <f t="shared" si="1"/>
        <v>56308;3</v>
      </c>
      <c r="E92">
        <v>9700</v>
      </c>
      <c r="F92">
        <v>9</v>
      </c>
      <c r="G92">
        <v>6</v>
      </c>
      <c r="H92" s="16">
        <v>30250</v>
      </c>
      <c r="I92" s="44">
        <v>3</v>
      </c>
      <c r="J92" s="47">
        <v>6.85</v>
      </c>
      <c r="K92" s="44">
        <v>1</v>
      </c>
      <c r="L92" s="1" t="s">
        <v>307</v>
      </c>
    </row>
    <row r="93" spans="1:13" ht="14.5" x14ac:dyDescent="0.3">
      <c r="A93" s="5">
        <v>56325</v>
      </c>
      <c r="B93">
        <v>2</v>
      </c>
      <c r="C93" s="1" t="s">
        <v>413</v>
      </c>
      <c r="D93" s="1" t="str">
        <f t="shared" si="1"/>
        <v>56309;3</v>
      </c>
      <c r="E93">
        <v>9700</v>
      </c>
      <c r="F93">
        <v>10</v>
      </c>
      <c r="G93">
        <v>6</v>
      </c>
      <c r="H93" s="16">
        <v>30200</v>
      </c>
      <c r="I93" s="44">
        <v>3</v>
      </c>
      <c r="J93" s="47">
        <v>3.4</v>
      </c>
      <c r="K93" s="44">
        <v>1</v>
      </c>
      <c r="L93" s="1" t="s">
        <v>308</v>
      </c>
    </row>
    <row r="94" spans="1:13" ht="14.5" x14ac:dyDescent="0.3">
      <c r="A94" s="5">
        <v>56326</v>
      </c>
      <c r="B94">
        <v>3</v>
      </c>
      <c r="C94" s="1" t="s">
        <v>414</v>
      </c>
      <c r="D94" s="1" t="str">
        <f t="shared" si="1"/>
        <v>56310;3</v>
      </c>
      <c r="E94">
        <v>9700</v>
      </c>
      <c r="F94">
        <v>11</v>
      </c>
      <c r="G94">
        <v>6</v>
      </c>
      <c r="H94" s="16">
        <v>29601</v>
      </c>
      <c r="I94" s="44">
        <v>3</v>
      </c>
      <c r="J94" s="20">
        <v>2.3E-2</v>
      </c>
      <c r="K94" s="44">
        <v>1</v>
      </c>
      <c r="L94" s="1" t="s">
        <v>309</v>
      </c>
    </row>
    <row r="95" spans="1:13" ht="14.5" x14ac:dyDescent="0.3">
      <c r="A95" s="5">
        <v>56327</v>
      </c>
      <c r="B95">
        <v>3</v>
      </c>
      <c r="C95" s="1" t="s">
        <v>414</v>
      </c>
      <c r="D95" s="1" t="str">
        <f t="shared" si="1"/>
        <v>56311;3</v>
      </c>
      <c r="E95">
        <v>9700</v>
      </c>
      <c r="F95">
        <v>12</v>
      </c>
      <c r="G95">
        <v>6</v>
      </c>
      <c r="H95" s="16">
        <v>29501</v>
      </c>
      <c r="I95" s="44">
        <v>3</v>
      </c>
      <c r="J95" s="20">
        <v>2.3E-2</v>
      </c>
      <c r="K95" s="44">
        <v>1</v>
      </c>
      <c r="L95" s="1" t="s">
        <v>310</v>
      </c>
    </row>
    <row r="96" spans="1:13" ht="14.5" x14ac:dyDescent="0.3">
      <c r="A96" s="5">
        <v>56328</v>
      </c>
      <c r="B96">
        <v>3</v>
      </c>
      <c r="C96" s="1" t="s">
        <v>414</v>
      </c>
      <c r="D96" s="1" t="str">
        <f t="shared" si="1"/>
        <v>56312;3</v>
      </c>
      <c r="E96">
        <v>9700</v>
      </c>
      <c r="F96">
        <v>13</v>
      </c>
      <c r="G96">
        <v>6</v>
      </c>
      <c r="H96" s="16">
        <v>29401</v>
      </c>
      <c r="I96" s="44">
        <v>3</v>
      </c>
      <c r="J96" s="20">
        <v>2.3E-2</v>
      </c>
      <c r="K96" s="44">
        <v>1</v>
      </c>
      <c r="L96" s="1" t="s">
        <v>311</v>
      </c>
    </row>
    <row r="97" spans="1:13" ht="14.5" x14ac:dyDescent="0.3">
      <c r="A97" s="5">
        <v>56329</v>
      </c>
      <c r="B97">
        <v>3</v>
      </c>
      <c r="C97" s="1" t="s">
        <v>414</v>
      </c>
      <c r="D97" s="1" t="str">
        <f t="shared" si="1"/>
        <v>56313;3</v>
      </c>
      <c r="E97">
        <v>9700</v>
      </c>
      <c r="F97">
        <v>14</v>
      </c>
      <c r="G97">
        <v>6</v>
      </c>
      <c r="H97" s="16">
        <v>29301</v>
      </c>
      <c r="I97" s="44">
        <v>3</v>
      </c>
      <c r="J97" s="20">
        <v>2.3E-2</v>
      </c>
      <c r="K97" s="44">
        <v>1</v>
      </c>
      <c r="L97" s="1" t="s">
        <v>312</v>
      </c>
    </row>
    <row r="98" spans="1:13" ht="14.5" x14ac:dyDescent="0.3">
      <c r="A98" s="5">
        <v>56330</v>
      </c>
      <c r="B98">
        <v>3</v>
      </c>
      <c r="C98" s="1" t="s">
        <v>414</v>
      </c>
      <c r="D98" s="1" t="str">
        <f t="shared" si="1"/>
        <v>56314;3</v>
      </c>
      <c r="E98">
        <v>9700</v>
      </c>
      <c r="F98">
        <v>15</v>
      </c>
      <c r="G98">
        <v>6</v>
      </c>
      <c r="H98" s="16">
        <v>29801</v>
      </c>
      <c r="I98" s="44">
        <v>3</v>
      </c>
      <c r="J98" s="20">
        <v>2.3E-2</v>
      </c>
      <c r="K98" s="44">
        <v>1</v>
      </c>
      <c r="L98" s="1" t="s">
        <v>313</v>
      </c>
    </row>
    <row r="99" spans="1:13" ht="14.5" x14ac:dyDescent="0.3">
      <c r="A99" s="5">
        <v>56331</v>
      </c>
      <c r="B99">
        <v>3</v>
      </c>
      <c r="C99" s="1" t="s">
        <v>414</v>
      </c>
      <c r="D99" s="1" t="str">
        <f t="shared" si="1"/>
        <v>56315;3</v>
      </c>
      <c r="E99">
        <v>9700</v>
      </c>
      <c r="F99">
        <v>16</v>
      </c>
      <c r="G99">
        <v>6</v>
      </c>
      <c r="H99" s="16">
        <v>29201</v>
      </c>
      <c r="I99" s="44">
        <v>0</v>
      </c>
      <c r="J99" s="20">
        <v>2.3E-2</v>
      </c>
      <c r="K99" s="44">
        <v>1</v>
      </c>
      <c r="L99" s="1" t="s">
        <v>314</v>
      </c>
    </row>
    <row r="100" spans="1:13" ht="14.5" x14ac:dyDescent="0.3">
      <c r="A100" s="5">
        <v>56332</v>
      </c>
      <c r="B100">
        <v>1</v>
      </c>
      <c r="C100" s="1" t="s">
        <v>412</v>
      </c>
      <c r="D100" s="1" t="str">
        <f t="shared" si="1"/>
        <v>56316;3</v>
      </c>
      <c r="E100">
        <v>29000</v>
      </c>
      <c r="F100">
        <v>1</v>
      </c>
      <c r="G100">
        <v>7</v>
      </c>
      <c r="H100" s="16">
        <v>20000</v>
      </c>
      <c r="I100" s="44">
        <v>0</v>
      </c>
      <c r="J100" s="49">
        <v>4.5999999999999999E-2</v>
      </c>
      <c r="K100" s="44">
        <v>1</v>
      </c>
      <c r="L100" s="1" t="s">
        <v>299</v>
      </c>
      <c r="M100" s="1" t="s">
        <v>322</v>
      </c>
    </row>
    <row r="101" spans="1:13" ht="14.5" x14ac:dyDescent="0.3">
      <c r="A101" s="5">
        <v>56333</v>
      </c>
      <c r="B101">
        <v>1</v>
      </c>
      <c r="C101" s="1" t="s">
        <v>412</v>
      </c>
      <c r="D101" s="1" t="str">
        <f t="shared" si="1"/>
        <v>56317;3</v>
      </c>
      <c r="E101">
        <v>29000</v>
      </c>
      <c r="F101">
        <v>2</v>
      </c>
      <c r="G101">
        <v>7</v>
      </c>
      <c r="H101" s="16">
        <v>20030</v>
      </c>
      <c r="I101" s="44">
        <v>0</v>
      </c>
      <c r="J101" s="49">
        <v>4.5999999999999999E-2</v>
      </c>
      <c r="K101" s="44">
        <v>1</v>
      </c>
      <c r="L101" s="1" t="s">
        <v>300</v>
      </c>
    </row>
    <row r="102" spans="1:13" ht="14.5" x14ac:dyDescent="0.3">
      <c r="A102" s="5">
        <v>56334</v>
      </c>
      <c r="B102">
        <v>1</v>
      </c>
      <c r="C102" s="1" t="s">
        <v>412</v>
      </c>
      <c r="D102" s="1" t="str">
        <f t="shared" si="1"/>
        <v>56318;3</v>
      </c>
      <c r="E102">
        <v>29000</v>
      </c>
      <c r="F102">
        <v>3</v>
      </c>
      <c r="G102">
        <v>7</v>
      </c>
      <c r="H102" s="16">
        <v>20060</v>
      </c>
      <c r="I102" s="44">
        <v>0</v>
      </c>
      <c r="J102" s="49">
        <v>2.3E-2</v>
      </c>
      <c r="K102" s="44">
        <v>1</v>
      </c>
      <c r="L102" s="1" t="s">
        <v>301</v>
      </c>
    </row>
    <row r="103" spans="1:13" ht="14.5" x14ac:dyDescent="0.3">
      <c r="A103" s="5">
        <v>56335</v>
      </c>
      <c r="B103">
        <v>1</v>
      </c>
      <c r="C103" s="1" t="s">
        <v>412</v>
      </c>
      <c r="D103" s="1" t="str">
        <f t="shared" si="1"/>
        <v>56319;3</v>
      </c>
      <c r="E103">
        <v>29000</v>
      </c>
      <c r="F103">
        <v>4</v>
      </c>
      <c r="G103">
        <v>7</v>
      </c>
      <c r="H103" s="16">
        <v>6001</v>
      </c>
      <c r="I103" s="44">
        <v>3</v>
      </c>
      <c r="J103" s="50">
        <v>1150</v>
      </c>
      <c r="K103" s="44">
        <v>1</v>
      </c>
      <c r="L103" s="1" t="s">
        <v>302</v>
      </c>
    </row>
    <row r="104" spans="1:13" ht="14.5" x14ac:dyDescent="0.3">
      <c r="A104" s="5">
        <v>56336</v>
      </c>
      <c r="B104">
        <v>1</v>
      </c>
      <c r="C104" s="1" t="s">
        <v>412</v>
      </c>
      <c r="D104" s="1" t="str">
        <f t="shared" si="1"/>
        <v>56320;3</v>
      </c>
      <c r="E104">
        <v>29000</v>
      </c>
      <c r="F104">
        <v>5</v>
      </c>
      <c r="G104">
        <v>7</v>
      </c>
      <c r="H104" s="16">
        <v>1061</v>
      </c>
      <c r="I104" s="44">
        <v>0</v>
      </c>
      <c r="J104" s="49">
        <v>4.5999999999999999E-2</v>
      </c>
      <c r="K104" s="44">
        <v>1</v>
      </c>
      <c r="L104" s="1" t="s">
        <v>303</v>
      </c>
    </row>
    <row r="105" spans="1:13" ht="14.5" x14ac:dyDescent="0.3">
      <c r="A105" s="5">
        <v>56337</v>
      </c>
      <c r="B105">
        <v>2</v>
      </c>
      <c r="C105" s="1" t="s">
        <v>413</v>
      </c>
      <c r="D105" s="1" t="str">
        <f t="shared" si="1"/>
        <v>56321;3</v>
      </c>
      <c r="E105">
        <v>29000</v>
      </c>
      <c r="F105">
        <v>6</v>
      </c>
      <c r="G105">
        <v>7</v>
      </c>
      <c r="H105" s="16">
        <v>30220</v>
      </c>
      <c r="I105" s="44">
        <v>3</v>
      </c>
      <c r="J105" s="50">
        <v>10.35</v>
      </c>
      <c r="K105" s="44">
        <v>1</v>
      </c>
      <c r="L105" s="1" t="s">
        <v>304</v>
      </c>
    </row>
    <row r="106" spans="1:13" ht="14.5" x14ac:dyDescent="0.3">
      <c r="A106" s="5">
        <v>56338</v>
      </c>
      <c r="B106">
        <v>2</v>
      </c>
      <c r="C106" s="1" t="s">
        <v>413</v>
      </c>
      <c r="D106" s="1" t="str">
        <f t="shared" si="1"/>
        <v>56322;3</v>
      </c>
      <c r="E106">
        <v>29000</v>
      </c>
      <c r="F106">
        <v>7</v>
      </c>
      <c r="G106">
        <v>7</v>
      </c>
      <c r="H106" s="16">
        <v>30240</v>
      </c>
      <c r="I106" s="44">
        <v>3</v>
      </c>
      <c r="J106" s="50">
        <v>10.35</v>
      </c>
      <c r="K106" s="44">
        <v>1</v>
      </c>
      <c r="L106" s="1" t="s">
        <v>305</v>
      </c>
    </row>
    <row r="107" spans="1:13" ht="14.5" x14ac:dyDescent="0.3">
      <c r="A107" s="5">
        <v>56339</v>
      </c>
      <c r="B107">
        <v>2</v>
      </c>
      <c r="C107" s="1" t="s">
        <v>413</v>
      </c>
      <c r="D107" s="1" t="str">
        <f t="shared" si="1"/>
        <v>56323;3</v>
      </c>
      <c r="E107">
        <v>29000</v>
      </c>
      <c r="F107">
        <v>8</v>
      </c>
      <c r="G107">
        <v>7</v>
      </c>
      <c r="H107" s="16">
        <v>30230</v>
      </c>
      <c r="I107" s="44">
        <v>3</v>
      </c>
      <c r="J107" s="50">
        <v>10.35</v>
      </c>
      <c r="K107" s="44">
        <v>1</v>
      </c>
      <c r="L107" s="1" t="s">
        <v>306</v>
      </c>
    </row>
    <row r="108" spans="1:13" ht="14.5" x14ac:dyDescent="0.3">
      <c r="A108" s="5">
        <v>56340</v>
      </c>
      <c r="B108">
        <v>2</v>
      </c>
      <c r="C108" s="1" t="s">
        <v>413</v>
      </c>
      <c r="D108" s="1" t="str">
        <f t="shared" si="1"/>
        <v>56324;3</v>
      </c>
      <c r="E108">
        <v>29000</v>
      </c>
      <c r="F108">
        <v>9</v>
      </c>
      <c r="G108">
        <v>7</v>
      </c>
      <c r="H108" s="16">
        <v>30250</v>
      </c>
      <c r="I108" s="44">
        <v>3</v>
      </c>
      <c r="J108" s="50">
        <v>10.35</v>
      </c>
      <c r="K108" s="44">
        <v>1</v>
      </c>
      <c r="L108" s="1" t="s">
        <v>307</v>
      </c>
    </row>
    <row r="109" spans="1:13" ht="14.5" x14ac:dyDescent="0.3">
      <c r="A109" s="5">
        <v>56341</v>
      </c>
      <c r="B109">
        <v>2</v>
      </c>
      <c r="C109" s="1" t="s">
        <v>413</v>
      </c>
      <c r="D109" s="1" t="str">
        <f t="shared" si="1"/>
        <v>56325;3</v>
      </c>
      <c r="E109">
        <v>29000</v>
      </c>
      <c r="F109">
        <v>10</v>
      </c>
      <c r="G109">
        <v>7</v>
      </c>
      <c r="H109" s="16">
        <v>30200</v>
      </c>
      <c r="I109" s="44">
        <v>3</v>
      </c>
      <c r="J109" s="50">
        <v>5.15</v>
      </c>
      <c r="K109" s="44">
        <v>1</v>
      </c>
      <c r="L109" s="1" t="s">
        <v>308</v>
      </c>
    </row>
    <row r="110" spans="1:13" ht="14.5" x14ac:dyDescent="0.3">
      <c r="A110" s="5">
        <v>56342</v>
      </c>
      <c r="B110">
        <v>3</v>
      </c>
      <c r="C110" s="1" t="s">
        <v>414</v>
      </c>
      <c r="D110" s="1" t="str">
        <f t="shared" si="1"/>
        <v>56326;3</v>
      </c>
      <c r="E110">
        <v>29000</v>
      </c>
      <c r="F110">
        <v>11</v>
      </c>
      <c r="G110">
        <v>7</v>
      </c>
      <c r="H110" s="16">
        <v>29601</v>
      </c>
      <c r="I110" s="44">
        <v>3</v>
      </c>
      <c r="J110" s="49">
        <v>3.4500000000000003E-2</v>
      </c>
      <c r="K110" s="44">
        <v>1</v>
      </c>
      <c r="L110" s="1" t="s">
        <v>309</v>
      </c>
    </row>
    <row r="111" spans="1:13" ht="14.5" x14ac:dyDescent="0.3">
      <c r="A111" s="5">
        <v>56343</v>
      </c>
      <c r="B111">
        <v>3</v>
      </c>
      <c r="C111" s="1" t="s">
        <v>414</v>
      </c>
      <c r="D111" s="1" t="str">
        <f t="shared" si="1"/>
        <v>56327;3</v>
      </c>
      <c r="E111">
        <v>29000</v>
      </c>
      <c r="F111">
        <v>12</v>
      </c>
      <c r="G111">
        <v>7</v>
      </c>
      <c r="H111" s="16">
        <v>29501</v>
      </c>
      <c r="I111" s="44">
        <v>3</v>
      </c>
      <c r="J111" s="49">
        <v>3.4500000000000003E-2</v>
      </c>
      <c r="K111" s="44">
        <v>1</v>
      </c>
      <c r="L111" s="1" t="s">
        <v>310</v>
      </c>
    </row>
    <row r="112" spans="1:13" ht="14.5" x14ac:dyDescent="0.3">
      <c r="A112" s="5">
        <v>56344</v>
      </c>
      <c r="B112">
        <v>3</v>
      </c>
      <c r="C112" s="1" t="s">
        <v>414</v>
      </c>
      <c r="D112" s="1" t="str">
        <f t="shared" si="1"/>
        <v>56328;3</v>
      </c>
      <c r="E112">
        <v>29000</v>
      </c>
      <c r="F112">
        <v>13</v>
      </c>
      <c r="G112">
        <v>7</v>
      </c>
      <c r="H112" s="16">
        <v>29401</v>
      </c>
      <c r="I112" s="44">
        <v>3</v>
      </c>
      <c r="J112" s="49">
        <v>3.4500000000000003E-2</v>
      </c>
      <c r="K112" s="44">
        <v>1</v>
      </c>
      <c r="L112" s="1" t="s">
        <v>311</v>
      </c>
    </row>
    <row r="113" spans="1:13" ht="14.5" x14ac:dyDescent="0.3">
      <c r="A113" s="5">
        <v>56345</v>
      </c>
      <c r="B113">
        <v>3</v>
      </c>
      <c r="C113" s="1" t="s">
        <v>414</v>
      </c>
      <c r="D113" s="1" t="str">
        <f t="shared" si="1"/>
        <v>56329;3</v>
      </c>
      <c r="E113">
        <v>29000</v>
      </c>
      <c r="F113">
        <v>14</v>
      </c>
      <c r="G113">
        <v>7</v>
      </c>
      <c r="H113" s="16">
        <v>29301</v>
      </c>
      <c r="I113" s="44">
        <v>3</v>
      </c>
      <c r="J113" s="49">
        <v>3.4500000000000003E-2</v>
      </c>
      <c r="K113" s="44">
        <v>1</v>
      </c>
      <c r="L113" s="1" t="s">
        <v>312</v>
      </c>
    </row>
    <row r="114" spans="1:13" ht="14.5" x14ac:dyDescent="0.3">
      <c r="A114" s="5">
        <v>56346</v>
      </c>
      <c r="B114">
        <v>3</v>
      </c>
      <c r="C114" s="1" t="s">
        <v>414</v>
      </c>
      <c r="D114" s="1" t="str">
        <f t="shared" si="1"/>
        <v>56330;3</v>
      </c>
      <c r="E114">
        <v>29000</v>
      </c>
      <c r="F114">
        <v>15</v>
      </c>
      <c r="G114">
        <v>7</v>
      </c>
      <c r="H114" s="16">
        <v>29801</v>
      </c>
      <c r="I114" s="44">
        <v>3</v>
      </c>
      <c r="J114" s="49">
        <v>3.4500000000000003E-2</v>
      </c>
      <c r="K114" s="44">
        <v>1</v>
      </c>
      <c r="L114" s="1" t="s">
        <v>313</v>
      </c>
    </row>
    <row r="115" spans="1:13" ht="14.5" x14ac:dyDescent="0.3">
      <c r="A115" s="5">
        <v>56347</v>
      </c>
      <c r="B115">
        <v>3</v>
      </c>
      <c r="C115" s="1" t="s">
        <v>414</v>
      </c>
      <c r="D115" s="1" t="str">
        <f t="shared" si="1"/>
        <v>56331;3</v>
      </c>
      <c r="E115">
        <v>29000</v>
      </c>
      <c r="F115">
        <v>16</v>
      </c>
      <c r="G115">
        <v>7</v>
      </c>
      <c r="H115" s="16">
        <v>29201</v>
      </c>
      <c r="I115" s="44">
        <v>0</v>
      </c>
      <c r="J115" s="49">
        <v>3.4500000000000003E-2</v>
      </c>
      <c r="K115" s="44">
        <v>1</v>
      </c>
      <c r="L115" s="1" t="s">
        <v>314</v>
      </c>
    </row>
    <row r="116" spans="1:13" ht="14.5" x14ac:dyDescent="0.3">
      <c r="A116" s="5">
        <v>56348</v>
      </c>
      <c r="B116">
        <v>1</v>
      </c>
      <c r="C116" s="1" t="s">
        <v>412</v>
      </c>
      <c r="D116" s="1" t="str">
        <f t="shared" si="1"/>
        <v>56332;3</v>
      </c>
      <c r="E116">
        <v>87000</v>
      </c>
      <c r="F116">
        <v>1</v>
      </c>
      <c r="G116">
        <v>8</v>
      </c>
      <c r="H116" s="16">
        <v>20000</v>
      </c>
      <c r="I116" s="44">
        <v>0</v>
      </c>
      <c r="J116" s="49">
        <v>7.0000000000000007E-2</v>
      </c>
      <c r="K116" s="44">
        <v>1</v>
      </c>
      <c r="L116" s="1" t="s">
        <v>299</v>
      </c>
      <c r="M116" s="1" t="s">
        <v>323</v>
      </c>
    </row>
    <row r="117" spans="1:13" ht="14.5" x14ac:dyDescent="0.3">
      <c r="A117" s="5">
        <v>56349</v>
      </c>
      <c r="B117">
        <v>1</v>
      </c>
      <c r="C117" s="1" t="s">
        <v>412</v>
      </c>
      <c r="D117" s="1" t="str">
        <f t="shared" si="1"/>
        <v>56333;3</v>
      </c>
      <c r="E117">
        <v>87000</v>
      </c>
      <c r="F117">
        <v>2</v>
      </c>
      <c r="G117">
        <v>8</v>
      </c>
      <c r="H117" s="16">
        <v>20030</v>
      </c>
      <c r="I117" s="44">
        <v>0</v>
      </c>
      <c r="J117" s="49">
        <v>7.0000000000000007E-2</v>
      </c>
      <c r="K117" s="44">
        <v>1</v>
      </c>
      <c r="L117" s="1" t="s">
        <v>300</v>
      </c>
    </row>
    <row r="118" spans="1:13" ht="14.5" x14ac:dyDescent="0.3">
      <c r="A118" s="5">
        <v>56350</v>
      </c>
      <c r="B118">
        <v>1</v>
      </c>
      <c r="C118" s="1" t="s">
        <v>412</v>
      </c>
      <c r="D118" s="1" t="str">
        <f t="shared" si="1"/>
        <v>56334;3</v>
      </c>
      <c r="E118">
        <v>87000</v>
      </c>
      <c r="F118">
        <v>3</v>
      </c>
      <c r="G118">
        <v>8</v>
      </c>
      <c r="H118" s="16">
        <v>20060</v>
      </c>
      <c r="I118" s="44">
        <v>0</v>
      </c>
      <c r="J118" s="49">
        <v>3.5000000000000003E-2</v>
      </c>
      <c r="K118" s="44">
        <v>1</v>
      </c>
      <c r="L118" s="1" t="s">
        <v>301</v>
      </c>
    </row>
    <row r="119" spans="1:13" ht="14.5" x14ac:dyDescent="0.3">
      <c r="A119" s="5">
        <v>56351</v>
      </c>
      <c r="B119">
        <v>1</v>
      </c>
      <c r="C119" s="1" t="s">
        <v>412</v>
      </c>
      <c r="D119" s="1" t="str">
        <f t="shared" si="1"/>
        <v>56335;3</v>
      </c>
      <c r="E119">
        <v>87000</v>
      </c>
      <c r="F119">
        <v>4</v>
      </c>
      <c r="G119">
        <v>8</v>
      </c>
      <c r="H119" s="16">
        <v>6001</v>
      </c>
      <c r="I119" s="44">
        <v>3</v>
      </c>
      <c r="J119" s="50">
        <v>1750</v>
      </c>
      <c r="K119" s="44">
        <v>1</v>
      </c>
      <c r="L119" s="1" t="s">
        <v>302</v>
      </c>
    </row>
    <row r="120" spans="1:13" ht="14.5" x14ac:dyDescent="0.3">
      <c r="A120" s="5">
        <v>56352</v>
      </c>
      <c r="B120">
        <v>1</v>
      </c>
      <c r="C120" s="1" t="s">
        <v>412</v>
      </c>
      <c r="D120" s="1" t="str">
        <f t="shared" si="1"/>
        <v>56336;3</v>
      </c>
      <c r="E120">
        <v>87000</v>
      </c>
      <c r="F120">
        <v>5</v>
      </c>
      <c r="G120">
        <v>8</v>
      </c>
      <c r="H120" s="16">
        <v>1061</v>
      </c>
      <c r="I120" s="44">
        <v>0</v>
      </c>
      <c r="J120" s="49">
        <v>7.0000000000000007E-2</v>
      </c>
      <c r="K120" s="44">
        <v>1</v>
      </c>
      <c r="L120" s="1" t="s">
        <v>303</v>
      </c>
    </row>
    <row r="121" spans="1:13" ht="14.5" x14ac:dyDescent="0.3">
      <c r="A121" s="5">
        <v>56353</v>
      </c>
      <c r="B121">
        <v>2</v>
      </c>
      <c r="C121" s="1" t="s">
        <v>413</v>
      </c>
      <c r="D121" s="1" t="str">
        <f t="shared" si="1"/>
        <v>56337;3</v>
      </c>
      <c r="E121">
        <v>87000</v>
      </c>
      <c r="F121">
        <v>6</v>
      </c>
      <c r="G121">
        <v>8</v>
      </c>
      <c r="H121" s="16">
        <v>30220</v>
      </c>
      <c r="I121" s="44">
        <v>3</v>
      </c>
      <c r="J121" s="50">
        <v>15.75</v>
      </c>
      <c r="K121" s="44">
        <v>1</v>
      </c>
      <c r="L121" s="1" t="s">
        <v>304</v>
      </c>
    </row>
    <row r="122" spans="1:13" ht="14.5" x14ac:dyDescent="0.3">
      <c r="A122" s="5">
        <v>56354</v>
      </c>
      <c r="B122">
        <v>2</v>
      </c>
      <c r="C122" s="1" t="s">
        <v>413</v>
      </c>
      <c r="D122" s="1" t="str">
        <f t="shared" si="1"/>
        <v>56338;3</v>
      </c>
      <c r="E122">
        <v>87000</v>
      </c>
      <c r="F122">
        <v>7</v>
      </c>
      <c r="G122">
        <v>8</v>
      </c>
      <c r="H122" s="16">
        <v>30240</v>
      </c>
      <c r="I122" s="44">
        <v>3</v>
      </c>
      <c r="J122" s="50">
        <v>15.75</v>
      </c>
      <c r="K122" s="44">
        <v>1</v>
      </c>
      <c r="L122" s="1" t="s">
        <v>305</v>
      </c>
    </row>
    <row r="123" spans="1:13" ht="14.5" x14ac:dyDescent="0.3">
      <c r="A123" s="5">
        <v>56355</v>
      </c>
      <c r="B123">
        <v>2</v>
      </c>
      <c r="C123" s="1" t="s">
        <v>413</v>
      </c>
      <c r="D123" s="1" t="str">
        <f t="shared" si="1"/>
        <v>56339;3</v>
      </c>
      <c r="E123">
        <v>87000</v>
      </c>
      <c r="F123">
        <v>8</v>
      </c>
      <c r="G123">
        <v>8</v>
      </c>
      <c r="H123" s="16">
        <v>30230</v>
      </c>
      <c r="I123" s="44">
        <v>3</v>
      </c>
      <c r="J123" s="50">
        <v>15.75</v>
      </c>
      <c r="K123" s="44">
        <v>1</v>
      </c>
      <c r="L123" s="1" t="s">
        <v>306</v>
      </c>
    </row>
    <row r="124" spans="1:13" ht="14.5" x14ac:dyDescent="0.3">
      <c r="A124" s="5">
        <v>56356</v>
      </c>
      <c r="B124">
        <v>2</v>
      </c>
      <c r="C124" s="1" t="s">
        <v>413</v>
      </c>
      <c r="D124" s="1" t="str">
        <f t="shared" si="1"/>
        <v>56340;3</v>
      </c>
      <c r="E124">
        <v>87000</v>
      </c>
      <c r="F124">
        <v>9</v>
      </c>
      <c r="G124">
        <v>8</v>
      </c>
      <c r="H124" s="16">
        <v>30250</v>
      </c>
      <c r="I124" s="44">
        <v>3</v>
      </c>
      <c r="J124" s="50">
        <v>15.75</v>
      </c>
      <c r="K124" s="44">
        <v>1</v>
      </c>
      <c r="L124" s="1" t="s">
        <v>307</v>
      </c>
    </row>
    <row r="125" spans="1:13" ht="14.5" x14ac:dyDescent="0.3">
      <c r="A125" s="5">
        <v>56357</v>
      </c>
      <c r="B125">
        <v>2</v>
      </c>
      <c r="C125" s="1" t="s">
        <v>413</v>
      </c>
      <c r="D125" s="1" t="str">
        <f t="shared" si="1"/>
        <v>56341;3</v>
      </c>
      <c r="E125">
        <v>87000</v>
      </c>
      <c r="F125">
        <v>10</v>
      </c>
      <c r="G125">
        <v>8</v>
      </c>
      <c r="H125" s="16">
        <v>30200</v>
      </c>
      <c r="I125" s="44">
        <v>3</v>
      </c>
      <c r="J125" s="50">
        <v>7.85</v>
      </c>
      <c r="K125" s="44">
        <v>1</v>
      </c>
      <c r="L125" s="1" t="s">
        <v>308</v>
      </c>
    </row>
    <row r="126" spans="1:13" ht="14.5" x14ac:dyDescent="0.3">
      <c r="A126" s="5">
        <v>56358</v>
      </c>
      <c r="B126">
        <v>3</v>
      </c>
      <c r="C126" s="1" t="s">
        <v>414</v>
      </c>
      <c r="D126" s="1" t="str">
        <f t="shared" si="1"/>
        <v>56342;3</v>
      </c>
      <c r="E126">
        <v>87000</v>
      </c>
      <c r="F126">
        <v>11</v>
      </c>
      <c r="G126">
        <v>8</v>
      </c>
      <c r="H126" s="16">
        <v>29601</v>
      </c>
      <c r="I126" s="44">
        <v>3</v>
      </c>
      <c r="J126" s="49">
        <v>5.2499999999999998E-2</v>
      </c>
      <c r="K126" s="44">
        <v>1</v>
      </c>
      <c r="L126" s="1" t="s">
        <v>309</v>
      </c>
    </row>
    <row r="127" spans="1:13" ht="14.5" x14ac:dyDescent="0.3">
      <c r="A127" s="5">
        <v>56359</v>
      </c>
      <c r="B127">
        <v>3</v>
      </c>
      <c r="C127" s="1" t="s">
        <v>414</v>
      </c>
      <c r="D127" s="1" t="str">
        <f t="shared" si="1"/>
        <v>56343;3</v>
      </c>
      <c r="E127">
        <v>87000</v>
      </c>
      <c r="F127">
        <v>12</v>
      </c>
      <c r="G127">
        <v>8</v>
      </c>
      <c r="H127" s="16">
        <v>29501</v>
      </c>
      <c r="I127" s="44">
        <v>3</v>
      </c>
      <c r="J127" s="49">
        <v>5.2499999999999998E-2</v>
      </c>
      <c r="K127" s="44">
        <v>1</v>
      </c>
      <c r="L127" s="1" t="s">
        <v>310</v>
      </c>
    </row>
    <row r="128" spans="1:13" ht="14.5" x14ac:dyDescent="0.3">
      <c r="A128" s="5">
        <v>56360</v>
      </c>
      <c r="B128">
        <v>3</v>
      </c>
      <c r="C128" s="1" t="s">
        <v>414</v>
      </c>
      <c r="D128" s="1" t="str">
        <f t="shared" si="1"/>
        <v>56344;3</v>
      </c>
      <c r="E128">
        <v>87000</v>
      </c>
      <c r="F128">
        <v>13</v>
      </c>
      <c r="G128">
        <v>8</v>
      </c>
      <c r="H128" s="16">
        <v>29401</v>
      </c>
      <c r="I128" s="44">
        <v>3</v>
      </c>
      <c r="J128" s="49">
        <v>5.2499999999999998E-2</v>
      </c>
      <c r="K128" s="44">
        <v>1</v>
      </c>
      <c r="L128" s="1" t="s">
        <v>311</v>
      </c>
    </row>
    <row r="129" spans="1:13" ht="14.5" x14ac:dyDescent="0.3">
      <c r="A129" s="5">
        <v>56361</v>
      </c>
      <c r="B129">
        <v>3</v>
      </c>
      <c r="C129" s="1" t="s">
        <v>414</v>
      </c>
      <c r="D129" s="1" t="str">
        <f t="shared" si="1"/>
        <v>56345;3</v>
      </c>
      <c r="E129">
        <v>87000</v>
      </c>
      <c r="F129">
        <v>14</v>
      </c>
      <c r="G129">
        <v>8</v>
      </c>
      <c r="H129" s="16">
        <v>29301</v>
      </c>
      <c r="I129" s="44">
        <v>3</v>
      </c>
      <c r="J129" s="49">
        <v>5.2499999999999998E-2</v>
      </c>
      <c r="K129" s="44">
        <v>1</v>
      </c>
      <c r="L129" s="1" t="s">
        <v>312</v>
      </c>
    </row>
    <row r="130" spans="1:13" ht="14.5" x14ac:dyDescent="0.3">
      <c r="A130" s="5">
        <v>56362</v>
      </c>
      <c r="B130">
        <v>3</v>
      </c>
      <c r="C130" s="1" t="s">
        <v>414</v>
      </c>
      <c r="D130" s="1" t="str">
        <f t="shared" si="1"/>
        <v>56346;3</v>
      </c>
      <c r="E130">
        <v>87000</v>
      </c>
      <c r="F130">
        <v>15</v>
      </c>
      <c r="G130">
        <v>8</v>
      </c>
      <c r="H130" s="16">
        <v>29801</v>
      </c>
      <c r="I130" s="44">
        <v>3</v>
      </c>
      <c r="J130" s="49">
        <v>5.2499999999999998E-2</v>
      </c>
      <c r="K130" s="44">
        <v>1</v>
      </c>
      <c r="L130" s="1" t="s">
        <v>313</v>
      </c>
    </row>
    <row r="131" spans="1:13" ht="14.5" x14ac:dyDescent="0.3">
      <c r="A131" s="5">
        <v>56363</v>
      </c>
      <c r="B131">
        <v>3</v>
      </c>
      <c r="C131" s="1" t="s">
        <v>414</v>
      </c>
      <c r="D131" s="1" t="str">
        <f t="shared" si="1"/>
        <v>56347;3</v>
      </c>
      <c r="E131">
        <v>87000</v>
      </c>
      <c r="F131">
        <v>16</v>
      </c>
      <c r="G131">
        <v>8</v>
      </c>
      <c r="H131" s="16">
        <v>29201</v>
      </c>
      <c r="I131" s="44">
        <v>0</v>
      </c>
      <c r="J131" s="49">
        <v>5.2499999999999998E-2</v>
      </c>
      <c r="K131" s="44">
        <v>1</v>
      </c>
      <c r="L131" s="1" t="s">
        <v>314</v>
      </c>
    </row>
    <row r="132" spans="1:13" ht="14.5" x14ac:dyDescent="0.3">
      <c r="A132" s="5">
        <v>56364</v>
      </c>
      <c r="B132">
        <v>1</v>
      </c>
      <c r="C132" s="1" t="s">
        <v>412</v>
      </c>
      <c r="D132" s="1" t="str">
        <f t="shared" si="1"/>
        <v>56348;3</v>
      </c>
      <c r="E132">
        <v>260000</v>
      </c>
      <c r="F132">
        <v>1</v>
      </c>
      <c r="G132">
        <v>9</v>
      </c>
      <c r="H132" s="16">
        <v>20000</v>
      </c>
      <c r="I132" s="44">
        <v>0</v>
      </c>
      <c r="J132" s="49">
        <v>0.105</v>
      </c>
      <c r="K132" s="44">
        <v>1</v>
      </c>
      <c r="L132" s="1" t="s">
        <v>299</v>
      </c>
      <c r="M132" s="1" t="s">
        <v>324</v>
      </c>
    </row>
    <row r="133" spans="1:13" ht="14.5" x14ac:dyDescent="0.3">
      <c r="A133" s="5">
        <v>56365</v>
      </c>
      <c r="B133">
        <v>1</v>
      </c>
      <c r="C133" s="1" t="s">
        <v>412</v>
      </c>
      <c r="D133" s="1" t="str">
        <f t="shared" ref="D133:D163" si="2">A117&amp;";3"</f>
        <v>56349;3</v>
      </c>
      <c r="E133">
        <v>260000</v>
      </c>
      <c r="F133">
        <v>2</v>
      </c>
      <c r="G133">
        <v>9</v>
      </c>
      <c r="H133" s="16">
        <v>20030</v>
      </c>
      <c r="I133" s="44">
        <v>0</v>
      </c>
      <c r="J133" s="49">
        <v>0.105</v>
      </c>
      <c r="K133" s="44">
        <v>1</v>
      </c>
      <c r="L133" s="1" t="s">
        <v>300</v>
      </c>
    </row>
    <row r="134" spans="1:13" ht="14.5" x14ac:dyDescent="0.3">
      <c r="A134" s="5">
        <v>56366</v>
      </c>
      <c r="B134">
        <v>1</v>
      </c>
      <c r="C134" s="1" t="s">
        <v>412</v>
      </c>
      <c r="D134" s="1" t="str">
        <f t="shared" si="2"/>
        <v>56350;3</v>
      </c>
      <c r="E134">
        <v>260000</v>
      </c>
      <c r="F134">
        <v>3</v>
      </c>
      <c r="G134">
        <v>9</v>
      </c>
      <c r="H134" s="16">
        <v>20060</v>
      </c>
      <c r="I134" s="44">
        <v>0</v>
      </c>
      <c r="J134" s="49">
        <v>5.2499999999999998E-2</v>
      </c>
      <c r="K134" s="44">
        <v>1</v>
      </c>
      <c r="L134" s="1" t="s">
        <v>301</v>
      </c>
    </row>
    <row r="135" spans="1:13" ht="14.5" x14ac:dyDescent="0.3">
      <c r="A135" s="5">
        <v>56367</v>
      </c>
      <c r="B135">
        <v>1</v>
      </c>
      <c r="C135" s="1" t="s">
        <v>412</v>
      </c>
      <c r="D135" s="1" t="str">
        <f t="shared" si="2"/>
        <v>56351;3</v>
      </c>
      <c r="E135">
        <v>260000</v>
      </c>
      <c r="F135">
        <v>4</v>
      </c>
      <c r="G135">
        <v>9</v>
      </c>
      <c r="H135" s="16">
        <v>6001</v>
      </c>
      <c r="I135" s="44">
        <v>3</v>
      </c>
      <c r="J135" s="50">
        <v>2630</v>
      </c>
      <c r="K135" s="44">
        <v>1</v>
      </c>
      <c r="L135" s="1" t="s">
        <v>302</v>
      </c>
    </row>
    <row r="136" spans="1:13" ht="14.5" x14ac:dyDescent="0.3">
      <c r="A136" s="5">
        <v>56368</v>
      </c>
      <c r="B136">
        <v>1</v>
      </c>
      <c r="C136" s="1" t="s">
        <v>412</v>
      </c>
      <c r="D136" s="1" t="str">
        <f t="shared" si="2"/>
        <v>56352;3</v>
      </c>
      <c r="E136">
        <v>260000</v>
      </c>
      <c r="F136">
        <v>5</v>
      </c>
      <c r="G136">
        <v>9</v>
      </c>
      <c r="H136" s="16">
        <v>1061</v>
      </c>
      <c r="I136" s="44">
        <v>0</v>
      </c>
      <c r="J136" s="49">
        <v>0.105</v>
      </c>
      <c r="K136" s="44">
        <v>1</v>
      </c>
      <c r="L136" s="1" t="s">
        <v>303</v>
      </c>
    </row>
    <row r="137" spans="1:13" ht="14.5" x14ac:dyDescent="0.3">
      <c r="A137" s="5">
        <v>56369</v>
      </c>
      <c r="B137">
        <v>2</v>
      </c>
      <c r="C137" s="1" t="s">
        <v>413</v>
      </c>
      <c r="D137" s="1" t="str">
        <f t="shared" si="2"/>
        <v>56353;3</v>
      </c>
      <c r="E137">
        <v>260000</v>
      </c>
      <c r="F137">
        <v>6</v>
      </c>
      <c r="G137">
        <v>9</v>
      </c>
      <c r="H137" s="16">
        <v>30220</v>
      </c>
      <c r="I137" s="44">
        <v>3</v>
      </c>
      <c r="J137" s="50">
        <v>23.6</v>
      </c>
      <c r="K137" s="44">
        <v>1</v>
      </c>
      <c r="L137" s="1" t="s">
        <v>304</v>
      </c>
    </row>
    <row r="138" spans="1:13" ht="14.5" x14ac:dyDescent="0.3">
      <c r="A138" s="5">
        <v>56370</v>
      </c>
      <c r="B138">
        <v>2</v>
      </c>
      <c r="C138" s="1" t="s">
        <v>413</v>
      </c>
      <c r="D138" s="1" t="str">
        <f t="shared" si="2"/>
        <v>56354;3</v>
      </c>
      <c r="E138">
        <v>260000</v>
      </c>
      <c r="F138">
        <v>7</v>
      </c>
      <c r="G138">
        <v>9</v>
      </c>
      <c r="H138" s="16">
        <v>30240</v>
      </c>
      <c r="I138" s="44">
        <v>3</v>
      </c>
      <c r="J138" s="50">
        <v>23.6</v>
      </c>
      <c r="K138" s="44">
        <v>1</v>
      </c>
      <c r="L138" s="1" t="s">
        <v>305</v>
      </c>
    </row>
    <row r="139" spans="1:13" ht="14.5" x14ac:dyDescent="0.3">
      <c r="A139" s="5">
        <v>56371</v>
      </c>
      <c r="B139">
        <v>2</v>
      </c>
      <c r="C139" s="1" t="s">
        <v>413</v>
      </c>
      <c r="D139" s="1" t="str">
        <f t="shared" si="2"/>
        <v>56355;3</v>
      </c>
      <c r="E139">
        <v>260000</v>
      </c>
      <c r="F139">
        <v>8</v>
      </c>
      <c r="G139">
        <v>9</v>
      </c>
      <c r="H139" s="16">
        <v>30230</v>
      </c>
      <c r="I139" s="44">
        <v>3</v>
      </c>
      <c r="J139" s="50">
        <v>23.6</v>
      </c>
      <c r="K139" s="44">
        <v>1</v>
      </c>
      <c r="L139" s="1" t="s">
        <v>306</v>
      </c>
    </row>
    <row r="140" spans="1:13" ht="14.5" x14ac:dyDescent="0.3">
      <c r="A140" s="5">
        <v>56372</v>
      </c>
      <c r="B140">
        <v>2</v>
      </c>
      <c r="C140" s="1" t="s">
        <v>413</v>
      </c>
      <c r="D140" s="1" t="str">
        <f t="shared" si="2"/>
        <v>56356;3</v>
      </c>
      <c r="E140">
        <v>260000</v>
      </c>
      <c r="F140">
        <v>9</v>
      </c>
      <c r="G140">
        <v>9</v>
      </c>
      <c r="H140" s="16">
        <v>30250</v>
      </c>
      <c r="I140" s="44">
        <v>3</v>
      </c>
      <c r="J140" s="50">
        <v>23.6</v>
      </c>
      <c r="K140" s="44">
        <v>1</v>
      </c>
      <c r="L140" s="1" t="s">
        <v>307</v>
      </c>
    </row>
    <row r="141" spans="1:13" ht="14.5" x14ac:dyDescent="0.3">
      <c r="A141" s="5">
        <v>56373</v>
      </c>
      <c r="B141">
        <v>2</v>
      </c>
      <c r="C141" s="1" t="s">
        <v>413</v>
      </c>
      <c r="D141" s="1" t="str">
        <f t="shared" si="2"/>
        <v>56357;3</v>
      </c>
      <c r="E141">
        <v>260000</v>
      </c>
      <c r="F141">
        <v>10</v>
      </c>
      <c r="G141">
        <v>9</v>
      </c>
      <c r="H141" s="16">
        <v>30200</v>
      </c>
      <c r="I141" s="44">
        <v>3</v>
      </c>
      <c r="J141" s="50">
        <v>11.8</v>
      </c>
      <c r="K141" s="44">
        <v>1</v>
      </c>
      <c r="L141" s="1" t="s">
        <v>308</v>
      </c>
    </row>
    <row r="142" spans="1:13" ht="14.5" x14ac:dyDescent="0.3">
      <c r="A142" s="5">
        <v>56374</v>
      </c>
      <c r="B142">
        <v>3</v>
      </c>
      <c r="C142" s="1" t="s">
        <v>414</v>
      </c>
      <c r="D142" s="1" t="str">
        <f t="shared" si="2"/>
        <v>56358;3</v>
      </c>
      <c r="E142">
        <v>260000</v>
      </c>
      <c r="F142">
        <v>11</v>
      </c>
      <c r="G142">
        <v>9</v>
      </c>
      <c r="H142" s="16">
        <v>29601</v>
      </c>
      <c r="I142" s="44">
        <v>3</v>
      </c>
      <c r="J142" s="49">
        <v>7.9000000000000001E-2</v>
      </c>
      <c r="K142" s="44">
        <v>1</v>
      </c>
      <c r="L142" s="1" t="s">
        <v>309</v>
      </c>
    </row>
    <row r="143" spans="1:13" ht="14.5" x14ac:dyDescent="0.3">
      <c r="A143" s="5">
        <v>56375</v>
      </c>
      <c r="B143">
        <v>3</v>
      </c>
      <c r="C143" s="1" t="s">
        <v>414</v>
      </c>
      <c r="D143" s="1" t="str">
        <f t="shared" si="2"/>
        <v>56359;3</v>
      </c>
      <c r="E143">
        <v>260000</v>
      </c>
      <c r="F143">
        <v>12</v>
      </c>
      <c r="G143">
        <v>9</v>
      </c>
      <c r="H143" s="16">
        <v>29501</v>
      </c>
      <c r="I143" s="44">
        <v>3</v>
      </c>
      <c r="J143" s="49">
        <v>7.9000000000000001E-2</v>
      </c>
      <c r="K143" s="44">
        <v>1</v>
      </c>
      <c r="L143" s="1" t="s">
        <v>310</v>
      </c>
    </row>
    <row r="144" spans="1:13" ht="14.5" x14ac:dyDescent="0.3">
      <c r="A144" s="5">
        <v>56376</v>
      </c>
      <c r="B144">
        <v>3</v>
      </c>
      <c r="C144" s="1" t="s">
        <v>414</v>
      </c>
      <c r="D144" s="1" t="str">
        <f t="shared" si="2"/>
        <v>56360;3</v>
      </c>
      <c r="E144">
        <v>260000</v>
      </c>
      <c r="F144">
        <v>13</v>
      </c>
      <c r="G144">
        <v>9</v>
      </c>
      <c r="H144" s="16">
        <v>29401</v>
      </c>
      <c r="I144" s="44">
        <v>3</v>
      </c>
      <c r="J144" s="49">
        <v>7.9000000000000001E-2</v>
      </c>
      <c r="K144" s="44">
        <v>1</v>
      </c>
      <c r="L144" s="1" t="s">
        <v>311</v>
      </c>
    </row>
    <row r="145" spans="1:13" ht="14.5" x14ac:dyDescent="0.3">
      <c r="A145" s="5">
        <v>56377</v>
      </c>
      <c r="B145">
        <v>3</v>
      </c>
      <c r="C145" s="1" t="s">
        <v>414</v>
      </c>
      <c r="D145" s="1" t="str">
        <f t="shared" si="2"/>
        <v>56361;3</v>
      </c>
      <c r="E145">
        <v>260000</v>
      </c>
      <c r="F145">
        <v>14</v>
      </c>
      <c r="G145">
        <v>9</v>
      </c>
      <c r="H145" s="16">
        <v>29301</v>
      </c>
      <c r="I145" s="44">
        <v>3</v>
      </c>
      <c r="J145" s="49">
        <v>7.9000000000000001E-2</v>
      </c>
      <c r="K145" s="44">
        <v>1</v>
      </c>
      <c r="L145" s="1" t="s">
        <v>312</v>
      </c>
    </row>
    <row r="146" spans="1:13" ht="14.5" x14ac:dyDescent="0.3">
      <c r="A146" s="5">
        <v>56378</v>
      </c>
      <c r="B146">
        <v>3</v>
      </c>
      <c r="C146" s="1" t="s">
        <v>414</v>
      </c>
      <c r="D146" s="1" t="str">
        <f t="shared" si="2"/>
        <v>56362;3</v>
      </c>
      <c r="E146">
        <v>260000</v>
      </c>
      <c r="F146">
        <v>15</v>
      </c>
      <c r="G146">
        <v>9</v>
      </c>
      <c r="H146" s="16">
        <v>29801</v>
      </c>
      <c r="I146" s="44">
        <v>3</v>
      </c>
      <c r="J146" s="49">
        <v>7.9000000000000001E-2</v>
      </c>
      <c r="K146" s="44">
        <v>1</v>
      </c>
      <c r="L146" s="1" t="s">
        <v>313</v>
      </c>
    </row>
    <row r="147" spans="1:13" ht="14.5" x14ac:dyDescent="0.3">
      <c r="A147" s="5">
        <v>56379</v>
      </c>
      <c r="B147">
        <v>3</v>
      </c>
      <c r="C147" s="1" t="s">
        <v>414</v>
      </c>
      <c r="D147" s="1" t="str">
        <f t="shared" si="2"/>
        <v>56363;3</v>
      </c>
      <c r="E147">
        <v>260000</v>
      </c>
      <c r="F147">
        <v>16</v>
      </c>
      <c r="G147">
        <v>9</v>
      </c>
      <c r="H147" s="16">
        <v>29201</v>
      </c>
      <c r="I147" s="44">
        <v>0</v>
      </c>
      <c r="J147" s="49">
        <v>7.9000000000000001E-2</v>
      </c>
      <c r="K147" s="44">
        <v>1</v>
      </c>
      <c r="L147" s="1" t="s">
        <v>314</v>
      </c>
    </row>
    <row r="148" spans="1:13" ht="14.5" x14ac:dyDescent="0.3">
      <c r="A148" s="5">
        <v>56380</v>
      </c>
      <c r="B148">
        <v>1</v>
      </c>
      <c r="C148" s="1" t="s">
        <v>412</v>
      </c>
      <c r="D148" s="1" t="str">
        <f t="shared" si="2"/>
        <v>56364;3</v>
      </c>
      <c r="E148">
        <v>790000</v>
      </c>
      <c r="F148">
        <v>1</v>
      </c>
      <c r="G148">
        <v>10</v>
      </c>
      <c r="H148" s="16">
        <v>20000</v>
      </c>
      <c r="I148" s="44">
        <v>0</v>
      </c>
      <c r="J148" s="49">
        <v>0.16</v>
      </c>
      <c r="K148" s="44">
        <v>1</v>
      </c>
      <c r="L148" s="1" t="s">
        <v>299</v>
      </c>
      <c r="M148" s="1" t="s">
        <v>325</v>
      </c>
    </row>
    <row r="149" spans="1:13" ht="14.5" x14ac:dyDescent="0.3">
      <c r="A149" s="5">
        <v>56381</v>
      </c>
      <c r="B149">
        <v>1</v>
      </c>
      <c r="C149" s="1" t="s">
        <v>412</v>
      </c>
      <c r="D149" s="1" t="str">
        <f t="shared" si="2"/>
        <v>56365;3</v>
      </c>
      <c r="E149">
        <v>790000</v>
      </c>
      <c r="F149">
        <v>2</v>
      </c>
      <c r="G149">
        <v>10</v>
      </c>
      <c r="H149" s="16">
        <v>20030</v>
      </c>
      <c r="I149" s="44">
        <v>0</v>
      </c>
      <c r="J149" s="49">
        <v>0.16</v>
      </c>
      <c r="K149" s="44">
        <v>1</v>
      </c>
      <c r="L149" s="1" t="s">
        <v>300</v>
      </c>
    </row>
    <row r="150" spans="1:13" ht="14.5" x14ac:dyDescent="0.3">
      <c r="A150" s="5">
        <v>56382</v>
      </c>
      <c r="B150">
        <v>1</v>
      </c>
      <c r="C150" s="1" t="s">
        <v>412</v>
      </c>
      <c r="D150" s="1" t="str">
        <f t="shared" si="2"/>
        <v>56366;3</v>
      </c>
      <c r="E150">
        <v>790000</v>
      </c>
      <c r="F150">
        <v>3</v>
      </c>
      <c r="G150">
        <v>10</v>
      </c>
      <c r="H150" s="16">
        <v>20060</v>
      </c>
      <c r="I150" s="44">
        <v>0</v>
      </c>
      <c r="J150" s="49">
        <v>0.08</v>
      </c>
      <c r="K150" s="44">
        <v>1</v>
      </c>
      <c r="L150" s="1" t="s">
        <v>301</v>
      </c>
    </row>
    <row r="151" spans="1:13" ht="14.5" x14ac:dyDescent="0.3">
      <c r="A151" s="5">
        <v>56383</v>
      </c>
      <c r="B151">
        <v>1</v>
      </c>
      <c r="C151" s="1" t="s">
        <v>412</v>
      </c>
      <c r="D151" s="1" t="str">
        <f t="shared" si="2"/>
        <v>56367;3</v>
      </c>
      <c r="E151">
        <v>790000</v>
      </c>
      <c r="F151">
        <v>4</v>
      </c>
      <c r="G151">
        <v>10</v>
      </c>
      <c r="H151" s="16">
        <v>6001</v>
      </c>
      <c r="I151" s="44">
        <v>3</v>
      </c>
      <c r="J151" s="50">
        <v>4000</v>
      </c>
      <c r="K151" s="44">
        <v>1</v>
      </c>
      <c r="L151" s="1" t="s">
        <v>302</v>
      </c>
    </row>
    <row r="152" spans="1:13" ht="14.5" x14ac:dyDescent="0.3">
      <c r="A152" s="5">
        <v>56384</v>
      </c>
      <c r="B152">
        <v>1</v>
      </c>
      <c r="C152" s="1" t="s">
        <v>412</v>
      </c>
      <c r="D152" s="1" t="str">
        <f t="shared" si="2"/>
        <v>56368;3</v>
      </c>
      <c r="E152">
        <v>790000</v>
      </c>
      <c r="F152">
        <v>5</v>
      </c>
      <c r="G152">
        <v>10</v>
      </c>
      <c r="H152" s="16">
        <v>1061</v>
      </c>
      <c r="I152" s="44">
        <v>0</v>
      </c>
      <c r="J152" s="49">
        <v>0.16</v>
      </c>
      <c r="K152" s="44">
        <v>1</v>
      </c>
      <c r="L152" s="1" t="s">
        <v>303</v>
      </c>
    </row>
    <row r="153" spans="1:13" ht="14.5" x14ac:dyDescent="0.3">
      <c r="A153" s="5">
        <v>56385</v>
      </c>
      <c r="B153">
        <v>2</v>
      </c>
      <c r="C153" s="1" t="s">
        <v>413</v>
      </c>
      <c r="D153" s="1" t="str">
        <f t="shared" si="2"/>
        <v>56369;3</v>
      </c>
      <c r="E153">
        <v>790000</v>
      </c>
      <c r="F153">
        <v>6</v>
      </c>
      <c r="G153">
        <v>10</v>
      </c>
      <c r="H153" s="16">
        <v>30220</v>
      </c>
      <c r="I153" s="44">
        <v>3</v>
      </c>
      <c r="J153" s="50">
        <v>36</v>
      </c>
      <c r="K153" s="44">
        <v>1</v>
      </c>
      <c r="L153" s="1" t="s">
        <v>304</v>
      </c>
    </row>
    <row r="154" spans="1:13" ht="14.5" x14ac:dyDescent="0.3">
      <c r="A154" s="5">
        <v>56386</v>
      </c>
      <c r="B154">
        <v>2</v>
      </c>
      <c r="C154" s="1" t="s">
        <v>413</v>
      </c>
      <c r="D154" s="1" t="str">
        <f t="shared" si="2"/>
        <v>56370;3</v>
      </c>
      <c r="E154">
        <v>790000</v>
      </c>
      <c r="F154">
        <v>7</v>
      </c>
      <c r="G154">
        <v>10</v>
      </c>
      <c r="H154" s="16">
        <v>30240</v>
      </c>
      <c r="I154" s="44">
        <v>3</v>
      </c>
      <c r="J154" s="50">
        <v>36</v>
      </c>
      <c r="K154" s="44">
        <v>1</v>
      </c>
      <c r="L154" s="1" t="s">
        <v>305</v>
      </c>
    </row>
    <row r="155" spans="1:13" ht="14.5" x14ac:dyDescent="0.3">
      <c r="A155" s="5">
        <v>56387</v>
      </c>
      <c r="B155">
        <v>2</v>
      </c>
      <c r="C155" s="1" t="s">
        <v>413</v>
      </c>
      <c r="D155" s="1" t="str">
        <f t="shared" si="2"/>
        <v>56371;3</v>
      </c>
      <c r="E155">
        <v>790000</v>
      </c>
      <c r="F155">
        <v>8</v>
      </c>
      <c r="G155">
        <v>10</v>
      </c>
      <c r="H155" s="16">
        <v>30230</v>
      </c>
      <c r="I155" s="44">
        <v>3</v>
      </c>
      <c r="J155" s="50">
        <v>36</v>
      </c>
      <c r="K155" s="44">
        <v>1</v>
      </c>
      <c r="L155" s="1" t="s">
        <v>306</v>
      </c>
    </row>
    <row r="156" spans="1:13" ht="14.5" x14ac:dyDescent="0.3">
      <c r="A156" s="5">
        <v>56388</v>
      </c>
      <c r="B156">
        <v>2</v>
      </c>
      <c r="C156" s="1" t="s">
        <v>413</v>
      </c>
      <c r="D156" s="1" t="str">
        <f t="shared" si="2"/>
        <v>56372;3</v>
      </c>
      <c r="E156">
        <v>790000</v>
      </c>
      <c r="F156">
        <v>9</v>
      </c>
      <c r="G156">
        <v>10</v>
      </c>
      <c r="H156" s="16">
        <v>30250</v>
      </c>
      <c r="I156" s="44">
        <v>3</v>
      </c>
      <c r="J156" s="50">
        <v>36</v>
      </c>
      <c r="K156" s="44">
        <v>1</v>
      </c>
      <c r="L156" s="1" t="s">
        <v>307</v>
      </c>
    </row>
    <row r="157" spans="1:13" ht="14.5" x14ac:dyDescent="0.3">
      <c r="A157" s="5">
        <v>56389</v>
      </c>
      <c r="B157">
        <v>2</v>
      </c>
      <c r="C157" s="1" t="s">
        <v>413</v>
      </c>
      <c r="D157" s="1" t="str">
        <f t="shared" si="2"/>
        <v>56373;3</v>
      </c>
      <c r="E157">
        <v>790000</v>
      </c>
      <c r="F157">
        <v>10</v>
      </c>
      <c r="G157">
        <v>10</v>
      </c>
      <c r="H157" s="16">
        <v>30200</v>
      </c>
      <c r="I157" s="44">
        <v>3</v>
      </c>
      <c r="J157" s="50">
        <v>18</v>
      </c>
      <c r="K157" s="44">
        <v>1</v>
      </c>
      <c r="L157" s="1" t="s">
        <v>308</v>
      </c>
    </row>
    <row r="158" spans="1:13" ht="14.5" x14ac:dyDescent="0.3">
      <c r="A158" s="5">
        <v>56390</v>
      </c>
      <c r="B158">
        <v>3</v>
      </c>
      <c r="C158" s="1" t="s">
        <v>414</v>
      </c>
      <c r="D158" s="1" t="str">
        <f t="shared" si="2"/>
        <v>56374;3</v>
      </c>
      <c r="E158">
        <v>790000</v>
      </c>
      <c r="F158">
        <v>11</v>
      </c>
      <c r="G158">
        <v>10</v>
      </c>
      <c r="H158" s="16">
        <v>29601</v>
      </c>
      <c r="I158" s="44">
        <v>3</v>
      </c>
      <c r="J158" s="49">
        <v>0.12</v>
      </c>
      <c r="K158" s="44">
        <v>1</v>
      </c>
      <c r="L158" s="1" t="s">
        <v>309</v>
      </c>
    </row>
    <row r="159" spans="1:13" ht="14.5" x14ac:dyDescent="0.3">
      <c r="A159" s="5">
        <v>56391</v>
      </c>
      <c r="B159">
        <v>3</v>
      </c>
      <c r="C159" s="1" t="s">
        <v>414</v>
      </c>
      <c r="D159" s="1" t="str">
        <f t="shared" si="2"/>
        <v>56375;3</v>
      </c>
      <c r="E159">
        <v>790000</v>
      </c>
      <c r="F159">
        <v>12</v>
      </c>
      <c r="G159">
        <v>10</v>
      </c>
      <c r="H159" s="16">
        <v>29501</v>
      </c>
      <c r="I159" s="44">
        <v>3</v>
      </c>
      <c r="J159" s="49">
        <v>0.12</v>
      </c>
      <c r="K159" s="44">
        <v>1</v>
      </c>
      <c r="L159" s="1" t="s">
        <v>310</v>
      </c>
    </row>
    <row r="160" spans="1:13" ht="14.5" x14ac:dyDescent="0.3">
      <c r="A160" s="5">
        <v>56392</v>
      </c>
      <c r="B160">
        <v>3</v>
      </c>
      <c r="C160" s="1" t="s">
        <v>414</v>
      </c>
      <c r="D160" s="1" t="str">
        <f t="shared" si="2"/>
        <v>56376;3</v>
      </c>
      <c r="E160">
        <v>790000</v>
      </c>
      <c r="F160">
        <v>13</v>
      </c>
      <c r="G160">
        <v>10</v>
      </c>
      <c r="H160" s="16">
        <v>29401</v>
      </c>
      <c r="I160" s="44">
        <v>3</v>
      </c>
      <c r="J160" s="49">
        <v>0.12</v>
      </c>
      <c r="K160" s="44">
        <v>1</v>
      </c>
      <c r="L160" s="1" t="s">
        <v>311</v>
      </c>
    </row>
    <row r="161" spans="1:12" ht="14.5" x14ac:dyDescent="0.3">
      <c r="A161" s="5">
        <v>56393</v>
      </c>
      <c r="B161">
        <v>3</v>
      </c>
      <c r="C161" s="1" t="s">
        <v>414</v>
      </c>
      <c r="D161" s="1" t="str">
        <f t="shared" si="2"/>
        <v>56377;3</v>
      </c>
      <c r="E161">
        <v>790000</v>
      </c>
      <c r="F161">
        <v>14</v>
      </c>
      <c r="G161">
        <v>10</v>
      </c>
      <c r="H161" s="16">
        <v>29301</v>
      </c>
      <c r="I161" s="44">
        <v>3</v>
      </c>
      <c r="J161" s="49">
        <v>0.12</v>
      </c>
      <c r="K161" s="44">
        <v>1</v>
      </c>
      <c r="L161" s="1" t="s">
        <v>312</v>
      </c>
    </row>
    <row r="162" spans="1:12" ht="14.5" x14ac:dyDescent="0.3">
      <c r="A162" s="5">
        <v>56394</v>
      </c>
      <c r="B162">
        <v>3</v>
      </c>
      <c r="C162" s="1" t="s">
        <v>414</v>
      </c>
      <c r="D162" s="1" t="str">
        <f t="shared" si="2"/>
        <v>56378;3</v>
      </c>
      <c r="E162">
        <v>790000</v>
      </c>
      <c r="F162">
        <v>15</v>
      </c>
      <c r="G162">
        <v>10</v>
      </c>
      <c r="H162" s="16">
        <v>29801</v>
      </c>
      <c r="I162" s="44">
        <v>3</v>
      </c>
      <c r="J162" s="49">
        <v>0.12</v>
      </c>
      <c r="K162" s="44">
        <v>1</v>
      </c>
      <c r="L162" s="1" t="s">
        <v>313</v>
      </c>
    </row>
    <row r="163" spans="1:12" ht="14.5" x14ac:dyDescent="0.3">
      <c r="A163" s="5">
        <v>56395</v>
      </c>
      <c r="B163">
        <v>3</v>
      </c>
      <c r="C163" s="1" t="s">
        <v>414</v>
      </c>
      <c r="D163" s="1" t="str">
        <f t="shared" si="2"/>
        <v>56379;3</v>
      </c>
      <c r="E163">
        <v>790000</v>
      </c>
      <c r="F163">
        <v>16</v>
      </c>
      <c r="G163">
        <v>10</v>
      </c>
      <c r="H163" s="16">
        <v>29201</v>
      </c>
      <c r="I163" s="44">
        <v>0</v>
      </c>
      <c r="J163" s="49">
        <v>0.12</v>
      </c>
      <c r="K163" s="44">
        <v>1</v>
      </c>
      <c r="L163" s="1" t="s">
        <v>314</v>
      </c>
    </row>
  </sheetData>
  <phoneticPr fontId="8" type="noConversion"/>
  <conditionalFormatting sqref="A20:A67">
    <cfRule type="duplicateValues" dxfId="2" priority="77"/>
  </conditionalFormatting>
  <conditionalFormatting sqref="A68:A163">
    <cfRule type="duplicateValues" dxfId="1" priority="87"/>
    <cfRule type="duplicateValues" dxfId="0" priority="88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英雄兵种套装</vt:lpstr>
      <vt:lpstr>宝石共鸣配置</vt:lpstr>
      <vt:lpstr>装备连锁配置</vt:lpstr>
      <vt:lpstr>连锁反应配置</vt:lpstr>
      <vt:lpstr>套装升级配置</vt:lpstr>
      <vt:lpstr>套装升阶配置</vt:lpstr>
      <vt:lpstr>英雄兵种图纸</vt:lpstr>
      <vt:lpstr>英雄兵种铁匠铺</vt:lpstr>
      <vt:lpstr>英雄兵种杂项</vt:lpstr>
      <vt:lpstr>英雄兵种宝石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xidali(李希达)</dc:creator>
  <cp:lastModifiedBy>cherylxyliu(刘欣宜)</cp:lastModifiedBy>
  <dcterms:created xsi:type="dcterms:W3CDTF">2015-06-05T18:19:00Z</dcterms:created>
  <dcterms:modified xsi:type="dcterms:W3CDTF">2025-02-10T06:37:40Z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54E4F8D176BF4954AC29A7DDD4FB9EB0_12</vt:lpwstr>
  </property>
  <property fmtid="{D5CDD505-2E9C-101B-9397-08002B2CF9AE}" pid="3" name="KSOProductBuildVer">
    <vt:lpwstr>2052-12.1.0.17133</vt:lpwstr>
  </property>
</Properties>
</file>