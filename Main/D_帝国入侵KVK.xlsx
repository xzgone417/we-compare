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aoem\common\excel\xls\Main\"/>
    </mc:Choice>
  </mc:AlternateContent>
  <xr:revisionPtr revIDLastSave="0" documentId="13_ncr:1_{14EC34A1-243D-4ABA-BBC6-8FA753E5827C}" xr6:coauthVersionLast="47" xr6:coauthVersionMax="47" xr10:uidLastSave="{00000000-0000-0000-0000-000000000000}"/>
  <bookViews>
    <workbookView xWindow="-103" yWindow="-103" windowWidth="33120" windowHeight="18120" activeTab="4" xr2:uid="{00000000-000D-0000-FFFF-FFFF00000000}"/>
  </bookViews>
  <sheets>
    <sheet name="BOSS区服刷新" sheetId="3" r:id="rId1"/>
    <sheet name="BOSS分组" sheetId="4" r:id="rId2"/>
    <sheet name="BOSS配置" sheetId="5" r:id="rId3"/>
    <sheet name="BOSS奖励组" sheetId="6" r:id="rId4"/>
    <sheet name="杂项配置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8" i="2"/>
  <c r="C7" i="2"/>
</calcChain>
</file>

<file path=xl/sharedStrings.xml><?xml version="1.0" encoding="utf-8"?>
<sst xmlns="http://schemas.openxmlformats.org/spreadsheetml/2006/main" count="57" uniqueCount="53">
  <si>
    <t>配置项</t>
  </si>
  <si>
    <t>convertTrans(ResEmpireInvasion.proto, table_EmpireInvasionMiscConf, EmpireInvasionMiscConf.pbin)</t>
    <phoneticPr fontId="3" type="noConversion"/>
  </si>
  <si>
    <t>传送门生成数量</t>
    <phoneticPr fontId="3" type="noConversion"/>
  </si>
  <si>
    <t>id</t>
    <phoneticPr fontId="3" type="noConversion"/>
  </si>
  <si>
    <t>portalCount</t>
    <phoneticPr fontId="3" type="noConversion"/>
  </si>
  <si>
    <t>portalMinRange</t>
    <phoneticPr fontId="3" type="noConversion"/>
  </si>
  <si>
    <t>portalMaxRange</t>
    <phoneticPr fontId="3" type="noConversion"/>
  </si>
  <si>
    <t>bossRefreshIntervalSec</t>
    <phoneticPr fontId="3" type="noConversion"/>
  </si>
  <si>
    <t>Boss刷新间隔时间（秒）</t>
    <phoneticPr fontId="3" type="noConversion"/>
  </si>
  <si>
    <t>Boss刷新提前预告时间（秒）</t>
    <phoneticPr fontId="3" type="noConversion"/>
  </si>
  <si>
    <t>bossRefreshPreNoticeSec</t>
    <phoneticPr fontId="3" type="noConversion"/>
  </si>
  <si>
    <t>bossRefreshPreNoticeMarquee</t>
    <phoneticPr fontId="3" type="noConversion"/>
  </si>
  <si>
    <t>Boss刷新提前预告跑马灯ID</t>
    <phoneticPr fontId="3" type="noConversion"/>
  </si>
  <si>
    <t>bossExpireSec</t>
    <phoneticPr fontId="3" type="noConversion"/>
  </si>
  <si>
    <t>Boss持续时间（秒）</t>
    <phoneticPr fontId="3" type="noConversion"/>
  </si>
  <si>
    <t>区服</t>
    <phoneticPr fontId="3" type="noConversion"/>
  </si>
  <si>
    <t>分组</t>
    <phoneticPr fontId="3" type="noConversion"/>
  </si>
  <si>
    <t>0-100</t>
    <phoneticPr fontId="3" type="noConversion"/>
  </si>
  <si>
    <t>分组ID</t>
    <phoneticPr fontId="3" type="noConversion"/>
  </si>
  <si>
    <t>BOSS ID</t>
    <phoneticPr fontId="3" type="noConversion"/>
  </si>
  <si>
    <t>id</t>
    <phoneticPr fontId="6" type="noConversion"/>
  </si>
  <si>
    <t>groupId</t>
    <phoneticPr fontId="6" type="noConversion"/>
  </si>
  <si>
    <t>monsterId[,]</t>
    <phoneticPr fontId="6" type="noConversion"/>
  </si>
  <si>
    <t>100,101,102</t>
    <phoneticPr fontId="3" type="noConversion"/>
  </si>
  <si>
    <t>zone</t>
    <phoneticPr fontId="6" type="noConversion"/>
  </si>
  <si>
    <t>convert(ResEmpireInvasion.proto, table_EmpireInvasionBossZoneConf, EmpireInvasionBossZoneConf.pbin)</t>
    <phoneticPr fontId="3" type="noConversion"/>
  </si>
  <si>
    <t>convert(ResEmpireInvasion.proto, table_EmpireInvasionBossGroupConf, EmpireInvasionBossGroupConf.pbin)</t>
    <phoneticPr fontId="3" type="noConversion"/>
  </si>
  <si>
    <t>convert(ResEmpireInvasion.proto, table_EmpireInvasionBossMonsterConf, EmpireInvasionBossMonsterConf.pbin)</t>
    <phoneticPr fontId="3" type="noConversion"/>
  </si>
  <si>
    <t>奖励组</t>
    <phoneticPr fontId="3" type="noConversion"/>
  </si>
  <si>
    <t>monsterId</t>
    <phoneticPr fontId="6" type="noConversion"/>
  </si>
  <si>
    <t>rewardGroupId</t>
    <phoneticPr fontId="6" type="noConversion"/>
  </si>
  <si>
    <t>convert(ResEmpireInvasion.proto, table_EmpireInvasionBossRewardGroupConf, EmpireInvasionBossRewardGroupConf.pbin)</t>
    <phoneticPr fontId="3" type="noConversion"/>
  </si>
  <si>
    <t>最后一击奖励</t>
    <phoneticPr fontId="3" type="noConversion"/>
  </si>
  <si>
    <t>killerReward</t>
    <phoneticPr fontId="6" type="noConversion"/>
  </si>
  <si>
    <t>伤害排行奖励</t>
    <phoneticPr fontId="3" type="noConversion"/>
  </si>
  <si>
    <t>damageRankReward[|]{key:value}</t>
    <phoneticPr fontId="6" type="noConversion"/>
  </si>
  <si>
    <t>1:101</t>
    <phoneticPr fontId="3" type="noConversion"/>
  </si>
  <si>
    <t>2:101</t>
    <phoneticPr fontId="3" type="noConversion"/>
  </si>
  <si>
    <t>10:101</t>
    <phoneticPr fontId="3" type="noConversion"/>
  </si>
  <si>
    <t>1:102</t>
    <phoneticPr fontId="3" type="noConversion"/>
  </si>
  <si>
    <t>2:102</t>
    <phoneticPr fontId="3" type="noConversion"/>
  </si>
  <si>
    <t>10:102</t>
    <phoneticPr fontId="3" type="noConversion"/>
  </si>
  <si>
    <t>bossKillRewardMailId</t>
    <phoneticPr fontId="3" type="noConversion"/>
  </si>
  <si>
    <t>Boss最后一击奖励邮件</t>
    <phoneticPr fontId="3" type="noConversion"/>
  </si>
  <si>
    <t>Boss伤害排名奖励邮件</t>
    <phoneticPr fontId="3" type="noConversion"/>
  </si>
  <si>
    <t>bossDamageRewardMailId</t>
    <phoneticPr fontId="3" type="noConversion"/>
  </si>
  <si>
    <t>bossDailyRewardLimit</t>
    <phoneticPr fontId="3" type="noConversion"/>
  </si>
  <si>
    <t>Boss每日奖励上限</t>
    <phoneticPr fontId="3" type="noConversion"/>
  </si>
  <si>
    <t>奖励组ID</t>
    <phoneticPr fontId="3" type="noConversion"/>
  </si>
  <si>
    <t>传送门生成最近距离（米，1格200米）</t>
    <phoneticPr fontId="3" type="noConversion"/>
  </si>
  <si>
    <t>传送门生成最远距离（米，1格200米）</t>
    <phoneticPr fontId="3" type="noConversion"/>
  </si>
  <si>
    <t>bossRefreshProvinceld[;]</t>
    <phoneticPr fontId="3" type="noConversion"/>
  </si>
  <si>
    <t>Boss刷新省ID（数组，不配置默认所有省都可以刷出）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</si>
</sst>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0" xfId="0" applyNumberFormat="1"/>
    <xf numFmtId="49" fontId="4" fillId="2" borderId="1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 2" xfId="1" xr:uid="{E9CC0038-5A18-4755-ABC6-DAB064CF4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0E69-45E4-4C2B-98E5-B96A1DFE8D31}">
  <dimension ref="A1:C4"/>
  <sheetViews>
    <sheetView workbookViewId="0">
      <selection activeCell="D18" sqref="D18"/>
    </sheetView>
  </sheetViews>
  <sheetFormatPr defaultRowHeight="14.15" x14ac:dyDescent="0.35"/>
  <cols>
    <col min="1" max="3" width="12.5" customWidth="1"/>
  </cols>
  <sheetData>
    <row r="1" spans="1:3" x14ac:dyDescent="0.35">
      <c r="A1" s="1" t="s">
        <v>25</v>
      </c>
    </row>
    <row r="2" spans="1:3" s="1" customFormat="1" ht="15" x14ac:dyDescent="0.35">
      <c r="A2" s="2" t="s">
        <v>3</v>
      </c>
      <c r="B2" s="2" t="s">
        <v>15</v>
      </c>
      <c r="C2" s="2" t="s">
        <v>16</v>
      </c>
    </row>
    <row r="3" spans="1:3" ht="15" x14ac:dyDescent="0.35">
      <c r="A3" s="4" t="s">
        <v>20</v>
      </c>
      <c r="B3" s="7" t="s">
        <v>24</v>
      </c>
      <c r="C3" s="7" t="s">
        <v>21</v>
      </c>
    </row>
    <row r="4" spans="1:3" x14ac:dyDescent="0.35">
      <c r="A4">
        <v>1</v>
      </c>
      <c r="B4" t="s">
        <v>17</v>
      </c>
      <c r="C4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4C80-A694-4A42-B2A8-C745AF8DCDAB}">
  <dimension ref="A1:B4"/>
  <sheetViews>
    <sheetView workbookViewId="0">
      <selection activeCell="A47" sqref="A47"/>
    </sheetView>
  </sheetViews>
  <sheetFormatPr defaultRowHeight="14.15" x14ac:dyDescent="0.35"/>
  <cols>
    <col min="1" max="1" width="12.5" customWidth="1"/>
    <col min="2" max="2" width="18.7109375" style="5" customWidth="1"/>
  </cols>
  <sheetData>
    <row r="1" spans="1:2" x14ac:dyDescent="0.35">
      <c r="A1" s="1" t="s">
        <v>26</v>
      </c>
    </row>
    <row r="2" spans="1:2" s="1" customFormat="1" ht="15" x14ac:dyDescent="0.35">
      <c r="A2" s="2" t="s">
        <v>18</v>
      </c>
      <c r="B2" s="6" t="s">
        <v>19</v>
      </c>
    </row>
    <row r="3" spans="1:2" ht="15" x14ac:dyDescent="0.35">
      <c r="A3" s="4" t="s">
        <v>21</v>
      </c>
      <c r="B3" s="7" t="s">
        <v>22</v>
      </c>
    </row>
    <row r="4" spans="1:2" x14ac:dyDescent="0.35">
      <c r="A4">
        <v>1</v>
      </c>
      <c r="B4" s="5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4632-2AFA-47E1-B1A6-B3EBDDF0EEF4}">
  <dimension ref="A1:B6"/>
  <sheetViews>
    <sheetView workbookViewId="0">
      <selection activeCell="B22" sqref="B22"/>
    </sheetView>
  </sheetViews>
  <sheetFormatPr defaultRowHeight="14.15" x14ac:dyDescent="0.35"/>
  <cols>
    <col min="1" max="2" width="18.7109375" customWidth="1"/>
  </cols>
  <sheetData>
    <row r="1" spans="1:2" x14ac:dyDescent="0.35">
      <c r="A1" s="1" t="s">
        <v>27</v>
      </c>
    </row>
    <row r="2" spans="1:2" s="1" customFormat="1" ht="15" x14ac:dyDescent="0.35">
      <c r="A2" s="2" t="s">
        <v>19</v>
      </c>
      <c r="B2" s="6" t="s">
        <v>28</v>
      </c>
    </row>
    <row r="3" spans="1:2" ht="15" x14ac:dyDescent="0.35">
      <c r="A3" s="4" t="s">
        <v>29</v>
      </c>
      <c r="B3" s="7" t="s">
        <v>30</v>
      </c>
    </row>
    <row r="4" spans="1:2" x14ac:dyDescent="0.35">
      <c r="A4">
        <v>100</v>
      </c>
      <c r="B4">
        <v>1001</v>
      </c>
    </row>
    <row r="5" spans="1:2" x14ac:dyDescent="0.35">
      <c r="A5">
        <v>101</v>
      </c>
      <c r="B5">
        <v>1001</v>
      </c>
    </row>
    <row r="6" spans="1:2" x14ac:dyDescent="0.35">
      <c r="A6">
        <v>102</v>
      </c>
      <c r="B6">
        <v>1002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60B4-B373-4D02-8A81-910FAA2A1F3C}">
  <dimension ref="A1:C9"/>
  <sheetViews>
    <sheetView workbookViewId="0">
      <selection activeCell="G21" sqref="G21"/>
    </sheetView>
  </sheetViews>
  <sheetFormatPr defaultRowHeight="14.15" x14ac:dyDescent="0.35"/>
  <cols>
    <col min="1" max="2" width="18.7109375" customWidth="1"/>
    <col min="3" max="3" width="35.0703125" style="5" customWidth="1"/>
  </cols>
  <sheetData>
    <row r="1" spans="1:3" x14ac:dyDescent="0.35">
      <c r="A1" s="1" t="s">
        <v>31</v>
      </c>
    </row>
    <row r="2" spans="1:3" s="1" customFormat="1" ht="15" x14ac:dyDescent="0.35">
      <c r="A2" s="2" t="s">
        <v>48</v>
      </c>
      <c r="B2" s="6" t="s">
        <v>32</v>
      </c>
      <c r="C2" s="6" t="s">
        <v>34</v>
      </c>
    </row>
    <row r="3" spans="1:3" ht="15" x14ac:dyDescent="0.35">
      <c r="A3" s="4" t="s">
        <v>30</v>
      </c>
      <c r="B3" s="7" t="s">
        <v>33</v>
      </c>
      <c r="C3" s="7" t="s">
        <v>35</v>
      </c>
    </row>
    <row r="4" spans="1:3" x14ac:dyDescent="0.35">
      <c r="A4">
        <v>1001</v>
      </c>
      <c r="B4">
        <v>101</v>
      </c>
      <c r="C4" s="5" t="s">
        <v>36</v>
      </c>
    </row>
    <row r="5" spans="1:3" x14ac:dyDescent="0.35">
      <c r="C5" s="5" t="s">
        <v>37</v>
      </c>
    </row>
    <row r="6" spans="1:3" x14ac:dyDescent="0.35">
      <c r="C6" s="5" t="s">
        <v>38</v>
      </c>
    </row>
    <row r="7" spans="1:3" x14ac:dyDescent="0.35">
      <c r="A7">
        <v>1002</v>
      </c>
      <c r="B7">
        <v>102</v>
      </c>
      <c r="C7" s="5" t="s">
        <v>39</v>
      </c>
    </row>
    <row r="8" spans="1:3" x14ac:dyDescent="0.35">
      <c r="C8" s="5" t="s">
        <v>40</v>
      </c>
    </row>
    <row r="9" spans="1:3" x14ac:dyDescent="0.35">
      <c r="C9" s="5" t="s">
        <v>41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D47C-026D-440E-BB38-B4BB636ED262}">
  <dimension ref="A1:C15"/>
  <sheetViews>
    <sheetView tabSelected="1" workbookViewId="0">
      <selection activeCell="A8" sqref="A8"/>
    </sheetView>
  </sheetViews>
  <sheetFormatPr defaultColWidth="10.35546875" defaultRowHeight="14.15" x14ac:dyDescent="0.35"/>
  <cols>
    <col min="1" max="1" width="39.7109375" style="1" customWidth="1"/>
    <col min="2" max="2" width="34.140625" style="1" customWidth="1"/>
    <col min="3" max="3" width="21.2109375" style="1" customWidth="1"/>
    <col min="4" max="16384" width="10.35546875" style="1"/>
  </cols>
  <sheetData>
    <row r="1" spans="1:3" x14ac:dyDescent="0.35">
      <c r="A1" s="1" t="s">
        <v>1</v>
      </c>
    </row>
    <row r="2" spans="1:3" ht="15" x14ac:dyDescent="0.35">
      <c r="A2" s="2" t="s">
        <v>0</v>
      </c>
      <c r="B2" s="2" t="s">
        <v>3</v>
      </c>
      <c r="C2" s="2">
        <v>1</v>
      </c>
    </row>
    <row r="3" spans="1:3" x14ac:dyDescent="0.35">
      <c r="A3" s="3" t="s">
        <v>2</v>
      </c>
      <c r="B3" s="3" t="s">
        <v>4</v>
      </c>
      <c r="C3" s="3">
        <v>3</v>
      </c>
    </row>
    <row r="4" spans="1:3" x14ac:dyDescent="0.35">
      <c r="A4" s="3" t="s">
        <v>49</v>
      </c>
      <c r="B4" s="3" t="s">
        <v>5</v>
      </c>
      <c r="C4" s="3">
        <v>1000</v>
      </c>
    </row>
    <row r="5" spans="1:3" x14ac:dyDescent="0.35">
      <c r="A5" s="3" t="s">
        <v>50</v>
      </c>
      <c r="B5" s="3" t="s">
        <v>6</v>
      </c>
      <c r="C5" s="3">
        <v>1200</v>
      </c>
    </row>
    <row r="6" spans="1:3" ht="28.3" x14ac:dyDescent="0.35">
      <c r="A6" s="8" t="s">
        <v>52</v>
      </c>
      <c r="B6" s="3" t="s">
        <v>51</v>
      </c>
      <c r="C6" s="3"/>
    </row>
    <row r="7" spans="1:3" x14ac:dyDescent="0.35">
      <c r="A7" s="3" t="s">
        <v>8</v>
      </c>
      <c r="B7" s="3" t="s">
        <v>7</v>
      </c>
      <c r="C7" s="3">
        <f>6*60*60</f>
        <v>21600</v>
      </c>
    </row>
    <row r="8" spans="1:3" x14ac:dyDescent="0.35">
      <c r="A8" s="3" t="s">
        <v>9</v>
      </c>
      <c r="B8" s="3" t="s">
        <v>10</v>
      </c>
      <c r="C8" s="3">
        <f>10*60</f>
        <v>600</v>
      </c>
    </row>
    <row r="9" spans="1:3" x14ac:dyDescent="0.35">
      <c r="A9" s="3" t="s">
        <v>12</v>
      </c>
      <c r="B9" s="3" t="s">
        <v>11</v>
      </c>
      <c r="C9" s="3"/>
    </row>
    <row r="10" spans="1:3" x14ac:dyDescent="0.35">
      <c r="A10" s="3" t="s">
        <v>14</v>
      </c>
      <c r="B10" s="3" t="s">
        <v>13</v>
      </c>
      <c r="C10" s="3">
        <f>60*60</f>
        <v>3600</v>
      </c>
    </row>
    <row r="11" spans="1:3" x14ac:dyDescent="0.35">
      <c r="A11" s="3" t="s">
        <v>43</v>
      </c>
      <c r="B11" s="3" t="s">
        <v>42</v>
      </c>
      <c r="C11" s="3">
        <v>23233</v>
      </c>
    </row>
    <row r="12" spans="1:3" x14ac:dyDescent="0.35">
      <c r="A12" s="3" t="s">
        <v>44</v>
      </c>
      <c r="B12" s="3" t="s">
        <v>45</v>
      </c>
      <c r="C12" s="3">
        <v>23234</v>
      </c>
    </row>
    <row r="13" spans="1:3" x14ac:dyDescent="0.35">
      <c r="A13" s="3" t="s">
        <v>47</v>
      </c>
      <c r="B13" s="3" t="s">
        <v>46</v>
      </c>
      <c r="C13" s="3">
        <v>100</v>
      </c>
    </row>
    <row r="14" spans="1:3" x14ac:dyDescent="0.35">
      <c r="A14" s="3"/>
      <c r="B14" s="3"/>
      <c r="C14" s="3"/>
    </row>
    <row r="15" spans="1:3" x14ac:dyDescent="0.35">
      <c r="A15" s="3"/>
      <c r="B15" s="3"/>
      <c r="C1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BOSS区服刷新</vt:lpstr>
      <vt:lpstr>BOSS分组</vt:lpstr>
      <vt:lpstr>BOSS配置</vt:lpstr>
      <vt:lpstr>BOSS奖励组</vt:lpstr>
      <vt:lpstr>杂项配置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</dc:creator>
  <cp:lastModifiedBy>T189342</cp:lastModifiedBy>
  <dcterms:created xsi:type="dcterms:W3CDTF">2015-06-05T18:19:34Z</dcterms:created>
  <dcterms:modified xsi:type="dcterms:W3CDTF">2025-03-25T06:27:16Z</dcterms:modified>
</cp:coreProperties>
</file>